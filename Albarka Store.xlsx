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rkTech\Desktop\Albarka Store\"/>
    </mc:Choice>
  </mc:AlternateContent>
  <xr:revisionPtr revIDLastSave="0" documentId="13_ncr:1_{0F40FB51-9F37-43CA-ADCE-1401DB7957DD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Inventory" sheetId="2" r:id="rId1"/>
    <sheet name="Sale by Month" sheetId="4" r:id="rId2"/>
    <sheet name="Sales by Product" sheetId="6" r:id="rId3"/>
    <sheet name="Sales by Payment" sheetId="7" r:id="rId4"/>
    <sheet name="Sales by day" sheetId="9" r:id="rId5"/>
    <sheet name="Sales by category" sheetId="10" r:id="rId6"/>
    <sheet name="Sheet9" sheetId="18" r:id="rId7"/>
    <sheet name="ETS Forecast" sheetId="15" r:id="rId8"/>
    <sheet name="Sales Data" sheetId="1" r:id="rId9"/>
  </sheets>
  <definedNames>
    <definedName name="_xlnm._FilterDatabase" localSheetId="0" hidden="1">Inventory!$A$1:$G$46</definedName>
    <definedName name="_xlnm._FilterDatabase" localSheetId="8" hidden="1">'Sales Data'!$A$1:$J$4948</definedName>
  </definedNames>
  <calcPr calcId="191029"/>
  <pivotCaches>
    <pivotCache cacheId="3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5" l="1"/>
  <c r="I2" i="15" s="1"/>
  <c r="D365" i="15"/>
  <c r="E365" i="15" s="1"/>
  <c r="D364" i="15"/>
  <c r="E364" i="15" s="1"/>
  <c r="D363" i="15"/>
  <c r="E363" i="15" s="1"/>
  <c r="G363" i="15" s="1"/>
  <c r="D362" i="15"/>
  <c r="E362" i="15" s="1"/>
  <c r="D361" i="15"/>
  <c r="E361" i="15" s="1"/>
  <c r="D360" i="15"/>
  <c r="E360" i="15" s="1"/>
  <c r="D359" i="15"/>
  <c r="E359" i="15" s="1"/>
  <c r="F359" i="15" s="1"/>
  <c r="D358" i="15"/>
  <c r="E358" i="15" s="1"/>
  <c r="G358" i="15" s="1"/>
  <c r="D357" i="15"/>
  <c r="E357" i="15" s="1"/>
  <c r="D356" i="15"/>
  <c r="E356" i="15" s="1"/>
  <c r="D355" i="15"/>
  <c r="E355" i="15" s="1"/>
  <c r="G355" i="15" s="1"/>
  <c r="D354" i="15"/>
  <c r="E354" i="15" s="1"/>
  <c r="D353" i="15"/>
  <c r="E353" i="15" s="1"/>
  <c r="D352" i="15"/>
  <c r="E352" i="15" s="1"/>
  <c r="D351" i="15"/>
  <c r="E351" i="15" s="1"/>
  <c r="D350" i="15"/>
  <c r="E350" i="15" s="1"/>
  <c r="G350" i="15" s="1"/>
  <c r="D349" i="15"/>
  <c r="E349" i="15" s="1"/>
  <c r="D348" i="15"/>
  <c r="E348" i="15" s="1"/>
  <c r="D347" i="15"/>
  <c r="E347" i="15" s="1"/>
  <c r="G347" i="15" s="1"/>
  <c r="D346" i="15"/>
  <c r="E346" i="15" s="1"/>
  <c r="D345" i="15"/>
  <c r="E345" i="15" s="1"/>
  <c r="D344" i="15"/>
  <c r="E344" i="15" s="1"/>
  <c r="D343" i="15"/>
  <c r="E343" i="15" s="1"/>
  <c r="D342" i="15"/>
  <c r="E342" i="15" s="1"/>
  <c r="G342" i="15" s="1"/>
  <c r="D341" i="15"/>
  <c r="E341" i="15" s="1"/>
  <c r="D340" i="15"/>
  <c r="E340" i="15" s="1"/>
  <c r="D339" i="15"/>
  <c r="E339" i="15" s="1"/>
  <c r="G339" i="15" s="1"/>
  <c r="D338" i="15"/>
  <c r="E338" i="15" s="1"/>
  <c r="D337" i="15"/>
  <c r="E337" i="15" s="1"/>
  <c r="D336" i="15"/>
  <c r="E336" i="15" s="1"/>
  <c r="D335" i="15"/>
  <c r="E335" i="15" s="1"/>
  <c r="D334" i="15"/>
  <c r="E334" i="15" s="1"/>
  <c r="G334" i="15" s="1"/>
  <c r="D333" i="15"/>
  <c r="E333" i="15" s="1"/>
  <c r="D332" i="15"/>
  <c r="E332" i="15" s="1"/>
  <c r="D331" i="15"/>
  <c r="E331" i="15" s="1"/>
  <c r="G331" i="15" s="1"/>
  <c r="D330" i="15"/>
  <c r="E330" i="15" s="1"/>
  <c r="D329" i="15"/>
  <c r="E329" i="15" s="1"/>
  <c r="D328" i="15"/>
  <c r="E328" i="15" s="1"/>
  <c r="D327" i="15"/>
  <c r="E327" i="15" s="1"/>
  <c r="F327" i="15" s="1"/>
  <c r="D326" i="15"/>
  <c r="E326" i="15" s="1"/>
  <c r="G326" i="15" s="1"/>
  <c r="D325" i="15"/>
  <c r="E325" i="15" s="1"/>
  <c r="D324" i="15"/>
  <c r="E324" i="15" s="1"/>
  <c r="D323" i="15"/>
  <c r="E323" i="15" s="1"/>
  <c r="G323" i="15" s="1"/>
  <c r="D322" i="15"/>
  <c r="E322" i="15" s="1"/>
  <c r="D321" i="15"/>
  <c r="E321" i="15" s="1"/>
  <c r="D320" i="15"/>
  <c r="E320" i="15" s="1"/>
  <c r="D319" i="15"/>
  <c r="E319" i="15" s="1"/>
  <c r="D318" i="15"/>
  <c r="E318" i="15" s="1"/>
  <c r="G318" i="15" s="1"/>
  <c r="D317" i="15"/>
  <c r="E317" i="15" s="1"/>
  <c r="D316" i="15"/>
  <c r="E316" i="15" s="1"/>
  <c r="D315" i="15"/>
  <c r="E315" i="15" s="1"/>
  <c r="G315" i="15" s="1"/>
  <c r="D314" i="15"/>
  <c r="E314" i="15" s="1"/>
  <c r="D313" i="15"/>
  <c r="E313" i="15" s="1"/>
  <c r="D312" i="15"/>
  <c r="E312" i="15" s="1"/>
  <c r="D311" i="15"/>
  <c r="E311" i="15" s="1"/>
  <c r="D310" i="15"/>
  <c r="E310" i="15" s="1"/>
  <c r="G310" i="15" s="1"/>
  <c r="D309" i="15"/>
  <c r="E309" i="15" s="1"/>
  <c r="D308" i="15"/>
  <c r="E308" i="15" s="1"/>
  <c r="D307" i="15"/>
  <c r="E307" i="15" s="1"/>
  <c r="G307" i="15" s="1"/>
  <c r="D306" i="15"/>
  <c r="E306" i="15" s="1"/>
  <c r="D305" i="15"/>
  <c r="E305" i="15" s="1"/>
  <c r="D304" i="15"/>
  <c r="E304" i="15" s="1"/>
  <c r="D303" i="15"/>
  <c r="E303" i="15" s="1"/>
  <c r="D302" i="15"/>
  <c r="E302" i="15" s="1"/>
  <c r="G302" i="15" s="1"/>
  <c r="D301" i="15"/>
  <c r="E301" i="15" s="1"/>
  <c r="D300" i="15"/>
  <c r="E300" i="15" s="1"/>
  <c r="D299" i="15"/>
  <c r="E299" i="15" s="1"/>
  <c r="G299" i="15" s="1"/>
  <c r="D298" i="15"/>
  <c r="E298" i="15" s="1"/>
  <c r="D297" i="15"/>
  <c r="E297" i="15" s="1"/>
  <c r="D296" i="15"/>
  <c r="E296" i="15" s="1"/>
  <c r="D295" i="15"/>
  <c r="E295" i="15" s="1"/>
  <c r="F295" i="15" s="1"/>
  <c r="D294" i="15"/>
  <c r="E294" i="15" s="1"/>
  <c r="G294" i="15" s="1"/>
  <c r="D293" i="15"/>
  <c r="E293" i="15" s="1"/>
  <c r="D292" i="15"/>
  <c r="E292" i="15" s="1"/>
  <c r="D291" i="15"/>
  <c r="E291" i="15" s="1"/>
  <c r="G291" i="15" s="1"/>
  <c r="D290" i="15"/>
  <c r="E290" i="15" s="1"/>
  <c r="D289" i="15"/>
  <c r="E289" i="15" s="1"/>
  <c r="D288" i="15"/>
  <c r="E288" i="15" s="1"/>
  <c r="D287" i="15"/>
  <c r="E287" i="15" s="1"/>
  <c r="D286" i="15"/>
  <c r="E286" i="15" s="1"/>
  <c r="G286" i="15" s="1"/>
  <c r="D285" i="15"/>
  <c r="E285" i="15" s="1"/>
  <c r="D284" i="15"/>
  <c r="E284" i="15" s="1"/>
  <c r="D283" i="15"/>
  <c r="E283" i="15" s="1"/>
  <c r="G283" i="15" s="1"/>
  <c r="D282" i="15"/>
  <c r="E282" i="15" s="1"/>
  <c r="D281" i="15"/>
  <c r="E281" i="15" s="1"/>
  <c r="D280" i="15"/>
  <c r="E280" i="15" s="1"/>
  <c r="D279" i="15"/>
  <c r="E279" i="15" s="1"/>
  <c r="D278" i="15"/>
  <c r="E278" i="15" s="1"/>
  <c r="G278" i="15" s="1"/>
  <c r="D277" i="15"/>
  <c r="E277" i="15" s="1"/>
  <c r="D276" i="15"/>
  <c r="E276" i="15" s="1"/>
  <c r="D275" i="15"/>
  <c r="E275" i="15" s="1"/>
  <c r="G275" i="15" s="1"/>
  <c r="D274" i="15"/>
  <c r="E274" i="15" s="1"/>
  <c r="D273" i="15"/>
  <c r="E273" i="15" s="1"/>
  <c r="D272" i="15"/>
  <c r="E272" i="15" s="1"/>
  <c r="D271" i="15"/>
  <c r="E271" i="15" s="1"/>
  <c r="D270" i="15"/>
  <c r="E270" i="15" s="1"/>
  <c r="G270" i="15" s="1"/>
  <c r="D269" i="15"/>
  <c r="E269" i="15" s="1"/>
  <c r="D268" i="15"/>
  <c r="E268" i="15" s="1"/>
  <c r="D267" i="15"/>
  <c r="E267" i="15" s="1"/>
  <c r="G267" i="15" s="1"/>
  <c r="D266" i="15"/>
  <c r="E266" i="15" s="1"/>
  <c r="D265" i="15"/>
  <c r="E265" i="15" s="1"/>
  <c r="D264" i="15"/>
  <c r="E264" i="15" s="1"/>
  <c r="D263" i="15"/>
  <c r="E263" i="15" s="1"/>
  <c r="F263" i="15" s="1"/>
  <c r="D262" i="15"/>
  <c r="E262" i="15" s="1"/>
  <c r="G262" i="15" s="1"/>
  <c r="D261" i="15"/>
  <c r="E261" i="15" s="1"/>
  <c r="D260" i="15"/>
  <c r="E260" i="15" s="1"/>
  <c r="D259" i="15"/>
  <c r="E259" i="15" s="1"/>
  <c r="G259" i="15" s="1"/>
  <c r="D258" i="15"/>
  <c r="E258" i="15" s="1"/>
  <c r="D257" i="15"/>
  <c r="E257" i="15" s="1"/>
  <c r="D256" i="15"/>
  <c r="E256" i="15" s="1"/>
  <c r="D255" i="15"/>
  <c r="E255" i="15" s="1"/>
  <c r="D254" i="15"/>
  <c r="E254" i="15" s="1"/>
  <c r="G254" i="15" s="1"/>
  <c r="D253" i="15"/>
  <c r="E253" i="15" s="1"/>
  <c r="D252" i="15"/>
  <c r="E252" i="15" s="1"/>
  <c r="D251" i="15"/>
  <c r="E251" i="15" s="1"/>
  <c r="G251" i="15" s="1"/>
  <c r="D250" i="15"/>
  <c r="E250" i="15" s="1"/>
  <c r="D249" i="15"/>
  <c r="E249" i="15" s="1"/>
  <c r="D248" i="15"/>
  <c r="E248" i="15" s="1"/>
  <c r="D247" i="15"/>
  <c r="E247" i="15" s="1"/>
  <c r="D246" i="15"/>
  <c r="E246" i="15" s="1"/>
  <c r="G246" i="15" s="1"/>
  <c r="D245" i="15"/>
  <c r="E245" i="15" s="1"/>
  <c r="D244" i="15"/>
  <c r="E244" i="15" s="1"/>
  <c r="D243" i="15"/>
  <c r="E243" i="15" s="1"/>
  <c r="G243" i="15" s="1"/>
  <c r="D242" i="15"/>
  <c r="E242" i="15" s="1"/>
  <c r="D241" i="15"/>
  <c r="E241" i="15" s="1"/>
  <c r="D240" i="15"/>
  <c r="E240" i="15" s="1"/>
  <c r="D239" i="15"/>
  <c r="E239" i="15" s="1"/>
  <c r="D238" i="15"/>
  <c r="E238" i="15" s="1"/>
  <c r="G238" i="15" s="1"/>
  <c r="D237" i="15"/>
  <c r="E237" i="15" s="1"/>
  <c r="D236" i="15"/>
  <c r="E236" i="15" s="1"/>
  <c r="D235" i="15"/>
  <c r="E235" i="15" s="1"/>
  <c r="G235" i="15" s="1"/>
  <c r="D234" i="15"/>
  <c r="E234" i="15" s="1"/>
  <c r="D233" i="15"/>
  <c r="E233" i="15" s="1"/>
  <c r="D232" i="15"/>
  <c r="E232" i="15" s="1"/>
  <c r="D231" i="15"/>
  <c r="E231" i="15" s="1"/>
  <c r="F231" i="15" s="1"/>
  <c r="D230" i="15"/>
  <c r="E230" i="15" s="1"/>
  <c r="G230" i="15" s="1"/>
  <c r="D229" i="15"/>
  <c r="E229" i="15" s="1"/>
  <c r="D228" i="15"/>
  <c r="E228" i="15" s="1"/>
  <c r="D227" i="15"/>
  <c r="E227" i="15" s="1"/>
  <c r="G227" i="15" s="1"/>
  <c r="D226" i="15"/>
  <c r="E226" i="15" s="1"/>
  <c r="D225" i="15"/>
  <c r="E225" i="15" s="1"/>
  <c r="D224" i="15"/>
  <c r="E224" i="15" s="1"/>
  <c r="D223" i="15"/>
  <c r="E223" i="15" s="1"/>
  <c r="D222" i="15"/>
  <c r="E222" i="15" s="1"/>
  <c r="G222" i="15" s="1"/>
  <c r="D221" i="15"/>
  <c r="E221" i="15" s="1"/>
  <c r="D220" i="15"/>
  <c r="E220" i="15" s="1"/>
  <c r="D219" i="15"/>
  <c r="E219" i="15" s="1"/>
  <c r="G219" i="15" s="1"/>
  <c r="D218" i="15"/>
  <c r="E218" i="15" s="1"/>
  <c r="D217" i="15"/>
  <c r="E217" i="15" s="1"/>
  <c r="D216" i="15"/>
  <c r="E216" i="15" s="1"/>
  <c r="D215" i="15"/>
  <c r="E215" i="15" s="1"/>
  <c r="D214" i="15"/>
  <c r="E214" i="15" s="1"/>
  <c r="G214" i="15" s="1"/>
  <c r="D213" i="15"/>
  <c r="E213" i="15" s="1"/>
  <c r="D212" i="15"/>
  <c r="E212" i="15" s="1"/>
  <c r="D211" i="15"/>
  <c r="E211" i="15" s="1"/>
  <c r="G211" i="15" s="1"/>
  <c r="D210" i="15"/>
  <c r="E210" i="15" s="1"/>
  <c r="D209" i="15"/>
  <c r="E209" i="15" s="1"/>
  <c r="D208" i="15"/>
  <c r="E208" i="15" s="1"/>
  <c r="D207" i="15"/>
  <c r="E207" i="15" s="1"/>
  <c r="D206" i="15"/>
  <c r="E206" i="15" s="1"/>
  <c r="G206" i="15" s="1"/>
  <c r="D205" i="15"/>
  <c r="E205" i="15" s="1"/>
  <c r="D204" i="15"/>
  <c r="E204" i="15" s="1"/>
  <c r="D203" i="15"/>
  <c r="E203" i="15" s="1"/>
  <c r="G203" i="15" s="1"/>
  <c r="D202" i="15"/>
  <c r="E202" i="15" s="1"/>
  <c r="D201" i="15"/>
  <c r="E201" i="15" s="1"/>
  <c r="D200" i="15"/>
  <c r="E200" i="15" s="1"/>
  <c r="D199" i="15"/>
  <c r="E199" i="15" s="1"/>
  <c r="F199" i="15" s="1"/>
  <c r="D198" i="15"/>
  <c r="E198" i="15" s="1"/>
  <c r="G198" i="15" s="1"/>
  <c r="D197" i="15"/>
  <c r="E197" i="15" s="1"/>
  <c r="D196" i="15"/>
  <c r="E196" i="15" s="1"/>
  <c r="D195" i="15"/>
  <c r="E195" i="15" s="1"/>
  <c r="G195" i="15" s="1"/>
  <c r="D194" i="15"/>
  <c r="E194" i="15" s="1"/>
  <c r="D193" i="15"/>
  <c r="E193" i="15" s="1"/>
  <c r="D192" i="15"/>
  <c r="E192" i="15" s="1"/>
  <c r="D191" i="15"/>
  <c r="E191" i="15" s="1"/>
  <c r="D190" i="15"/>
  <c r="E190" i="15" s="1"/>
  <c r="G190" i="15" s="1"/>
  <c r="D189" i="15"/>
  <c r="E189" i="15" s="1"/>
  <c r="D188" i="15"/>
  <c r="E188" i="15" s="1"/>
  <c r="D187" i="15"/>
  <c r="E187" i="15" s="1"/>
  <c r="G187" i="15" s="1"/>
  <c r="D186" i="15"/>
  <c r="E186" i="15" s="1"/>
  <c r="D185" i="15"/>
  <c r="E185" i="15" s="1"/>
  <c r="D184" i="15"/>
  <c r="E184" i="15" s="1"/>
  <c r="D183" i="15"/>
  <c r="E183" i="15" s="1"/>
  <c r="D182" i="15"/>
  <c r="E182" i="15" s="1"/>
  <c r="G182" i="15" s="1"/>
  <c r="D181" i="15"/>
  <c r="E181" i="15" s="1"/>
  <c r="D180" i="15"/>
  <c r="E180" i="15" s="1"/>
  <c r="D179" i="15"/>
  <c r="E179" i="15" s="1"/>
  <c r="G179" i="15" s="1"/>
  <c r="D178" i="15"/>
  <c r="E178" i="15" s="1"/>
  <c r="D177" i="15"/>
  <c r="E177" i="15" s="1"/>
  <c r="D176" i="15"/>
  <c r="E176" i="15" s="1"/>
  <c r="D175" i="15"/>
  <c r="E175" i="15" s="1"/>
  <c r="D174" i="15"/>
  <c r="E174" i="15" s="1"/>
  <c r="G174" i="15" s="1"/>
  <c r="D173" i="15"/>
  <c r="E173" i="15" s="1"/>
  <c r="D172" i="15"/>
  <c r="E172" i="15" s="1"/>
  <c r="D171" i="15"/>
  <c r="E171" i="15" s="1"/>
  <c r="G171" i="15" s="1"/>
  <c r="D170" i="15"/>
  <c r="E170" i="15" s="1"/>
  <c r="D169" i="15"/>
  <c r="E169" i="15" s="1"/>
  <c r="D168" i="15"/>
  <c r="E168" i="15" s="1"/>
  <c r="D167" i="15"/>
  <c r="E167" i="15" s="1"/>
  <c r="F167" i="15" s="1"/>
  <c r="D166" i="15"/>
  <c r="E166" i="15" s="1"/>
  <c r="G166" i="15" s="1"/>
  <c r="D165" i="15"/>
  <c r="E165" i="15" s="1"/>
  <c r="D164" i="15"/>
  <c r="E164" i="15" s="1"/>
  <c r="D163" i="15"/>
  <c r="E163" i="15" s="1"/>
  <c r="G163" i="15" s="1"/>
  <c r="D162" i="15"/>
  <c r="E162" i="15" s="1"/>
  <c r="D161" i="15"/>
  <c r="E161" i="15" s="1"/>
  <c r="D160" i="15"/>
  <c r="E160" i="15" s="1"/>
  <c r="D159" i="15"/>
  <c r="E159" i="15" s="1"/>
  <c r="D158" i="15"/>
  <c r="E158" i="15" s="1"/>
  <c r="G158" i="15" s="1"/>
  <c r="D157" i="15"/>
  <c r="E157" i="15" s="1"/>
  <c r="G157" i="15" s="1"/>
  <c r="D156" i="15"/>
  <c r="E156" i="15" s="1"/>
  <c r="D155" i="15"/>
  <c r="E155" i="15" s="1"/>
  <c r="F155" i="15" s="1"/>
  <c r="D154" i="15"/>
  <c r="E154" i="15" s="1"/>
  <c r="D153" i="15"/>
  <c r="E153" i="15" s="1"/>
  <c r="D152" i="15"/>
  <c r="E152" i="15" s="1"/>
  <c r="G152" i="15" s="1"/>
  <c r="D151" i="15"/>
  <c r="E151" i="15" s="1"/>
  <c r="D150" i="15"/>
  <c r="E150" i="15" s="1"/>
  <c r="D149" i="15"/>
  <c r="E149" i="15" s="1"/>
  <c r="G149" i="15" s="1"/>
  <c r="D148" i="15"/>
  <c r="E148" i="15" s="1"/>
  <c r="D147" i="15"/>
  <c r="E147" i="15" s="1"/>
  <c r="D146" i="15"/>
  <c r="E146" i="15" s="1"/>
  <c r="D145" i="15"/>
  <c r="E145" i="15" s="1"/>
  <c r="D144" i="15"/>
  <c r="E144" i="15" s="1"/>
  <c r="G144" i="15" s="1"/>
  <c r="D143" i="15"/>
  <c r="E143" i="15" s="1"/>
  <c r="D142" i="15"/>
  <c r="E142" i="15" s="1"/>
  <c r="D141" i="15"/>
  <c r="E141" i="15" s="1"/>
  <c r="G141" i="15" s="1"/>
  <c r="D140" i="15"/>
  <c r="E140" i="15" s="1"/>
  <c r="D139" i="15"/>
  <c r="E139" i="15" s="1"/>
  <c r="D138" i="15"/>
  <c r="E138" i="15" s="1"/>
  <c r="D137" i="15"/>
  <c r="E137" i="15" s="1"/>
  <c r="D136" i="15"/>
  <c r="E136" i="15" s="1"/>
  <c r="G136" i="15" s="1"/>
  <c r="D135" i="15"/>
  <c r="E135" i="15" s="1"/>
  <c r="F135" i="15" s="1"/>
  <c r="D134" i="15"/>
  <c r="E134" i="15" s="1"/>
  <c r="D133" i="15"/>
  <c r="E133" i="15" s="1"/>
  <c r="G133" i="15" s="1"/>
  <c r="D132" i="15"/>
  <c r="E132" i="15" s="1"/>
  <c r="D131" i="15"/>
  <c r="E131" i="15" s="1"/>
  <c r="D130" i="15"/>
  <c r="E130" i="15" s="1"/>
  <c r="D129" i="15"/>
  <c r="E129" i="15" s="1"/>
  <c r="D128" i="15"/>
  <c r="E128" i="15" s="1"/>
  <c r="G128" i="15" s="1"/>
  <c r="D127" i="15"/>
  <c r="E127" i="15" s="1"/>
  <c r="D126" i="15"/>
  <c r="E126" i="15" s="1"/>
  <c r="D125" i="15"/>
  <c r="E125" i="15" s="1"/>
  <c r="G125" i="15" s="1"/>
  <c r="D124" i="15"/>
  <c r="E124" i="15" s="1"/>
  <c r="D123" i="15"/>
  <c r="E123" i="15" s="1"/>
  <c r="F123" i="15" s="1"/>
  <c r="D122" i="15"/>
  <c r="E122" i="15" s="1"/>
  <c r="D121" i="15"/>
  <c r="E121" i="15" s="1"/>
  <c r="D120" i="15"/>
  <c r="E120" i="15" s="1"/>
  <c r="G120" i="15" s="1"/>
  <c r="D119" i="15"/>
  <c r="E119" i="15" s="1"/>
  <c r="D118" i="15"/>
  <c r="E118" i="15" s="1"/>
  <c r="D117" i="15"/>
  <c r="E117" i="15" s="1"/>
  <c r="G117" i="15" s="1"/>
  <c r="D116" i="15"/>
  <c r="E116" i="15" s="1"/>
  <c r="D115" i="15"/>
  <c r="E115" i="15" s="1"/>
  <c r="D114" i="15"/>
  <c r="E114" i="15" s="1"/>
  <c r="D113" i="15"/>
  <c r="E113" i="15" s="1"/>
  <c r="D112" i="15"/>
  <c r="E112" i="15" s="1"/>
  <c r="G112" i="15" s="1"/>
  <c r="D111" i="15"/>
  <c r="E111" i="15" s="1"/>
  <c r="D110" i="15"/>
  <c r="E110" i="15" s="1"/>
  <c r="D109" i="15"/>
  <c r="E109" i="15" s="1"/>
  <c r="G109" i="15" s="1"/>
  <c r="D108" i="15"/>
  <c r="E108" i="15" s="1"/>
  <c r="D107" i="15"/>
  <c r="E107" i="15" s="1"/>
  <c r="D106" i="15"/>
  <c r="E106" i="15" s="1"/>
  <c r="D105" i="15"/>
  <c r="E105" i="15" s="1"/>
  <c r="D104" i="15"/>
  <c r="E104" i="15" s="1"/>
  <c r="G104" i="15" s="1"/>
  <c r="D103" i="15"/>
  <c r="E103" i="15" s="1"/>
  <c r="F103" i="15" s="1"/>
  <c r="D102" i="15"/>
  <c r="E102" i="15" s="1"/>
  <c r="D101" i="15"/>
  <c r="E101" i="15" s="1"/>
  <c r="G101" i="15" s="1"/>
  <c r="D100" i="15"/>
  <c r="E100" i="15" s="1"/>
  <c r="D99" i="15"/>
  <c r="E99" i="15" s="1"/>
  <c r="D98" i="15"/>
  <c r="E98" i="15" s="1"/>
  <c r="D97" i="15"/>
  <c r="E97" i="15" s="1"/>
  <c r="D96" i="15"/>
  <c r="E96" i="15" s="1"/>
  <c r="G96" i="15" s="1"/>
  <c r="D95" i="15"/>
  <c r="E95" i="15" s="1"/>
  <c r="F95" i="15" s="1"/>
  <c r="D94" i="15"/>
  <c r="E94" i="15" s="1"/>
  <c r="D93" i="15"/>
  <c r="E93" i="15" s="1"/>
  <c r="G93" i="15" s="1"/>
  <c r="D92" i="15"/>
  <c r="E92" i="15" s="1"/>
  <c r="D91" i="15"/>
  <c r="E91" i="15" s="1"/>
  <c r="D90" i="15"/>
  <c r="E90" i="15" s="1"/>
  <c r="D89" i="15"/>
  <c r="E89" i="15" s="1"/>
  <c r="D88" i="15"/>
  <c r="E88" i="15" s="1"/>
  <c r="G88" i="15" s="1"/>
  <c r="D87" i="15"/>
  <c r="E87" i="15" s="1"/>
  <c r="D86" i="15"/>
  <c r="E86" i="15" s="1"/>
  <c r="F86" i="15" s="1"/>
  <c r="D85" i="15"/>
  <c r="E85" i="15" s="1"/>
  <c r="G85" i="15" s="1"/>
  <c r="D84" i="15"/>
  <c r="E84" i="15" s="1"/>
  <c r="D83" i="15"/>
  <c r="E83" i="15" s="1"/>
  <c r="D82" i="15"/>
  <c r="E82" i="15" s="1"/>
  <c r="D81" i="15"/>
  <c r="E81" i="15" s="1"/>
  <c r="D80" i="15"/>
  <c r="E80" i="15" s="1"/>
  <c r="G80" i="15" s="1"/>
  <c r="D79" i="15"/>
  <c r="E79" i="15" s="1"/>
  <c r="F79" i="15" s="1"/>
  <c r="D78" i="15"/>
  <c r="E78" i="15" s="1"/>
  <c r="D77" i="15"/>
  <c r="E77" i="15" s="1"/>
  <c r="G77" i="15" s="1"/>
  <c r="D76" i="15"/>
  <c r="E76" i="15" s="1"/>
  <c r="D75" i="15"/>
  <c r="E75" i="15" s="1"/>
  <c r="D74" i="15"/>
  <c r="E74" i="15" s="1"/>
  <c r="D73" i="15"/>
  <c r="E73" i="15" s="1"/>
  <c r="D72" i="15"/>
  <c r="E72" i="15" s="1"/>
  <c r="G72" i="15" s="1"/>
  <c r="D71" i="15"/>
  <c r="E71" i="15" s="1"/>
  <c r="D70" i="15"/>
  <c r="E70" i="15" s="1"/>
  <c r="F70" i="15" s="1"/>
  <c r="D69" i="15"/>
  <c r="E69" i="15" s="1"/>
  <c r="G69" i="15" s="1"/>
  <c r="D68" i="15"/>
  <c r="E68" i="15" s="1"/>
  <c r="D67" i="15"/>
  <c r="E67" i="15" s="1"/>
  <c r="D66" i="15"/>
  <c r="E66" i="15" s="1"/>
  <c r="D65" i="15"/>
  <c r="E65" i="15" s="1"/>
  <c r="D64" i="15"/>
  <c r="E64" i="15" s="1"/>
  <c r="G64" i="15" s="1"/>
  <c r="D63" i="15"/>
  <c r="E63" i="15" s="1"/>
  <c r="F63" i="15" s="1"/>
  <c r="D62" i="15"/>
  <c r="E62" i="15" s="1"/>
  <c r="D61" i="15"/>
  <c r="E61" i="15" s="1"/>
  <c r="G61" i="15" s="1"/>
  <c r="D60" i="15"/>
  <c r="E60" i="15" s="1"/>
  <c r="D59" i="15"/>
  <c r="E59" i="15" s="1"/>
  <c r="D58" i="15"/>
  <c r="E58" i="15" s="1"/>
  <c r="D57" i="15"/>
  <c r="E57" i="15" s="1"/>
  <c r="D56" i="15"/>
  <c r="E56" i="15" s="1"/>
  <c r="G56" i="15" s="1"/>
  <c r="D55" i="15"/>
  <c r="E55" i="15" s="1"/>
  <c r="D54" i="15"/>
  <c r="E54" i="15" s="1"/>
  <c r="F54" i="15" s="1"/>
  <c r="D53" i="15"/>
  <c r="E53" i="15" s="1"/>
  <c r="G53" i="15" s="1"/>
  <c r="D52" i="15"/>
  <c r="E52" i="15" s="1"/>
  <c r="D51" i="15"/>
  <c r="E51" i="15" s="1"/>
  <c r="D50" i="15"/>
  <c r="E50" i="15" s="1"/>
  <c r="D49" i="15"/>
  <c r="E49" i="15" s="1"/>
  <c r="D48" i="15"/>
  <c r="E48" i="15" s="1"/>
  <c r="G48" i="15" s="1"/>
  <c r="D47" i="15"/>
  <c r="E47" i="15" s="1"/>
  <c r="F47" i="15" s="1"/>
  <c r="D46" i="15"/>
  <c r="E46" i="15" s="1"/>
  <c r="D45" i="15"/>
  <c r="E45" i="15" s="1"/>
  <c r="G45" i="15" s="1"/>
  <c r="D44" i="15"/>
  <c r="E44" i="15" s="1"/>
  <c r="D43" i="15"/>
  <c r="E43" i="15" s="1"/>
  <c r="D42" i="15"/>
  <c r="E42" i="15" s="1"/>
  <c r="D41" i="15"/>
  <c r="E41" i="15" s="1"/>
  <c r="D40" i="15"/>
  <c r="E40" i="15" s="1"/>
  <c r="G40" i="15" s="1"/>
  <c r="D39" i="15"/>
  <c r="E39" i="15" s="1"/>
  <c r="D38" i="15"/>
  <c r="E38" i="15" s="1"/>
  <c r="F38" i="15" s="1"/>
  <c r="D37" i="15"/>
  <c r="E37" i="15" s="1"/>
  <c r="G37" i="15" s="1"/>
  <c r="D36" i="15"/>
  <c r="E36" i="15" s="1"/>
  <c r="D35" i="15"/>
  <c r="E35" i="15" s="1"/>
  <c r="D34" i="15"/>
  <c r="E34" i="15" s="1"/>
  <c r="D33" i="15"/>
  <c r="E33" i="15" s="1"/>
  <c r="D32" i="15"/>
  <c r="E32" i="15" s="1"/>
  <c r="G32" i="15" s="1"/>
  <c r="D31" i="15"/>
  <c r="E31" i="15" s="1"/>
  <c r="F31" i="15" s="1"/>
  <c r="D30" i="15"/>
  <c r="E30" i="15" s="1"/>
  <c r="D29" i="15"/>
  <c r="E29" i="15" s="1"/>
  <c r="G29" i="15" s="1"/>
  <c r="D28" i="15"/>
  <c r="E28" i="15" s="1"/>
  <c r="D27" i="15"/>
  <c r="E27" i="15" s="1"/>
  <c r="D26" i="15"/>
  <c r="E26" i="15" s="1"/>
  <c r="F26" i="15" s="1"/>
  <c r="D25" i="15"/>
  <c r="E25" i="15" s="1"/>
  <c r="D24" i="15"/>
  <c r="E24" i="15" s="1"/>
  <c r="G24" i="15" s="1"/>
  <c r="D23" i="15"/>
  <c r="E23" i="15" s="1"/>
  <c r="F23" i="15" s="1"/>
  <c r="D22" i="15"/>
  <c r="E22" i="15" s="1"/>
  <c r="D21" i="15"/>
  <c r="E21" i="15" s="1"/>
  <c r="G21" i="15" s="1"/>
  <c r="D20" i="15"/>
  <c r="E20" i="15" s="1"/>
  <c r="D19" i="15"/>
  <c r="E19" i="15" s="1"/>
  <c r="D18" i="15"/>
  <c r="E18" i="15" s="1"/>
  <c r="D17" i="15"/>
  <c r="E17" i="15" s="1"/>
  <c r="D16" i="15"/>
  <c r="E16" i="15" s="1"/>
  <c r="G16" i="15" s="1"/>
  <c r="D15" i="15"/>
  <c r="E15" i="15" s="1"/>
  <c r="F15" i="15" s="1"/>
  <c r="D14" i="15"/>
  <c r="E14" i="15" s="1"/>
  <c r="D13" i="15"/>
  <c r="E13" i="15" s="1"/>
  <c r="D12" i="15"/>
  <c r="E12" i="15" s="1"/>
  <c r="G12" i="15" s="1"/>
  <c r="D11" i="15"/>
  <c r="E11" i="15" s="1"/>
  <c r="D10" i="15"/>
  <c r="E10" i="15" s="1"/>
  <c r="D9" i="15"/>
  <c r="E9" i="15" s="1"/>
  <c r="D8" i="15"/>
  <c r="E8" i="15" s="1"/>
  <c r="D7" i="15"/>
  <c r="E7" i="15" s="1"/>
  <c r="D6" i="15"/>
  <c r="E6" i="15" s="1"/>
  <c r="D5" i="15"/>
  <c r="E5" i="15" s="1"/>
  <c r="D4" i="15"/>
  <c r="E4" i="15" s="1"/>
  <c r="D3" i="15"/>
  <c r="E3" i="15" s="1"/>
  <c r="D2" i="15"/>
  <c r="E2" i="15" s="1"/>
  <c r="C366" i="18"/>
  <c r="C370" i="18"/>
  <c r="C374" i="18"/>
  <c r="C378" i="18"/>
  <c r="C382" i="18"/>
  <c r="C386" i="18"/>
  <c r="C390" i="18"/>
  <c r="C394" i="18"/>
  <c r="H2" i="18"/>
  <c r="H6" i="18"/>
  <c r="C372" i="18"/>
  <c r="C380" i="18"/>
  <c r="C388" i="18"/>
  <c r="C392" i="18"/>
  <c r="H8" i="18"/>
  <c r="C373" i="18"/>
  <c r="C385" i="18"/>
  <c r="C393" i="18"/>
  <c r="H5" i="18"/>
  <c r="C367" i="18"/>
  <c r="C371" i="18"/>
  <c r="C375" i="18"/>
  <c r="C379" i="18"/>
  <c r="C383" i="18"/>
  <c r="C387" i="18"/>
  <c r="C391" i="18"/>
  <c r="C395" i="18"/>
  <c r="H3" i="18"/>
  <c r="H7" i="18"/>
  <c r="C368" i="18"/>
  <c r="C376" i="18"/>
  <c r="C384" i="18"/>
  <c r="C396" i="18"/>
  <c r="H4" i="18"/>
  <c r="C377" i="18"/>
  <c r="C381" i="18"/>
  <c r="C389" i="18"/>
  <c r="C397" i="18"/>
  <c r="C369" i="18"/>
  <c r="G199" i="15" l="1"/>
  <c r="G17" i="15"/>
  <c r="F17" i="15"/>
  <c r="G263" i="15"/>
  <c r="G327" i="15"/>
  <c r="G135" i="15"/>
  <c r="F10" i="15"/>
  <c r="G10" i="15"/>
  <c r="F18" i="15"/>
  <c r="G18" i="15"/>
  <c r="F7" i="15"/>
  <c r="G7" i="15"/>
  <c r="G4" i="15"/>
  <c r="F4" i="15"/>
  <c r="G8" i="15"/>
  <c r="F8" i="15"/>
  <c r="G20" i="15"/>
  <c r="F20" i="15"/>
  <c r="G28" i="15"/>
  <c r="F28" i="15"/>
  <c r="G36" i="15"/>
  <c r="F36" i="15"/>
  <c r="G44" i="15"/>
  <c r="F44" i="15"/>
  <c r="G52" i="15"/>
  <c r="F52" i="15"/>
  <c r="G60" i="15"/>
  <c r="F60" i="15"/>
  <c r="G68" i="15"/>
  <c r="F68" i="15"/>
  <c r="G76" i="15"/>
  <c r="F76" i="15"/>
  <c r="G84" i="15"/>
  <c r="F84" i="15"/>
  <c r="G92" i="15"/>
  <c r="F92" i="15"/>
  <c r="G100" i="15"/>
  <c r="F100" i="15"/>
  <c r="G108" i="15"/>
  <c r="F108" i="15"/>
  <c r="G116" i="15"/>
  <c r="F116" i="15"/>
  <c r="G124" i="15"/>
  <c r="F124" i="15"/>
  <c r="G132" i="15"/>
  <c r="F132" i="15"/>
  <c r="G140" i="15"/>
  <c r="F140" i="15"/>
  <c r="G148" i="15"/>
  <c r="F148" i="15"/>
  <c r="G156" i="15"/>
  <c r="F156" i="15"/>
  <c r="G164" i="15"/>
  <c r="F164" i="15"/>
  <c r="G172" i="15"/>
  <c r="F172" i="15"/>
  <c r="G180" i="15"/>
  <c r="F180" i="15"/>
  <c r="G188" i="15"/>
  <c r="F188" i="15"/>
  <c r="G196" i="15"/>
  <c r="F196" i="15"/>
  <c r="G204" i="15"/>
  <c r="F204" i="15"/>
  <c r="G212" i="15"/>
  <c r="F212" i="15"/>
  <c r="G220" i="15"/>
  <c r="F220" i="15"/>
  <c r="G228" i="15"/>
  <c r="F228" i="15"/>
  <c r="G236" i="15"/>
  <c r="F236" i="15"/>
  <c r="G244" i="15"/>
  <c r="F244" i="15"/>
  <c r="G252" i="15"/>
  <c r="F252" i="15"/>
  <c r="G260" i="15"/>
  <c r="F260" i="15"/>
  <c r="G268" i="15"/>
  <c r="F268" i="15"/>
  <c r="G276" i="15"/>
  <c r="F276" i="15"/>
  <c r="G284" i="15"/>
  <c r="F284" i="15"/>
  <c r="G292" i="15"/>
  <c r="F292" i="15"/>
  <c r="G300" i="15"/>
  <c r="F300" i="15"/>
  <c r="G308" i="15"/>
  <c r="F308" i="15"/>
  <c r="G316" i="15"/>
  <c r="F316" i="15"/>
  <c r="G324" i="15"/>
  <c r="F324" i="15"/>
  <c r="G332" i="15"/>
  <c r="F332" i="15"/>
  <c r="G340" i="15"/>
  <c r="F340" i="15"/>
  <c r="G348" i="15"/>
  <c r="F348" i="15"/>
  <c r="G356" i="15"/>
  <c r="F356" i="15"/>
  <c r="G364" i="15"/>
  <c r="F364" i="15"/>
  <c r="K8" i="15"/>
  <c r="F2" i="15"/>
  <c r="G2" i="15"/>
  <c r="G6" i="15"/>
  <c r="F6" i="15"/>
  <c r="G14" i="15"/>
  <c r="F14" i="15"/>
  <c r="F3" i="15"/>
  <c r="G3" i="15"/>
  <c r="G5" i="15"/>
  <c r="F5" i="15"/>
  <c r="G9" i="15"/>
  <c r="F9" i="15"/>
  <c r="G13" i="15"/>
  <c r="F13" i="15"/>
  <c r="G25" i="15"/>
  <c r="F25" i="15"/>
  <c r="G33" i="15"/>
  <c r="F33" i="15"/>
  <c r="G41" i="15"/>
  <c r="F41" i="15"/>
  <c r="G49" i="15"/>
  <c r="F49" i="15"/>
  <c r="G57" i="15"/>
  <c r="F57" i="15"/>
  <c r="G65" i="15"/>
  <c r="F65" i="15"/>
  <c r="G73" i="15"/>
  <c r="F73" i="15"/>
  <c r="G81" i="15"/>
  <c r="F81" i="15"/>
  <c r="G89" i="15"/>
  <c r="F89" i="15"/>
  <c r="G97" i="15"/>
  <c r="F97" i="15"/>
  <c r="G105" i="15"/>
  <c r="F105" i="15"/>
  <c r="G113" i="15"/>
  <c r="F113" i="15"/>
  <c r="G121" i="15"/>
  <c r="F121" i="15"/>
  <c r="G129" i="15"/>
  <c r="F129" i="15"/>
  <c r="G137" i="15"/>
  <c r="F137" i="15"/>
  <c r="G145" i="15"/>
  <c r="F145" i="15"/>
  <c r="G153" i="15"/>
  <c r="F153" i="15"/>
  <c r="G161" i="15"/>
  <c r="F161" i="15"/>
  <c r="G169" i="15"/>
  <c r="F169" i="15"/>
  <c r="G177" i="15"/>
  <c r="F177" i="15"/>
  <c r="G185" i="15"/>
  <c r="F185" i="15"/>
  <c r="G193" i="15"/>
  <c r="F193" i="15"/>
  <c r="G201" i="15"/>
  <c r="F201" i="15"/>
  <c r="G209" i="15"/>
  <c r="F209" i="15"/>
  <c r="G217" i="15"/>
  <c r="F217" i="15"/>
  <c r="G225" i="15"/>
  <c r="F225" i="15"/>
  <c r="G233" i="15"/>
  <c r="F233" i="15"/>
  <c r="G241" i="15"/>
  <c r="F241" i="15"/>
  <c r="G249" i="15"/>
  <c r="F249" i="15"/>
  <c r="G257" i="15"/>
  <c r="F257" i="15"/>
  <c r="G265" i="15"/>
  <c r="F265" i="15"/>
  <c r="G273" i="15"/>
  <c r="F273" i="15"/>
  <c r="G281" i="15"/>
  <c r="F281" i="15"/>
  <c r="G289" i="15"/>
  <c r="F289" i="15"/>
  <c r="G297" i="15"/>
  <c r="F297" i="15"/>
  <c r="G305" i="15"/>
  <c r="F305" i="15"/>
  <c r="G313" i="15"/>
  <c r="F313" i="15"/>
  <c r="G321" i="15"/>
  <c r="F321" i="15"/>
  <c r="G329" i="15"/>
  <c r="F329" i="15"/>
  <c r="G337" i="15"/>
  <c r="F337" i="15"/>
  <c r="G345" i="15"/>
  <c r="F345" i="15"/>
  <c r="G353" i="15"/>
  <c r="F353" i="15"/>
  <c r="G361" i="15"/>
  <c r="F361" i="15"/>
  <c r="G22" i="15"/>
  <c r="F22" i="15"/>
  <c r="G30" i="15"/>
  <c r="F30" i="15"/>
  <c r="G46" i="15"/>
  <c r="F46" i="15"/>
  <c r="G62" i="15"/>
  <c r="F62" i="15"/>
  <c r="G78" i="15"/>
  <c r="F78" i="15"/>
  <c r="G94" i="15"/>
  <c r="F94" i="15"/>
  <c r="G102" i="15"/>
  <c r="F102" i="15"/>
  <c r="G110" i="15"/>
  <c r="F110" i="15"/>
  <c r="G118" i="15"/>
  <c r="F118" i="15"/>
  <c r="G126" i="15"/>
  <c r="F126" i="15"/>
  <c r="G134" i="15"/>
  <c r="F134" i="15"/>
  <c r="G142" i="15"/>
  <c r="F142" i="15"/>
  <c r="G150" i="15"/>
  <c r="F150" i="15"/>
  <c r="G178" i="15"/>
  <c r="F178" i="15"/>
  <c r="G202" i="15"/>
  <c r="F202" i="15"/>
  <c r="G290" i="15"/>
  <c r="F290" i="15"/>
  <c r="G165" i="15"/>
  <c r="F165" i="15"/>
  <c r="G181" i="15"/>
  <c r="F181" i="15"/>
  <c r="G197" i="15"/>
  <c r="F197" i="15"/>
  <c r="G213" i="15"/>
  <c r="F213" i="15"/>
  <c r="G229" i="15"/>
  <c r="F229" i="15"/>
  <c r="G245" i="15"/>
  <c r="F245" i="15"/>
  <c r="G261" i="15"/>
  <c r="F261" i="15"/>
  <c r="G277" i="15"/>
  <c r="F277" i="15"/>
  <c r="G293" i="15"/>
  <c r="F293" i="15"/>
  <c r="G309" i="15"/>
  <c r="F309" i="15"/>
  <c r="G325" i="15"/>
  <c r="F325" i="15"/>
  <c r="G341" i="15"/>
  <c r="F341" i="15"/>
  <c r="G365" i="15"/>
  <c r="F365" i="15"/>
  <c r="F166" i="15"/>
  <c r="F214" i="15"/>
  <c r="F262" i="15"/>
  <c r="F39" i="15"/>
  <c r="G39" i="15"/>
  <c r="F55" i="15"/>
  <c r="G55" i="15"/>
  <c r="F71" i="15"/>
  <c r="G71" i="15"/>
  <c r="F87" i="15"/>
  <c r="G87" i="15"/>
  <c r="G91" i="15"/>
  <c r="F91" i="15"/>
  <c r="G99" i="15"/>
  <c r="F99" i="15"/>
  <c r="F107" i="15"/>
  <c r="G107" i="15"/>
  <c r="G115" i="15"/>
  <c r="F115" i="15"/>
  <c r="G127" i="15"/>
  <c r="F127" i="15"/>
  <c r="G143" i="15"/>
  <c r="F143" i="15"/>
  <c r="G151" i="15"/>
  <c r="F151" i="15"/>
  <c r="G207" i="15"/>
  <c r="F207" i="15"/>
  <c r="G215" i="15"/>
  <c r="F215" i="15"/>
  <c r="G271" i="15"/>
  <c r="F271" i="15"/>
  <c r="G279" i="15"/>
  <c r="F279" i="15"/>
  <c r="G287" i="15"/>
  <c r="F287" i="15"/>
  <c r="G303" i="15"/>
  <c r="F303" i="15"/>
  <c r="G311" i="15"/>
  <c r="F311" i="15"/>
  <c r="G160" i="15"/>
  <c r="F160" i="15"/>
  <c r="G176" i="15"/>
  <c r="F176" i="15"/>
  <c r="G184" i="15"/>
  <c r="F184" i="15"/>
  <c r="G192" i="15"/>
  <c r="F192" i="15"/>
  <c r="G200" i="15"/>
  <c r="F200" i="15"/>
  <c r="G208" i="15"/>
  <c r="F208" i="15"/>
  <c r="G216" i="15"/>
  <c r="F216" i="15"/>
  <c r="G224" i="15"/>
  <c r="F224" i="15"/>
  <c r="G232" i="15"/>
  <c r="F232" i="15"/>
  <c r="G248" i="15"/>
  <c r="F248" i="15"/>
  <c r="G256" i="15"/>
  <c r="F256" i="15"/>
  <c r="G264" i="15"/>
  <c r="F264" i="15"/>
  <c r="G272" i="15"/>
  <c r="F272" i="15"/>
  <c r="G280" i="15"/>
  <c r="F280" i="15"/>
  <c r="G288" i="15"/>
  <c r="F288" i="15"/>
  <c r="G296" i="15"/>
  <c r="F296" i="15"/>
  <c r="G304" i="15"/>
  <c r="F304" i="15"/>
  <c r="G312" i="15"/>
  <c r="F312" i="15"/>
  <c r="G320" i="15"/>
  <c r="F320" i="15"/>
  <c r="G328" i="15"/>
  <c r="F328" i="15"/>
  <c r="G336" i="15"/>
  <c r="F336" i="15"/>
  <c r="G344" i="15"/>
  <c r="F344" i="15"/>
  <c r="G352" i="15"/>
  <c r="F352" i="15"/>
  <c r="G360" i="15"/>
  <c r="F360" i="15"/>
  <c r="F12" i="15"/>
  <c r="F157" i="15"/>
  <c r="F171" i="15"/>
  <c r="F187" i="15"/>
  <c r="F203" i="15"/>
  <c r="F219" i="15"/>
  <c r="F235" i="15"/>
  <c r="F251" i="15"/>
  <c r="F267" i="15"/>
  <c r="F283" i="15"/>
  <c r="F299" i="15"/>
  <c r="F315" i="15"/>
  <c r="F331" i="15"/>
  <c r="F347" i="15"/>
  <c r="F363" i="15"/>
  <c r="G15" i="15"/>
  <c r="G31" i="15"/>
  <c r="G63" i="15"/>
  <c r="G95" i="15"/>
  <c r="G155" i="15"/>
  <c r="F21" i="15"/>
  <c r="F29" i="15"/>
  <c r="F37" i="15"/>
  <c r="F45" i="15"/>
  <c r="F53" i="15"/>
  <c r="F61" i="15"/>
  <c r="F69" i="15"/>
  <c r="F77" i="15"/>
  <c r="F85" i="15"/>
  <c r="F93" i="15"/>
  <c r="F101" i="15"/>
  <c r="F109" i="15"/>
  <c r="F117" i="15"/>
  <c r="F125" i="15"/>
  <c r="F133" i="15"/>
  <c r="F141" i="15"/>
  <c r="F149" i="15"/>
  <c r="F158" i="15"/>
  <c r="F174" i="15"/>
  <c r="F190" i="15"/>
  <c r="F206" i="15"/>
  <c r="F222" i="15"/>
  <c r="F238" i="15"/>
  <c r="F254" i="15"/>
  <c r="F270" i="15"/>
  <c r="F286" i="15"/>
  <c r="F302" i="15"/>
  <c r="F318" i="15"/>
  <c r="F334" i="15"/>
  <c r="F350" i="15"/>
  <c r="G38" i="15"/>
  <c r="G70" i="15"/>
  <c r="G103" i="15"/>
  <c r="G167" i="15"/>
  <c r="G231" i="15"/>
  <c r="G295" i="15"/>
  <c r="G359" i="15"/>
  <c r="G34" i="15"/>
  <c r="F34" i="15"/>
  <c r="G42" i="15"/>
  <c r="F42" i="15"/>
  <c r="G50" i="15"/>
  <c r="F50" i="15"/>
  <c r="G58" i="15"/>
  <c r="F58" i="15"/>
  <c r="G66" i="15"/>
  <c r="F66" i="15"/>
  <c r="G74" i="15"/>
  <c r="F74" i="15"/>
  <c r="G82" i="15"/>
  <c r="F82" i="15"/>
  <c r="G90" i="15"/>
  <c r="F90" i="15"/>
  <c r="G98" i="15"/>
  <c r="F98" i="15"/>
  <c r="G106" i="15"/>
  <c r="F106" i="15"/>
  <c r="G114" i="15"/>
  <c r="F114" i="15"/>
  <c r="G122" i="15"/>
  <c r="F122" i="15"/>
  <c r="G130" i="15"/>
  <c r="F130" i="15"/>
  <c r="G138" i="15"/>
  <c r="F138" i="15"/>
  <c r="G146" i="15"/>
  <c r="F146" i="15"/>
  <c r="G154" i="15"/>
  <c r="F154" i="15"/>
  <c r="G162" i="15"/>
  <c r="F162" i="15"/>
  <c r="G170" i="15"/>
  <c r="F170" i="15"/>
  <c r="G186" i="15"/>
  <c r="F186" i="15"/>
  <c r="G194" i="15"/>
  <c r="F194" i="15"/>
  <c r="G210" i="15"/>
  <c r="F210" i="15"/>
  <c r="G218" i="15"/>
  <c r="F218" i="15"/>
  <c r="G226" i="15"/>
  <c r="F226" i="15"/>
  <c r="G234" i="15"/>
  <c r="F234" i="15"/>
  <c r="G242" i="15"/>
  <c r="F242" i="15"/>
  <c r="G250" i="15"/>
  <c r="F250" i="15"/>
  <c r="G258" i="15"/>
  <c r="F258" i="15"/>
  <c r="G266" i="15"/>
  <c r="F266" i="15"/>
  <c r="G274" i="15"/>
  <c r="F274" i="15"/>
  <c r="G282" i="15"/>
  <c r="F282" i="15"/>
  <c r="G298" i="15"/>
  <c r="F298" i="15"/>
  <c r="G306" i="15"/>
  <c r="F306" i="15"/>
  <c r="G314" i="15"/>
  <c r="F314" i="15"/>
  <c r="G322" i="15"/>
  <c r="F322" i="15"/>
  <c r="G330" i="15"/>
  <c r="F330" i="15"/>
  <c r="G338" i="15"/>
  <c r="F338" i="15"/>
  <c r="G346" i="15"/>
  <c r="F346" i="15"/>
  <c r="G354" i="15"/>
  <c r="F354" i="15"/>
  <c r="G362" i="15"/>
  <c r="F362" i="15"/>
  <c r="G173" i="15"/>
  <c r="F173" i="15"/>
  <c r="G189" i="15"/>
  <c r="F189" i="15"/>
  <c r="G205" i="15"/>
  <c r="F205" i="15"/>
  <c r="G221" i="15"/>
  <c r="F221" i="15"/>
  <c r="G237" i="15"/>
  <c r="F237" i="15"/>
  <c r="G253" i="15"/>
  <c r="F253" i="15"/>
  <c r="G269" i="15"/>
  <c r="F269" i="15"/>
  <c r="G285" i="15"/>
  <c r="F285" i="15"/>
  <c r="G301" i="15"/>
  <c r="F301" i="15"/>
  <c r="G317" i="15"/>
  <c r="F317" i="15"/>
  <c r="G333" i="15"/>
  <c r="F333" i="15"/>
  <c r="G349" i="15"/>
  <c r="F349" i="15"/>
  <c r="G357" i="15"/>
  <c r="F357" i="15"/>
  <c r="F182" i="15"/>
  <c r="F198" i="15"/>
  <c r="F230" i="15"/>
  <c r="F246" i="15"/>
  <c r="F278" i="15"/>
  <c r="F294" i="15"/>
  <c r="F310" i="15"/>
  <c r="F326" i="15"/>
  <c r="F342" i="15"/>
  <c r="F358" i="15"/>
  <c r="G26" i="15"/>
  <c r="G54" i="15"/>
  <c r="G86" i="15"/>
  <c r="F11" i="15"/>
  <c r="G11" i="15"/>
  <c r="F19" i="15"/>
  <c r="G19" i="15"/>
  <c r="F27" i="15"/>
  <c r="G27" i="15"/>
  <c r="G35" i="15"/>
  <c r="F35" i="15"/>
  <c r="G43" i="15"/>
  <c r="F43" i="15"/>
  <c r="G51" i="15"/>
  <c r="F51" i="15"/>
  <c r="G59" i="15"/>
  <c r="F59" i="15"/>
  <c r="G67" i="15"/>
  <c r="F67" i="15"/>
  <c r="G75" i="15"/>
  <c r="F75" i="15"/>
  <c r="G83" i="15"/>
  <c r="F83" i="15"/>
  <c r="G111" i="15"/>
  <c r="F111" i="15"/>
  <c r="G119" i="15"/>
  <c r="F119" i="15"/>
  <c r="G131" i="15"/>
  <c r="F131" i="15"/>
  <c r="F139" i="15"/>
  <c r="G139" i="15"/>
  <c r="G147" i="15"/>
  <c r="F147" i="15"/>
  <c r="G159" i="15"/>
  <c r="F159" i="15"/>
  <c r="G175" i="15"/>
  <c r="F175" i="15"/>
  <c r="G183" i="15"/>
  <c r="F183" i="15"/>
  <c r="G191" i="15"/>
  <c r="F191" i="15"/>
  <c r="G223" i="15"/>
  <c r="F223" i="15"/>
  <c r="G239" i="15"/>
  <c r="F239" i="15"/>
  <c r="G247" i="15"/>
  <c r="F247" i="15"/>
  <c r="G255" i="15"/>
  <c r="F255" i="15"/>
  <c r="G319" i="15"/>
  <c r="F319" i="15"/>
  <c r="G335" i="15"/>
  <c r="F335" i="15"/>
  <c r="G343" i="15"/>
  <c r="F343" i="15"/>
  <c r="G351" i="15"/>
  <c r="F351" i="15"/>
  <c r="G168" i="15"/>
  <c r="F168" i="15"/>
  <c r="G240" i="15"/>
  <c r="F240" i="15"/>
  <c r="F16" i="15"/>
  <c r="F24" i="15"/>
  <c r="F32" i="15"/>
  <c r="F40" i="15"/>
  <c r="F48" i="15"/>
  <c r="F56" i="15"/>
  <c r="F64" i="15"/>
  <c r="F72" i="15"/>
  <c r="F80" i="15"/>
  <c r="F88" i="15"/>
  <c r="F96" i="15"/>
  <c r="F104" i="15"/>
  <c r="F112" i="15"/>
  <c r="F120" i="15"/>
  <c r="F128" i="15"/>
  <c r="F136" i="15"/>
  <c r="F144" i="15"/>
  <c r="F152" i="15"/>
  <c r="F163" i="15"/>
  <c r="F179" i="15"/>
  <c r="F195" i="15"/>
  <c r="F211" i="15"/>
  <c r="F227" i="15"/>
  <c r="F243" i="15"/>
  <c r="F259" i="15"/>
  <c r="F275" i="15"/>
  <c r="F291" i="15"/>
  <c r="F307" i="15"/>
  <c r="F323" i="15"/>
  <c r="F339" i="15"/>
  <c r="F355" i="15"/>
  <c r="G23" i="15"/>
  <c r="G47" i="15"/>
  <c r="G79" i="15"/>
  <c r="G123" i="15"/>
  <c r="D369" i="18"/>
  <c r="D389" i="18"/>
  <c r="D377" i="18"/>
  <c r="E384" i="18"/>
  <c r="D368" i="18"/>
  <c r="D391" i="18"/>
  <c r="D383" i="18"/>
  <c r="D375" i="18"/>
  <c r="D367" i="18"/>
  <c r="D385" i="18"/>
  <c r="E392" i="18"/>
  <c r="D380" i="18"/>
  <c r="D394" i="18"/>
  <c r="D386" i="18"/>
  <c r="D378" i="18"/>
  <c r="D370" i="18"/>
  <c r="E396" i="18"/>
  <c r="D393" i="18"/>
  <c r="E382" i="18"/>
  <c r="E369" i="18"/>
  <c r="E389" i="18"/>
  <c r="E377" i="18"/>
  <c r="D384" i="18"/>
  <c r="E368" i="18"/>
  <c r="E391" i="18"/>
  <c r="E383" i="18"/>
  <c r="E375" i="18"/>
  <c r="E367" i="18"/>
  <c r="E385" i="18"/>
  <c r="D392" i="18"/>
  <c r="E380" i="18"/>
  <c r="E394" i="18"/>
  <c r="E386" i="18"/>
  <c r="E378" i="18"/>
  <c r="E370" i="18"/>
  <c r="E381" i="18"/>
  <c r="E376" i="18"/>
  <c r="E371" i="18"/>
  <c r="E373" i="18"/>
  <c r="E372" i="18"/>
  <c r="E366" i="18"/>
  <c r="D397" i="18"/>
  <c r="D381" i="18"/>
  <c r="D396" i="18"/>
  <c r="D376" i="18"/>
  <c r="D395" i="18"/>
  <c r="D387" i="18"/>
  <c r="D379" i="18"/>
  <c r="D371" i="18"/>
  <c r="E393" i="18"/>
  <c r="D373" i="18"/>
  <c r="D388" i="18"/>
  <c r="D372" i="18"/>
  <c r="D390" i="18"/>
  <c r="D382" i="18"/>
  <c r="D374" i="18"/>
  <c r="D366" i="18"/>
  <c r="E397" i="18"/>
  <c r="E395" i="18"/>
  <c r="E387" i="18"/>
  <c r="E379" i="18"/>
  <c r="E388" i="18"/>
  <c r="E390" i="18"/>
  <c r="E374" i="18"/>
  <c r="K9" i="15" l="1"/>
  <c r="K10" i="15"/>
  <c r="K11" i="15" s="1"/>
  <c r="D49" i="2" l="1"/>
  <c r="E49" i="2" s="1"/>
  <c r="F49" i="2" s="1"/>
  <c r="D48" i="2"/>
  <c r="E48" i="2" s="1"/>
  <c r="F48" i="2" s="1"/>
  <c r="D47" i="2"/>
  <c r="E47" i="2" s="1"/>
  <c r="F47" i="2" s="1"/>
  <c r="D46" i="2"/>
  <c r="E46" i="2" s="1"/>
  <c r="F46" i="2" s="1"/>
  <c r="D45" i="2"/>
  <c r="E45" i="2" s="1"/>
  <c r="F45" i="2" s="1"/>
  <c r="D34" i="2"/>
  <c r="E34" i="2" s="1"/>
  <c r="F34" i="2" s="1"/>
  <c r="K219" i="1"/>
  <c r="K98" i="1"/>
  <c r="D35" i="2"/>
  <c r="E35" i="2" s="1"/>
  <c r="F35" i="2" s="1"/>
  <c r="D44" i="2"/>
  <c r="E44" i="2" s="1"/>
  <c r="F44" i="2" s="1"/>
  <c r="D43" i="2"/>
  <c r="E43" i="2" s="1"/>
  <c r="F43" i="2" s="1"/>
  <c r="D42" i="2"/>
  <c r="E42" i="2" s="1"/>
  <c r="F42" i="2" s="1"/>
  <c r="D41" i="2"/>
  <c r="E41" i="2" s="1"/>
  <c r="F41" i="2" s="1"/>
  <c r="D40" i="2"/>
  <c r="E40" i="2" s="1"/>
  <c r="F40" i="2" s="1"/>
  <c r="D39" i="2"/>
  <c r="E39" i="2" s="1"/>
  <c r="F39" i="2" s="1"/>
  <c r="D38" i="2"/>
  <c r="E38" i="2" s="1"/>
  <c r="F38" i="2" s="1"/>
  <c r="D37" i="2"/>
  <c r="E37" i="2" s="1"/>
  <c r="F37" i="2" s="1"/>
  <c r="D36" i="2"/>
  <c r="E36" i="2" s="1"/>
  <c r="F36" i="2" s="1"/>
  <c r="D33" i="2"/>
  <c r="E33" i="2" s="1"/>
  <c r="F33" i="2" s="1"/>
  <c r="D32" i="2"/>
  <c r="E32" i="2" s="1"/>
  <c r="F32" i="2" s="1"/>
  <c r="D31" i="2"/>
  <c r="E31" i="2" s="1"/>
  <c r="F31" i="2" s="1"/>
  <c r="D30" i="2"/>
  <c r="E30" i="2" s="1"/>
  <c r="F30" i="2" s="1"/>
  <c r="D29" i="2"/>
  <c r="E29" i="2" s="1"/>
  <c r="F29" i="2" s="1"/>
  <c r="D28" i="2"/>
  <c r="E28" i="2" s="1"/>
  <c r="F28" i="2" s="1"/>
  <c r="D27" i="2"/>
  <c r="E27" i="2" s="1"/>
  <c r="F27" i="2" s="1"/>
  <c r="D26" i="2"/>
  <c r="E26" i="2" s="1"/>
  <c r="F26" i="2" s="1"/>
  <c r="D25" i="2"/>
  <c r="E25" i="2" s="1"/>
  <c r="F25" i="2" s="1"/>
  <c r="D24" i="2"/>
  <c r="E24" i="2" s="1"/>
  <c r="F24" i="2" s="1"/>
  <c r="D23" i="2"/>
  <c r="E23" i="2" s="1"/>
  <c r="F23" i="2" s="1"/>
  <c r="D22" i="2"/>
  <c r="E22" i="2" s="1"/>
  <c r="F22" i="2" s="1"/>
  <c r="D21" i="2"/>
  <c r="E21" i="2" s="1"/>
  <c r="F21" i="2" s="1"/>
  <c r="D20" i="2"/>
  <c r="E20" i="2" s="1"/>
  <c r="F20" i="2" s="1"/>
  <c r="D19" i="2"/>
  <c r="E19" i="2" s="1"/>
  <c r="F19" i="2" s="1"/>
  <c r="D18" i="2"/>
  <c r="E18" i="2" s="1"/>
  <c r="F18" i="2" s="1"/>
  <c r="D17" i="2"/>
  <c r="E17" i="2" s="1"/>
  <c r="F17" i="2" s="1"/>
  <c r="D16" i="2"/>
  <c r="E16" i="2" s="1"/>
  <c r="F16" i="2" s="1"/>
  <c r="D15" i="2"/>
  <c r="E15" i="2" s="1"/>
  <c r="F15" i="2" s="1"/>
  <c r="D14" i="2"/>
  <c r="E14" i="2" s="1"/>
  <c r="F14" i="2" s="1"/>
  <c r="D13" i="2"/>
  <c r="E13" i="2" s="1"/>
  <c r="F13" i="2" s="1"/>
  <c r="D12" i="2"/>
  <c r="E12" i="2" s="1"/>
  <c r="F12" i="2" s="1"/>
  <c r="D11" i="2"/>
  <c r="E11" i="2" s="1"/>
  <c r="F11" i="2" s="1"/>
  <c r="D10" i="2"/>
  <c r="E10" i="2" s="1"/>
  <c r="F10" i="2" s="1"/>
  <c r="D9" i="2"/>
  <c r="E9" i="2" s="1"/>
  <c r="F9" i="2" s="1"/>
  <c r="D8" i="2"/>
  <c r="E8" i="2" s="1"/>
  <c r="F8" i="2" s="1"/>
  <c r="D7" i="2"/>
  <c r="E7" i="2" s="1"/>
  <c r="F7" i="2" s="1"/>
  <c r="D6" i="2"/>
  <c r="E6" i="2" s="1"/>
  <c r="F6" i="2" s="1"/>
  <c r="D5" i="2"/>
  <c r="E5" i="2" s="1"/>
  <c r="F5" i="2" s="1"/>
  <c r="D4" i="2"/>
  <c r="E4" i="2" s="1"/>
  <c r="F4" i="2" s="1"/>
  <c r="D3" i="2"/>
  <c r="E3" i="2" s="1"/>
  <c r="F3" i="2" s="1"/>
  <c r="D2" i="2"/>
  <c r="E2" i="2" s="1"/>
  <c r="F2" i="2" s="1"/>
  <c r="I3" i="1" l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9" i="1"/>
  <c r="J249" i="1" s="1"/>
  <c r="I250" i="1"/>
  <c r="J250" i="1" s="1"/>
  <c r="I251" i="1"/>
  <c r="J251" i="1" s="1"/>
  <c r="I252" i="1"/>
  <c r="J252" i="1" s="1"/>
  <c r="I253" i="1"/>
  <c r="J253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90" i="1"/>
  <c r="J290" i="1" s="1"/>
  <c r="I291" i="1"/>
  <c r="J291" i="1" s="1"/>
  <c r="I292" i="1"/>
  <c r="J292" i="1" s="1"/>
  <c r="I293" i="1"/>
  <c r="J293" i="1" s="1"/>
  <c r="I294" i="1"/>
  <c r="J294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404" i="1"/>
  <c r="J404" i="1" s="1"/>
  <c r="I405" i="1"/>
  <c r="J405" i="1" s="1"/>
  <c r="I406" i="1"/>
  <c r="J406" i="1" s="1"/>
  <c r="I407" i="1"/>
  <c r="J407" i="1" s="1"/>
  <c r="I408" i="1"/>
  <c r="J408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48" i="1"/>
  <c r="J548" i="1" s="1"/>
  <c r="I549" i="1"/>
  <c r="J549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98" i="1"/>
  <c r="J598" i="1" s="1"/>
  <c r="I599" i="1"/>
  <c r="J599" i="1" s="1"/>
  <c r="I600" i="1"/>
  <c r="J600" i="1" s="1"/>
  <c r="I601" i="1"/>
  <c r="J601" i="1" s="1"/>
  <c r="I602" i="1"/>
  <c r="J602" i="1" s="1"/>
  <c r="I603" i="1"/>
  <c r="J603" i="1" s="1"/>
  <c r="I604" i="1"/>
  <c r="J604" i="1" s="1"/>
  <c r="I621" i="1"/>
  <c r="J621" i="1" s="1"/>
  <c r="I622" i="1"/>
  <c r="J622" i="1" s="1"/>
  <c r="I623" i="1"/>
  <c r="J623" i="1" s="1"/>
  <c r="I624" i="1"/>
  <c r="J624" i="1" s="1"/>
  <c r="I625" i="1"/>
  <c r="J625" i="1" s="1"/>
  <c r="I626" i="1"/>
  <c r="J626" i="1" s="1"/>
  <c r="I627" i="1"/>
  <c r="J627" i="1" s="1"/>
  <c r="I628" i="1"/>
  <c r="J628" i="1" s="1"/>
  <c r="I629" i="1"/>
  <c r="J629" i="1" s="1"/>
  <c r="I649" i="1"/>
  <c r="J649" i="1" s="1"/>
  <c r="I650" i="1"/>
  <c r="J650" i="1" s="1"/>
  <c r="I651" i="1"/>
  <c r="J651" i="1" s="1"/>
  <c r="I652" i="1"/>
  <c r="J652" i="1" s="1"/>
  <c r="I653" i="1"/>
  <c r="J653" i="1" s="1"/>
  <c r="I654" i="1"/>
  <c r="J654" i="1" s="1"/>
  <c r="I655" i="1"/>
  <c r="J655" i="1" s="1"/>
  <c r="I656" i="1"/>
  <c r="J656" i="1" s="1"/>
  <c r="I673" i="1"/>
  <c r="J673" i="1" s="1"/>
  <c r="I674" i="1"/>
  <c r="J674" i="1" s="1"/>
  <c r="I675" i="1"/>
  <c r="J675" i="1" s="1"/>
  <c r="I676" i="1"/>
  <c r="J676" i="1" s="1"/>
  <c r="I677" i="1"/>
  <c r="J677" i="1" s="1"/>
  <c r="I678" i="1"/>
  <c r="J678" i="1" s="1"/>
  <c r="I679" i="1"/>
  <c r="J679" i="1" s="1"/>
  <c r="I680" i="1"/>
  <c r="J680" i="1" s="1"/>
  <c r="I681" i="1"/>
  <c r="J681" i="1" s="1"/>
  <c r="I694" i="1"/>
  <c r="J694" i="1" s="1"/>
  <c r="I695" i="1"/>
  <c r="J695" i="1" s="1"/>
  <c r="I696" i="1"/>
  <c r="J696" i="1" s="1"/>
  <c r="I697" i="1"/>
  <c r="J697" i="1" s="1"/>
  <c r="I698" i="1"/>
  <c r="J698" i="1" s="1"/>
  <c r="I699" i="1"/>
  <c r="J699" i="1" s="1"/>
  <c r="I700" i="1"/>
  <c r="J700" i="1" s="1"/>
  <c r="I716" i="1"/>
  <c r="J716" i="1" s="1"/>
  <c r="I717" i="1"/>
  <c r="J717" i="1" s="1"/>
  <c r="I718" i="1"/>
  <c r="J718" i="1" s="1"/>
  <c r="I719" i="1"/>
  <c r="J719" i="1" s="1"/>
  <c r="I720" i="1"/>
  <c r="J720" i="1" s="1"/>
  <c r="I721" i="1"/>
  <c r="J721" i="1" s="1"/>
  <c r="I730" i="1"/>
  <c r="J730" i="1" s="1"/>
  <c r="I731" i="1"/>
  <c r="J731" i="1" s="1"/>
  <c r="I732" i="1"/>
  <c r="J732" i="1" s="1"/>
  <c r="I733" i="1"/>
  <c r="J733" i="1" s="1"/>
  <c r="I734" i="1"/>
  <c r="J734" i="1" s="1"/>
  <c r="I735" i="1"/>
  <c r="J735" i="1" s="1"/>
  <c r="I736" i="1"/>
  <c r="J736" i="1" s="1"/>
  <c r="I737" i="1"/>
  <c r="J737" i="1" s="1"/>
  <c r="I738" i="1"/>
  <c r="J738" i="1" s="1"/>
  <c r="I757" i="1"/>
  <c r="J757" i="1" s="1"/>
  <c r="I758" i="1"/>
  <c r="J758" i="1" s="1"/>
  <c r="I759" i="1"/>
  <c r="J759" i="1" s="1"/>
  <c r="I760" i="1"/>
  <c r="J760" i="1" s="1"/>
  <c r="I761" i="1"/>
  <c r="J761" i="1" s="1"/>
  <c r="I778" i="1"/>
  <c r="J778" i="1" s="1"/>
  <c r="I779" i="1"/>
  <c r="J779" i="1" s="1"/>
  <c r="I780" i="1"/>
  <c r="J780" i="1" s="1"/>
  <c r="I781" i="1"/>
  <c r="J781" i="1" s="1"/>
  <c r="I782" i="1"/>
  <c r="J782" i="1" s="1"/>
  <c r="I783" i="1"/>
  <c r="J783" i="1" s="1"/>
  <c r="I784" i="1"/>
  <c r="J784" i="1" s="1"/>
  <c r="I798" i="1"/>
  <c r="J798" i="1" s="1"/>
  <c r="I799" i="1"/>
  <c r="J799" i="1" s="1"/>
  <c r="I800" i="1"/>
  <c r="J800" i="1" s="1"/>
  <c r="I801" i="1"/>
  <c r="J801" i="1" s="1"/>
  <c r="I802" i="1"/>
  <c r="J802" i="1" s="1"/>
  <c r="I803" i="1"/>
  <c r="J803" i="1" s="1"/>
  <c r="I804" i="1"/>
  <c r="J804" i="1" s="1"/>
  <c r="I823" i="1"/>
  <c r="J823" i="1" s="1"/>
  <c r="I824" i="1"/>
  <c r="J824" i="1" s="1"/>
  <c r="I825" i="1"/>
  <c r="J825" i="1" s="1"/>
  <c r="I826" i="1"/>
  <c r="J826" i="1" s="1"/>
  <c r="I827" i="1"/>
  <c r="J827" i="1" s="1"/>
  <c r="I828" i="1"/>
  <c r="J828" i="1" s="1"/>
  <c r="I829" i="1"/>
  <c r="J829" i="1" s="1"/>
  <c r="I830" i="1"/>
  <c r="J830" i="1" s="1"/>
  <c r="I831" i="1"/>
  <c r="J831" i="1" s="1"/>
  <c r="I845" i="1"/>
  <c r="J845" i="1" s="1"/>
  <c r="I846" i="1"/>
  <c r="J846" i="1" s="1"/>
  <c r="I847" i="1"/>
  <c r="J847" i="1" s="1"/>
  <c r="I848" i="1"/>
  <c r="J848" i="1" s="1"/>
  <c r="I849" i="1"/>
  <c r="J849" i="1" s="1"/>
  <c r="I850" i="1"/>
  <c r="J850" i="1" s="1"/>
  <c r="I851" i="1"/>
  <c r="J851" i="1" s="1"/>
  <c r="I852" i="1"/>
  <c r="J852" i="1" s="1"/>
  <c r="I853" i="1"/>
  <c r="J853" i="1" s="1"/>
  <c r="I854" i="1"/>
  <c r="J854" i="1" s="1"/>
  <c r="I877" i="1"/>
  <c r="J877" i="1" s="1"/>
  <c r="I878" i="1"/>
  <c r="J878" i="1" s="1"/>
  <c r="I879" i="1"/>
  <c r="J879" i="1" s="1"/>
  <c r="I880" i="1"/>
  <c r="J880" i="1" s="1"/>
  <c r="I881" i="1"/>
  <c r="J881" i="1" s="1"/>
  <c r="I882" i="1"/>
  <c r="J882" i="1" s="1"/>
  <c r="I883" i="1"/>
  <c r="J883" i="1" s="1"/>
  <c r="I902" i="1"/>
  <c r="J902" i="1" s="1"/>
  <c r="I903" i="1"/>
  <c r="J903" i="1" s="1"/>
  <c r="I904" i="1"/>
  <c r="J904" i="1" s="1"/>
  <c r="I905" i="1"/>
  <c r="J905" i="1" s="1"/>
  <c r="I906" i="1"/>
  <c r="J906" i="1" s="1"/>
  <c r="I907" i="1"/>
  <c r="J907" i="1" s="1"/>
  <c r="I908" i="1"/>
  <c r="J908" i="1" s="1"/>
  <c r="I909" i="1"/>
  <c r="J909" i="1" s="1"/>
  <c r="I910" i="1"/>
  <c r="J910" i="1" s="1"/>
  <c r="I911" i="1"/>
  <c r="J911" i="1" s="1"/>
  <c r="I927" i="1"/>
  <c r="J927" i="1" s="1"/>
  <c r="I928" i="1"/>
  <c r="J928" i="1" s="1"/>
  <c r="I929" i="1"/>
  <c r="J929" i="1" s="1"/>
  <c r="I930" i="1"/>
  <c r="J930" i="1" s="1"/>
  <c r="I931" i="1"/>
  <c r="J931" i="1" s="1"/>
  <c r="I944" i="1"/>
  <c r="J944" i="1" s="1"/>
  <c r="I945" i="1"/>
  <c r="J945" i="1" s="1"/>
  <c r="I946" i="1"/>
  <c r="J946" i="1" s="1"/>
  <c r="I947" i="1"/>
  <c r="J947" i="1" s="1"/>
  <c r="I948" i="1"/>
  <c r="J948" i="1" s="1"/>
  <c r="I949" i="1"/>
  <c r="J949" i="1" s="1"/>
  <c r="I950" i="1"/>
  <c r="J950" i="1" s="1"/>
  <c r="I951" i="1"/>
  <c r="J951" i="1" s="1"/>
  <c r="I960" i="1"/>
  <c r="J960" i="1" s="1"/>
  <c r="I961" i="1"/>
  <c r="J961" i="1" s="1"/>
  <c r="I962" i="1"/>
  <c r="J962" i="1" s="1"/>
  <c r="I963" i="1"/>
  <c r="J963" i="1" s="1"/>
  <c r="I964" i="1"/>
  <c r="J964" i="1" s="1"/>
  <c r="I976" i="1"/>
  <c r="J976" i="1" s="1"/>
  <c r="I977" i="1"/>
  <c r="J977" i="1" s="1"/>
  <c r="I978" i="1"/>
  <c r="J978" i="1" s="1"/>
  <c r="I979" i="1"/>
  <c r="J979" i="1" s="1"/>
  <c r="I980" i="1"/>
  <c r="J980" i="1" s="1"/>
  <c r="I981" i="1"/>
  <c r="J981" i="1" s="1"/>
  <c r="I994" i="1"/>
  <c r="J994" i="1" s="1"/>
  <c r="I995" i="1"/>
  <c r="J995" i="1" s="1"/>
  <c r="I996" i="1"/>
  <c r="J996" i="1" s="1"/>
  <c r="I997" i="1"/>
  <c r="J997" i="1" s="1"/>
  <c r="I998" i="1"/>
  <c r="J998" i="1" s="1"/>
  <c r="I1009" i="1"/>
  <c r="J1009" i="1" s="1"/>
  <c r="I1010" i="1"/>
  <c r="J1010" i="1" s="1"/>
  <c r="I1011" i="1"/>
  <c r="J1011" i="1" s="1"/>
  <c r="I1012" i="1"/>
  <c r="J1012" i="1" s="1"/>
  <c r="I1013" i="1"/>
  <c r="J1013" i="1" s="1"/>
  <c r="I1014" i="1"/>
  <c r="J1014" i="1" s="1"/>
  <c r="I1015" i="1"/>
  <c r="J1015" i="1" s="1"/>
  <c r="I1016" i="1"/>
  <c r="J1016" i="1" s="1"/>
  <c r="I1017" i="1"/>
  <c r="J1017" i="1" s="1"/>
  <c r="I1018" i="1"/>
  <c r="J1018" i="1" s="1"/>
  <c r="I1041" i="1"/>
  <c r="J1041" i="1" s="1"/>
  <c r="I1042" i="1"/>
  <c r="J1042" i="1" s="1"/>
  <c r="I1043" i="1"/>
  <c r="J1043" i="1" s="1"/>
  <c r="I1044" i="1"/>
  <c r="J1044" i="1" s="1"/>
  <c r="I1045" i="1"/>
  <c r="J1045" i="1" s="1"/>
  <c r="I1046" i="1"/>
  <c r="J1046" i="1" s="1"/>
  <c r="I1047" i="1"/>
  <c r="J1047" i="1" s="1"/>
  <c r="I1048" i="1"/>
  <c r="J1048" i="1" s="1"/>
  <c r="I1049" i="1"/>
  <c r="J1049" i="1" s="1"/>
  <c r="I1063" i="1"/>
  <c r="J1063" i="1" s="1"/>
  <c r="I1064" i="1"/>
  <c r="J1064" i="1" s="1"/>
  <c r="I1065" i="1"/>
  <c r="J1065" i="1" s="1"/>
  <c r="I1066" i="1"/>
  <c r="J1066" i="1" s="1"/>
  <c r="I1067" i="1"/>
  <c r="J1067" i="1" s="1"/>
  <c r="I1086" i="1"/>
  <c r="J1086" i="1" s="1"/>
  <c r="I1087" i="1"/>
  <c r="J1087" i="1" s="1"/>
  <c r="I1088" i="1"/>
  <c r="J1088" i="1" s="1"/>
  <c r="I1089" i="1"/>
  <c r="J1089" i="1" s="1"/>
  <c r="I1090" i="1"/>
  <c r="J1090" i="1" s="1"/>
  <c r="I1091" i="1"/>
  <c r="J1091" i="1" s="1"/>
  <c r="I1092" i="1"/>
  <c r="J1092" i="1" s="1"/>
  <c r="I1093" i="1"/>
  <c r="J1093" i="1" s="1"/>
  <c r="I1094" i="1"/>
  <c r="J1094" i="1" s="1"/>
  <c r="I1105" i="1"/>
  <c r="J1105" i="1" s="1"/>
  <c r="I1106" i="1"/>
  <c r="J1106" i="1" s="1"/>
  <c r="I1107" i="1"/>
  <c r="J1107" i="1" s="1"/>
  <c r="I1108" i="1"/>
  <c r="J1108" i="1" s="1"/>
  <c r="I1109" i="1"/>
  <c r="J1109" i="1" s="1"/>
  <c r="I1110" i="1"/>
  <c r="J1110" i="1" s="1"/>
  <c r="I1111" i="1"/>
  <c r="J1111" i="1" s="1"/>
  <c r="I1112" i="1"/>
  <c r="J1112" i="1" s="1"/>
  <c r="I1125" i="1"/>
  <c r="J1125" i="1" s="1"/>
  <c r="I1126" i="1"/>
  <c r="J1126" i="1" s="1"/>
  <c r="I1127" i="1"/>
  <c r="J1127" i="1" s="1"/>
  <c r="I1128" i="1"/>
  <c r="J1128" i="1" s="1"/>
  <c r="I1129" i="1"/>
  <c r="J1129" i="1" s="1"/>
  <c r="I1143" i="1"/>
  <c r="J1143" i="1" s="1"/>
  <c r="I1144" i="1"/>
  <c r="J1144" i="1" s="1"/>
  <c r="I1145" i="1"/>
  <c r="J1145" i="1" s="1"/>
  <c r="I1146" i="1"/>
  <c r="J1146" i="1" s="1"/>
  <c r="I1147" i="1"/>
  <c r="J1147" i="1" s="1"/>
  <c r="I1160" i="1"/>
  <c r="J1160" i="1" s="1"/>
  <c r="I1161" i="1"/>
  <c r="J1161" i="1" s="1"/>
  <c r="I1162" i="1"/>
  <c r="J1162" i="1" s="1"/>
  <c r="I1163" i="1"/>
  <c r="J1163" i="1" s="1"/>
  <c r="I1164" i="1"/>
  <c r="J1164" i="1" s="1"/>
  <c r="I1165" i="1"/>
  <c r="J1165" i="1" s="1"/>
  <c r="I1166" i="1"/>
  <c r="J1166" i="1" s="1"/>
  <c r="I1167" i="1"/>
  <c r="J1167" i="1" s="1"/>
  <c r="I1168" i="1"/>
  <c r="J1168" i="1" s="1"/>
  <c r="I1169" i="1"/>
  <c r="J1169" i="1" s="1"/>
  <c r="I1187" i="1"/>
  <c r="J1187" i="1" s="1"/>
  <c r="I1188" i="1"/>
  <c r="J1188" i="1" s="1"/>
  <c r="I1189" i="1"/>
  <c r="J1189" i="1" s="1"/>
  <c r="I1190" i="1"/>
  <c r="J1190" i="1" s="1"/>
  <c r="I1191" i="1"/>
  <c r="J1191" i="1" s="1"/>
  <c r="I1192" i="1"/>
  <c r="J1192" i="1" s="1"/>
  <c r="I1193" i="1"/>
  <c r="J1193" i="1" s="1"/>
  <c r="I1194" i="1"/>
  <c r="J1194" i="1" s="1"/>
  <c r="I1205" i="1"/>
  <c r="J1205" i="1" s="1"/>
  <c r="I1206" i="1"/>
  <c r="J1206" i="1" s="1"/>
  <c r="I1207" i="1"/>
  <c r="J1207" i="1" s="1"/>
  <c r="I1208" i="1"/>
  <c r="J1208" i="1" s="1"/>
  <c r="I1209" i="1"/>
  <c r="J1209" i="1" s="1"/>
  <c r="I1210" i="1"/>
  <c r="J1210" i="1" s="1"/>
  <c r="I1211" i="1"/>
  <c r="J1211" i="1" s="1"/>
  <c r="I1212" i="1"/>
  <c r="J1212" i="1" s="1"/>
  <c r="I1225" i="1"/>
  <c r="J1225" i="1" s="1"/>
  <c r="I1226" i="1"/>
  <c r="J1226" i="1" s="1"/>
  <c r="I1227" i="1"/>
  <c r="J1227" i="1" s="1"/>
  <c r="I1228" i="1"/>
  <c r="J1228" i="1" s="1"/>
  <c r="I1229" i="1"/>
  <c r="J1229" i="1" s="1"/>
  <c r="I1249" i="1"/>
  <c r="J1249" i="1" s="1"/>
  <c r="I1250" i="1"/>
  <c r="J1250" i="1" s="1"/>
  <c r="I1251" i="1"/>
  <c r="J1251" i="1" s="1"/>
  <c r="I1252" i="1"/>
  <c r="J1252" i="1" s="1"/>
  <c r="I1253" i="1"/>
  <c r="J1253" i="1" s="1"/>
  <c r="I1254" i="1"/>
  <c r="J1254" i="1" s="1"/>
  <c r="I1255" i="1"/>
  <c r="J1255" i="1" s="1"/>
  <c r="I1256" i="1"/>
  <c r="J1256" i="1" s="1"/>
  <c r="I1271" i="1"/>
  <c r="J1271" i="1" s="1"/>
  <c r="I1272" i="1"/>
  <c r="J1272" i="1" s="1"/>
  <c r="I1273" i="1"/>
  <c r="J1273" i="1" s="1"/>
  <c r="I1274" i="1"/>
  <c r="J1274" i="1" s="1"/>
  <c r="I1275" i="1"/>
  <c r="J1275" i="1" s="1"/>
  <c r="I1276" i="1"/>
  <c r="J1276" i="1" s="1"/>
  <c r="I1277" i="1"/>
  <c r="J1277" i="1" s="1"/>
  <c r="I1278" i="1"/>
  <c r="J1278" i="1" s="1"/>
  <c r="I1295" i="1"/>
  <c r="J1295" i="1" s="1"/>
  <c r="I1296" i="1"/>
  <c r="J1296" i="1" s="1"/>
  <c r="I1297" i="1"/>
  <c r="J1297" i="1" s="1"/>
  <c r="I1298" i="1"/>
  <c r="J1298" i="1" s="1"/>
  <c r="I1299" i="1"/>
  <c r="J1299" i="1" s="1"/>
  <c r="I1300" i="1"/>
  <c r="J1300" i="1" s="1"/>
  <c r="I1301" i="1"/>
  <c r="J1301" i="1" s="1"/>
  <c r="I1302" i="1"/>
  <c r="J1302" i="1" s="1"/>
  <c r="I1303" i="1"/>
  <c r="J1303" i="1" s="1"/>
  <c r="I1304" i="1"/>
  <c r="J1304" i="1" s="1"/>
  <c r="I1325" i="1"/>
  <c r="J1325" i="1" s="1"/>
  <c r="I1326" i="1"/>
  <c r="J1326" i="1" s="1"/>
  <c r="I1327" i="1"/>
  <c r="J1327" i="1" s="1"/>
  <c r="I1328" i="1"/>
  <c r="J1328" i="1" s="1"/>
  <c r="I1329" i="1"/>
  <c r="J1329" i="1" s="1"/>
  <c r="I1330" i="1"/>
  <c r="J1330" i="1" s="1"/>
  <c r="I1331" i="1"/>
  <c r="J1331" i="1" s="1"/>
  <c r="I1347" i="1"/>
  <c r="J1347" i="1" s="1"/>
  <c r="I1348" i="1"/>
  <c r="J1348" i="1" s="1"/>
  <c r="I1349" i="1"/>
  <c r="J1349" i="1" s="1"/>
  <c r="I1350" i="1"/>
  <c r="J1350" i="1" s="1"/>
  <c r="I1351" i="1"/>
  <c r="J1351" i="1" s="1"/>
  <c r="I1352" i="1"/>
  <c r="J1352" i="1" s="1"/>
  <c r="I1353" i="1"/>
  <c r="J1353" i="1" s="1"/>
  <c r="I1354" i="1"/>
  <c r="J1354" i="1" s="1"/>
  <c r="I1355" i="1"/>
  <c r="J1355" i="1" s="1"/>
  <c r="I1356" i="1"/>
  <c r="J1356" i="1" s="1"/>
  <c r="I1381" i="1"/>
  <c r="J1381" i="1" s="1"/>
  <c r="I1382" i="1"/>
  <c r="J1382" i="1" s="1"/>
  <c r="I1383" i="1"/>
  <c r="J1383" i="1" s="1"/>
  <c r="I1384" i="1"/>
  <c r="J1384" i="1" s="1"/>
  <c r="I1385" i="1"/>
  <c r="J1385" i="1" s="1"/>
  <c r="I1386" i="1"/>
  <c r="J1386" i="1" s="1"/>
  <c r="I1387" i="1"/>
  <c r="J1387" i="1" s="1"/>
  <c r="I1388" i="1"/>
  <c r="J1388" i="1" s="1"/>
  <c r="I1405" i="1"/>
  <c r="J1405" i="1" s="1"/>
  <c r="I1406" i="1"/>
  <c r="J1406" i="1" s="1"/>
  <c r="I1407" i="1"/>
  <c r="J1407" i="1" s="1"/>
  <c r="I1408" i="1"/>
  <c r="J1408" i="1" s="1"/>
  <c r="I1409" i="1"/>
  <c r="J1409" i="1" s="1"/>
  <c r="I1410" i="1"/>
  <c r="J1410" i="1" s="1"/>
  <c r="I1411" i="1"/>
  <c r="J1411" i="1" s="1"/>
  <c r="I1412" i="1"/>
  <c r="J1412" i="1" s="1"/>
  <c r="I1427" i="1"/>
  <c r="J1427" i="1" s="1"/>
  <c r="I1428" i="1"/>
  <c r="J1428" i="1" s="1"/>
  <c r="I1429" i="1"/>
  <c r="J1429" i="1" s="1"/>
  <c r="I1430" i="1"/>
  <c r="J1430" i="1" s="1"/>
  <c r="I1431" i="1"/>
  <c r="J1431" i="1" s="1"/>
  <c r="I1455" i="1"/>
  <c r="J1455" i="1" s="1"/>
  <c r="I1456" i="1"/>
  <c r="J1456" i="1" s="1"/>
  <c r="I1457" i="1"/>
  <c r="J1457" i="1" s="1"/>
  <c r="I1458" i="1"/>
  <c r="J1458" i="1" s="1"/>
  <c r="I1459" i="1"/>
  <c r="J1459" i="1" s="1"/>
  <c r="I1460" i="1"/>
  <c r="J1460" i="1" s="1"/>
  <c r="I1461" i="1"/>
  <c r="J1461" i="1" s="1"/>
  <c r="I1462" i="1"/>
  <c r="J1462" i="1" s="1"/>
  <c r="I1463" i="1"/>
  <c r="J1463" i="1" s="1"/>
  <c r="I1478" i="1"/>
  <c r="J1478" i="1" s="1"/>
  <c r="I1479" i="1"/>
  <c r="J1479" i="1" s="1"/>
  <c r="I1480" i="1"/>
  <c r="J1480" i="1" s="1"/>
  <c r="I1481" i="1"/>
  <c r="J1481" i="1" s="1"/>
  <c r="I1482" i="1"/>
  <c r="J1482" i="1" s="1"/>
  <c r="I1483" i="1"/>
  <c r="J1483" i="1" s="1"/>
  <c r="I1495" i="1"/>
  <c r="J1495" i="1" s="1"/>
  <c r="I1496" i="1"/>
  <c r="J1496" i="1" s="1"/>
  <c r="I1497" i="1"/>
  <c r="J1497" i="1" s="1"/>
  <c r="I1498" i="1"/>
  <c r="J1498" i="1" s="1"/>
  <c r="I1499" i="1"/>
  <c r="J1499" i="1" s="1"/>
  <c r="I1516" i="1"/>
  <c r="J1516" i="1" s="1"/>
  <c r="I1517" i="1"/>
  <c r="J1517" i="1" s="1"/>
  <c r="I1518" i="1"/>
  <c r="J1518" i="1" s="1"/>
  <c r="I1519" i="1"/>
  <c r="J1519" i="1" s="1"/>
  <c r="I1520" i="1"/>
  <c r="J1520" i="1" s="1"/>
  <c r="I1521" i="1"/>
  <c r="J1521" i="1" s="1"/>
  <c r="I1543" i="1"/>
  <c r="J1543" i="1" s="1"/>
  <c r="I1544" i="1"/>
  <c r="J1544" i="1" s="1"/>
  <c r="I1545" i="1"/>
  <c r="J1545" i="1" s="1"/>
  <c r="I1546" i="1"/>
  <c r="J1546" i="1" s="1"/>
  <c r="I1547" i="1"/>
  <c r="J1547" i="1" s="1"/>
  <c r="I1561" i="1"/>
  <c r="J1561" i="1" s="1"/>
  <c r="I1562" i="1"/>
  <c r="J1562" i="1" s="1"/>
  <c r="I1563" i="1"/>
  <c r="J1563" i="1" s="1"/>
  <c r="I1564" i="1"/>
  <c r="J1564" i="1" s="1"/>
  <c r="I1565" i="1"/>
  <c r="J1565" i="1" s="1"/>
  <c r="I1566" i="1"/>
  <c r="J1566" i="1" s="1"/>
  <c r="I1567" i="1"/>
  <c r="J1567" i="1" s="1"/>
  <c r="I1584" i="1"/>
  <c r="J1584" i="1" s="1"/>
  <c r="I1585" i="1"/>
  <c r="J1585" i="1" s="1"/>
  <c r="I1586" i="1"/>
  <c r="J1586" i="1" s="1"/>
  <c r="I1587" i="1"/>
  <c r="J1587" i="1" s="1"/>
  <c r="I1588" i="1"/>
  <c r="J1588" i="1" s="1"/>
  <c r="I1589" i="1"/>
  <c r="J1589" i="1" s="1"/>
  <c r="I1590" i="1"/>
  <c r="J1590" i="1" s="1"/>
  <c r="I1591" i="1"/>
  <c r="J1591" i="1" s="1"/>
  <c r="I1607" i="1"/>
  <c r="J1607" i="1" s="1"/>
  <c r="I1608" i="1"/>
  <c r="J1608" i="1" s="1"/>
  <c r="I1609" i="1"/>
  <c r="J1609" i="1" s="1"/>
  <c r="I1610" i="1"/>
  <c r="J1610" i="1" s="1"/>
  <c r="I1611" i="1"/>
  <c r="J1611" i="1" s="1"/>
  <c r="I1612" i="1"/>
  <c r="J1612" i="1" s="1"/>
  <c r="I1613" i="1"/>
  <c r="J1613" i="1" s="1"/>
  <c r="I1628" i="1"/>
  <c r="J1628" i="1" s="1"/>
  <c r="I1629" i="1"/>
  <c r="J1629" i="1" s="1"/>
  <c r="I1630" i="1"/>
  <c r="J1630" i="1" s="1"/>
  <c r="I1631" i="1"/>
  <c r="J1631" i="1" s="1"/>
  <c r="I1632" i="1"/>
  <c r="J1632" i="1" s="1"/>
  <c r="I1633" i="1"/>
  <c r="J1633" i="1" s="1"/>
  <c r="I1634" i="1"/>
  <c r="J1634" i="1" s="1"/>
  <c r="I1635" i="1"/>
  <c r="J1635" i="1" s="1"/>
  <c r="I1636" i="1"/>
  <c r="J1636" i="1" s="1"/>
  <c r="I1657" i="1"/>
  <c r="J1657" i="1" s="1"/>
  <c r="I1658" i="1"/>
  <c r="J1658" i="1" s="1"/>
  <c r="I1659" i="1"/>
  <c r="J1659" i="1" s="1"/>
  <c r="I1660" i="1"/>
  <c r="J1660" i="1" s="1"/>
  <c r="I1661" i="1"/>
  <c r="J1661" i="1" s="1"/>
  <c r="I1662" i="1"/>
  <c r="J1662" i="1" s="1"/>
  <c r="I1663" i="1"/>
  <c r="J1663" i="1" s="1"/>
  <c r="I1664" i="1"/>
  <c r="J1664" i="1" s="1"/>
  <c r="I1665" i="1"/>
  <c r="J1665" i="1" s="1"/>
  <c r="I1666" i="1"/>
  <c r="J1666" i="1" s="1"/>
  <c r="I1681" i="1"/>
  <c r="J1681" i="1" s="1"/>
  <c r="I1682" i="1"/>
  <c r="J1682" i="1" s="1"/>
  <c r="I1683" i="1"/>
  <c r="J1683" i="1" s="1"/>
  <c r="I1684" i="1"/>
  <c r="J1684" i="1" s="1"/>
  <c r="I1685" i="1"/>
  <c r="J1685" i="1" s="1"/>
  <c r="I1686" i="1"/>
  <c r="J1686" i="1" s="1"/>
  <c r="I1687" i="1"/>
  <c r="J1687" i="1" s="1"/>
  <c r="I1688" i="1"/>
  <c r="J1688" i="1" s="1"/>
  <c r="I1689" i="1"/>
  <c r="J1689" i="1" s="1"/>
  <c r="I1690" i="1"/>
  <c r="J1690" i="1" s="1"/>
  <c r="I1702" i="1"/>
  <c r="J1702" i="1" s="1"/>
  <c r="I1703" i="1"/>
  <c r="J1703" i="1" s="1"/>
  <c r="I1704" i="1"/>
  <c r="J1704" i="1" s="1"/>
  <c r="I1705" i="1"/>
  <c r="J1705" i="1" s="1"/>
  <c r="I1706" i="1"/>
  <c r="J1706" i="1" s="1"/>
  <c r="I1707" i="1"/>
  <c r="J1707" i="1" s="1"/>
  <c r="I1708" i="1"/>
  <c r="J1708" i="1" s="1"/>
  <c r="I1709" i="1"/>
  <c r="J1709" i="1" s="1"/>
  <c r="I1718" i="1"/>
  <c r="J1718" i="1" s="1"/>
  <c r="I1719" i="1"/>
  <c r="J1719" i="1" s="1"/>
  <c r="I1720" i="1"/>
  <c r="J1720" i="1" s="1"/>
  <c r="I1721" i="1"/>
  <c r="J1721" i="1" s="1"/>
  <c r="I1722" i="1"/>
  <c r="J1722" i="1" s="1"/>
  <c r="I1723" i="1"/>
  <c r="J1723" i="1" s="1"/>
  <c r="I1724" i="1"/>
  <c r="J1724" i="1" s="1"/>
  <c r="I1725" i="1"/>
  <c r="J1725" i="1" s="1"/>
  <c r="I1726" i="1"/>
  <c r="J1726" i="1" s="1"/>
  <c r="I1737" i="1"/>
  <c r="J1737" i="1" s="1"/>
  <c r="I1738" i="1"/>
  <c r="J1738" i="1" s="1"/>
  <c r="I1739" i="1"/>
  <c r="J1739" i="1" s="1"/>
  <c r="I1740" i="1"/>
  <c r="J1740" i="1" s="1"/>
  <c r="I1741" i="1"/>
  <c r="J1741" i="1" s="1"/>
  <c r="I1742" i="1"/>
  <c r="J1742" i="1" s="1"/>
  <c r="I1743" i="1"/>
  <c r="J1743" i="1" s="1"/>
  <c r="I1744" i="1"/>
  <c r="J1744" i="1" s="1"/>
  <c r="I1745" i="1"/>
  <c r="J1745" i="1" s="1"/>
  <c r="I1746" i="1"/>
  <c r="J1746" i="1" s="1"/>
  <c r="I1765" i="1"/>
  <c r="J1765" i="1" s="1"/>
  <c r="I1766" i="1"/>
  <c r="J1766" i="1" s="1"/>
  <c r="I1767" i="1"/>
  <c r="J1767" i="1" s="1"/>
  <c r="I1768" i="1"/>
  <c r="J1768" i="1" s="1"/>
  <c r="I1769" i="1"/>
  <c r="J1769" i="1" s="1"/>
  <c r="I1770" i="1"/>
  <c r="J1770" i="1" s="1"/>
  <c r="I1771" i="1"/>
  <c r="J1771" i="1" s="1"/>
  <c r="I1794" i="1"/>
  <c r="J1794" i="1" s="1"/>
  <c r="I1795" i="1"/>
  <c r="J1795" i="1" s="1"/>
  <c r="I1796" i="1"/>
  <c r="J1796" i="1" s="1"/>
  <c r="I1797" i="1"/>
  <c r="J1797" i="1" s="1"/>
  <c r="I1798" i="1"/>
  <c r="J1798" i="1" s="1"/>
  <c r="I1799" i="1"/>
  <c r="J1799" i="1" s="1"/>
  <c r="I1800" i="1"/>
  <c r="J1800" i="1" s="1"/>
  <c r="I1801" i="1"/>
  <c r="J1801" i="1" s="1"/>
  <c r="I1802" i="1"/>
  <c r="J1802" i="1" s="1"/>
  <c r="I1803" i="1"/>
  <c r="J1803" i="1" s="1"/>
  <c r="I1813" i="1"/>
  <c r="J1813" i="1" s="1"/>
  <c r="I1814" i="1"/>
  <c r="J1814" i="1" s="1"/>
  <c r="I1815" i="1"/>
  <c r="J1815" i="1" s="1"/>
  <c r="I1816" i="1"/>
  <c r="J1816" i="1" s="1"/>
  <c r="I1817" i="1"/>
  <c r="J1817" i="1" s="1"/>
  <c r="I1830" i="1"/>
  <c r="J1830" i="1" s="1"/>
  <c r="I1831" i="1"/>
  <c r="J1831" i="1" s="1"/>
  <c r="I1832" i="1"/>
  <c r="J1832" i="1" s="1"/>
  <c r="I1833" i="1"/>
  <c r="J1833" i="1" s="1"/>
  <c r="I1834" i="1"/>
  <c r="J1834" i="1" s="1"/>
  <c r="I1835" i="1"/>
  <c r="J1835" i="1" s="1"/>
  <c r="I1836" i="1"/>
  <c r="J1836" i="1" s="1"/>
  <c r="I1850" i="1"/>
  <c r="J1850" i="1" s="1"/>
  <c r="I1851" i="1"/>
  <c r="J1851" i="1" s="1"/>
  <c r="I1852" i="1"/>
  <c r="J1852" i="1" s="1"/>
  <c r="I1853" i="1"/>
  <c r="J1853" i="1" s="1"/>
  <c r="I1854" i="1"/>
  <c r="J1854" i="1" s="1"/>
  <c r="I1855" i="1"/>
  <c r="J1855" i="1" s="1"/>
  <c r="I1856" i="1"/>
  <c r="J1856" i="1" s="1"/>
  <c r="I1871" i="1"/>
  <c r="J1871" i="1" s="1"/>
  <c r="I1872" i="1"/>
  <c r="J1872" i="1" s="1"/>
  <c r="I1873" i="1"/>
  <c r="J1873" i="1" s="1"/>
  <c r="I1874" i="1"/>
  <c r="J1874" i="1" s="1"/>
  <c r="I1875" i="1"/>
  <c r="J1875" i="1" s="1"/>
  <c r="I1876" i="1"/>
  <c r="J1876" i="1" s="1"/>
  <c r="I1877" i="1"/>
  <c r="J1877" i="1" s="1"/>
  <c r="I1878" i="1"/>
  <c r="J1878" i="1" s="1"/>
  <c r="I1879" i="1"/>
  <c r="J1879" i="1" s="1"/>
  <c r="I1890" i="1"/>
  <c r="J1890" i="1" s="1"/>
  <c r="I1891" i="1"/>
  <c r="J1891" i="1" s="1"/>
  <c r="I1892" i="1"/>
  <c r="J1892" i="1" s="1"/>
  <c r="I1893" i="1"/>
  <c r="J1893" i="1" s="1"/>
  <c r="I1894" i="1"/>
  <c r="J1894" i="1" s="1"/>
  <c r="I1908" i="1"/>
  <c r="J1908" i="1" s="1"/>
  <c r="I1909" i="1"/>
  <c r="J1909" i="1" s="1"/>
  <c r="I1910" i="1"/>
  <c r="J1910" i="1" s="1"/>
  <c r="I1911" i="1"/>
  <c r="J1911" i="1" s="1"/>
  <c r="I1912" i="1"/>
  <c r="J1912" i="1" s="1"/>
  <c r="I1913" i="1"/>
  <c r="J1913" i="1" s="1"/>
  <c r="I1926" i="1"/>
  <c r="J1926" i="1" s="1"/>
  <c r="I1927" i="1"/>
  <c r="J1927" i="1" s="1"/>
  <c r="I1928" i="1"/>
  <c r="J1928" i="1" s="1"/>
  <c r="I1929" i="1"/>
  <c r="J1929" i="1" s="1"/>
  <c r="I1930" i="1"/>
  <c r="J1930" i="1" s="1"/>
  <c r="I1931" i="1"/>
  <c r="J1931" i="1" s="1"/>
  <c r="I1932" i="1"/>
  <c r="J1932" i="1" s="1"/>
  <c r="I1933" i="1"/>
  <c r="J1933" i="1" s="1"/>
  <c r="I1946" i="1"/>
  <c r="J1946" i="1" s="1"/>
  <c r="I1947" i="1"/>
  <c r="J1947" i="1" s="1"/>
  <c r="I1948" i="1"/>
  <c r="J1948" i="1" s="1"/>
  <c r="I1949" i="1"/>
  <c r="J1949" i="1" s="1"/>
  <c r="I1950" i="1"/>
  <c r="J1950" i="1" s="1"/>
  <c r="I1951" i="1"/>
  <c r="J1951" i="1" s="1"/>
  <c r="I1952" i="1"/>
  <c r="J1952" i="1" s="1"/>
  <c r="I1953" i="1"/>
  <c r="J1953" i="1" s="1"/>
  <c r="I1968" i="1"/>
  <c r="J1968" i="1" s="1"/>
  <c r="I1969" i="1"/>
  <c r="J1969" i="1" s="1"/>
  <c r="I1970" i="1"/>
  <c r="J1970" i="1" s="1"/>
  <c r="I1971" i="1"/>
  <c r="J1971" i="1" s="1"/>
  <c r="I1972" i="1"/>
  <c r="J1972" i="1" s="1"/>
  <c r="I1973" i="1"/>
  <c r="J1973" i="1" s="1"/>
  <c r="I1974" i="1"/>
  <c r="J1974" i="1" s="1"/>
  <c r="I1975" i="1"/>
  <c r="J1975" i="1" s="1"/>
  <c r="I1991" i="1"/>
  <c r="J1991" i="1" s="1"/>
  <c r="I1992" i="1"/>
  <c r="J1992" i="1" s="1"/>
  <c r="I1993" i="1"/>
  <c r="J1993" i="1" s="1"/>
  <c r="I1994" i="1"/>
  <c r="J1994" i="1" s="1"/>
  <c r="I1995" i="1"/>
  <c r="J1995" i="1" s="1"/>
  <c r="I1996" i="1"/>
  <c r="J1996" i="1" s="1"/>
  <c r="I1997" i="1"/>
  <c r="J1997" i="1" s="1"/>
  <c r="I1998" i="1"/>
  <c r="J1998" i="1" s="1"/>
  <c r="I1999" i="1"/>
  <c r="J1999" i="1" s="1"/>
  <c r="I2000" i="1"/>
  <c r="J2000" i="1" s="1"/>
  <c r="I2001" i="1"/>
  <c r="J2001" i="1" s="1"/>
  <c r="I2002" i="1"/>
  <c r="J2002" i="1" s="1"/>
  <c r="I2003" i="1"/>
  <c r="J2003" i="1" s="1"/>
  <c r="I2004" i="1"/>
  <c r="J2004" i="1" s="1"/>
  <c r="I2005" i="1"/>
  <c r="J2005" i="1" s="1"/>
  <c r="I2009" i="1"/>
  <c r="J2009" i="1" s="1"/>
  <c r="I2010" i="1"/>
  <c r="J2010" i="1" s="1"/>
  <c r="I2011" i="1"/>
  <c r="J2011" i="1" s="1"/>
  <c r="I2012" i="1"/>
  <c r="J2012" i="1" s="1"/>
  <c r="I2013" i="1"/>
  <c r="J2013" i="1" s="1"/>
  <c r="I2014" i="1"/>
  <c r="J2014" i="1" s="1"/>
  <c r="I2015" i="1"/>
  <c r="J2015" i="1" s="1"/>
  <c r="I2021" i="1"/>
  <c r="J2021" i="1" s="1"/>
  <c r="I2022" i="1"/>
  <c r="J2022" i="1" s="1"/>
  <c r="I2023" i="1"/>
  <c r="J2023" i="1" s="1"/>
  <c r="I2024" i="1"/>
  <c r="J2024" i="1" s="1"/>
  <c r="I2025" i="1"/>
  <c r="J2025" i="1" s="1"/>
  <c r="I2028" i="1"/>
  <c r="J2028" i="1" s="1"/>
  <c r="I2029" i="1"/>
  <c r="J2029" i="1" s="1"/>
  <c r="I2030" i="1"/>
  <c r="J2030" i="1" s="1"/>
  <c r="I2031" i="1"/>
  <c r="J2031" i="1" s="1"/>
  <c r="I2032" i="1"/>
  <c r="J2032" i="1" s="1"/>
  <c r="I2033" i="1"/>
  <c r="J2033" i="1" s="1"/>
  <c r="I2038" i="1"/>
  <c r="J2038" i="1" s="1"/>
  <c r="I2039" i="1"/>
  <c r="J2039" i="1" s="1"/>
  <c r="I2040" i="1"/>
  <c r="J2040" i="1" s="1"/>
  <c r="I2041" i="1"/>
  <c r="J2041" i="1" s="1"/>
  <c r="I2042" i="1"/>
  <c r="J2042" i="1" s="1"/>
  <c r="I2043" i="1"/>
  <c r="J2043" i="1" s="1"/>
  <c r="I2044" i="1"/>
  <c r="J2044" i="1" s="1"/>
  <c r="I2048" i="1"/>
  <c r="J2048" i="1" s="1"/>
  <c r="I2049" i="1"/>
  <c r="J2049" i="1" s="1"/>
  <c r="I2050" i="1"/>
  <c r="J2050" i="1" s="1"/>
  <c r="I2051" i="1"/>
  <c r="J2051" i="1" s="1"/>
  <c r="I2052" i="1"/>
  <c r="J2052" i="1" s="1"/>
  <c r="I2053" i="1"/>
  <c r="J2053" i="1" s="1"/>
  <c r="I2054" i="1"/>
  <c r="J2054" i="1" s="1"/>
  <c r="I2055" i="1"/>
  <c r="J2055" i="1" s="1"/>
  <c r="I2056" i="1"/>
  <c r="J2056" i="1" s="1"/>
  <c r="I2060" i="1"/>
  <c r="J2060" i="1" s="1"/>
  <c r="I2061" i="1"/>
  <c r="J2061" i="1" s="1"/>
  <c r="I2062" i="1"/>
  <c r="J2062" i="1" s="1"/>
  <c r="I2063" i="1"/>
  <c r="J2063" i="1" s="1"/>
  <c r="I2064" i="1"/>
  <c r="J2064" i="1" s="1"/>
  <c r="I2065" i="1"/>
  <c r="J2065" i="1" s="1"/>
  <c r="I2070" i="1"/>
  <c r="J2070" i="1" s="1"/>
  <c r="I2071" i="1"/>
  <c r="J2071" i="1" s="1"/>
  <c r="I2072" i="1"/>
  <c r="J2072" i="1" s="1"/>
  <c r="I2073" i="1"/>
  <c r="J2073" i="1" s="1"/>
  <c r="I2074" i="1"/>
  <c r="J2074" i="1" s="1"/>
  <c r="I2075" i="1"/>
  <c r="J2075" i="1" s="1"/>
  <c r="I2079" i="1"/>
  <c r="J2079" i="1" s="1"/>
  <c r="I2080" i="1"/>
  <c r="J2080" i="1" s="1"/>
  <c r="I2081" i="1"/>
  <c r="J2081" i="1" s="1"/>
  <c r="I2082" i="1"/>
  <c r="J2082" i="1" s="1"/>
  <c r="I2083" i="1"/>
  <c r="J2083" i="1" s="1"/>
  <c r="I2084" i="1"/>
  <c r="J2084" i="1" s="1"/>
  <c r="I2087" i="1"/>
  <c r="J2087" i="1" s="1"/>
  <c r="I2088" i="1"/>
  <c r="J2088" i="1" s="1"/>
  <c r="I2089" i="1"/>
  <c r="J2089" i="1" s="1"/>
  <c r="I2090" i="1"/>
  <c r="J2090" i="1" s="1"/>
  <c r="I2091" i="1"/>
  <c r="J2091" i="1" s="1"/>
  <c r="I2092" i="1"/>
  <c r="J2092" i="1" s="1"/>
  <c r="I2093" i="1"/>
  <c r="J2093" i="1" s="1"/>
  <c r="I2094" i="1"/>
  <c r="J2094" i="1" s="1"/>
  <c r="I2098" i="1"/>
  <c r="J2098" i="1" s="1"/>
  <c r="I2099" i="1"/>
  <c r="J2099" i="1" s="1"/>
  <c r="I2100" i="1"/>
  <c r="J2100" i="1" s="1"/>
  <c r="I2101" i="1"/>
  <c r="J2101" i="1" s="1"/>
  <c r="I2102" i="1"/>
  <c r="J2102" i="1" s="1"/>
  <c r="I2103" i="1"/>
  <c r="J2103" i="1" s="1"/>
  <c r="I2104" i="1"/>
  <c r="J2104" i="1" s="1"/>
  <c r="I2105" i="1"/>
  <c r="J2105" i="1" s="1"/>
  <c r="I2106" i="1"/>
  <c r="J2106" i="1" s="1"/>
  <c r="I2112" i="1"/>
  <c r="J2112" i="1" s="1"/>
  <c r="I2113" i="1"/>
  <c r="J2113" i="1" s="1"/>
  <c r="I2114" i="1"/>
  <c r="J2114" i="1" s="1"/>
  <c r="I2115" i="1"/>
  <c r="J2115" i="1" s="1"/>
  <c r="I2116" i="1"/>
  <c r="J2116" i="1" s="1"/>
  <c r="I2117" i="1"/>
  <c r="J2117" i="1" s="1"/>
  <c r="I2118" i="1"/>
  <c r="J2118" i="1" s="1"/>
  <c r="I2120" i="1"/>
  <c r="J2120" i="1" s="1"/>
  <c r="I2121" i="1"/>
  <c r="J2121" i="1" s="1"/>
  <c r="I2122" i="1"/>
  <c r="J2122" i="1" s="1"/>
  <c r="I2123" i="1"/>
  <c r="J2123" i="1" s="1"/>
  <c r="I2124" i="1"/>
  <c r="J2124" i="1" s="1"/>
  <c r="I2125" i="1"/>
  <c r="J2125" i="1" s="1"/>
  <c r="I2126" i="1"/>
  <c r="J2126" i="1" s="1"/>
  <c r="I2127" i="1"/>
  <c r="J2127" i="1" s="1"/>
  <c r="I2128" i="1"/>
  <c r="J2128" i="1" s="1"/>
  <c r="I2134" i="1"/>
  <c r="J2134" i="1" s="1"/>
  <c r="I2135" i="1"/>
  <c r="J2135" i="1" s="1"/>
  <c r="I2136" i="1"/>
  <c r="J2136" i="1" s="1"/>
  <c r="I2137" i="1"/>
  <c r="J2137" i="1" s="1"/>
  <c r="I2138" i="1"/>
  <c r="J2138" i="1" s="1"/>
  <c r="I2139" i="1"/>
  <c r="J2139" i="1" s="1"/>
  <c r="I2140" i="1"/>
  <c r="J2140" i="1" s="1"/>
  <c r="I2141" i="1"/>
  <c r="J2141" i="1" s="1"/>
  <c r="I2145" i="1"/>
  <c r="J2145" i="1" s="1"/>
  <c r="I2146" i="1"/>
  <c r="J2146" i="1" s="1"/>
  <c r="I2147" i="1"/>
  <c r="J2147" i="1" s="1"/>
  <c r="I2148" i="1"/>
  <c r="J2148" i="1" s="1"/>
  <c r="I2149" i="1"/>
  <c r="J2149" i="1" s="1"/>
  <c r="I2150" i="1"/>
  <c r="J2150" i="1" s="1"/>
  <c r="I2151" i="1"/>
  <c r="J2151" i="1" s="1"/>
  <c r="I2153" i="1"/>
  <c r="J2153" i="1" s="1"/>
  <c r="I2154" i="1"/>
  <c r="J2154" i="1" s="1"/>
  <c r="I2155" i="1"/>
  <c r="J2155" i="1" s="1"/>
  <c r="I2156" i="1"/>
  <c r="J2156" i="1" s="1"/>
  <c r="I2157" i="1"/>
  <c r="J2157" i="1" s="1"/>
  <c r="I2158" i="1"/>
  <c r="J2158" i="1" s="1"/>
  <c r="I2159" i="1"/>
  <c r="J2159" i="1" s="1"/>
  <c r="I2163" i="1"/>
  <c r="J2163" i="1" s="1"/>
  <c r="I2164" i="1"/>
  <c r="J2164" i="1" s="1"/>
  <c r="I2165" i="1"/>
  <c r="J2165" i="1" s="1"/>
  <c r="I2166" i="1"/>
  <c r="J2166" i="1" s="1"/>
  <c r="I2167" i="1"/>
  <c r="J2167" i="1" s="1"/>
  <c r="I2168" i="1"/>
  <c r="J2168" i="1" s="1"/>
  <c r="I2169" i="1"/>
  <c r="J2169" i="1" s="1"/>
  <c r="I2170" i="1"/>
  <c r="J2170" i="1" s="1"/>
  <c r="I2171" i="1"/>
  <c r="J2171" i="1" s="1"/>
  <c r="I2177" i="1"/>
  <c r="J2177" i="1" s="1"/>
  <c r="I2178" i="1"/>
  <c r="J2178" i="1" s="1"/>
  <c r="I2179" i="1"/>
  <c r="J2179" i="1" s="1"/>
  <c r="I2180" i="1"/>
  <c r="J2180" i="1" s="1"/>
  <c r="I2181" i="1"/>
  <c r="J2181" i="1" s="1"/>
  <c r="I2182" i="1"/>
  <c r="J2182" i="1" s="1"/>
  <c r="I2183" i="1"/>
  <c r="J2183" i="1" s="1"/>
  <c r="I2184" i="1"/>
  <c r="J2184" i="1" s="1"/>
  <c r="I2190" i="1"/>
  <c r="J2190" i="1" s="1"/>
  <c r="I2191" i="1"/>
  <c r="J2191" i="1" s="1"/>
  <c r="I2192" i="1"/>
  <c r="J2192" i="1" s="1"/>
  <c r="I2193" i="1"/>
  <c r="J2193" i="1" s="1"/>
  <c r="I2194" i="1"/>
  <c r="J2194" i="1" s="1"/>
  <c r="I2195" i="1"/>
  <c r="J2195" i="1" s="1"/>
  <c r="I2196" i="1"/>
  <c r="J2196" i="1" s="1"/>
  <c r="I2197" i="1"/>
  <c r="J2197" i="1" s="1"/>
  <c r="I2198" i="1"/>
  <c r="J2198" i="1" s="1"/>
  <c r="I2199" i="1"/>
  <c r="J2199" i="1" s="1"/>
  <c r="I2203" i="1"/>
  <c r="J2203" i="1" s="1"/>
  <c r="I2204" i="1"/>
  <c r="J2204" i="1" s="1"/>
  <c r="I2205" i="1"/>
  <c r="J2205" i="1" s="1"/>
  <c r="I2206" i="1"/>
  <c r="J2206" i="1" s="1"/>
  <c r="I2207" i="1"/>
  <c r="J2207" i="1" s="1"/>
  <c r="I2208" i="1"/>
  <c r="J2208" i="1" s="1"/>
  <c r="I2210" i="1"/>
  <c r="J2210" i="1" s="1"/>
  <c r="I2211" i="1"/>
  <c r="J2211" i="1" s="1"/>
  <c r="I2212" i="1"/>
  <c r="J2212" i="1" s="1"/>
  <c r="I2213" i="1"/>
  <c r="J2213" i="1" s="1"/>
  <c r="I2214" i="1"/>
  <c r="J2214" i="1" s="1"/>
  <c r="I2215" i="1"/>
  <c r="J2215" i="1" s="1"/>
  <c r="I2224" i="1"/>
  <c r="J2224" i="1" s="1"/>
  <c r="I2225" i="1"/>
  <c r="J2225" i="1" s="1"/>
  <c r="I2226" i="1"/>
  <c r="J2226" i="1" s="1"/>
  <c r="I2227" i="1"/>
  <c r="J2227" i="1" s="1"/>
  <c r="I2228" i="1"/>
  <c r="J2228" i="1" s="1"/>
  <c r="I2229" i="1"/>
  <c r="J2229" i="1" s="1"/>
  <c r="I2230" i="1"/>
  <c r="J2230" i="1" s="1"/>
  <c r="I2231" i="1"/>
  <c r="J2231" i="1" s="1"/>
  <c r="I2232" i="1"/>
  <c r="J2232" i="1" s="1"/>
  <c r="I2235" i="1"/>
  <c r="J2235" i="1" s="1"/>
  <c r="I2236" i="1"/>
  <c r="J2236" i="1" s="1"/>
  <c r="I2237" i="1"/>
  <c r="J2237" i="1" s="1"/>
  <c r="I2238" i="1"/>
  <c r="J2238" i="1" s="1"/>
  <c r="I2239" i="1"/>
  <c r="J2239" i="1" s="1"/>
  <c r="I2240" i="1"/>
  <c r="J2240" i="1" s="1"/>
  <c r="I2241" i="1"/>
  <c r="J2241" i="1" s="1"/>
  <c r="I2242" i="1"/>
  <c r="J2242" i="1" s="1"/>
  <c r="I2243" i="1"/>
  <c r="J2243" i="1" s="1"/>
  <c r="I2250" i="1"/>
  <c r="J2250" i="1" s="1"/>
  <c r="I2251" i="1"/>
  <c r="J2251" i="1" s="1"/>
  <c r="I2252" i="1"/>
  <c r="J2252" i="1" s="1"/>
  <c r="I2253" i="1"/>
  <c r="J2253" i="1" s="1"/>
  <c r="I2254" i="1"/>
  <c r="J2254" i="1" s="1"/>
  <c r="I2255" i="1"/>
  <c r="J2255" i="1" s="1"/>
  <c r="I2256" i="1"/>
  <c r="J2256" i="1" s="1"/>
  <c r="I2257" i="1"/>
  <c r="J2257" i="1" s="1"/>
  <c r="I2258" i="1"/>
  <c r="J2258" i="1" s="1"/>
  <c r="I2259" i="1"/>
  <c r="J2259" i="1" s="1"/>
  <c r="I2264" i="1"/>
  <c r="J2264" i="1" s="1"/>
  <c r="I2265" i="1"/>
  <c r="J2265" i="1" s="1"/>
  <c r="I2266" i="1"/>
  <c r="J2266" i="1" s="1"/>
  <c r="I2267" i="1"/>
  <c r="J2267" i="1" s="1"/>
  <c r="I2268" i="1"/>
  <c r="J2268" i="1" s="1"/>
  <c r="I2269" i="1"/>
  <c r="J2269" i="1" s="1"/>
  <c r="I2275" i="1"/>
  <c r="J2275" i="1" s="1"/>
  <c r="I2276" i="1"/>
  <c r="J2276" i="1" s="1"/>
  <c r="I2277" i="1"/>
  <c r="J2277" i="1" s="1"/>
  <c r="I2278" i="1"/>
  <c r="J2278" i="1" s="1"/>
  <c r="I2279" i="1"/>
  <c r="J2279" i="1" s="1"/>
  <c r="I2283" i="1"/>
  <c r="J2283" i="1" s="1"/>
  <c r="I2284" i="1"/>
  <c r="J2284" i="1" s="1"/>
  <c r="I2285" i="1"/>
  <c r="J2285" i="1" s="1"/>
  <c r="I2286" i="1"/>
  <c r="J2286" i="1" s="1"/>
  <c r="I2287" i="1"/>
  <c r="J2287" i="1" s="1"/>
  <c r="I2293" i="1"/>
  <c r="J2293" i="1" s="1"/>
  <c r="I2294" i="1"/>
  <c r="J2294" i="1" s="1"/>
  <c r="I2295" i="1"/>
  <c r="J2295" i="1" s="1"/>
  <c r="I2296" i="1"/>
  <c r="J2296" i="1" s="1"/>
  <c r="I2297" i="1"/>
  <c r="J2297" i="1" s="1"/>
  <c r="I2298" i="1"/>
  <c r="J2298" i="1" s="1"/>
  <c r="I2299" i="1"/>
  <c r="J2299" i="1" s="1"/>
  <c r="I2300" i="1"/>
  <c r="J2300" i="1" s="1"/>
  <c r="I2301" i="1"/>
  <c r="J2301" i="1" s="1"/>
  <c r="I2307" i="1"/>
  <c r="J2307" i="1" s="1"/>
  <c r="I2308" i="1"/>
  <c r="J2308" i="1" s="1"/>
  <c r="I2309" i="1"/>
  <c r="J2309" i="1" s="1"/>
  <c r="I2310" i="1"/>
  <c r="J2310" i="1" s="1"/>
  <c r="I2311" i="1"/>
  <c r="J2311" i="1" s="1"/>
  <c r="I2318" i="1"/>
  <c r="J2318" i="1" s="1"/>
  <c r="I2319" i="1"/>
  <c r="J2319" i="1" s="1"/>
  <c r="I2320" i="1"/>
  <c r="J2320" i="1" s="1"/>
  <c r="I2321" i="1"/>
  <c r="J2321" i="1" s="1"/>
  <c r="I2322" i="1"/>
  <c r="J2322" i="1" s="1"/>
  <c r="I2328" i="1"/>
  <c r="J2328" i="1" s="1"/>
  <c r="I2329" i="1"/>
  <c r="J2329" i="1" s="1"/>
  <c r="I2330" i="1"/>
  <c r="J2330" i="1" s="1"/>
  <c r="I2331" i="1"/>
  <c r="J2331" i="1" s="1"/>
  <c r="I2332" i="1"/>
  <c r="J2332" i="1" s="1"/>
  <c r="I2333" i="1"/>
  <c r="J2333" i="1" s="1"/>
  <c r="I2334" i="1"/>
  <c r="J2334" i="1" s="1"/>
  <c r="I2335" i="1"/>
  <c r="J2335" i="1" s="1"/>
  <c r="I2336" i="1"/>
  <c r="J2336" i="1" s="1"/>
  <c r="I2340" i="1"/>
  <c r="J2340" i="1" s="1"/>
  <c r="I2341" i="1"/>
  <c r="J2341" i="1" s="1"/>
  <c r="I2342" i="1"/>
  <c r="J2342" i="1" s="1"/>
  <c r="I2343" i="1"/>
  <c r="J2343" i="1" s="1"/>
  <c r="I2344" i="1"/>
  <c r="J2344" i="1" s="1"/>
  <c r="I2345" i="1"/>
  <c r="J2345" i="1" s="1"/>
  <c r="I2350" i="1"/>
  <c r="J2350" i="1" s="1"/>
  <c r="I2351" i="1"/>
  <c r="J2351" i="1" s="1"/>
  <c r="I2352" i="1"/>
  <c r="J2352" i="1" s="1"/>
  <c r="I2353" i="1"/>
  <c r="J2353" i="1" s="1"/>
  <c r="I2354" i="1"/>
  <c r="J2354" i="1" s="1"/>
  <c r="I2355" i="1"/>
  <c r="J2355" i="1" s="1"/>
  <c r="I2356" i="1"/>
  <c r="J2356" i="1" s="1"/>
  <c r="I2357" i="1"/>
  <c r="J2357" i="1" s="1"/>
  <c r="I2362" i="1"/>
  <c r="J2362" i="1" s="1"/>
  <c r="I2363" i="1"/>
  <c r="J2363" i="1" s="1"/>
  <c r="I2364" i="1"/>
  <c r="J2364" i="1" s="1"/>
  <c r="I2365" i="1"/>
  <c r="J2365" i="1" s="1"/>
  <c r="I2366" i="1"/>
  <c r="J2366" i="1" s="1"/>
  <c r="I2367" i="1"/>
  <c r="J2367" i="1" s="1"/>
  <c r="I2368" i="1"/>
  <c r="J2368" i="1" s="1"/>
  <c r="I2369" i="1"/>
  <c r="J2369" i="1" s="1"/>
  <c r="I2374" i="1"/>
  <c r="J2374" i="1" s="1"/>
  <c r="I2375" i="1"/>
  <c r="J2375" i="1" s="1"/>
  <c r="I2376" i="1"/>
  <c r="J2376" i="1" s="1"/>
  <c r="I2377" i="1"/>
  <c r="J2377" i="1" s="1"/>
  <c r="I2378" i="1"/>
  <c r="J2378" i="1" s="1"/>
  <c r="I2382" i="1"/>
  <c r="J2382" i="1" s="1"/>
  <c r="I2383" i="1"/>
  <c r="J2383" i="1" s="1"/>
  <c r="I2384" i="1"/>
  <c r="J2384" i="1" s="1"/>
  <c r="I2385" i="1"/>
  <c r="J2385" i="1" s="1"/>
  <c r="I2386" i="1"/>
  <c r="J2386" i="1" s="1"/>
  <c r="I2387" i="1"/>
  <c r="J2387" i="1" s="1"/>
  <c r="I2388" i="1"/>
  <c r="J2388" i="1" s="1"/>
  <c r="I2389" i="1"/>
  <c r="J2389" i="1" s="1"/>
  <c r="I2393" i="1"/>
  <c r="J2393" i="1" s="1"/>
  <c r="I2394" i="1"/>
  <c r="J2394" i="1" s="1"/>
  <c r="I2395" i="1"/>
  <c r="J2395" i="1" s="1"/>
  <c r="I2396" i="1"/>
  <c r="J2396" i="1" s="1"/>
  <c r="I2397" i="1"/>
  <c r="J2397" i="1" s="1"/>
  <c r="I2398" i="1"/>
  <c r="J2398" i="1" s="1"/>
  <c r="I2399" i="1"/>
  <c r="J2399" i="1" s="1"/>
  <c r="I2400" i="1"/>
  <c r="J2400" i="1" s="1"/>
  <c r="I2401" i="1"/>
  <c r="J2401" i="1" s="1"/>
  <c r="I2402" i="1"/>
  <c r="J2402" i="1" s="1"/>
  <c r="I2405" i="1"/>
  <c r="J2405" i="1" s="1"/>
  <c r="I2406" i="1"/>
  <c r="J2406" i="1" s="1"/>
  <c r="I2407" i="1"/>
  <c r="J2407" i="1" s="1"/>
  <c r="I2408" i="1"/>
  <c r="J2408" i="1" s="1"/>
  <c r="I2409" i="1"/>
  <c r="J2409" i="1" s="1"/>
  <c r="I2410" i="1"/>
  <c r="J2410" i="1" s="1"/>
  <c r="I2411" i="1"/>
  <c r="J2411" i="1" s="1"/>
  <c r="I2416" i="1"/>
  <c r="J2416" i="1" s="1"/>
  <c r="I2417" i="1"/>
  <c r="J2417" i="1" s="1"/>
  <c r="I2418" i="1"/>
  <c r="J2418" i="1" s="1"/>
  <c r="I2419" i="1"/>
  <c r="J2419" i="1" s="1"/>
  <c r="I2420" i="1"/>
  <c r="J2420" i="1" s="1"/>
  <c r="I2421" i="1"/>
  <c r="J2421" i="1" s="1"/>
  <c r="I2422" i="1"/>
  <c r="J2422" i="1" s="1"/>
  <c r="I2423" i="1"/>
  <c r="J2423" i="1" s="1"/>
  <c r="I2424" i="1"/>
  <c r="J2424" i="1" s="1"/>
  <c r="I2425" i="1"/>
  <c r="J2425" i="1" s="1"/>
  <c r="I2431" i="1"/>
  <c r="J2431" i="1" s="1"/>
  <c r="I2432" i="1"/>
  <c r="J2432" i="1" s="1"/>
  <c r="I2433" i="1"/>
  <c r="J2433" i="1" s="1"/>
  <c r="I2434" i="1"/>
  <c r="J2434" i="1" s="1"/>
  <c r="I2435" i="1"/>
  <c r="J2435" i="1" s="1"/>
  <c r="I2438" i="1"/>
  <c r="J2438" i="1" s="1"/>
  <c r="I2439" i="1"/>
  <c r="J2439" i="1" s="1"/>
  <c r="I2440" i="1"/>
  <c r="J2440" i="1" s="1"/>
  <c r="I2441" i="1"/>
  <c r="J2441" i="1" s="1"/>
  <c r="I2442" i="1"/>
  <c r="J2442" i="1" s="1"/>
  <c r="I2443" i="1"/>
  <c r="J2443" i="1" s="1"/>
  <c r="I2444" i="1"/>
  <c r="J2444" i="1" s="1"/>
  <c r="I2445" i="1"/>
  <c r="J2445" i="1" s="1"/>
  <c r="I2446" i="1"/>
  <c r="J2446" i="1" s="1"/>
  <c r="I2447" i="1"/>
  <c r="J2447" i="1" s="1"/>
  <c r="I2449" i="1"/>
  <c r="J2449" i="1" s="1"/>
  <c r="I2450" i="1"/>
  <c r="J2450" i="1" s="1"/>
  <c r="I2451" i="1"/>
  <c r="J2451" i="1" s="1"/>
  <c r="I2452" i="1"/>
  <c r="J2452" i="1" s="1"/>
  <c r="I2453" i="1"/>
  <c r="J2453" i="1" s="1"/>
  <c r="I2454" i="1"/>
  <c r="J2454" i="1" s="1"/>
  <c r="I2455" i="1"/>
  <c r="J2455" i="1" s="1"/>
  <c r="I2456" i="1"/>
  <c r="J2456" i="1" s="1"/>
  <c r="I2457" i="1"/>
  <c r="J2457" i="1" s="1"/>
  <c r="I2462" i="1"/>
  <c r="J2462" i="1" s="1"/>
  <c r="I2463" i="1"/>
  <c r="J2463" i="1" s="1"/>
  <c r="I2464" i="1"/>
  <c r="J2464" i="1" s="1"/>
  <c r="I2465" i="1"/>
  <c r="J2465" i="1" s="1"/>
  <c r="I2466" i="1"/>
  <c r="J2466" i="1" s="1"/>
  <c r="I2467" i="1"/>
  <c r="J2467" i="1" s="1"/>
  <c r="I2468" i="1"/>
  <c r="J2468" i="1" s="1"/>
  <c r="I2469" i="1"/>
  <c r="J2469" i="1" s="1"/>
  <c r="I2470" i="1"/>
  <c r="J2470" i="1" s="1"/>
  <c r="I2473" i="1"/>
  <c r="J2473" i="1" s="1"/>
  <c r="I2474" i="1"/>
  <c r="J2474" i="1" s="1"/>
  <c r="I2475" i="1"/>
  <c r="J2475" i="1" s="1"/>
  <c r="I2476" i="1"/>
  <c r="J2476" i="1" s="1"/>
  <c r="I2477" i="1"/>
  <c r="J2477" i="1" s="1"/>
  <c r="I2478" i="1"/>
  <c r="J2478" i="1" s="1"/>
  <c r="I2479" i="1"/>
  <c r="J2479" i="1" s="1"/>
  <c r="I2483" i="1"/>
  <c r="J2483" i="1" s="1"/>
  <c r="I2484" i="1"/>
  <c r="J2484" i="1" s="1"/>
  <c r="I2485" i="1"/>
  <c r="J2485" i="1" s="1"/>
  <c r="I2486" i="1"/>
  <c r="J2486" i="1" s="1"/>
  <c r="I2487" i="1"/>
  <c r="J2487" i="1" s="1"/>
  <c r="I2488" i="1"/>
  <c r="J2488" i="1" s="1"/>
  <c r="I2491" i="1"/>
  <c r="J2491" i="1" s="1"/>
  <c r="I2492" i="1"/>
  <c r="J2492" i="1" s="1"/>
  <c r="I2493" i="1"/>
  <c r="J2493" i="1" s="1"/>
  <c r="I2494" i="1"/>
  <c r="J2494" i="1" s="1"/>
  <c r="I2495" i="1"/>
  <c r="J2495" i="1" s="1"/>
  <c r="I2496" i="1"/>
  <c r="J2496" i="1" s="1"/>
  <c r="I2497" i="1"/>
  <c r="J2497" i="1" s="1"/>
  <c r="I2501" i="1"/>
  <c r="J2501" i="1" s="1"/>
  <c r="I2502" i="1"/>
  <c r="J2502" i="1" s="1"/>
  <c r="I2503" i="1"/>
  <c r="J2503" i="1" s="1"/>
  <c r="I2504" i="1"/>
  <c r="J2504" i="1" s="1"/>
  <c r="I2505" i="1"/>
  <c r="J2505" i="1" s="1"/>
  <c r="I2506" i="1"/>
  <c r="J2506" i="1" s="1"/>
  <c r="I2507" i="1"/>
  <c r="J2507" i="1" s="1"/>
  <c r="I2508" i="1"/>
  <c r="J2508" i="1" s="1"/>
  <c r="I2509" i="1"/>
  <c r="J2509" i="1" s="1"/>
  <c r="I2515" i="1"/>
  <c r="J2515" i="1" s="1"/>
  <c r="I2516" i="1"/>
  <c r="J2516" i="1" s="1"/>
  <c r="I2517" i="1"/>
  <c r="J2517" i="1" s="1"/>
  <c r="I2518" i="1"/>
  <c r="J2518" i="1" s="1"/>
  <c r="I2519" i="1"/>
  <c r="J2519" i="1" s="1"/>
  <c r="I2520" i="1"/>
  <c r="J2520" i="1" s="1"/>
  <c r="I2521" i="1"/>
  <c r="J2521" i="1" s="1"/>
  <c r="I2525" i="1"/>
  <c r="J2525" i="1" s="1"/>
  <c r="I2526" i="1"/>
  <c r="J2526" i="1" s="1"/>
  <c r="I2527" i="1"/>
  <c r="J2527" i="1" s="1"/>
  <c r="I2528" i="1"/>
  <c r="J2528" i="1" s="1"/>
  <c r="I2529" i="1"/>
  <c r="J2529" i="1" s="1"/>
  <c r="I2530" i="1"/>
  <c r="J2530" i="1" s="1"/>
  <c r="I2531" i="1"/>
  <c r="J2531" i="1" s="1"/>
  <c r="I2532" i="1"/>
  <c r="J2532" i="1" s="1"/>
  <c r="I2535" i="1"/>
  <c r="J2535" i="1" s="1"/>
  <c r="I2536" i="1"/>
  <c r="J2536" i="1" s="1"/>
  <c r="I2537" i="1"/>
  <c r="J2537" i="1" s="1"/>
  <c r="I2538" i="1"/>
  <c r="J2538" i="1" s="1"/>
  <c r="I2539" i="1"/>
  <c r="J2539" i="1" s="1"/>
  <c r="I2540" i="1"/>
  <c r="J2540" i="1" s="1"/>
  <c r="I2544" i="1"/>
  <c r="J2544" i="1" s="1"/>
  <c r="I2545" i="1"/>
  <c r="J2545" i="1" s="1"/>
  <c r="I2546" i="1"/>
  <c r="J2546" i="1" s="1"/>
  <c r="I2547" i="1"/>
  <c r="J2547" i="1" s="1"/>
  <c r="I2548" i="1"/>
  <c r="J2548" i="1" s="1"/>
  <c r="I2549" i="1"/>
  <c r="J2549" i="1" s="1"/>
  <c r="I2550" i="1"/>
  <c r="J2550" i="1" s="1"/>
  <c r="I2551" i="1"/>
  <c r="J2551" i="1" s="1"/>
  <c r="I2552" i="1"/>
  <c r="J2552" i="1" s="1"/>
  <c r="I2553" i="1"/>
  <c r="J2553" i="1" s="1"/>
  <c r="I2557" i="1"/>
  <c r="J2557" i="1" s="1"/>
  <c r="I2558" i="1"/>
  <c r="J2558" i="1" s="1"/>
  <c r="I2559" i="1"/>
  <c r="J2559" i="1" s="1"/>
  <c r="I2560" i="1"/>
  <c r="J2560" i="1" s="1"/>
  <c r="I2561" i="1"/>
  <c r="J2561" i="1" s="1"/>
  <c r="I2562" i="1"/>
  <c r="J2562" i="1" s="1"/>
  <c r="I2568" i="1"/>
  <c r="J2568" i="1" s="1"/>
  <c r="I2569" i="1"/>
  <c r="J2569" i="1" s="1"/>
  <c r="I2570" i="1"/>
  <c r="J2570" i="1" s="1"/>
  <c r="I2571" i="1"/>
  <c r="J2571" i="1" s="1"/>
  <c r="I2572" i="1"/>
  <c r="J2572" i="1" s="1"/>
  <c r="I2575" i="1"/>
  <c r="J2575" i="1" s="1"/>
  <c r="I2576" i="1"/>
  <c r="J2576" i="1" s="1"/>
  <c r="I2577" i="1"/>
  <c r="J2577" i="1" s="1"/>
  <c r="I2578" i="1"/>
  <c r="J2578" i="1" s="1"/>
  <c r="I2579" i="1"/>
  <c r="J2579" i="1" s="1"/>
  <c r="I2580" i="1"/>
  <c r="J2580" i="1" s="1"/>
  <c r="I2581" i="1"/>
  <c r="J2581" i="1" s="1"/>
  <c r="I2582" i="1"/>
  <c r="J2582" i="1" s="1"/>
  <c r="I2583" i="1"/>
  <c r="J2583" i="1" s="1"/>
  <c r="I2584" i="1"/>
  <c r="J2584" i="1" s="1"/>
  <c r="I2587" i="1"/>
  <c r="J2587" i="1" s="1"/>
  <c r="I2588" i="1"/>
  <c r="J2588" i="1" s="1"/>
  <c r="I2589" i="1"/>
  <c r="J2589" i="1" s="1"/>
  <c r="I2590" i="1"/>
  <c r="J2590" i="1" s="1"/>
  <c r="I2591" i="1"/>
  <c r="J2591" i="1" s="1"/>
  <c r="I2592" i="1"/>
  <c r="J2592" i="1" s="1"/>
  <c r="I2593" i="1"/>
  <c r="J2593" i="1" s="1"/>
  <c r="I2594" i="1"/>
  <c r="J2594" i="1" s="1"/>
  <c r="I2597" i="1"/>
  <c r="J2597" i="1" s="1"/>
  <c r="I2598" i="1"/>
  <c r="J2598" i="1" s="1"/>
  <c r="I2599" i="1"/>
  <c r="J2599" i="1" s="1"/>
  <c r="I2600" i="1"/>
  <c r="J2600" i="1" s="1"/>
  <c r="I2601" i="1"/>
  <c r="J2601" i="1" s="1"/>
  <c r="I2602" i="1"/>
  <c r="J2602" i="1" s="1"/>
  <c r="I2603" i="1"/>
  <c r="J2603" i="1" s="1"/>
  <c r="I2604" i="1"/>
  <c r="J2604" i="1" s="1"/>
  <c r="I2605" i="1"/>
  <c r="J2605" i="1" s="1"/>
  <c r="I2606" i="1"/>
  <c r="J2606" i="1" s="1"/>
  <c r="I2610" i="1"/>
  <c r="J2610" i="1" s="1"/>
  <c r="I2611" i="1"/>
  <c r="J2611" i="1" s="1"/>
  <c r="I2612" i="1"/>
  <c r="J2612" i="1" s="1"/>
  <c r="I2613" i="1"/>
  <c r="J2613" i="1" s="1"/>
  <c r="I2614" i="1"/>
  <c r="J2614" i="1" s="1"/>
  <c r="I2615" i="1"/>
  <c r="J2615" i="1" s="1"/>
  <c r="I2616" i="1"/>
  <c r="J2616" i="1" s="1"/>
  <c r="I2617" i="1"/>
  <c r="J2617" i="1" s="1"/>
  <c r="I2618" i="1"/>
  <c r="J2618" i="1" s="1"/>
  <c r="I2619" i="1"/>
  <c r="J2619" i="1" s="1"/>
  <c r="I2624" i="1"/>
  <c r="J2624" i="1" s="1"/>
  <c r="I2625" i="1"/>
  <c r="J2625" i="1" s="1"/>
  <c r="I2626" i="1"/>
  <c r="J2626" i="1" s="1"/>
  <c r="I2627" i="1"/>
  <c r="J2627" i="1" s="1"/>
  <c r="I2628" i="1"/>
  <c r="J2628" i="1" s="1"/>
  <c r="I2629" i="1"/>
  <c r="J2629" i="1" s="1"/>
  <c r="I2630" i="1"/>
  <c r="J2630" i="1" s="1"/>
  <c r="I2631" i="1"/>
  <c r="J2631" i="1" s="1"/>
  <c r="I2632" i="1"/>
  <c r="J2632" i="1" s="1"/>
  <c r="I2633" i="1"/>
  <c r="J2633" i="1" s="1"/>
  <c r="I2636" i="1"/>
  <c r="J2636" i="1" s="1"/>
  <c r="I2637" i="1"/>
  <c r="J2637" i="1" s="1"/>
  <c r="I2638" i="1"/>
  <c r="J2638" i="1" s="1"/>
  <c r="I2639" i="1"/>
  <c r="J2639" i="1" s="1"/>
  <c r="I2640" i="1"/>
  <c r="J2640" i="1" s="1"/>
  <c r="I2641" i="1"/>
  <c r="J2641" i="1" s="1"/>
  <c r="I2643" i="1"/>
  <c r="J2643" i="1" s="1"/>
  <c r="I2644" i="1"/>
  <c r="J2644" i="1" s="1"/>
  <c r="I2645" i="1"/>
  <c r="J2645" i="1" s="1"/>
  <c r="I2646" i="1"/>
  <c r="J2646" i="1" s="1"/>
  <c r="I2647" i="1"/>
  <c r="J2647" i="1" s="1"/>
  <c r="I2648" i="1"/>
  <c r="J2648" i="1" s="1"/>
  <c r="I2649" i="1"/>
  <c r="J2649" i="1" s="1"/>
  <c r="I2653" i="1"/>
  <c r="J2653" i="1" s="1"/>
  <c r="I2654" i="1"/>
  <c r="J2654" i="1" s="1"/>
  <c r="I2655" i="1"/>
  <c r="J2655" i="1" s="1"/>
  <c r="I2656" i="1"/>
  <c r="J2656" i="1" s="1"/>
  <c r="I2657" i="1"/>
  <c r="J2657" i="1" s="1"/>
  <c r="I2658" i="1"/>
  <c r="J2658" i="1" s="1"/>
  <c r="I2659" i="1"/>
  <c r="J2659" i="1" s="1"/>
  <c r="I2660" i="1"/>
  <c r="J2660" i="1" s="1"/>
  <c r="I2661" i="1"/>
  <c r="J2661" i="1" s="1"/>
  <c r="I2662" i="1"/>
  <c r="J2662" i="1" s="1"/>
  <c r="I2663" i="1"/>
  <c r="J2663" i="1" s="1"/>
  <c r="I2664" i="1"/>
  <c r="J2664" i="1" s="1"/>
  <c r="I2665" i="1"/>
  <c r="J2665" i="1" s="1"/>
  <c r="I2666" i="1"/>
  <c r="J2666" i="1" s="1"/>
  <c r="I2669" i="1"/>
  <c r="J2669" i="1" s="1"/>
  <c r="I2670" i="1"/>
  <c r="J2670" i="1" s="1"/>
  <c r="I2671" i="1"/>
  <c r="J2671" i="1" s="1"/>
  <c r="I2672" i="1"/>
  <c r="J2672" i="1" s="1"/>
  <c r="I2673" i="1"/>
  <c r="J2673" i="1" s="1"/>
  <c r="I2675" i="1"/>
  <c r="J2675" i="1" s="1"/>
  <c r="I2676" i="1"/>
  <c r="J2676" i="1" s="1"/>
  <c r="I2677" i="1"/>
  <c r="J2677" i="1" s="1"/>
  <c r="I2678" i="1"/>
  <c r="J2678" i="1" s="1"/>
  <c r="I2679" i="1"/>
  <c r="J2679" i="1" s="1"/>
  <c r="I2680" i="1"/>
  <c r="J2680" i="1" s="1"/>
  <c r="I2681" i="1"/>
  <c r="J2681" i="1" s="1"/>
  <c r="I2682" i="1"/>
  <c r="J2682" i="1" s="1"/>
  <c r="I2683" i="1"/>
  <c r="J2683" i="1" s="1"/>
  <c r="I2686" i="1"/>
  <c r="J2686" i="1" s="1"/>
  <c r="I2687" i="1"/>
  <c r="J2687" i="1" s="1"/>
  <c r="I2688" i="1"/>
  <c r="J2688" i="1" s="1"/>
  <c r="I2689" i="1"/>
  <c r="J2689" i="1" s="1"/>
  <c r="I2690" i="1"/>
  <c r="J2690" i="1" s="1"/>
  <c r="I2691" i="1"/>
  <c r="J2691" i="1" s="1"/>
  <c r="I2692" i="1"/>
  <c r="J2692" i="1" s="1"/>
  <c r="I2693" i="1"/>
  <c r="J2693" i="1" s="1"/>
  <c r="I2694" i="1"/>
  <c r="J2694" i="1" s="1"/>
  <c r="I2695" i="1"/>
  <c r="J2695" i="1" s="1"/>
  <c r="I2700" i="1"/>
  <c r="J2700" i="1" s="1"/>
  <c r="I2701" i="1"/>
  <c r="J2701" i="1" s="1"/>
  <c r="I2702" i="1"/>
  <c r="J2702" i="1" s="1"/>
  <c r="I2703" i="1"/>
  <c r="J2703" i="1" s="1"/>
  <c r="I2704" i="1"/>
  <c r="J2704" i="1" s="1"/>
  <c r="I2705" i="1"/>
  <c r="J2705" i="1" s="1"/>
  <c r="I2706" i="1"/>
  <c r="J2706" i="1" s="1"/>
  <c r="I2710" i="1"/>
  <c r="J2710" i="1" s="1"/>
  <c r="I2711" i="1"/>
  <c r="J2711" i="1" s="1"/>
  <c r="I2712" i="1"/>
  <c r="J2712" i="1" s="1"/>
  <c r="I2713" i="1"/>
  <c r="J2713" i="1" s="1"/>
  <c r="I2714" i="1"/>
  <c r="J2714" i="1" s="1"/>
  <c r="I2715" i="1"/>
  <c r="J2715" i="1" s="1"/>
  <c r="I2716" i="1"/>
  <c r="J2716" i="1" s="1"/>
  <c r="I2717" i="1"/>
  <c r="J2717" i="1" s="1"/>
  <c r="I2718" i="1"/>
  <c r="J2718" i="1" s="1"/>
  <c r="I2726" i="1"/>
  <c r="J2726" i="1" s="1"/>
  <c r="I2727" i="1"/>
  <c r="J2727" i="1" s="1"/>
  <c r="I2728" i="1"/>
  <c r="J2728" i="1" s="1"/>
  <c r="I2729" i="1"/>
  <c r="J2729" i="1" s="1"/>
  <c r="I2730" i="1"/>
  <c r="J2730" i="1" s="1"/>
  <c r="I2731" i="1"/>
  <c r="J2731" i="1" s="1"/>
  <c r="I2734" i="1"/>
  <c r="J2734" i="1" s="1"/>
  <c r="I2735" i="1"/>
  <c r="J2735" i="1" s="1"/>
  <c r="I2736" i="1"/>
  <c r="J2736" i="1" s="1"/>
  <c r="I2737" i="1"/>
  <c r="J2737" i="1" s="1"/>
  <c r="I2738" i="1"/>
  <c r="J2738" i="1" s="1"/>
  <c r="I2739" i="1"/>
  <c r="J2739" i="1" s="1"/>
  <c r="I2745" i="1"/>
  <c r="J2745" i="1" s="1"/>
  <c r="I2746" i="1"/>
  <c r="J2746" i="1" s="1"/>
  <c r="I2747" i="1"/>
  <c r="J2747" i="1" s="1"/>
  <c r="I2748" i="1"/>
  <c r="J2748" i="1" s="1"/>
  <c r="I2749" i="1"/>
  <c r="J2749" i="1" s="1"/>
  <c r="I2750" i="1"/>
  <c r="J2750" i="1" s="1"/>
  <c r="I2751" i="1"/>
  <c r="J2751" i="1" s="1"/>
  <c r="I2754" i="1"/>
  <c r="J2754" i="1" s="1"/>
  <c r="I2755" i="1"/>
  <c r="J2755" i="1" s="1"/>
  <c r="I2756" i="1"/>
  <c r="J2756" i="1" s="1"/>
  <c r="I2757" i="1"/>
  <c r="J2757" i="1" s="1"/>
  <c r="I2758" i="1"/>
  <c r="J2758" i="1" s="1"/>
  <c r="I2759" i="1"/>
  <c r="J2759" i="1" s="1"/>
  <c r="I2760" i="1"/>
  <c r="J2760" i="1" s="1"/>
  <c r="I2761" i="1"/>
  <c r="J2761" i="1" s="1"/>
  <c r="I2762" i="1"/>
  <c r="J2762" i="1" s="1"/>
  <c r="I2766" i="1"/>
  <c r="J2766" i="1" s="1"/>
  <c r="I2767" i="1"/>
  <c r="J2767" i="1" s="1"/>
  <c r="I2768" i="1"/>
  <c r="J2768" i="1" s="1"/>
  <c r="I2769" i="1"/>
  <c r="J2769" i="1" s="1"/>
  <c r="I2770" i="1"/>
  <c r="J2770" i="1" s="1"/>
  <c r="I2771" i="1"/>
  <c r="J2771" i="1" s="1"/>
  <c r="I2772" i="1"/>
  <c r="J2772" i="1" s="1"/>
  <c r="I2773" i="1"/>
  <c r="J2773" i="1" s="1"/>
  <c r="I2777" i="1"/>
  <c r="J2777" i="1" s="1"/>
  <c r="I2778" i="1"/>
  <c r="J2778" i="1" s="1"/>
  <c r="I2779" i="1"/>
  <c r="J2779" i="1" s="1"/>
  <c r="I2780" i="1"/>
  <c r="J2780" i="1" s="1"/>
  <c r="I2781" i="1"/>
  <c r="J2781" i="1" s="1"/>
  <c r="I2782" i="1"/>
  <c r="J2782" i="1" s="1"/>
  <c r="I2786" i="1"/>
  <c r="J2786" i="1" s="1"/>
  <c r="I2787" i="1"/>
  <c r="J2787" i="1" s="1"/>
  <c r="I2788" i="1"/>
  <c r="J2788" i="1" s="1"/>
  <c r="I2789" i="1"/>
  <c r="J2789" i="1" s="1"/>
  <c r="I2790" i="1"/>
  <c r="J2790" i="1" s="1"/>
  <c r="I2791" i="1"/>
  <c r="J2791" i="1" s="1"/>
  <c r="I2792" i="1"/>
  <c r="J2792" i="1" s="1"/>
  <c r="I2797" i="1"/>
  <c r="J2797" i="1" s="1"/>
  <c r="I2798" i="1"/>
  <c r="J2798" i="1" s="1"/>
  <c r="I2799" i="1"/>
  <c r="J2799" i="1" s="1"/>
  <c r="I2800" i="1"/>
  <c r="J2800" i="1" s="1"/>
  <c r="I2801" i="1"/>
  <c r="J2801" i="1" s="1"/>
  <c r="I2802" i="1"/>
  <c r="J2802" i="1" s="1"/>
  <c r="I2803" i="1"/>
  <c r="J2803" i="1" s="1"/>
  <c r="I2807" i="1"/>
  <c r="J2807" i="1" s="1"/>
  <c r="I2808" i="1"/>
  <c r="J2808" i="1" s="1"/>
  <c r="I2809" i="1"/>
  <c r="J2809" i="1" s="1"/>
  <c r="I2810" i="1"/>
  <c r="J2810" i="1" s="1"/>
  <c r="I2811" i="1"/>
  <c r="J2811" i="1" s="1"/>
  <c r="I2812" i="1"/>
  <c r="J2812" i="1" s="1"/>
  <c r="I2813" i="1"/>
  <c r="J2813" i="1" s="1"/>
  <c r="I2814" i="1"/>
  <c r="J2814" i="1" s="1"/>
  <c r="I2815" i="1"/>
  <c r="J2815" i="1" s="1"/>
  <c r="I2819" i="1"/>
  <c r="J2819" i="1" s="1"/>
  <c r="I2820" i="1"/>
  <c r="J2820" i="1" s="1"/>
  <c r="I2821" i="1"/>
  <c r="J2821" i="1" s="1"/>
  <c r="I2822" i="1"/>
  <c r="J2822" i="1" s="1"/>
  <c r="I2823" i="1"/>
  <c r="J2823" i="1" s="1"/>
  <c r="I2824" i="1"/>
  <c r="J2824" i="1" s="1"/>
  <c r="I2825" i="1"/>
  <c r="J2825" i="1" s="1"/>
  <c r="I2826" i="1"/>
  <c r="J2826" i="1" s="1"/>
  <c r="I2827" i="1"/>
  <c r="J2827" i="1" s="1"/>
  <c r="I2832" i="1"/>
  <c r="J2832" i="1" s="1"/>
  <c r="I2833" i="1"/>
  <c r="J2833" i="1" s="1"/>
  <c r="I2834" i="1"/>
  <c r="J2834" i="1" s="1"/>
  <c r="I2835" i="1"/>
  <c r="J2835" i="1" s="1"/>
  <c r="I2836" i="1"/>
  <c r="J2836" i="1" s="1"/>
  <c r="I2837" i="1"/>
  <c r="J2837" i="1" s="1"/>
  <c r="I2838" i="1"/>
  <c r="J2838" i="1" s="1"/>
  <c r="I2839" i="1"/>
  <c r="J2839" i="1" s="1"/>
  <c r="I2849" i="1"/>
  <c r="J2849" i="1" s="1"/>
  <c r="I2850" i="1"/>
  <c r="J2850" i="1" s="1"/>
  <c r="I2851" i="1"/>
  <c r="J2851" i="1" s="1"/>
  <c r="I2852" i="1"/>
  <c r="J2852" i="1" s="1"/>
  <c r="I2853" i="1"/>
  <c r="J2853" i="1" s="1"/>
  <c r="I2854" i="1"/>
  <c r="J2854" i="1" s="1"/>
  <c r="I2857" i="1"/>
  <c r="J2857" i="1" s="1"/>
  <c r="I2858" i="1"/>
  <c r="J2858" i="1" s="1"/>
  <c r="I2859" i="1"/>
  <c r="J2859" i="1" s="1"/>
  <c r="I2860" i="1"/>
  <c r="J2860" i="1" s="1"/>
  <c r="I2861" i="1"/>
  <c r="J2861" i="1" s="1"/>
  <c r="I2862" i="1"/>
  <c r="J2862" i="1" s="1"/>
  <c r="I2863" i="1"/>
  <c r="J2863" i="1" s="1"/>
  <c r="I2864" i="1"/>
  <c r="J2864" i="1" s="1"/>
  <c r="I2868" i="1"/>
  <c r="J2868" i="1" s="1"/>
  <c r="I2869" i="1"/>
  <c r="J2869" i="1" s="1"/>
  <c r="I2870" i="1"/>
  <c r="J2870" i="1" s="1"/>
  <c r="I2871" i="1"/>
  <c r="J2871" i="1" s="1"/>
  <c r="I2872" i="1"/>
  <c r="J2872" i="1" s="1"/>
  <c r="I2873" i="1"/>
  <c r="J2873" i="1" s="1"/>
  <c r="I2874" i="1"/>
  <c r="J2874" i="1" s="1"/>
  <c r="I2875" i="1"/>
  <c r="J2875" i="1" s="1"/>
  <c r="I2879" i="1"/>
  <c r="J2879" i="1" s="1"/>
  <c r="I2880" i="1"/>
  <c r="J2880" i="1" s="1"/>
  <c r="I2881" i="1"/>
  <c r="J2881" i="1" s="1"/>
  <c r="I2882" i="1"/>
  <c r="J2882" i="1" s="1"/>
  <c r="I2883" i="1"/>
  <c r="J2883" i="1" s="1"/>
  <c r="I2884" i="1"/>
  <c r="J2884" i="1" s="1"/>
  <c r="I2885" i="1"/>
  <c r="J2885" i="1" s="1"/>
  <c r="I2886" i="1"/>
  <c r="J2886" i="1" s="1"/>
  <c r="I2889" i="1"/>
  <c r="J2889" i="1" s="1"/>
  <c r="I2890" i="1"/>
  <c r="J2890" i="1" s="1"/>
  <c r="I2891" i="1"/>
  <c r="J2891" i="1" s="1"/>
  <c r="I2892" i="1"/>
  <c r="J2892" i="1" s="1"/>
  <c r="I2893" i="1"/>
  <c r="J2893" i="1" s="1"/>
  <c r="I2894" i="1"/>
  <c r="J2894" i="1" s="1"/>
  <c r="I2895" i="1"/>
  <c r="J2895" i="1" s="1"/>
  <c r="I2902" i="1"/>
  <c r="J2902" i="1" s="1"/>
  <c r="I2903" i="1"/>
  <c r="J2903" i="1" s="1"/>
  <c r="I2904" i="1"/>
  <c r="J2904" i="1" s="1"/>
  <c r="I2905" i="1"/>
  <c r="J2905" i="1" s="1"/>
  <c r="I2906" i="1"/>
  <c r="J2906" i="1" s="1"/>
  <c r="I2907" i="1"/>
  <c r="J2907" i="1" s="1"/>
  <c r="I2908" i="1"/>
  <c r="J2908" i="1" s="1"/>
  <c r="I2909" i="1"/>
  <c r="J2909" i="1" s="1"/>
  <c r="I2910" i="1"/>
  <c r="J2910" i="1" s="1"/>
  <c r="I2911" i="1"/>
  <c r="J2911" i="1" s="1"/>
  <c r="I2915" i="1"/>
  <c r="J2915" i="1" s="1"/>
  <c r="I2916" i="1"/>
  <c r="J2916" i="1" s="1"/>
  <c r="I2917" i="1"/>
  <c r="J2917" i="1" s="1"/>
  <c r="I2918" i="1"/>
  <c r="J2918" i="1" s="1"/>
  <c r="I2919" i="1"/>
  <c r="J2919" i="1" s="1"/>
  <c r="I2920" i="1"/>
  <c r="J2920" i="1" s="1"/>
  <c r="I2921" i="1"/>
  <c r="J2921" i="1" s="1"/>
  <c r="I2922" i="1"/>
  <c r="J2922" i="1" s="1"/>
  <c r="I2927" i="1"/>
  <c r="J2927" i="1" s="1"/>
  <c r="I2928" i="1"/>
  <c r="J2928" i="1" s="1"/>
  <c r="I2929" i="1"/>
  <c r="J2929" i="1" s="1"/>
  <c r="I2930" i="1"/>
  <c r="J2930" i="1" s="1"/>
  <c r="I2931" i="1"/>
  <c r="J2931" i="1" s="1"/>
  <c r="I2932" i="1"/>
  <c r="J2932" i="1" s="1"/>
  <c r="I2933" i="1"/>
  <c r="J2933" i="1" s="1"/>
  <c r="I2934" i="1"/>
  <c r="J2934" i="1" s="1"/>
  <c r="I2935" i="1"/>
  <c r="J2935" i="1" s="1"/>
  <c r="I2941" i="1"/>
  <c r="J2941" i="1" s="1"/>
  <c r="I2942" i="1"/>
  <c r="J2942" i="1" s="1"/>
  <c r="I2943" i="1"/>
  <c r="J2943" i="1" s="1"/>
  <c r="I2944" i="1"/>
  <c r="J2944" i="1" s="1"/>
  <c r="I2945" i="1"/>
  <c r="J2945" i="1" s="1"/>
  <c r="I2946" i="1"/>
  <c r="J2946" i="1" s="1"/>
  <c r="I2947" i="1"/>
  <c r="J2947" i="1" s="1"/>
  <c r="I2948" i="1"/>
  <c r="J2948" i="1" s="1"/>
  <c r="I2949" i="1"/>
  <c r="J2949" i="1" s="1"/>
  <c r="I2950" i="1"/>
  <c r="J2950" i="1" s="1"/>
  <c r="I2951" i="1"/>
  <c r="J2951" i="1" s="1"/>
  <c r="I2952" i="1"/>
  <c r="J2952" i="1" s="1"/>
  <c r="I2953" i="1"/>
  <c r="J2953" i="1" s="1"/>
  <c r="I2954" i="1"/>
  <c r="J2954" i="1" s="1"/>
  <c r="I2955" i="1"/>
  <c r="J2955" i="1" s="1"/>
  <c r="I2956" i="1"/>
  <c r="J2956" i="1" s="1"/>
  <c r="I2957" i="1"/>
  <c r="J2957" i="1" s="1"/>
  <c r="I2958" i="1"/>
  <c r="J2958" i="1" s="1"/>
  <c r="I2961" i="1"/>
  <c r="J2961" i="1" s="1"/>
  <c r="I2962" i="1"/>
  <c r="J2962" i="1" s="1"/>
  <c r="I2963" i="1"/>
  <c r="J2963" i="1" s="1"/>
  <c r="I2964" i="1"/>
  <c r="J2964" i="1" s="1"/>
  <c r="I2965" i="1"/>
  <c r="J2965" i="1" s="1"/>
  <c r="I2971" i="1"/>
  <c r="J2971" i="1" s="1"/>
  <c r="I2972" i="1"/>
  <c r="J2972" i="1" s="1"/>
  <c r="I2973" i="1"/>
  <c r="J2973" i="1" s="1"/>
  <c r="I2974" i="1"/>
  <c r="J2974" i="1" s="1"/>
  <c r="I2975" i="1"/>
  <c r="J2975" i="1" s="1"/>
  <c r="I2976" i="1"/>
  <c r="J2976" i="1" s="1"/>
  <c r="I2977" i="1"/>
  <c r="J2977" i="1" s="1"/>
  <c r="I2978" i="1"/>
  <c r="J2978" i="1" s="1"/>
  <c r="I2979" i="1"/>
  <c r="J2979" i="1" s="1"/>
  <c r="I2982" i="1"/>
  <c r="J2982" i="1" s="1"/>
  <c r="I2983" i="1"/>
  <c r="J2983" i="1" s="1"/>
  <c r="I2984" i="1"/>
  <c r="J2984" i="1" s="1"/>
  <c r="I2985" i="1"/>
  <c r="J2985" i="1" s="1"/>
  <c r="I2986" i="1"/>
  <c r="J2986" i="1" s="1"/>
  <c r="I2987" i="1"/>
  <c r="J2987" i="1" s="1"/>
  <c r="I2988" i="1"/>
  <c r="J2988" i="1" s="1"/>
  <c r="I2989" i="1"/>
  <c r="J2989" i="1" s="1"/>
  <c r="I2991" i="1"/>
  <c r="J2991" i="1" s="1"/>
  <c r="I2992" i="1"/>
  <c r="J2992" i="1" s="1"/>
  <c r="I2993" i="1"/>
  <c r="J2993" i="1" s="1"/>
  <c r="I2994" i="1"/>
  <c r="J2994" i="1" s="1"/>
  <c r="I2995" i="1"/>
  <c r="J2995" i="1" s="1"/>
  <c r="I2996" i="1"/>
  <c r="J2996" i="1" s="1"/>
  <c r="I2997" i="1"/>
  <c r="J2997" i="1" s="1"/>
  <c r="I3000" i="1"/>
  <c r="J3000" i="1" s="1"/>
  <c r="I3001" i="1"/>
  <c r="J3001" i="1" s="1"/>
  <c r="I3002" i="1"/>
  <c r="J3002" i="1" s="1"/>
  <c r="I3003" i="1"/>
  <c r="J3003" i="1" s="1"/>
  <c r="I3004" i="1"/>
  <c r="J3004" i="1" s="1"/>
  <c r="I3005" i="1"/>
  <c r="J3005" i="1" s="1"/>
  <c r="I3006" i="1"/>
  <c r="J3006" i="1" s="1"/>
  <c r="I3007" i="1"/>
  <c r="J3007" i="1" s="1"/>
  <c r="I3008" i="1"/>
  <c r="J3008" i="1" s="1"/>
  <c r="I3011" i="1"/>
  <c r="J3011" i="1" s="1"/>
  <c r="I3012" i="1"/>
  <c r="J3012" i="1" s="1"/>
  <c r="I3013" i="1"/>
  <c r="J3013" i="1" s="1"/>
  <c r="I3014" i="1"/>
  <c r="J3014" i="1" s="1"/>
  <c r="I3015" i="1"/>
  <c r="J3015" i="1" s="1"/>
  <c r="I3016" i="1"/>
  <c r="J3016" i="1" s="1"/>
  <c r="I3017" i="1"/>
  <c r="J3017" i="1" s="1"/>
  <c r="I3018" i="1"/>
  <c r="J3018" i="1" s="1"/>
  <c r="I3019" i="1"/>
  <c r="J3019" i="1" s="1"/>
  <c r="I3026" i="1"/>
  <c r="J3026" i="1" s="1"/>
  <c r="I3027" i="1"/>
  <c r="J3027" i="1" s="1"/>
  <c r="I3028" i="1"/>
  <c r="J3028" i="1" s="1"/>
  <c r="I3029" i="1"/>
  <c r="J3029" i="1" s="1"/>
  <c r="I3030" i="1"/>
  <c r="J3030" i="1" s="1"/>
  <c r="I3031" i="1"/>
  <c r="J3031" i="1" s="1"/>
  <c r="I3032" i="1"/>
  <c r="J3032" i="1" s="1"/>
  <c r="I3033" i="1"/>
  <c r="J3033" i="1" s="1"/>
  <c r="I3034" i="1"/>
  <c r="J3034" i="1" s="1"/>
  <c r="I3036" i="1"/>
  <c r="J3036" i="1" s="1"/>
  <c r="I3037" i="1"/>
  <c r="J3037" i="1" s="1"/>
  <c r="I3038" i="1"/>
  <c r="J3038" i="1" s="1"/>
  <c r="I3039" i="1"/>
  <c r="J3039" i="1" s="1"/>
  <c r="I3040" i="1"/>
  <c r="J3040" i="1" s="1"/>
  <c r="I3042" i="1"/>
  <c r="J3042" i="1" s="1"/>
  <c r="I3043" i="1"/>
  <c r="J3043" i="1" s="1"/>
  <c r="I3044" i="1"/>
  <c r="J3044" i="1" s="1"/>
  <c r="I3045" i="1"/>
  <c r="J3045" i="1" s="1"/>
  <c r="I3046" i="1"/>
  <c r="J3046" i="1" s="1"/>
  <c r="I3047" i="1"/>
  <c r="J3047" i="1" s="1"/>
  <c r="I3053" i="1"/>
  <c r="J3053" i="1" s="1"/>
  <c r="I3054" i="1"/>
  <c r="J3054" i="1" s="1"/>
  <c r="I3055" i="1"/>
  <c r="J3055" i="1" s="1"/>
  <c r="I3056" i="1"/>
  <c r="J3056" i="1" s="1"/>
  <c r="I3057" i="1"/>
  <c r="J3057" i="1" s="1"/>
  <c r="I3058" i="1"/>
  <c r="J3058" i="1" s="1"/>
  <c r="I3059" i="1"/>
  <c r="J3059" i="1" s="1"/>
  <c r="I3060" i="1"/>
  <c r="J3060" i="1" s="1"/>
  <c r="I3066" i="1"/>
  <c r="J3066" i="1" s="1"/>
  <c r="I3067" i="1"/>
  <c r="J3067" i="1" s="1"/>
  <c r="I3068" i="1"/>
  <c r="J3068" i="1" s="1"/>
  <c r="I3069" i="1"/>
  <c r="J3069" i="1" s="1"/>
  <c r="I3070" i="1"/>
  <c r="J3070" i="1" s="1"/>
  <c r="I3071" i="1"/>
  <c r="J3071" i="1" s="1"/>
  <c r="I3075" i="1"/>
  <c r="J3075" i="1" s="1"/>
  <c r="I3076" i="1"/>
  <c r="J3076" i="1" s="1"/>
  <c r="I3077" i="1"/>
  <c r="J3077" i="1" s="1"/>
  <c r="I3078" i="1"/>
  <c r="J3078" i="1" s="1"/>
  <c r="I3079" i="1"/>
  <c r="J3079" i="1" s="1"/>
  <c r="I3080" i="1"/>
  <c r="J3080" i="1" s="1"/>
  <c r="I3081" i="1"/>
  <c r="J3081" i="1" s="1"/>
  <c r="I3082" i="1"/>
  <c r="J3082" i="1" s="1"/>
  <c r="I3083" i="1"/>
  <c r="J3083" i="1" s="1"/>
  <c r="I3084" i="1"/>
  <c r="J3084" i="1" s="1"/>
  <c r="I3086" i="1"/>
  <c r="J3086" i="1" s="1"/>
  <c r="I3087" i="1"/>
  <c r="J3087" i="1" s="1"/>
  <c r="I3088" i="1"/>
  <c r="J3088" i="1" s="1"/>
  <c r="I3089" i="1"/>
  <c r="J3089" i="1" s="1"/>
  <c r="I3090" i="1"/>
  <c r="J3090" i="1" s="1"/>
  <c r="I3091" i="1"/>
  <c r="J3091" i="1" s="1"/>
  <c r="I3094" i="1"/>
  <c r="J3094" i="1" s="1"/>
  <c r="I3095" i="1"/>
  <c r="J3095" i="1" s="1"/>
  <c r="I3096" i="1"/>
  <c r="J3096" i="1" s="1"/>
  <c r="I3097" i="1"/>
  <c r="J3097" i="1" s="1"/>
  <c r="I3098" i="1"/>
  <c r="J3098" i="1" s="1"/>
  <c r="I3102" i="1"/>
  <c r="J3102" i="1" s="1"/>
  <c r="I3103" i="1"/>
  <c r="J3103" i="1" s="1"/>
  <c r="I3104" i="1"/>
  <c r="J3104" i="1" s="1"/>
  <c r="I3105" i="1"/>
  <c r="J3105" i="1" s="1"/>
  <c r="I3106" i="1"/>
  <c r="J3106" i="1" s="1"/>
  <c r="I3107" i="1"/>
  <c r="J3107" i="1" s="1"/>
  <c r="I3108" i="1"/>
  <c r="J3108" i="1" s="1"/>
  <c r="I3109" i="1"/>
  <c r="J3109" i="1" s="1"/>
  <c r="I3110" i="1"/>
  <c r="J3110" i="1" s="1"/>
  <c r="I3111" i="1"/>
  <c r="J3111" i="1" s="1"/>
  <c r="I3113" i="1"/>
  <c r="J3113" i="1" s="1"/>
  <c r="I3114" i="1"/>
  <c r="J3114" i="1" s="1"/>
  <c r="I3115" i="1"/>
  <c r="J3115" i="1" s="1"/>
  <c r="I3116" i="1"/>
  <c r="J3116" i="1" s="1"/>
  <c r="I3117" i="1"/>
  <c r="J3117" i="1" s="1"/>
  <c r="I3120" i="1"/>
  <c r="J3120" i="1" s="1"/>
  <c r="I3121" i="1"/>
  <c r="J3121" i="1" s="1"/>
  <c r="I3122" i="1"/>
  <c r="J3122" i="1" s="1"/>
  <c r="I3123" i="1"/>
  <c r="J3123" i="1" s="1"/>
  <c r="I3124" i="1"/>
  <c r="J3124" i="1" s="1"/>
  <c r="I3125" i="1"/>
  <c r="J3125" i="1" s="1"/>
  <c r="I3126" i="1"/>
  <c r="J3126" i="1" s="1"/>
  <c r="I3127" i="1"/>
  <c r="J3127" i="1" s="1"/>
  <c r="I3128" i="1"/>
  <c r="J3128" i="1" s="1"/>
  <c r="I3132" i="1"/>
  <c r="J3132" i="1" s="1"/>
  <c r="I3133" i="1"/>
  <c r="J3133" i="1" s="1"/>
  <c r="I3134" i="1"/>
  <c r="J3134" i="1" s="1"/>
  <c r="I3135" i="1"/>
  <c r="J3135" i="1" s="1"/>
  <c r="I3136" i="1"/>
  <c r="J3136" i="1" s="1"/>
  <c r="I3137" i="1"/>
  <c r="J3137" i="1" s="1"/>
  <c r="I3140" i="1"/>
  <c r="J3140" i="1" s="1"/>
  <c r="I3141" i="1"/>
  <c r="J3141" i="1" s="1"/>
  <c r="I3142" i="1"/>
  <c r="J3142" i="1" s="1"/>
  <c r="I3143" i="1"/>
  <c r="J3143" i="1" s="1"/>
  <c r="I3144" i="1"/>
  <c r="J3144" i="1" s="1"/>
  <c r="I3145" i="1"/>
  <c r="J3145" i="1" s="1"/>
  <c r="I3146" i="1"/>
  <c r="J3146" i="1" s="1"/>
  <c r="I3147" i="1"/>
  <c r="J3147" i="1" s="1"/>
  <c r="I3148" i="1"/>
  <c r="J3148" i="1" s="1"/>
  <c r="I3149" i="1"/>
  <c r="J3149" i="1" s="1"/>
  <c r="I3155" i="1"/>
  <c r="J3155" i="1" s="1"/>
  <c r="I3156" i="1"/>
  <c r="J3156" i="1" s="1"/>
  <c r="I3157" i="1"/>
  <c r="J3157" i="1" s="1"/>
  <c r="I3158" i="1"/>
  <c r="J3158" i="1" s="1"/>
  <c r="I3159" i="1"/>
  <c r="J3159" i="1" s="1"/>
  <c r="I3160" i="1"/>
  <c r="J3160" i="1" s="1"/>
  <c r="I3163" i="1"/>
  <c r="J3163" i="1" s="1"/>
  <c r="I3164" i="1"/>
  <c r="J3164" i="1" s="1"/>
  <c r="I3165" i="1"/>
  <c r="J3165" i="1" s="1"/>
  <c r="I3166" i="1"/>
  <c r="J3166" i="1" s="1"/>
  <c r="I3167" i="1"/>
  <c r="J3167" i="1" s="1"/>
  <c r="I3168" i="1"/>
  <c r="J3168" i="1" s="1"/>
  <c r="I3169" i="1"/>
  <c r="J3169" i="1" s="1"/>
  <c r="I3174" i="1"/>
  <c r="J3174" i="1" s="1"/>
  <c r="I3175" i="1"/>
  <c r="J3175" i="1" s="1"/>
  <c r="I3176" i="1"/>
  <c r="J3176" i="1" s="1"/>
  <c r="I3177" i="1"/>
  <c r="J3177" i="1" s="1"/>
  <c r="I3178" i="1"/>
  <c r="J3178" i="1" s="1"/>
  <c r="I3179" i="1"/>
  <c r="J3179" i="1" s="1"/>
  <c r="I3180" i="1"/>
  <c r="J3180" i="1" s="1"/>
  <c r="I3181" i="1"/>
  <c r="J3181" i="1" s="1"/>
  <c r="I3187" i="1"/>
  <c r="J3187" i="1" s="1"/>
  <c r="I3188" i="1"/>
  <c r="J3188" i="1" s="1"/>
  <c r="I3189" i="1"/>
  <c r="J3189" i="1" s="1"/>
  <c r="I3190" i="1"/>
  <c r="J3190" i="1" s="1"/>
  <c r="I3191" i="1"/>
  <c r="J3191" i="1" s="1"/>
  <c r="I3192" i="1"/>
  <c r="J3192" i="1" s="1"/>
  <c r="I3193" i="1"/>
  <c r="J3193" i="1" s="1"/>
  <c r="I3194" i="1"/>
  <c r="J3194" i="1" s="1"/>
  <c r="I3196" i="1"/>
  <c r="J3196" i="1" s="1"/>
  <c r="I3197" i="1"/>
  <c r="J3197" i="1" s="1"/>
  <c r="I3198" i="1"/>
  <c r="J3198" i="1" s="1"/>
  <c r="I3199" i="1"/>
  <c r="J3199" i="1" s="1"/>
  <c r="I3200" i="1"/>
  <c r="J3200" i="1" s="1"/>
  <c r="I3201" i="1"/>
  <c r="J3201" i="1" s="1"/>
  <c r="I3203" i="1"/>
  <c r="J3203" i="1" s="1"/>
  <c r="I3204" i="1"/>
  <c r="J3204" i="1" s="1"/>
  <c r="I3205" i="1"/>
  <c r="J3205" i="1" s="1"/>
  <c r="I3206" i="1"/>
  <c r="J3206" i="1" s="1"/>
  <c r="I3207" i="1"/>
  <c r="J3207" i="1" s="1"/>
  <c r="I3208" i="1"/>
  <c r="J3208" i="1" s="1"/>
  <c r="I3209" i="1"/>
  <c r="J3209" i="1" s="1"/>
  <c r="I3210" i="1"/>
  <c r="J3210" i="1" s="1"/>
  <c r="I3211" i="1"/>
  <c r="J3211" i="1" s="1"/>
  <c r="I3215" i="1"/>
  <c r="J3215" i="1" s="1"/>
  <c r="I3216" i="1"/>
  <c r="J3216" i="1" s="1"/>
  <c r="I3217" i="1"/>
  <c r="J3217" i="1" s="1"/>
  <c r="I3218" i="1"/>
  <c r="J3218" i="1" s="1"/>
  <c r="I3219" i="1"/>
  <c r="J3219" i="1" s="1"/>
  <c r="I3220" i="1"/>
  <c r="J3220" i="1" s="1"/>
  <c r="I3221" i="1"/>
  <c r="J3221" i="1" s="1"/>
  <c r="I3222" i="1"/>
  <c r="J3222" i="1" s="1"/>
  <c r="I3223" i="1"/>
  <c r="J3223" i="1" s="1"/>
  <c r="I3224" i="1"/>
  <c r="J3224" i="1" s="1"/>
  <c r="I3229" i="1"/>
  <c r="J3229" i="1" s="1"/>
  <c r="I3230" i="1"/>
  <c r="J3230" i="1" s="1"/>
  <c r="I3231" i="1"/>
  <c r="J3231" i="1" s="1"/>
  <c r="I3232" i="1"/>
  <c r="J3232" i="1" s="1"/>
  <c r="I3233" i="1"/>
  <c r="J3233" i="1" s="1"/>
  <c r="I3235" i="1"/>
  <c r="J3235" i="1" s="1"/>
  <c r="I3236" i="1"/>
  <c r="J3236" i="1" s="1"/>
  <c r="I3237" i="1"/>
  <c r="J3237" i="1" s="1"/>
  <c r="I3238" i="1"/>
  <c r="J3238" i="1" s="1"/>
  <c r="I3239" i="1"/>
  <c r="J3239" i="1" s="1"/>
  <c r="I3244" i="1"/>
  <c r="J3244" i="1" s="1"/>
  <c r="I3245" i="1"/>
  <c r="J3245" i="1" s="1"/>
  <c r="I3246" i="1"/>
  <c r="J3246" i="1" s="1"/>
  <c r="I3247" i="1"/>
  <c r="J3247" i="1" s="1"/>
  <c r="I3248" i="1"/>
  <c r="J3248" i="1" s="1"/>
  <c r="I3249" i="1"/>
  <c r="J3249" i="1" s="1"/>
  <c r="I3250" i="1"/>
  <c r="J3250" i="1" s="1"/>
  <c r="I3251" i="1"/>
  <c r="J3251" i="1" s="1"/>
  <c r="I3252" i="1"/>
  <c r="J3252" i="1" s="1"/>
  <c r="I3253" i="1"/>
  <c r="J3253" i="1" s="1"/>
  <c r="I3259" i="1"/>
  <c r="J3259" i="1" s="1"/>
  <c r="I3260" i="1"/>
  <c r="J3260" i="1" s="1"/>
  <c r="I3261" i="1"/>
  <c r="J3261" i="1" s="1"/>
  <c r="I3262" i="1"/>
  <c r="J3262" i="1" s="1"/>
  <c r="I3263" i="1"/>
  <c r="J3263" i="1" s="1"/>
  <c r="I3264" i="1"/>
  <c r="J3264" i="1" s="1"/>
  <c r="I3265" i="1"/>
  <c r="J3265" i="1" s="1"/>
  <c r="I3267" i="1"/>
  <c r="J3267" i="1" s="1"/>
  <c r="I3268" i="1"/>
  <c r="J3268" i="1" s="1"/>
  <c r="I3269" i="1"/>
  <c r="J3269" i="1" s="1"/>
  <c r="I3270" i="1"/>
  <c r="J3270" i="1" s="1"/>
  <c r="I3271" i="1"/>
  <c r="J3271" i="1" s="1"/>
  <c r="I3272" i="1"/>
  <c r="J3272" i="1" s="1"/>
  <c r="I3273" i="1"/>
  <c r="J3273" i="1" s="1"/>
  <c r="I3274" i="1"/>
  <c r="J3274" i="1" s="1"/>
  <c r="I3275" i="1"/>
  <c r="J3275" i="1" s="1"/>
  <c r="I3277" i="1"/>
  <c r="J3277" i="1" s="1"/>
  <c r="I3278" i="1"/>
  <c r="J3278" i="1" s="1"/>
  <c r="I3279" i="1"/>
  <c r="J3279" i="1" s="1"/>
  <c r="I3280" i="1"/>
  <c r="J3280" i="1" s="1"/>
  <c r="I3281" i="1"/>
  <c r="J3281" i="1" s="1"/>
  <c r="I3282" i="1"/>
  <c r="J3282" i="1" s="1"/>
  <c r="I3283" i="1"/>
  <c r="J3283" i="1" s="1"/>
  <c r="I3288" i="1"/>
  <c r="J3288" i="1" s="1"/>
  <c r="I3289" i="1"/>
  <c r="J3289" i="1" s="1"/>
  <c r="I3290" i="1"/>
  <c r="J3290" i="1" s="1"/>
  <c r="I3291" i="1"/>
  <c r="J3291" i="1" s="1"/>
  <c r="I3292" i="1"/>
  <c r="J3292" i="1" s="1"/>
  <c r="I3293" i="1"/>
  <c r="J3293" i="1" s="1"/>
  <c r="I3294" i="1"/>
  <c r="J3294" i="1" s="1"/>
  <c r="I3295" i="1"/>
  <c r="J3295" i="1" s="1"/>
  <c r="I3299" i="1"/>
  <c r="J3299" i="1" s="1"/>
  <c r="I3300" i="1"/>
  <c r="J3300" i="1" s="1"/>
  <c r="I3301" i="1"/>
  <c r="J3301" i="1" s="1"/>
  <c r="I3302" i="1"/>
  <c r="J3302" i="1" s="1"/>
  <c r="I3303" i="1"/>
  <c r="J3303" i="1" s="1"/>
  <c r="I3304" i="1"/>
  <c r="J3304" i="1" s="1"/>
  <c r="I3305" i="1"/>
  <c r="J3305" i="1" s="1"/>
  <c r="I3306" i="1"/>
  <c r="J3306" i="1" s="1"/>
  <c r="I3309" i="1"/>
  <c r="J3309" i="1" s="1"/>
  <c r="I3310" i="1"/>
  <c r="J3310" i="1" s="1"/>
  <c r="I3311" i="1"/>
  <c r="J3311" i="1" s="1"/>
  <c r="I3312" i="1"/>
  <c r="J3312" i="1" s="1"/>
  <c r="I3313" i="1"/>
  <c r="J3313" i="1" s="1"/>
  <c r="I3314" i="1"/>
  <c r="J3314" i="1" s="1"/>
  <c r="I3316" i="1"/>
  <c r="J3316" i="1" s="1"/>
  <c r="I3317" i="1"/>
  <c r="J3317" i="1" s="1"/>
  <c r="I3318" i="1"/>
  <c r="J3318" i="1" s="1"/>
  <c r="I3319" i="1"/>
  <c r="J3319" i="1" s="1"/>
  <c r="I3320" i="1"/>
  <c r="J3320" i="1" s="1"/>
  <c r="I3321" i="1"/>
  <c r="J3321" i="1" s="1"/>
  <c r="I3322" i="1"/>
  <c r="J3322" i="1" s="1"/>
  <c r="I3326" i="1"/>
  <c r="J3326" i="1" s="1"/>
  <c r="I3327" i="1"/>
  <c r="J3327" i="1" s="1"/>
  <c r="I3328" i="1"/>
  <c r="J3328" i="1" s="1"/>
  <c r="I3329" i="1"/>
  <c r="J3329" i="1" s="1"/>
  <c r="I3330" i="1"/>
  <c r="J3330" i="1" s="1"/>
  <c r="I3331" i="1"/>
  <c r="J3331" i="1" s="1"/>
  <c r="I3332" i="1"/>
  <c r="J3332" i="1" s="1"/>
  <c r="I3333" i="1"/>
  <c r="J3333" i="1" s="1"/>
  <c r="I3334" i="1"/>
  <c r="J3334" i="1" s="1"/>
  <c r="I3336" i="1"/>
  <c r="J3336" i="1" s="1"/>
  <c r="I3337" i="1"/>
  <c r="J3337" i="1" s="1"/>
  <c r="I3338" i="1"/>
  <c r="J3338" i="1" s="1"/>
  <c r="I3339" i="1"/>
  <c r="J3339" i="1" s="1"/>
  <c r="I3340" i="1"/>
  <c r="J3340" i="1" s="1"/>
  <c r="I3341" i="1"/>
  <c r="J3341" i="1" s="1"/>
  <c r="I3342" i="1"/>
  <c r="J3342" i="1" s="1"/>
  <c r="I3343" i="1"/>
  <c r="J3343" i="1" s="1"/>
  <c r="I3350" i="1"/>
  <c r="J3350" i="1" s="1"/>
  <c r="I3351" i="1"/>
  <c r="J3351" i="1" s="1"/>
  <c r="I3352" i="1"/>
  <c r="J3352" i="1" s="1"/>
  <c r="I3353" i="1"/>
  <c r="J3353" i="1" s="1"/>
  <c r="I3354" i="1"/>
  <c r="J3354" i="1" s="1"/>
  <c r="I3355" i="1"/>
  <c r="J3355" i="1" s="1"/>
  <c r="I3360" i="1"/>
  <c r="J3360" i="1" s="1"/>
  <c r="I3361" i="1"/>
  <c r="J3361" i="1" s="1"/>
  <c r="I3362" i="1"/>
  <c r="J3362" i="1" s="1"/>
  <c r="I3363" i="1"/>
  <c r="J3363" i="1" s="1"/>
  <c r="I3364" i="1"/>
  <c r="J3364" i="1" s="1"/>
  <c r="I3367" i="1"/>
  <c r="J3367" i="1" s="1"/>
  <c r="I3368" i="1"/>
  <c r="J3368" i="1" s="1"/>
  <c r="I3369" i="1"/>
  <c r="J3369" i="1" s="1"/>
  <c r="I3370" i="1"/>
  <c r="J3370" i="1" s="1"/>
  <c r="I3371" i="1"/>
  <c r="J3371" i="1" s="1"/>
  <c r="I3372" i="1"/>
  <c r="J3372" i="1" s="1"/>
  <c r="I3373" i="1"/>
  <c r="J3373" i="1" s="1"/>
  <c r="I3374" i="1"/>
  <c r="J3374" i="1" s="1"/>
  <c r="I3375" i="1"/>
  <c r="J3375" i="1" s="1"/>
  <c r="I3376" i="1"/>
  <c r="J3376" i="1" s="1"/>
  <c r="I3382" i="1"/>
  <c r="J3382" i="1" s="1"/>
  <c r="I3383" i="1"/>
  <c r="J3383" i="1" s="1"/>
  <c r="I3384" i="1"/>
  <c r="J3384" i="1" s="1"/>
  <c r="I3385" i="1"/>
  <c r="J3385" i="1" s="1"/>
  <c r="I3386" i="1"/>
  <c r="J3386" i="1" s="1"/>
  <c r="I3392" i="1"/>
  <c r="J3392" i="1" s="1"/>
  <c r="I3393" i="1"/>
  <c r="J3393" i="1" s="1"/>
  <c r="I3394" i="1"/>
  <c r="J3394" i="1" s="1"/>
  <c r="I3395" i="1"/>
  <c r="J3395" i="1" s="1"/>
  <c r="I3396" i="1"/>
  <c r="J3396" i="1" s="1"/>
  <c r="I3398" i="1"/>
  <c r="J3398" i="1" s="1"/>
  <c r="I3399" i="1"/>
  <c r="J3399" i="1" s="1"/>
  <c r="I3400" i="1"/>
  <c r="J3400" i="1" s="1"/>
  <c r="I3401" i="1"/>
  <c r="J3401" i="1" s="1"/>
  <c r="I3402" i="1"/>
  <c r="J3402" i="1" s="1"/>
  <c r="I3403" i="1"/>
  <c r="J3403" i="1" s="1"/>
  <c r="I3404" i="1"/>
  <c r="J3404" i="1" s="1"/>
  <c r="I3408" i="1"/>
  <c r="J3408" i="1" s="1"/>
  <c r="I3409" i="1"/>
  <c r="J3409" i="1" s="1"/>
  <c r="I3410" i="1"/>
  <c r="J3410" i="1" s="1"/>
  <c r="I3411" i="1"/>
  <c r="J3411" i="1" s="1"/>
  <c r="I3412" i="1"/>
  <c r="J3412" i="1" s="1"/>
  <c r="I3413" i="1"/>
  <c r="J3413" i="1" s="1"/>
  <c r="I3414" i="1"/>
  <c r="J3414" i="1" s="1"/>
  <c r="I3415" i="1"/>
  <c r="J3415" i="1" s="1"/>
  <c r="I3416" i="1"/>
  <c r="J3416" i="1" s="1"/>
  <c r="I3421" i="1"/>
  <c r="J3421" i="1" s="1"/>
  <c r="I3422" i="1"/>
  <c r="J3422" i="1" s="1"/>
  <c r="I3423" i="1"/>
  <c r="J3423" i="1" s="1"/>
  <c r="I3424" i="1"/>
  <c r="J3424" i="1" s="1"/>
  <c r="I3425" i="1"/>
  <c r="J3425" i="1" s="1"/>
  <c r="I3426" i="1"/>
  <c r="J3426" i="1" s="1"/>
  <c r="I3429" i="1"/>
  <c r="J3429" i="1" s="1"/>
  <c r="I3430" i="1"/>
  <c r="J3430" i="1" s="1"/>
  <c r="I3431" i="1"/>
  <c r="J3431" i="1" s="1"/>
  <c r="I3432" i="1"/>
  <c r="J3432" i="1" s="1"/>
  <c r="I3433" i="1"/>
  <c r="J3433" i="1" s="1"/>
  <c r="I3434" i="1"/>
  <c r="J3434" i="1" s="1"/>
  <c r="I3435" i="1"/>
  <c r="J3435" i="1" s="1"/>
  <c r="I3436" i="1"/>
  <c r="J3436" i="1" s="1"/>
  <c r="I3441" i="1"/>
  <c r="J3441" i="1" s="1"/>
  <c r="I3442" i="1"/>
  <c r="J3442" i="1" s="1"/>
  <c r="I3443" i="1"/>
  <c r="J3443" i="1" s="1"/>
  <c r="I3444" i="1"/>
  <c r="J3444" i="1" s="1"/>
  <c r="I3445" i="1"/>
  <c r="J3445" i="1" s="1"/>
  <c r="I3446" i="1"/>
  <c r="J3446" i="1" s="1"/>
  <c r="I3447" i="1"/>
  <c r="J3447" i="1" s="1"/>
  <c r="I3448" i="1"/>
  <c r="J3448" i="1" s="1"/>
  <c r="I3449" i="1"/>
  <c r="J3449" i="1" s="1"/>
  <c r="I3453" i="1"/>
  <c r="J3453" i="1" s="1"/>
  <c r="I3454" i="1"/>
  <c r="J3454" i="1" s="1"/>
  <c r="I3455" i="1"/>
  <c r="J3455" i="1" s="1"/>
  <c r="I3456" i="1"/>
  <c r="J3456" i="1" s="1"/>
  <c r="I3457" i="1"/>
  <c r="J3457" i="1" s="1"/>
  <c r="I3460" i="1"/>
  <c r="J3460" i="1" s="1"/>
  <c r="I3461" i="1"/>
  <c r="J3461" i="1" s="1"/>
  <c r="I3462" i="1"/>
  <c r="J3462" i="1" s="1"/>
  <c r="I3463" i="1"/>
  <c r="J3463" i="1" s="1"/>
  <c r="I3464" i="1"/>
  <c r="J3464" i="1" s="1"/>
  <c r="I3465" i="1"/>
  <c r="J3465" i="1" s="1"/>
  <c r="I3468" i="1"/>
  <c r="J3468" i="1" s="1"/>
  <c r="I3469" i="1"/>
  <c r="J3469" i="1" s="1"/>
  <c r="I3470" i="1"/>
  <c r="J3470" i="1" s="1"/>
  <c r="I3471" i="1"/>
  <c r="J3471" i="1" s="1"/>
  <c r="I3472" i="1"/>
  <c r="J3472" i="1" s="1"/>
  <c r="I3473" i="1"/>
  <c r="J3473" i="1" s="1"/>
  <c r="I3478" i="1"/>
  <c r="J3478" i="1" s="1"/>
  <c r="I3479" i="1"/>
  <c r="J3479" i="1" s="1"/>
  <c r="I3480" i="1"/>
  <c r="J3480" i="1" s="1"/>
  <c r="I3481" i="1"/>
  <c r="J3481" i="1" s="1"/>
  <c r="I3482" i="1"/>
  <c r="J3482" i="1" s="1"/>
  <c r="I3483" i="1"/>
  <c r="J3483" i="1" s="1"/>
  <c r="I3484" i="1"/>
  <c r="J3484" i="1" s="1"/>
  <c r="I3488" i="1"/>
  <c r="J3488" i="1" s="1"/>
  <c r="I3489" i="1"/>
  <c r="J3489" i="1" s="1"/>
  <c r="I3490" i="1"/>
  <c r="J3490" i="1" s="1"/>
  <c r="I3491" i="1"/>
  <c r="J3491" i="1" s="1"/>
  <c r="I3492" i="1"/>
  <c r="J3492" i="1" s="1"/>
  <c r="I3493" i="1"/>
  <c r="J3493" i="1" s="1"/>
  <c r="I3494" i="1"/>
  <c r="J3494" i="1" s="1"/>
  <c r="I3495" i="1"/>
  <c r="J3495" i="1" s="1"/>
  <c r="I3496" i="1"/>
  <c r="J3496" i="1" s="1"/>
  <c r="I3502" i="1"/>
  <c r="J3502" i="1" s="1"/>
  <c r="I3503" i="1"/>
  <c r="J3503" i="1" s="1"/>
  <c r="I3504" i="1"/>
  <c r="J3504" i="1" s="1"/>
  <c r="I3505" i="1"/>
  <c r="J3505" i="1" s="1"/>
  <c r="I3506" i="1"/>
  <c r="J3506" i="1" s="1"/>
  <c r="I3507" i="1"/>
  <c r="J3507" i="1" s="1"/>
  <c r="I3508" i="1"/>
  <c r="J3508" i="1" s="1"/>
  <c r="I3512" i="1"/>
  <c r="J3512" i="1" s="1"/>
  <c r="I3513" i="1"/>
  <c r="J3513" i="1" s="1"/>
  <c r="I3514" i="1"/>
  <c r="J3514" i="1" s="1"/>
  <c r="I3515" i="1"/>
  <c r="J3515" i="1" s="1"/>
  <c r="I3516" i="1"/>
  <c r="J3516" i="1" s="1"/>
  <c r="I3517" i="1"/>
  <c r="J3517" i="1" s="1"/>
  <c r="I3523" i="1"/>
  <c r="J3523" i="1" s="1"/>
  <c r="I3524" i="1"/>
  <c r="J3524" i="1" s="1"/>
  <c r="I3525" i="1"/>
  <c r="J3525" i="1" s="1"/>
  <c r="I3526" i="1"/>
  <c r="J3526" i="1" s="1"/>
  <c r="I3527" i="1"/>
  <c r="J3527" i="1" s="1"/>
  <c r="I3528" i="1"/>
  <c r="J3528" i="1" s="1"/>
  <c r="I3529" i="1"/>
  <c r="J3529" i="1" s="1"/>
  <c r="I3530" i="1"/>
  <c r="J3530" i="1" s="1"/>
  <c r="I3531" i="1"/>
  <c r="J3531" i="1" s="1"/>
  <c r="I3532" i="1"/>
  <c r="J3532" i="1" s="1"/>
  <c r="I3537" i="1"/>
  <c r="J3537" i="1" s="1"/>
  <c r="I3538" i="1"/>
  <c r="J3538" i="1" s="1"/>
  <c r="I3539" i="1"/>
  <c r="J3539" i="1" s="1"/>
  <c r="I3540" i="1"/>
  <c r="J3540" i="1" s="1"/>
  <c r="I3541" i="1"/>
  <c r="J3541" i="1" s="1"/>
  <c r="I3542" i="1"/>
  <c r="J3542" i="1" s="1"/>
  <c r="I3543" i="1"/>
  <c r="J3543" i="1" s="1"/>
  <c r="I3544" i="1"/>
  <c r="J3544" i="1" s="1"/>
  <c r="I3547" i="1"/>
  <c r="J3547" i="1" s="1"/>
  <c r="I3548" i="1"/>
  <c r="J3548" i="1" s="1"/>
  <c r="I3549" i="1"/>
  <c r="J3549" i="1" s="1"/>
  <c r="I3550" i="1"/>
  <c r="J3550" i="1" s="1"/>
  <c r="I3551" i="1"/>
  <c r="J3551" i="1" s="1"/>
  <c r="I3552" i="1"/>
  <c r="J3552" i="1" s="1"/>
  <c r="I3553" i="1"/>
  <c r="J3553" i="1" s="1"/>
  <c r="I3559" i="1"/>
  <c r="J3559" i="1" s="1"/>
  <c r="I3560" i="1"/>
  <c r="J3560" i="1" s="1"/>
  <c r="I3561" i="1"/>
  <c r="J3561" i="1" s="1"/>
  <c r="I3562" i="1"/>
  <c r="J3562" i="1" s="1"/>
  <c r="I3563" i="1"/>
  <c r="J3563" i="1" s="1"/>
  <c r="I3564" i="1"/>
  <c r="J3564" i="1" s="1"/>
  <c r="I3568" i="1"/>
  <c r="J3568" i="1" s="1"/>
  <c r="I3569" i="1"/>
  <c r="J3569" i="1" s="1"/>
  <c r="I3570" i="1"/>
  <c r="J3570" i="1" s="1"/>
  <c r="I3571" i="1"/>
  <c r="J3571" i="1" s="1"/>
  <c r="I3572" i="1"/>
  <c r="J3572" i="1" s="1"/>
  <c r="I3573" i="1"/>
  <c r="J3573" i="1" s="1"/>
  <c r="I3574" i="1"/>
  <c r="J3574" i="1" s="1"/>
  <c r="I3575" i="1"/>
  <c r="J3575" i="1" s="1"/>
  <c r="I3576" i="1"/>
  <c r="J3576" i="1" s="1"/>
  <c r="I3577" i="1"/>
  <c r="J3577" i="1" s="1"/>
  <c r="I3580" i="1"/>
  <c r="J3580" i="1" s="1"/>
  <c r="I3581" i="1"/>
  <c r="J3581" i="1" s="1"/>
  <c r="I3582" i="1"/>
  <c r="J3582" i="1" s="1"/>
  <c r="I3583" i="1"/>
  <c r="J3583" i="1" s="1"/>
  <c r="I3584" i="1"/>
  <c r="J3584" i="1" s="1"/>
  <c r="I3585" i="1"/>
  <c r="J3585" i="1" s="1"/>
  <c r="I3586" i="1"/>
  <c r="J3586" i="1" s="1"/>
  <c r="I3588" i="1"/>
  <c r="J3588" i="1" s="1"/>
  <c r="I3589" i="1"/>
  <c r="J3589" i="1" s="1"/>
  <c r="I3590" i="1"/>
  <c r="J3590" i="1" s="1"/>
  <c r="I3591" i="1"/>
  <c r="J3591" i="1" s="1"/>
  <c r="I3592" i="1"/>
  <c r="J3592" i="1" s="1"/>
  <c r="I3593" i="1"/>
  <c r="J3593" i="1" s="1"/>
  <c r="I3594" i="1"/>
  <c r="J3594" i="1" s="1"/>
  <c r="I3595" i="1"/>
  <c r="J3595" i="1" s="1"/>
  <c r="I3596" i="1"/>
  <c r="J3596" i="1" s="1"/>
  <c r="I3600" i="1"/>
  <c r="J3600" i="1" s="1"/>
  <c r="I3601" i="1"/>
  <c r="J3601" i="1" s="1"/>
  <c r="I3602" i="1"/>
  <c r="J3602" i="1" s="1"/>
  <c r="I3603" i="1"/>
  <c r="J3603" i="1" s="1"/>
  <c r="I3604" i="1"/>
  <c r="J3604" i="1" s="1"/>
  <c r="I3605" i="1"/>
  <c r="J3605" i="1" s="1"/>
  <c r="I3606" i="1"/>
  <c r="J3606" i="1" s="1"/>
  <c r="I3610" i="1"/>
  <c r="J3610" i="1" s="1"/>
  <c r="I3611" i="1"/>
  <c r="J3611" i="1" s="1"/>
  <c r="I3612" i="1"/>
  <c r="J3612" i="1" s="1"/>
  <c r="I3613" i="1"/>
  <c r="J3613" i="1" s="1"/>
  <c r="I3614" i="1"/>
  <c r="J3614" i="1" s="1"/>
  <c r="I3615" i="1"/>
  <c r="J3615" i="1" s="1"/>
  <c r="I3616" i="1"/>
  <c r="J3616" i="1" s="1"/>
  <c r="I3617" i="1"/>
  <c r="J3617" i="1" s="1"/>
  <c r="I3618" i="1"/>
  <c r="J3618" i="1" s="1"/>
  <c r="I3619" i="1"/>
  <c r="J3619" i="1" s="1"/>
  <c r="I3624" i="1"/>
  <c r="J3624" i="1" s="1"/>
  <c r="I3625" i="1"/>
  <c r="J3625" i="1" s="1"/>
  <c r="I3626" i="1"/>
  <c r="J3626" i="1" s="1"/>
  <c r="I3627" i="1"/>
  <c r="J3627" i="1" s="1"/>
  <c r="I3628" i="1"/>
  <c r="J3628" i="1" s="1"/>
  <c r="I3629" i="1"/>
  <c r="J3629" i="1" s="1"/>
  <c r="I3630" i="1"/>
  <c r="J3630" i="1" s="1"/>
  <c r="I3631" i="1"/>
  <c r="J3631" i="1" s="1"/>
  <c r="I3632" i="1"/>
  <c r="J3632" i="1" s="1"/>
  <c r="I3633" i="1"/>
  <c r="J3633" i="1" s="1"/>
  <c r="I3638" i="1"/>
  <c r="J3638" i="1" s="1"/>
  <c r="I3639" i="1"/>
  <c r="J3639" i="1" s="1"/>
  <c r="I3640" i="1"/>
  <c r="J3640" i="1" s="1"/>
  <c r="I3641" i="1"/>
  <c r="J3641" i="1" s="1"/>
  <c r="I3642" i="1"/>
  <c r="J3642" i="1" s="1"/>
  <c r="I3643" i="1"/>
  <c r="J3643" i="1" s="1"/>
  <c r="I3644" i="1"/>
  <c r="J3644" i="1" s="1"/>
  <c r="I3647" i="1"/>
  <c r="J3647" i="1" s="1"/>
  <c r="I3648" i="1"/>
  <c r="J3648" i="1" s="1"/>
  <c r="I3649" i="1"/>
  <c r="J3649" i="1" s="1"/>
  <c r="I3650" i="1"/>
  <c r="J3650" i="1" s="1"/>
  <c r="I3651" i="1"/>
  <c r="J3651" i="1" s="1"/>
  <c r="I3652" i="1"/>
  <c r="J3652" i="1" s="1"/>
  <c r="I3656" i="1"/>
  <c r="J3656" i="1" s="1"/>
  <c r="I3657" i="1"/>
  <c r="J3657" i="1" s="1"/>
  <c r="I3658" i="1"/>
  <c r="J3658" i="1" s="1"/>
  <c r="I3659" i="1"/>
  <c r="J3659" i="1" s="1"/>
  <c r="I3660" i="1"/>
  <c r="J3660" i="1" s="1"/>
  <c r="I3661" i="1"/>
  <c r="J3661" i="1" s="1"/>
  <c r="I3662" i="1"/>
  <c r="J3662" i="1" s="1"/>
  <c r="I3663" i="1"/>
  <c r="J3663" i="1" s="1"/>
  <c r="I3670" i="1"/>
  <c r="J3670" i="1" s="1"/>
  <c r="I3671" i="1"/>
  <c r="J3671" i="1" s="1"/>
  <c r="I3672" i="1"/>
  <c r="J3672" i="1" s="1"/>
  <c r="I3673" i="1"/>
  <c r="J3673" i="1" s="1"/>
  <c r="I3674" i="1"/>
  <c r="J3674" i="1" s="1"/>
  <c r="I3675" i="1"/>
  <c r="J3675" i="1" s="1"/>
  <c r="I3676" i="1"/>
  <c r="J3676" i="1" s="1"/>
  <c r="I3677" i="1"/>
  <c r="J3677" i="1" s="1"/>
  <c r="I3680" i="1"/>
  <c r="J3680" i="1" s="1"/>
  <c r="I3681" i="1"/>
  <c r="J3681" i="1" s="1"/>
  <c r="I3682" i="1"/>
  <c r="J3682" i="1" s="1"/>
  <c r="I3683" i="1"/>
  <c r="J3683" i="1" s="1"/>
  <c r="I3684" i="1"/>
  <c r="J3684" i="1" s="1"/>
  <c r="I3685" i="1"/>
  <c r="J3685" i="1" s="1"/>
  <c r="I3686" i="1"/>
  <c r="J3686" i="1" s="1"/>
  <c r="I3692" i="1"/>
  <c r="J3692" i="1" s="1"/>
  <c r="I3693" i="1"/>
  <c r="J3693" i="1" s="1"/>
  <c r="I3694" i="1"/>
  <c r="J3694" i="1" s="1"/>
  <c r="I3695" i="1"/>
  <c r="J3695" i="1" s="1"/>
  <c r="I3696" i="1"/>
  <c r="J3696" i="1" s="1"/>
  <c r="I3701" i="1"/>
  <c r="J3701" i="1" s="1"/>
  <c r="I3702" i="1"/>
  <c r="J3702" i="1" s="1"/>
  <c r="I3703" i="1"/>
  <c r="J3703" i="1" s="1"/>
  <c r="I3704" i="1"/>
  <c r="J3704" i="1" s="1"/>
  <c r="I3705" i="1"/>
  <c r="J3705" i="1" s="1"/>
  <c r="I3706" i="1"/>
  <c r="J3706" i="1" s="1"/>
  <c r="I3707" i="1"/>
  <c r="J3707" i="1" s="1"/>
  <c r="I3711" i="1"/>
  <c r="J3711" i="1" s="1"/>
  <c r="I3712" i="1"/>
  <c r="J3712" i="1" s="1"/>
  <c r="I3713" i="1"/>
  <c r="J3713" i="1" s="1"/>
  <c r="I3714" i="1"/>
  <c r="J3714" i="1" s="1"/>
  <c r="I3715" i="1"/>
  <c r="J3715" i="1" s="1"/>
  <c r="I3716" i="1"/>
  <c r="J3716" i="1" s="1"/>
  <c r="I3717" i="1"/>
  <c r="J3717" i="1" s="1"/>
  <c r="I3718" i="1"/>
  <c r="J3718" i="1" s="1"/>
  <c r="I3719" i="1"/>
  <c r="J3719" i="1" s="1"/>
  <c r="I3720" i="1"/>
  <c r="J3720" i="1" s="1"/>
  <c r="I3722" i="1"/>
  <c r="J3722" i="1" s="1"/>
  <c r="I3723" i="1"/>
  <c r="J3723" i="1" s="1"/>
  <c r="I3724" i="1"/>
  <c r="J3724" i="1" s="1"/>
  <c r="I3725" i="1"/>
  <c r="J3725" i="1" s="1"/>
  <c r="I3726" i="1"/>
  <c r="J3726" i="1" s="1"/>
  <c r="I3727" i="1"/>
  <c r="J3727" i="1" s="1"/>
  <c r="I3728" i="1"/>
  <c r="J3728" i="1" s="1"/>
  <c r="I3730" i="1"/>
  <c r="J3730" i="1" s="1"/>
  <c r="I3731" i="1"/>
  <c r="J3731" i="1" s="1"/>
  <c r="I3732" i="1"/>
  <c r="J3732" i="1" s="1"/>
  <c r="I3733" i="1"/>
  <c r="J3733" i="1" s="1"/>
  <c r="I3734" i="1"/>
  <c r="J3734" i="1" s="1"/>
  <c r="I3735" i="1"/>
  <c r="J3735" i="1" s="1"/>
  <c r="I3736" i="1"/>
  <c r="J3736" i="1" s="1"/>
  <c r="I3737" i="1"/>
  <c r="J3737" i="1" s="1"/>
  <c r="I3738" i="1"/>
  <c r="J3738" i="1" s="1"/>
  <c r="I3744" i="1"/>
  <c r="J3744" i="1" s="1"/>
  <c r="I3745" i="1"/>
  <c r="J3745" i="1" s="1"/>
  <c r="I3746" i="1"/>
  <c r="J3746" i="1" s="1"/>
  <c r="I3747" i="1"/>
  <c r="J3747" i="1" s="1"/>
  <c r="I3748" i="1"/>
  <c r="J3748" i="1" s="1"/>
  <c r="I3750" i="1"/>
  <c r="J3750" i="1" s="1"/>
  <c r="I3751" i="1"/>
  <c r="J3751" i="1" s="1"/>
  <c r="I3752" i="1"/>
  <c r="J3752" i="1" s="1"/>
  <c r="I3753" i="1"/>
  <c r="J3753" i="1" s="1"/>
  <c r="I3754" i="1"/>
  <c r="J3754" i="1" s="1"/>
  <c r="I3761" i="1"/>
  <c r="J3761" i="1" s="1"/>
  <c r="I3762" i="1"/>
  <c r="J3762" i="1" s="1"/>
  <c r="I3763" i="1"/>
  <c r="J3763" i="1" s="1"/>
  <c r="I3764" i="1"/>
  <c r="J3764" i="1" s="1"/>
  <c r="I3765" i="1"/>
  <c r="J3765" i="1" s="1"/>
  <c r="I3766" i="1"/>
  <c r="J3766" i="1" s="1"/>
  <c r="I3767" i="1"/>
  <c r="J3767" i="1" s="1"/>
  <c r="I3768" i="1"/>
  <c r="J3768" i="1" s="1"/>
  <c r="I3773" i="1"/>
  <c r="J3773" i="1" s="1"/>
  <c r="I3774" i="1"/>
  <c r="J3774" i="1" s="1"/>
  <c r="I3775" i="1"/>
  <c r="J3775" i="1" s="1"/>
  <c r="I3776" i="1"/>
  <c r="J3776" i="1" s="1"/>
  <c r="I3777" i="1"/>
  <c r="J3777" i="1" s="1"/>
  <c r="I3778" i="1"/>
  <c r="J3778" i="1" s="1"/>
  <c r="I3779" i="1"/>
  <c r="J3779" i="1" s="1"/>
  <c r="I3784" i="1"/>
  <c r="J3784" i="1" s="1"/>
  <c r="I3785" i="1"/>
  <c r="J3785" i="1" s="1"/>
  <c r="I3786" i="1"/>
  <c r="J3786" i="1" s="1"/>
  <c r="I3787" i="1"/>
  <c r="J3787" i="1" s="1"/>
  <c r="I3788" i="1"/>
  <c r="J3788" i="1" s="1"/>
  <c r="I3789" i="1"/>
  <c r="J3789" i="1" s="1"/>
  <c r="I3790" i="1"/>
  <c r="J3790" i="1" s="1"/>
  <c r="I3791" i="1"/>
  <c r="J3791" i="1" s="1"/>
  <c r="I3792" i="1"/>
  <c r="J3792" i="1" s="1"/>
  <c r="I3793" i="1"/>
  <c r="J3793" i="1" s="1"/>
  <c r="I3800" i="1"/>
  <c r="J3800" i="1" s="1"/>
  <c r="I3801" i="1"/>
  <c r="J3801" i="1" s="1"/>
  <c r="I3802" i="1"/>
  <c r="J3802" i="1" s="1"/>
  <c r="I3803" i="1"/>
  <c r="J3803" i="1" s="1"/>
  <c r="I3804" i="1"/>
  <c r="J3804" i="1" s="1"/>
  <c r="I3805" i="1"/>
  <c r="J3805" i="1" s="1"/>
  <c r="I3806" i="1"/>
  <c r="J3806" i="1" s="1"/>
  <c r="I3807" i="1"/>
  <c r="J3807" i="1" s="1"/>
  <c r="I3813" i="1"/>
  <c r="J3813" i="1" s="1"/>
  <c r="I3814" i="1"/>
  <c r="J3814" i="1" s="1"/>
  <c r="I3815" i="1"/>
  <c r="J3815" i="1" s="1"/>
  <c r="I3816" i="1"/>
  <c r="J3816" i="1" s="1"/>
  <c r="I3817" i="1"/>
  <c r="J3817" i="1" s="1"/>
  <c r="I3818" i="1"/>
  <c r="J3818" i="1" s="1"/>
  <c r="I3823" i="1"/>
  <c r="J3823" i="1" s="1"/>
  <c r="I3824" i="1"/>
  <c r="J3824" i="1" s="1"/>
  <c r="I3825" i="1"/>
  <c r="J3825" i="1" s="1"/>
  <c r="I3826" i="1"/>
  <c r="J3826" i="1" s="1"/>
  <c r="I3827" i="1"/>
  <c r="J3827" i="1" s="1"/>
  <c r="I3828" i="1"/>
  <c r="J3828" i="1" s="1"/>
  <c r="I3829" i="1"/>
  <c r="J3829" i="1" s="1"/>
  <c r="I3830" i="1"/>
  <c r="J3830" i="1" s="1"/>
  <c r="I3831" i="1"/>
  <c r="J3831" i="1" s="1"/>
  <c r="I3836" i="1"/>
  <c r="J3836" i="1" s="1"/>
  <c r="I3837" i="1"/>
  <c r="J3837" i="1" s="1"/>
  <c r="I3838" i="1"/>
  <c r="J3838" i="1" s="1"/>
  <c r="I3839" i="1"/>
  <c r="J3839" i="1" s="1"/>
  <c r="I3840" i="1"/>
  <c r="J3840" i="1" s="1"/>
  <c r="I3841" i="1"/>
  <c r="J3841" i="1" s="1"/>
  <c r="I3842" i="1"/>
  <c r="J3842" i="1" s="1"/>
  <c r="I3849" i="1"/>
  <c r="J3849" i="1" s="1"/>
  <c r="I3850" i="1"/>
  <c r="J3850" i="1" s="1"/>
  <c r="I3851" i="1"/>
  <c r="J3851" i="1" s="1"/>
  <c r="I3852" i="1"/>
  <c r="J3852" i="1" s="1"/>
  <c r="I3853" i="1"/>
  <c r="J3853" i="1" s="1"/>
  <c r="I3854" i="1"/>
  <c r="J3854" i="1" s="1"/>
  <c r="I3860" i="1"/>
  <c r="J3860" i="1" s="1"/>
  <c r="I3861" i="1"/>
  <c r="J3861" i="1" s="1"/>
  <c r="I3862" i="1"/>
  <c r="J3862" i="1" s="1"/>
  <c r="I3863" i="1"/>
  <c r="J3863" i="1" s="1"/>
  <c r="I3864" i="1"/>
  <c r="J3864" i="1" s="1"/>
  <c r="I3869" i="1"/>
  <c r="J3869" i="1" s="1"/>
  <c r="I3870" i="1"/>
  <c r="J3870" i="1" s="1"/>
  <c r="I3871" i="1"/>
  <c r="J3871" i="1" s="1"/>
  <c r="I3872" i="1"/>
  <c r="J3872" i="1" s="1"/>
  <c r="I3873" i="1"/>
  <c r="J3873" i="1" s="1"/>
  <c r="I3874" i="1"/>
  <c r="J3874" i="1" s="1"/>
  <c r="I3875" i="1"/>
  <c r="J3875" i="1" s="1"/>
  <c r="I3876" i="1"/>
  <c r="J3876" i="1" s="1"/>
  <c r="I3877" i="1"/>
  <c r="J3877" i="1" s="1"/>
  <c r="I3882" i="1"/>
  <c r="J3882" i="1" s="1"/>
  <c r="I3883" i="1"/>
  <c r="J3883" i="1" s="1"/>
  <c r="I3884" i="1"/>
  <c r="J3884" i="1" s="1"/>
  <c r="I3885" i="1"/>
  <c r="J3885" i="1" s="1"/>
  <c r="I3886" i="1"/>
  <c r="J3886" i="1" s="1"/>
  <c r="I3887" i="1"/>
  <c r="J3887" i="1" s="1"/>
  <c r="I3888" i="1"/>
  <c r="J3888" i="1" s="1"/>
  <c r="I3889" i="1"/>
  <c r="J3889" i="1" s="1"/>
  <c r="I3894" i="1"/>
  <c r="J3894" i="1" s="1"/>
  <c r="I3895" i="1"/>
  <c r="J3895" i="1" s="1"/>
  <c r="I3896" i="1"/>
  <c r="J3896" i="1" s="1"/>
  <c r="I3897" i="1"/>
  <c r="J3897" i="1" s="1"/>
  <c r="I3898" i="1"/>
  <c r="J3898" i="1" s="1"/>
  <c r="I3899" i="1"/>
  <c r="J3899" i="1" s="1"/>
  <c r="I3900" i="1"/>
  <c r="J3900" i="1" s="1"/>
  <c r="I3901" i="1"/>
  <c r="J3901" i="1" s="1"/>
  <c r="I3903" i="1"/>
  <c r="J3903" i="1" s="1"/>
  <c r="I3904" i="1"/>
  <c r="J3904" i="1" s="1"/>
  <c r="I3905" i="1"/>
  <c r="J3905" i="1" s="1"/>
  <c r="I3906" i="1"/>
  <c r="J3906" i="1" s="1"/>
  <c r="I3907" i="1"/>
  <c r="J3907" i="1" s="1"/>
  <c r="I3908" i="1"/>
  <c r="J3908" i="1" s="1"/>
  <c r="I3914" i="1"/>
  <c r="J3914" i="1" s="1"/>
  <c r="I3915" i="1"/>
  <c r="J3915" i="1" s="1"/>
  <c r="I3916" i="1"/>
  <c r="J3916" i="1" s="1"/>
  <c r="I3917" i="1"/>
  <c r="J3917" i="1" s="1"/>
  <c r="I3918" i="1"/>
  <c r="J3918" i="1" s="1"/>
  <c r="I3919" i="1"/>
  <c r="J3919" i="1" s="1"/>
  <c r="I3920" i="1"/>
  <c r="J3920" i="1" s="1"/>
  <c r="I3923" i="1"/>
  <c r="J3923" i="1" s="1"/>
  <c r="I3924" i="1"/>
  <c r="J3924" i="1" s="1"/>
  <c r="I3925" i="1"/>
  <c r="J3925" i="1" s="1"/>
  <c r="I3926" i="1"/>
  <c r="J3926" i="1" s="1"/>
  <c r="I3927" i="1"/>
  <c r="J3927" i="1" s="1"/>
  <c r="I3928" i="1"/>
  <c r="J3928" i="1" s="1"/>
  <c r="I3929" i="1"/>
  <c r="J3929" i="1" s="1"/>
  <c r="I3935" i="1"/>
  <c r="J3935" i="1" s="1"/>
  <c r="I3936" i="1"/>
  <c r="J3936" i="1" s="1"/>
  <c r="I3937" i="1"/>
  <c r="J3937" i="1" s="1"/>
  <c r="I3938" i="1"/>
  <c r="J3938" i="1" s="1"/>
  <c r="I3939" i="1"/>
  <c r="J3939" i="1" s="1"/>
  <c r="I3940" i="1"/>
  <c r="J3940" i="1" s="1"/>
  <c r="I3944" i="1"/>
  <c r="J3944" i="1" s="1"/>
  <c r="I3945" i="1"/>
  <c r="J3945" i="1" s="1"/>
  <c r="I3946" i="1"/>
  <c r="J3946" i="1" s="1"/>
  <c r="I3947" i="1"/>
  <c r="J3947" i="1" s="1"/>
  <c r="I3948" i="1"/>
  <c r="J3948" i="1" s="1"/>
  <c r="I3949" i="1"/>
  <c r="J3949" i="1" s="1"/>
  <c r="I3950" i="1"/>
  <c r="J3950" i="1" s="1"/>
  <c r="I3951" i="1"/>
  <c r="J3951" i="1" s="1"/>
  <c r="I3956" i="1"/>
  <c r="J3956" i="1" s="1"/>
  <c r="I3957" i="1"/>
  <c r="J3957" i="1" s="1"/>
  <c r="I3958" i="1"/>
  <c r="J3958" i="1" s="1"/>
  <c r="I3959" i="1"/>
  <c r="J3959" i="1" s="1"/>
  <c r="I3960" i="1"/>
  <c r="J3960" i="1" s="1"/>
  <c r="I3965" i="1"/>
  <c r="J3965" i="1" s="1"/>
  <c r="I3966" i="1"/>
  <c r="J3966" i="1" s="1"/>
  <c r="I3967" i="1"/>
  <c r="J3967" i="1" s="1"/>
  <c r="I3968" i="1"/>
  <c r="J3968" i="1" s="1"/>
  <c r="I3969" i="1"/>
  <c r="J3969" i="1" s="1"/>
  <c r="I3970" i="1"/>
  <c r="J3970" i="1" s="1"/>
  <c r="I3971" i="1"/>
  <c r="J3971" i="1" s="1"/>
  <c r="I3972" i="1"/>
  <c r="J3972" i="1" s="1"/>
  <c r="I3981" i="1"/>
  <c r="J3981" i="1" s="1"/>
  <c r="I3982" i="1"/>
  <c r="J3982" i="1" s="1"/>
  <c r="I3983" i="1"/>
  <c r="J3983" i="1" s="1"/>
  <c r="I3984" i="1"/>
  <c r="J3984" i="1" s="1"/>
  <c r="I3985" i="1"/>
  <c r="J3985" i="1" s="1"/>
  <c r="I3989" i="1"/>
  <c r="J3989" i="1" s="1"/>
  <c r="I3990" i="1"/>
  <c r="J3990" i="1" s="1"/>
  <c r="I3991" i="1"/>
  <c r="J3991" i="1" s="1"/>
  <c r="I3992" i="1"/>
  <c r="J3992" i="1" s="1"/>
  <c r="I3993" i="1"/>
  <c r="J3993" i="1" s="1"/>
  <c r="I3994" i="1"/>
  <c r="J3994" i="1" s="1"/>
  <c r="I3995" i="1"/>
  <c r="J3995" i="1" s="1"/>
  <c r="I3996" i="1"/>
  <c r="J3996" i="1" s="1"/>
  <c r="I3997" i="1"/>
  <c r="J3997" i="1" s="1"/>
  <c r="I4002" i="1"/>
  <c r="J4002" i="1" s="1"/>
  <c r="I4003" i="1"/>
  <c r="J4003" i="1" s="1"/>
  <c r="I4004" i="1"/>
  <c r="J4004" i="1" s="1"/>
  <c r="I4005" i="1"/>
  <c r="J4005" i="1" s="1"/>
  <c r="I4006" i="1"/>
  <c r="J4006" i="1" s="1"/>
  <c r="I4007" i="1"/>
  <c r="J4007" i="1" s="1"/>
  <c r="I4008" i="1"/>
  <c r="J4008" i="1" s="1"/>
  <c r="I4009" i="1"/>
  <c r="J4009" i="1" s="1"/>
  <c r="I4010" i="1"/>
  <c r="J4010" i="1" s="1"/>
  <c r="I4011" i="1"/>
  <c r="J4011" i="1" s="1"/>
  <c r="I4015" i="1"/>
  <c r="J4015" i="1" s="1"/>
  <c r="I4016" i="1"/>
  <c r="J4016" i="1" s="1"/>
  <c r="I4017" i="1"/>
  <c r="J4017" i="1" s="1"/>
  <c r="I4018" i="1"/>
  <c r="J4018" i="1" s="1"/>
  <c r="I4019" i="1"/>
  <c r="J4019" i="1" s="1"/>
  <c r="I4020" i="1"/>
  <c r="J4020" i="1" s="1"/>
  <c r="I4021" i="1"/>
  <c r="J4021" i="1" s="1"/>
  <c r="I4022" i="1"/>
  <c r="J4022" i="1" s="1"/>
  <c r="I4023" i="1"/>
  <c r="J4023" i="1" s="1"/>
  <c r="I4032" i="1"/>
  <c r="J4032" i="1" s="1"/>
  <c r="I4033" i="1"/>
  <c r="J4033" i="1" s="1"/>
  <c r="I4034" i="1"/>
  <c r="J4034" i="1" s="1"/>
  <c r="I4035" i="1"/>
  <c r="J4035" i="1" s="1"/>
  <c r="I4036" i="1"/>
  <c r="J4036" i="1" s="1"/>
  <c r="I4037" i="1"/>
  <c r="J4037" i="1" s="1"/>
  <c r="I4038" i="1"/>
  <c r="J4038" i="1" s="1"/>
  <c r="I4039" i="1"/>
  <c r="J4039" i="1" s="1"/>
  <c r="I4040" i="1"/>
  <c r="J4040" i="1" s="1"/>
  <c r="I4042" i="1"/>
  <c r="J4042" i="1" s="1"/>
  <c r="I4043" i="1"/>
  <c r="J4043" i="1" s="1"/>
  <c r="I4044" i="1"/>
  <c r="J4044" i="1" s="1"/>
  <c r="I4045" i="1"/>
  <c r="J4045" i="1" s="1"/>
  <c r="I4046" i="1"/>
  <c r="J4046" i="1" s="1"/>
  <c r="I4047" i="1"/>
  <c r="J4047" i="1" s="1"/>
  <c r="I4052" i="1"/>
  <c r="J4052" i="1" s="1"/>
  <c r="I4053" i="1"/>
  <c r="J4053" i="1" s="1"/>
  <c r="I4054" i="1"/>
  <c r="J4054" i="1" s="1"/>
  <c r="I4055" i="1"/>
  <c r="J4055" i="1" s="1"/>
  <c r="I4056" i="1"/>
  <c r="J4056" i="1" s="1"/>
  <c r="I4057" i="1"/>
  <c r="J4057" i="1" s="1"/>
  <c r="I4058" i="1"/>
  <c r="J4058" i="1" s="1"/>
  <c r="I4059" i="1"/>
  <c r="J4059" i="1" s="1"/>
  <c r="I4060" i="1"/>
  <c r="J4060" i="1" s="1"/>
  <c r="I4063" i="1"/>
  <c r="J4063" i="1" s="1"/>
  <c r="I4064" i="1"/>
  <c r="J4064" i="1" s="1"/>
  <c r="I4065" i="1"/>
  <c r="J4065" i="1" s="1"/>
  <c r="I4066" i="1"/>
  <c r="J4066" i="1" s="1"/>
  <c r="I4067" i="1"/>
  <c r="J4067" i="1" s="1"/>
  <c r="I4069" i="1"/>
  <c r="J4069" i="1" s="1"/>
  <c r="I4070" i="1"/>
  <c r="J4070" i="1" s="1"/>
  <c r="I4071" i="1"/>
  <c r="J4071" i="1" s="1"/>
  <c r="I4072" i="1"/>
  <c r="J4072" i="1" s="1"/>
  <c r="I4073" i="1"/>
  <c r="J4073" i="1" s="1"/>
  <c r="I4074" i="1"/>
  <c r="J4074" i="1" s="1"/>
  <c r="I4075" i="1"/>
  <c r="J4075" i="1" s="1"/>
  <c r="I4081" i="1"/>
  <c r="J4081" i="1" s="1"/>
  <c r="I4082" i="1"/>
  <c r="J4082" i="1" s="1"/>
  <c r="I4083" i="1"/>
  <c r="J4083" i="1" s="1"/>
  <c r="I4084" i="1"/>
  <c r="J4084" i="1" s="1"/>
  <c r="I4085" i="1"/>
  <c r="J4085" i="1" s="1"/>
  <c r="I4086" i="1"/>
  <c r="J4086" i="1" s="1"/>
  <c r="I4087" i="1"/>
  <c r="J4087" i="1" s="1"/>
  <c r="I4091" i="1"/>
  <c r="J4091" i="1" s="1"/>
  <c r="I4092" i="1"/>
  <c r="J4092" i="1" s="1"/>
  <c r="I4093" i="1"/>
  <c r="J4093" i="1" s="1"/>
  <c r="I4094" i="1"/>
  <c r="J4094" i="1" s="1"/>
  <c r="I4095" i="1"/>
  <c r="J4095" i="1" s="1"/>
  <c r="I4096" i="1"/>
  <c r="J4096" i="1" s="1"/>
  <c r="I4097" i="1"/>
  <c r="J4097" i="1" s="1"/>
  <c r="I4098" i="1"/>
  <c r="J4098" i="1" s="1"/>
  <c r="I4099" i="1"/>
  <c r="J4099" i="1" s="1"/>
  <c r="I4103" i="1"/>
  <c r="J4103" i="1" s="1"/>
  <c r="I4104" i="1"/>
  <c r="J4104" i="1" s="1"/>
  <c r="I4105" i="1"/>
  <c r="J4105" i="1" s="1"/>
  <c r="I4106" i="1"/>
  <c r="J4106" i="1" s="1"/>
  <c r="I4107" i="1"/>
  <c r="J4107" i="1" s="1"/>
  <c r="I4108" i="1"/>
  <c r="J4108" i="1" s="1"/>
  <c r="I4109" i="1"/>
  <c r="J4109" i="1" s="1"/>
  <c r="I4110" i="1"/>
  <c r="J4110" i="1" s="1"/>
  <c r="I4116" i="1"/>
  <c r="J4116" i="1" s="1"/>
  <c r="I4117" i="1"/>
  <c r="J4117" i="1" s="1"/>
  <c r="I4118" i="1"/>
  <c r="J4118" i="1" s="1"/>
  <c r="I4119" i="1"/>
  <c r="J4119" i="1" s="1"/>
  <c r="I4120" i="1"/>
  <c r="J4120" i="1" s="1"/>
  <c r="I4124" i="1"/>
  <c r="J4124" i="1" s="1"/>
  <c r="I4125" i="1"/>
  <c r="J4125" i="1" s="1"/>
  <c r="I4126" i="1"/>
  <c r="J4126" i="1" s="1"/>
  <c r="I4127" i="1"/>
  <c r="J4127" i="1" s="1"/>
  <c r="I4128" i="1"/>
  <c r="J4128" i="1" s="1"/>
  <c r="I4129" i="1"/>
  <c r="J4129" i="1" s="1"/>
  <c r="I4132" i="1"/>
  <c r="J4132" i="1" s="1"/>
  <c r="I4133" i="1"/>
  <c r="J4133" i="1" s="1"/>
  <c r="I4134" i="1"/>
  <c r="J4134" i="1" s="1"/>
  <c r="I4135" i="1"/>
  <c r="J4135" i="1" s="1"/>
  <c r="I4136" i="1"/>
  <c r="J4136" i="1" s="1"/>
  <c r="I4137" i="1"/>
  <c r="J4137" i="1" s="1"/>
  <c r="I4138" i="1"/>
  <c r="J4138" i="1" s="1"/>
  <c r="I4139" i="1"/>
  <c r="J4139" i="1" s="1"/>
  <c r="I4140" i="1"/>
  <c r="J4140" i="1" s="1"/>
  <c r="I4141" i="1"/>
  <c r="J4141" i="1" s="1"/>
  <c r="I4144" i="1"/>
  <c r="J4144" i="1" s="1"/>
  <c r="I4145" i="1"/>
  <c r="J4145" i="1" s="1"/>
  <c r="I4146" i="1"/>
  <c r="J4146" i="1" s="1"/>
  <c r="I4147" i="1"/>
  <c r="J4147" i="1" s="1"/>
  <c r="I4148" i="1"/>
  <c r="J4148" i="1" s="1"/>
  <c r="I4152" i="1"/>
  <c r="J4152" i="1" s="1"/>
  <c r="I4153" i="1"/>
  <c r="J4153" i="1" s="1"/>
  <c r="I4154" i="1"/>
  <c r="J4154" i="1" s="1"/>
  <c r="I4155" i="1"/>
  <c r="J4155" i="1" s="1"/>
  <c r="I4156" i="1"/>
  <c r="J4156" i="1" s="1"/>
  <c r="I4157" i="1"/>
  <c r="J4157" i="1" s="1"/>
  <c r="I4158" i="1"/>
  <c r="J4158" i="1" s="1"/>
  <c r="I4159" i="1"/>
  <c r="J4159" i="1" s="1"/>
  <c r="I4160" i="1"/>
  <c r="J4160" i="1" s="1"/>
  <c r="I4161" i="1"/>
  <c r="J4161" i="1" s="1"/>
  <c r="I4169" i="1"/>
  <c r="J4169" i="1" s="1"/>
  <c r="I4170" i="1"/>
  <c r="J4170" i="1" s="1"/>
  <c r="I4171" i="1"/>
  <c r="J4171" i="1" s="1"/>
  <c r="I4172" i="1"/>
  <c r="J4172" i="1" s="1"/>
  <c r="I4173" i="1"/>
  <c r="J4173" i="1" s="1"/>
  <c r="I4177" i="1"/>
  <c r="J4177" i="1" s="1"/>
  <c r="I4178" i="1"/>
  <c r="J4178" i="1" s="1"/>
  <c r="I4179" i="1"/>
  <c r="J4179" i="1" s="1"/>
  <c r="I4180" i="1"/>
  <c r="J4180" i="1" s="1"/>
  <c r="I4181" i="1"/>
  <c r="J4181" i="1" s="1"/>
  <c r="I4182" i="1"/>
  <c r="J4182" i="1" s="1"/>
  <c r="I4183" i="1"/>
  <c r="J4183" i="1" s="1"/>
  <c r="I4184" i="1"/>
  <c r="J4184" i="1" s="1"/>
  <c r="I4185" i="1"/>
  <c r="J4185" i="1" s="1"/>
  <c r="I4191" i="1"/>
  <c r="J4191" i="1" s="1"/>
  <c r="I4192" i="1"/>
  <c r="J4192" i="1" s="1"/>
  <c r="I4193" i="1"/>
  <c r="J4193" i="1" s="1"/>
  <c r="I4194" i="1"/>
  <c r="J4194" i="1" s="1"/>
  <c r="I4195" i="1"/>
  <c r="J4195" i="1" s="1"/>
  <c r="I4196" i="1"/>
  <c r="J4196" i="1" s="1"/>
  <c r="I4197" i="1"/>
  <c r="J4197" i="1" s="1"/>
  <c r="I4202" i="1"/>
  <c r="J4202" i="1" s="1"/>
  <c r="I4203" i="1"/>
  <c r="J4203" i="1" s="1"/>
  <c r="I4204" i="1"/>
  <c r="J4204" i="1" s="1"/>
  <c r="I4205" i="1"/>
  <c r="J4205" i="1" s="1"/>
  <c r="I4206" i="1"/>
  <c r="J4206" i="1" s="1"/>
  <c r="I4207" i="1"/>
  <c r="J4207" i="1" s="1"/>
  <c r="I4208" i="1"/>
  <c r="J4208" i="1" s="1"/>
  <c r="I4209" i="1"/>
  <c r="J4209" i="1" s="1"/>
  <c r="I4214" i="1"/>
  <c r="J4214" i="1" s="1"/>
  <c r="I4215" i="1"/>
  <c r="J4215" i="1" s="1"/>
  <c r="I4216" i="1"/>
  <c r="J4216" i="1" s="1"/>
  <c r="I4217" i="1"/>
  <c r="J4217" i="1" s="1"/>
  <c r="I4218" i="1"/>
  <c r="J4218" i="1" s="1"/>
  <c r="I4219" i="1"/>
  <c r="J4219" i="1" s="1"/>
  <c r="I4220" i="1"/>
  <c r="J4220" i="1" s="1"/>
  <c r="I4221" i="1"/>
  <c r="J4221" i="1" s="1"/>
  <c r="I4225" i="1"/>
  <c r="J4225" i="1" s="1"/>
  <c r="I4226" i="1"/>
  <c r="J4226" i="1" s="1"/>
  <c r="I4227" i="1"/>
  <c r="J4227" i="1" s="1"/>
  <c r="I4228" i="1"/>
  <c r="J4228" i="1" s="1"/>
  <c r="I4229" i="1"/>
  <c r="J4229" i="1" s="1"/>
  <c r="I4234" i="1"/>
  <c r="J4234" i="1" s="1"/>
  <c r="I4235" i="1"/>
  <c r="J4235" i="1" s="1"/>
  <c r="I4236" i="1"/>
  <c r="J4236" i="1" s="1"/>
  <c r="I4237" i="1"/>
  <c r="J4237" i="1" s="1"/>
  <c r="I4238" i="1"/>
  <c r="J4238" i="1" s="1"/>
  <c r="I4239" i="1"/>
  <c r="J4239" i="1" s="1"/>
  <c r="I4240" i="1"/>
  <c r="J4240" i="1" s="1"/>
  <c r="I4243" i="1"/>
  <c r="J4243" i="1" s="1"/>
  <c r="I4244" i="1"/>
  <c r="J4244" i="1" s="1"/>
  <c r="I4245" i="1"/>
  <c r="J4245" i="1" s="1"/>
  <c r="I4246" i="1"/>
  <c r="J4246" i="1" s="1"/>
  <c r="I4247" i="1"/>
  <c r="J4247" i="1" s="1"/>
  <c r="I4251" i="1"/>
  <c r="J4251" i="1" s="1"/>
  <c r="I4252" i="1"/>
  <c r="J4252" i="1" s="1"/>
  <c r="I4253" i="1"/>
  <c r="J4253" i="1" s="1"/>
  <c r="I4254" i="1"/>
  <c r="J4254" i="1" s="1"/>
  <c r="I4255" i="1"/>
  <c r="J4255" i="1" s="1"/>
  <c r="I4256" i="1"/>
  <c r="J4256" i="1" s="1"/>
  <c r="I4257" i="1"/>
  <c r="J4257" i="1" s="1"/>
  <c r="I4263" i="1"/>
  <c r="J4263" i="1" s="1"/>
  <c r="I4264" i="1"/>
  <c r="J4264" i="1" s="1"/>
  <c r="I4265" i="1"/>
  <c r="J4265" i="1" s="1"/>
  <c r="I4266" i="1"/>
  <c r="J4266" i="1" s="1"/>
  <c r="I4267" i="1"/>
  <c r="J4267" i="1" s="1"/>
  <c r="I4268" i="1"/>
  <c r="J4268" i="1" s="1"/>
  <c r="I4270" i="1"/>
  <c r="J4270" i="1" s="1"/>
  <c r="I4271" i="1"/>
  <c r="J4271" i="1" s="1"/>
  <c r="I4272" i="1"/>
  <c r="J4272" i="1" s="1"/>
  <c r="I4273" i="1"/>
  <c r="J4273" i="1" s="1"/>
  <c r="I4274" i="1"/>
  <c r="J4274" i="1" s="1"/>
  <c r="I4275" i="1"/>
  <c r="J4275" i="1" s="1"/>
  <c r="I4276" i="1"/>
  <c r="J4276" i="1" s="1"/>
  <c r="I4277" i="1"/>
  <c r="J4277" i="1" s="1"/>
  <c r="I4278" i="1"/>
  <c r="J4278" i="1" s="1"/>
  <c r="I4287" i="1"/>
  <c r="J4287" i="1" s="1"/>
  <c r="I4288" i="1"/>
  <c r="J4288" i="1" s="1"/>
  <c r="I4289" i="1"/>
  <c r="J4289" i="1" s="1"/>
  <c r="I4290" i="1"/>
  <c r="J4290" i="1" s="1"/>
  <c r="I4291" i="1"/>
  <c r="J4291" i="1" s="1"/>
  <c r="I4292" i="1"/>
  <c r="J4292" i="1" s="1"/>
  <c r="I4293" i="1"/>
  <c r="J4293" i="1" s="1"/>
  <c r="I4299" i="1"/>
  <c r="J4299" i="1" s="1"/>
  <c r="I4300" i="1"/>
  <c r="J4300" i="1" s="1"/>
  <c r="I4301" i="1"/>
  <c r="J4301" i="1" s="1"/>
  <c r="I4302" i="1"/>
  <c r="J4302" i="1" s="1"/>
  <c r="I4303" i="1"/>
  <c r="J4303" i="1" s="1"/>
  <c r="I4304" i="1"/>
  <c r="J4304" i="1" s="1"/>
  <c r="I4305" i="1"/>
  <c r="J4305" i="1" s="1"/>
  <c r="I4309" i="1"/>
  <c r="J4309" i="1" s="1"/>
  <c r="I4310" i="1"/>
  <c r="J4310" i="1" s="1"/>
  <c r="I4311" i="1"/>
  <c r="J4311" i="1" s="1"/>
  <c r="I4312" i="1"/>
  <c r="J4312" i="1" s="1"/>
  <c r="I4313" i="1"/>
  <c r="J4313" i="1" s="1"/>
  <c r="I4318" i="1"/>
  <c r="J4318" i="1" s="1"/>
  <c r="I4319" i="1"/>
  <c r="J4319" i="1" s="1"/>
  <c r="I4320" i="1"/>
  <c r="J4320" i="1" s="1"/>
  <c r="I4321" i="1"/>
  <c r="J4321" i="1" s="1"/>
  <c r="I4322" i="1"/>
  <c r="J4322" i="1" s="1"/>
  <c r="I4323" i="1"/>
  <c r="J4323" i="1" s="1"/>
  <c r="I4324" i="1"/>
  <c r="J4324" i="1" s="1"/>
  <c r="I4325" i="1"/>
  <c r="J4325" i="1" s="1"/>
  <c r="I4326" i="1"/>
  <c r="J4326" i="1" s="1"/>
  <c r="I4327" i="1"/>
  <c r="J4327" i="1" s="1"/>
  <c r="I4332" i="1"/>
  <c r="J4332" i="1" s="1"/>
  <c r="I4333" i="1"/>
  <c r="J4333" i="1" s="1"/>
  <c r="I4334" i="1"/>
  <c r="J4334" i="1" s="1"/>
  <c r="I4335" i="1"/>
  <c r="J4335" i="1" s="1"/>
  <c r="I4336" i="1"/>
  <c r="J4336" i="1" s="1"/>
  <c r="I4337" i="1"/>
  <c r="J4337" i="1" s="1"/>
  <c r="I4338" i="1"/>
  <c r="J4338" i="1" s="1"/>
  <c r="I4339" i="1"/>
  <c r="J4339" i="1" s="1"/>
  <c r="I4342" i="1"/>
  <c r="J4342" i="1" s="1"/>
  <c r="I4343" i="1"/>
  <c r="J4343" i="1" s="1"/>
  <c r="I4344" i="1"/>
  <c r="J4344" i="1" s="1"/>
  <c r="I4345" i="1"/>
  <c r="J4345" i="1" s="1"/>
  <c r="I4346" i="1"/>
  <c r="J4346" i="1" s="1"/>
  <c r="I4347" i="1"/>
  <c r="J4347" i="1" s="1"/>
  <c r="I4348" i="1"/>
  <c r="J4348" i="1" s="1"/>
  <c r="I4349" i="1"/>
  <c r="J4349" i="1" s="1"/>
  <c r="I4350" i="1"/>
  <c r="J4350" i="1" s="1"/>
  <c r="I4351" i="1"/>
  <c r="J4351" i="1" s="1"/>
  <c r="I4352" i="1"/>
  <c r="J4352" i="1" s="1"/>
  <c r="I4353" i="1"/>
  <c r="J4353" i="1" s="1"/>
  <c r="I4354" i="1"/>
  <c r="J4354" i="1" s="1"/>
  <c r="I4355" i="1"/>
  <c r="J4355" i="1" s="1"/>
  <c r="I4356" i="1"/>
  <c r="J4356" i="1" s="1"/>
  <c r="I4357" i="1"/>
  <c r="J4357" i="1" s="1"/>
  <c r="I4358" i="1"/>
  <c r="J4358" i="1" s="1"/>
  <c r="I4359" i="1"/>
  <c r="J4359" i="1" s="1"/>
  <c r="I4365" i="1"/>
  <c r="J4365" i="1" s="1"/>
  <c r="I4366" i="1"/>
  <c r="J4366" i="1" s="1"/>
  <c r="I4367" i="1"/>
  <c r="J4367" i="1" s="1"/>
  <c r="I4368" i="1"/>
  <c r="J4368" i="1" s="1"/>
  <c r="I4369" i="1"/>
  <c r="J4369" i="1" s="1"/>
  <c r="I4372" i="1"/>
  <c r="J4372" i="1" s="1"/>
  <c r="I4373" i="1"/>
  <c r="J4373" i="1" s="1"/>
  <c r="I4374" i="1"/>
  <c r="J4374" i="1" s="1"/>
  <c r="I4375" i="1"/>
  <c r="J4375" i="1" s="1"/>
  <c r="I4376" i="1"/>
  <c r="J4376" i="1" s="1"/>
  <c r="I4377" i="1"/>
  <c r="J4377" i="1" s="1"/>
  <c r="I4378" i="1"/>
  <c r="J4378" i="1" s="1"/>
  <c r="I4385" i="1"/>
  <c r="J4385" i="1" s="1"/>
  <c r="I4386" i="1"/>
  <c r="J4386" i="1" s="1"/>
  <c r="I4387" i="1"/>
  <c r="J4387" i="1" s="1"/>
  <c r="I4388" i="1"/>
  <c r="J4388" i="1" s="1"/>
  <c r="I4389" i="1"/>
  <c r="J4389" i="1" s="1"/>
  <c r="I4390" i="1"/>
  <c r="J4390" i="1" s="1"/>
  <c r="I4391" i="1"/>
  <c r="J4391" i="1" s="1"/>
  <c r="I4392" i="1"/>
  <c r="J4392" i="1" s="1"/>
  <c r="I4393" i="1"/>
  <c r="J4393" i="1" s="1"/>
  <c r="I4394" i="1"/>
  <c r="J4394" i="1" s="1"/>
  <c r="I4399" i="1"/>
  <c r="J4399" i="1" s="1"/>
  <c r="I4400" i="1"/>
  <c r="J4400" i="1" s="1"/>
  <c r="I4401" i="1"/>
  <c r="J4401" i="1" s="1"/>
  <c r="I4402" i="1"/>
  <c r="J4402" i="1" s="1"/>
  <c r="I4403" i="1"/>
  <c r="J4403" i="1" s="1"/>
  <c r="I4404" i="1"/>
  <c r="J4404" i="1" s="1"/>
  <c r="I4405" i="1"/>
  <c r="J4405" i="1" s="1"/>
  <c r="I4406" i="1"/>
  <c r="J4406" i="1" s="1"/>
  <c r="I4407" i="1"/>
  <c r="J4407" i="1" s="1"/>
  <c r="I4408" i="1"/>
  <c r="J4408" i="1" s="1"/>
  <c r="I4409" i="1"/>
  <c r="J4409" i="1" s="1"/>
  <c r="I4410" i="1"/>
  <c r="J4410" i="1" s="1"/>
  <c r="I4411" i="1"/>
  <c r="J4411" i="1" s="1"/>
  <c r="I4412" i="1"/>
  <c r="J4412" i="1" s="1"/>
  <c r="I4413" i="1"/>
  <c r="J4413" i="1" s="1"/>
  <c r="I4416" i="1"/>
  <c r="J4416" i="1" s="1"/>
  <c r="I4417" i="1"/>
  <c r="J4417" i="1" s="1"/>
  <c r="I4418" i="1"/>
  <c r="J4418" i="1" s="1"/>
  <c r="I4419" i="1"/>
  <c r="J4419" i="1" s="1"/>
  <c r="I4420" i="1"/>
  <c r="J4420" i="1" s="1"/>
  <c r="I4421" i="1"/>
  <c r="J4421" i="1" s="1"/>
  <c r="I4422" i="1"/>
  <c r="J4422" i="1" s="1"/>
  <c r="I4431" i="1"/>
  <c r="J4431" i="1" s="1"/>
  <c r="I4432" i="1"/>
  <c r="J4432" i="1" s="1"/>
  <c r="I4433" i="1"/>
  <c r="J4433" i="1" s="1"/>
  <c r="I4434" i="1"/>
  <c r="J4434" i="1" s="1"/>
  <c r="I4435" i="1"/>
  <c r="J4435" i="1" s="1"/>
  <c r="I4436" i="1"/>
  <c r="J4436" i="1" s="1"/>
  <c r="I4437" i="1"/>
  <c r="J4437" i="1" s="1"/>
  <c r="I4438" i="1"/>
  <c r="J4438" i="1" s="1"/>
  <c r="I4443" i="1"/>
  <c r="J4443" i="1" s="1"/>
  <c r="I4444" i="1"/>
  <c r="J4444" i="1" s="1"/>
  <c r="I4445" i="1"/>
  <c r="J4445" i="1" s="1"/>
  <c r="I4446" i="1"/>
  <c r="J4446" i="1" s="1"/>
  <c r="I4447" i="1"/>
  <c r="J4447" i="1" s="1"/>
  <c r="I4448" i="1"/>
  <c r="J4448" i="1" s="1"/>
  <c r="I4449" i="1"/>
  <c r="J4449" i="1" s="1"/>
  <c r="I4450" i="1"/>
  <c r="J4450" i="1" s="1"/>
  <c r="I4451" i="1"/>
  <c r="J4451" i="1" s="1"/>
  <c r="I4457" i="1"/>
  <c r="J4457" i="1" s="1"/>
  <c r="I4458" i="1"/>
  <c r="J4458" i="1" s="1"/>
  <c r="I4459" i="1"/>
  <c r="J4459" i="1" s="1"/>
  <c r="I4460" i="1"/>
  <c r="J4460" i="1" s="1"/>
  <c r="I4461" i="1"/>
  <c r="J4461" i="1" s="1"/>
  <c r="I4462" i="1"/>
  <c r="J4462" i="1" s="1"/>
  <c r="I4463" i="1"/>
  <c r="J4463" i="1" s="1"/>
  <c r="I4464" i="1"/>
  <c r="J4464" i="1" s="1"/>
  <c r="I4469" i="1"/>
  <c r="J4469" i="1" s="1"/>
  <c r="I4470" i="1"/>
  <c r="J4470" i="1" s="1"/>
  <c r="I4471" i="1"/>
  <c r="J4471" i="1" s="1"/>
  <c r="I4472" i="1"/>
  <c r="J4472" i="1" s="1"/>
  <c r="I4473" i="1"/>
  <c r="J4473" i="1" s="1"/>
  <c r="I4478" i="1"/>
  <c r="J4478" i="1" s="1"/>
  <c r="I4479" i="1"/>
  <c r="J4479" i="1" s="1"/>
  <c r="I4480" i="1"/>
  <c r="J4480" i="1" s="1"/>
  <c r="I4481" i="1"/>
  <c r="J4481" i="1" s="1"/>
  <c r="I4482" i="1"/>
  <c r="J4482" i="1" s="1"/>
  <c r="I4483" i="1"/>
  <c r="J4483" i="1" s="1"/>
  <c r="I4486" i="1"/>
  <c r="J4486" i="1" s="1"/>
  <c r="I4487" i="1"/>
  <c r="J4487" i="1" s="1"/>
  <c r="I4488" i="1"/>
  <c r="J4488" i="1" s="1"/>
  <c r="I4489" i="1"/>
  <c r="J4489" i="1" s="1"/>
  <c r="I4490" i="1"/>
  <c r="J4490" i="1" s="1"/>
  <c r="I4491" i="1"/>
  <c r="J4491" i="1" s="1"/>
  <c r="I4492" i="1"/>
  <c r="J4492" i="1" s="1"/>
  <c r="I4493" i="1"/>
  <c r="J4493" i="1" s="1"/>
  <c r="I4494" i="1"/>
  <c r="J4494" i="1" s="1"/>
  <c r="I4496" i="1"/>
  <c r="J4496" i="1" s="1"/>
  <c r="I4497" i="1"/>
  <c r="J4497" i="1" s="1"/>
  <c r="I4498" i="1"/>
  <c r="J4498" i="1" s="1"/>
  <c r="I4499" i="1"/>
  <c r="J4499" i="1" s="1"/>
  <c r="I4500" i="1"/>
  <c r="J4500" i="1" s="1"/>
  <c r="I4501" i="1"/>
  <c r="J4501" i="1" s="1"/>
  <c r="I4502" i="1"/>
  <c r="J4502" i="1" s="1"/>
  <c r="I4503" i="1"/>
  <c r="J4503" i="1" s="1"/>
  <c r="I4504" i="1"/>
  <c r="J4504" i="1" s="1"/>
  <c r="I4505" i="1"/>
  <c r="J4505" i="1" s="1"/>
  <c r="I4508" i="1"/>
  <c r="J4508" i="1" s="1"/>
  <c r="I4509" i="1"/>
  <c r="J4509" i="1" s="1"/>
  <c r="I4510" i="1"/>
  <c r="J4510" i="1" s="1"/>
  <c r="I4511" i="1"/>
  <c r="J4511" i="1" s="1"/>
  <c r="I4512" i="1"/>
  <c r="J4512" i="1" s="1"/>
  <c r="I4515" i="1"/>
  <c r="J4515" i="1" s="1"/>
  <c r="I4516" i="1"/>
  <c r="J4516" i="1" s="1"/>
  <c r="I4517" i="1"/>
  <c r="J4517" i="1" s="1"/>
  <c r="I4518" i="1"/>
  <c r="J4518" i="1" s="1"/>
  <c r="I4519" i="1"/>
  <c r="J4519" i="1" s="1"/>
  <c r="I4520" i="1"/>
  <c r="J4520" i="1" s="1"/>
  <c r="I4521" i="1"/>
  <c r="J4521" i="1" s="1"/>
  <c r="I4522" i="1"/>
  <c r="J4522" i="1" s="1"/>
  <c r="I4525" i="1"/>
  <c r="J4525" i="1" s="1"/>
  <c r="I4526" i="1"/>
  <c r="J4526" i="1" s="1"/>
  <c r="I4527" i="1"/>
  <c r="J4527" i="1" s="1"/>
  <c r="I4528" i="1"/>
  <c r="J4528" i="1" s="1"/>
  <c r="I4529" i="1"/>
  <c r="J4529" i="1" s="1"/>
  <c r="I4530" i="1"/>
  <c r="J4530" i="1" s="1"/>
  <c r="I4531" i="1"/>
  <c r="J4531" i="1" s="1"/>
  <c r="I4532" i="1"/>
  <c r="J4532" i="1" s="1"/>
  <c r="I4533" i="1"/>
  <c r="J4533" i="1" s="1"/>
  <c r="I4536" i="1"/>
  <c r="J4536" i="1" s="1"/>
  <c r="I4537" i="1"/>
  <c r="J4537" i="1" s="1"/>
  <c r="I4538" i="1"/>
  <c r="J4538" i="1" s="1"/>
  <c r="I4539" i="1"/>
  <c r="J4539" i="1" s="1"/>
  <c r="I4540" i="1"/>
  <c r="J4540" i="1" s="1"/>
  <c r="I4542" i="1"/>
  <c r="J4542" i="1" s="1"/>
  <c r="I4543" i="1"/>
  <c r="J4543" i="1" s="1"/>
  <c r="I4544" i="1"/>
  <c r="J4544" i="1" s="1"/>
  <c r="I4545" i="1"/>
  <c r="J4545" i="1" s="1"/>
  <c r="I4546" i="1"/>
  <c r="J4546" i="1" s="1"/>
  <c r="I4547" i="1"/>
  <c r="J4547" i="1" s="1"/>
  <c r="I4548" i="1"/>
  <c r="J4548" i="1" s="1"/>
  <c r="I4549" i="1"/>
  <c r="J4549" i="1" s="1"/>
  <c r="I4551" i="1"/>
  <c r="J4551" i="1" s="1"/>
  <c r="I4552" i="1"/>
  <c r="J4552" i="1" s="1"/>
  <c r="I4553" i="1"/>
  <c r="J4553" i="1" s="1"/>
  <c r="I4554" i="1"/>
  <c r="J4554" i="1" s="1"/>
  <c r="I4555" i="1"/>
  <c r="J4555" i="1" s="1"/>
  <c r="I4556" i="1"/>
  <c r="J4556" i="1" s="1"/>
  <c r="I4560" i="1"/>
  <c r="J4560" i="1" s="1"/>
  <c r="I4561" i="1"/>
  <c r="J4561" i="1" s="1"/>
  <c r="I4562" i="1"/>
  <c r="J4562" i="1" s="1"/>
  <c r="I4563" i="1"/>
  <c r="J4563" i="1" s="1"/>
  <c r="I4564" i="1"/>
  <c r="J4564" i="1" s="1"/>
  <c r="I4565" i="1"/>
  <c r="J4565" i="1" s="1"/>
  <c r="I4566" i="1"/>
  <c r="J4566" i="1" s="1"/>
  <c r="I4567" i="1"/>
  <c r="J4567" i="1" s="1"/>
  <c r="I4568" i="1"/>
  <c r="J4568" i="1" s="1"/>
  <c r="I4571" i="1"/>
  <c r="J4571" i="1" s="1"/>
  <c r="I4572" i="1"/>
  <c r="J4572" i="1" s="1"/>
  <c r="I4573" i="1"/>
  <c r="J4573" i="1" s="1"/>
  <c r="I4574" i="1"/>
  <c r="J4574" i="1" s="1"/>
  <c r="I4575" i="1"/>
  <c r="J4575" i="1" s="1"/>
  <c r="I4576" i="1"/>
  <c r="J4576" i="1" s="1"/>
  <c r="I4577" i="1"/>
  <c r="J4577" i="1" s="1"/>
  <c r="I4578" i="1"/>
  <c r="J4578" i="1" s="1"/>
  <c r="I4579" i="1"/>
  <c r="J4579" i="1" s="1"/>
  <c r="I4584" i="1"/>
  <c r="J4584" i="1" s="1"/>
  <c r="I4585" i="1"/>
  <c r="J4585" i="1" s="1"/>
  <c r="I4586" i="1"/>
  <c r="J4586" i="1" s="1"/>
  <c r="I4587" i="1"/>
  <c r="J4587" i="1" s="1"/>
  <c r="I4588" i="1"/>
  <c r="J4588" i="1" s="1"/>
  <c r="I4589" i="1"/>
  <c r="J4589" i="1" s="1"/>
  <c r="I4590" i="1"/>
  <c r="J4590" i="1" s="1"/>
  <c r="I4593" i="1"/>
  <c r="J4593" i="1" s="1"/>
  <c r="I4594" i="1"/>
  <c r="J4594" i="1" s="1"/>
  <c r="I4595" i="1"/>
  <c r="J4595" i="1" s="1"/>
  <c r="I4596" i="1"/>
  <c r="J4596" i="1" s="1"/>
  <c r="I4597" i="1"/>
  <c r="J4597" i="1" s="1"/>
  <c r="I4598" i="1"/>
  <c r="J4598" i="1" s="1"/>
  <c r="I4605" i="1"/>
  <c r="J4605" i="1" s="1"/>
  <c r="I4606" i="1"/>
  <c r="J4606" i="1" s="1"/>
  <c r="I4607" i="1"/>
  <c r="J4607" i="1" s="1"/>
  <c r="I4608" i="1"/>
  <c r="J4608" i="1" s="1"/>
  <c r="I4609" i="1"/>
  <c r="J4609" i="1" s="1"/>
  <c r="I4610" i="1"/>
  <c r="J4610" i="1" s="1"/>
  <c r="I4611" i="1"/>
  <c r="J4611" i="1" s="1"/>
  <c r="I4612" i="1"/>
  <c r="J4612" i="1" s="1"/>
  <c r="I4613" i="1"/>
  <c r="J4613" i="1" s="1"/>
  <c r="I4614" i="1"/>
  <c r="J4614" i="1" s="1"/>
  <c r="I4617" i="1"/>
  <c r="J4617" i="1" s="1"/>
  <c r="I4618" i="1"/>
  <c r="J4618" i="1" s="1"/>
  <c r="I4619" i="1"/>
  <c r="J4619" i="1" s="1"/>
  <c r="I4620" i="1"/>
  <c r="J4620" i="1" s="1"/>
  <c r="I4621" i="1"/>
  <c r="J4621" i="1" s="1"/>
  <c r="I4624" i="1"/>
  <c r="J4624" i="1" s="1"/>
  <c r="I4625" i="1"/>
  <c r="J4625" i="1" s="1"/>
  <c r="I4626" i="1"/>
  <c r="J4626" i="1" s="1"/>
  <c r="I4627" i="1"/>
  <c r="J4627" i="1" s="1"/>
  <c r="I4628" i="1"/>
  <c r="J4628" i="1" s="1"/>
  <c r="I4629" i="1"/>
  <c r="J4629" i="1" s="1"/>
  <c r="I4630" i="1"/>
  <c r="J4630" i="1" s="1"/>
  <c r="I4633" i="1"/>
  <c r="J4633" i="1" s="1"/>
  <c r="I4634" i="1"/>
  <c r="J4634" i="1" s="1"/>
  <c r="I4635" i="1"/>
  <c r="J4635" i="1" s="1"/>
  <c r="I4636" i="1"/>
  <c r="J4636" i="1" s="1"/>
  <c r="I4637" i="1"/>
  <c r="J4637" i="1" s="1"/>
  <c r="I4638" i="1"/>
  <c r="J4638" i="1" s="1"/>
  <c r="I4639" i="1"/>
  <c r="J4639" i="1" s="1"/>
  <c r="I4640" i="1"/>
  <c r="J4640" i="1" s="1"/>
  <c r="I4641" i="1"/>
  <c r="J4641" i="1" s="1"/>
  <c r="I4644" i="1"/>
  <c r="J4644" i="1" s="1"/>
  <c r="I4645" i="1"/>
  <c r="J4645" i="1" s="1"/>
  <c r="I4646" i="1"/>
  <c r="J4646" i="1" s="1"/>
  <c r="I4647" i="1"/>
  <c r="J4647" i="1" s="1"/>
  <c r="I4648" i="1"/>
  <c r="J4648" i="1" s="1"/>
  <c r="I4652" i="1"/>
  <c r="J4652" i="1" s="1"/>
  <c r="I4653" i="1"/>
  <c r="J4653" i="1" s="1"/>
  <c r="I4654" i="1"/>
  <c r="J4654" i="1" s="1"/>
  <c r="I4655" i="1"/>
  <c r="J4655" i="1" s="1"/>
  <c r="I4656" i="1"/>
  <c r="J4656" i="1" s="1"/>
  <c r="I4657" i="1"/>
  <c r="J4657" i="1" s="1"/>
  <c r="I4658" i="1"/>
  <c r="J4658" i="1" s="1"/>
  <c r="I4659" i="1"/>
  <c r="J4659" i="1" s="1"/>
  <c r="I4662" i="1"/>
  <c r="J4662" i="1" s="1"/>
  <c r="I4663" i="1"/>
  <c r="J4663" i="1" s="1"/>
  <c r="I4664" i="1"/>
  <c r="J4664" i="1" s="1"/>
  <c r="I4665" i="1"/>
  <c r="J4665" i="1" s="1"/>
  <c r="I4666" i="1"/>
  <c r="J4666" i="1" s="1"/>
  <c r="I4667" i="1"/>
  <c r="J4667" i="1" s="1"/>
  <c r="I4668" i="1"/>
  <c r="J4668" i="1" s="1"/>
  <c r="I4669" i="1"/>
  <c r="J4669" i="1" s="1"/>
  <c r="I4670" i="1"/>
  <c r="J4670" i="1" s="1"/>
  <c r="I4671" i="1"/>
  <c r="J4671" i="1" s="1"/>
  <c r="I4672" i="1"/>
  <c r="J4672" i="1" s="1"/>
  <c r="I4673" i="1"/>
  <c r="J4673" i="1" s="1"/>
  <c r="I4674" i="1"/>
  <c r="J4674" i="1" s="1"/>
  <c r="I4675" i="1"/>
  <c r="J4675" i="1" s="1"/>
  <c r="I4676" i="1"/>
  <c r="J4676" i="1" s="1"/>
  <c r="I4677" i="1"/>
  <c r="J4677" i="1" s="1"/>
  <c r="I4678" i="1"/>
  <c r="J4678" i="1" s="1"/>
  <c r="I4679" i="1"/>
  <c r="J4679" i="1" s="1"/>
  <c r="I4681" i="1"/>
  <c r="J4681" i="1" s="1"/>
  <c r="I4682" i="1"/>
  <c r="J4682" i="1" s="1"/>
  <c r="I4683" i="1"/>
  <c r="J4683" i="1" s="1"/>
  <c r="I4684" i="1"/>
  <c r="J4684" i="1" s="1"/>
  <c r="I4685" i="1"/>
  <c r="J4685" i="1" s="1"/>
  <c r="I4686" i="1"/>
  <c r="J4686" i="1" s="1"/>
  <c r="I4687" i="1"/>
  <c r="J4687" i="1" s="1"/>
  <c r="I4691" i="1"/>
  <c r="J4691" i="1" s="1"/>
  <c r="I4692" i="1"/>
  <c r="J4692" i="1" s="1"/>
  <c r="I4693" i="1"/>
  <c r="J4693" i="1" s="1"/>
  <c r="I4694" i="1"/>
  <c r="J4694" i="1" s="1"/>
  <c r="I4695" i="1"/>
  <c r="J4695" i="1" s="1"/>
  <c r="I4696" i="1"/>
  <c r="J4696" i="1" s="1"/>
  <c r="I4697" i="1"/>
  <c r="J4697" i="1" s="1"/>
  <c r="I4698" i="1"/>
  <c r="J4698" i="1" s="1"/>
  <c r="I4699" i="1"/>
  <c r="J4699" i="1" s="1"/>
  <c r="I4701" i="1"/>
  <c r="J4701" i="1" s="1"/>
  <c r="I4702" i="1"/>
  <c r="J4702" i="1" s="1"/>
  <c r="I4703" i="1"/>
  <c r="J4703" i="1" s="1"/>
  <c r="I4704" i="1"/>
  <c r="J4704" i="1" s="1"/>
  <c r="I4705" i="1"/>
  <c r="J4705" i="1" s="1"/>
  <c r="I4706" i="1"/>
  <c r="J4706" i="1" s="1"/>
  <c r="I4710" i="1"/>
  <c r="J4710" i="1" s="1"/>
  <c r="I4711" i="1"/>
  <c r="J4711" i="1" s="1"/>
  <c r="I4712" i="1"/>
  <c r="J4712" i="1" s="1"/>
  <c r="I4713" i="1"/>
  <c r="J4713" i="1" s="1"/>
  <c r="I4714" i="1"/>
  <c r="J4714" i="1" s="1"/>
  <c r="I4715" i="1"/>
  <c r="J4715" i="1" s="1"/>
  <c r="I4716" i="1"/>
  <c r="J4716" i="1" s="1"/>
  <c r="I4717" i="1"/>
  <c r="J4717" i="1" s="1"/>
  <c r="I4718" i="1"/>
  <c r="J4718" i="1" s="1"/>
  <c r="I4722" i="1"/>
  <c r="J4722" i="1" s="1"/>
  <c r="I4723" i="1"/>
  <c r="J4723" i="1" s="1"/>
  <c r="I4724" i="1"/>
  <c r="J4724" i="1" s="1"/>
  <c r="I4725" i="1"/>
  <c r="J4725" i="1" s="1"/>
  <c r="I4726" i="1"/>
  <c r="J4726" i="1" s="1"/>
  <c r="I4727" i="1"/>
  <c r="J4727" i="1" s="1"/>
  <c r="I4728" i="1"/>
  <c r="J4728" i="1" s="1"/>
  <c r="I4729" i="1"/>
  <c r="J4729" i="1" s="1"/>
  <c r="I4733" i="1"/>
  <c r="J4733" i="1" s="1"/>
  <c r="I4734" i="1"/>
  <c r="J4734" i="1" s="1"/>
  <c r="I4735" i="1"/>
  <c r="J4735" i="1" s="1"/>
  <c r="I4736" i="1"/>
  <c r="J4736" i="1" s="1"/>
  <c r="I4737" i="1"/>
  <c r="J4737" i="1" s="1"/>
  <c r="I4738" i="1"/>
  <c r="J4738" i="1" s="1"/>
  <c r="I4739" i="1"/>
  <c r="J4739" i="1" s="1"/>
  <c r="I4740" i="1"/>
  <c r="J4740" i="1" s="1"/>
  <c r="I4743" i="1"/>
  <c r="J4743" i="1" s="1"/>
  <c r="I4744" i="1"/>
  <c r="J4744" i="1" s="1"/>
  <c r="I4745" i="1"/>
  <c r="J4745" i="1" s="1"/>
  <c r="I4746" i="1"/>
  <c r="J4746" i="1" s="1"/>
  <c r="I4747" i="1"/>
  <c r="J4747" i="1" s="1"/>
  <c r="I4748" i="1"/>
  <c r="J4748" i="1" s="1"/>
  <c r="I4749" i="1"/>
  <c r="J4749" i="1" s="1"/>
  <c r="I4750" i="1"/>
  <c r="J4750" i="1" s="1"/>
  <c r="I4755" i="1"/>
  <c r="J4755" i="1" s="1"/>
  <c r="I4756" i="1"/>
  <c r="J4756" i="1" s="1"/>
  <c r="I4757" i="1"/>
  <c r="J4757" i="1" s="1"/>
  <c r="I4758" i="1"/>
  <c r="J4758" i="1" s="1"/>
  <c r="I4759" i="1"/>
  <c r="J4759" i="1" s="1"/>
  <c r="I4760" i="1"/>
  <c r="J4760" i="1" s="1"/>
  <c r="I4764" i="1"/>
  <c r="J4764" i="1" s="1"/>
  <c r="I4765" i="1"/>
  <c r="J4765" i="1" s="1"/>
  <c r="I4766" i="1"/>
  <c r="J4766" i="1" s="1"/>
  <c r="I4767" i="1"/>
  <c r="J4767" i="1" s="1"/>
  <c r="I4768" i="1"/>
  <c r="J4768" i="1" s="1"/>
  <c r="I4769" i="1"/>
  <c r="J4769" i="1" s="1"/>
  <c r="I4770" i="1"/>
  <c r="J4770" i="1" s="1"/>
  <c r="I4771" i="1"/>
  <c r="J4771" i="1" s="1"/>
  <c r="I4772" i="1"/>
  <c r="J4772" i="1" s="1"/>
  <c r="I4774" i="1"/>
  <c r="J4774" i="1" s="1"/>
  <c r="I4775" i="1"/>
  <c r="J4775" i="1" s="1"/>
  <c r="I4776" i="1"/>
  <c r="J4776" i="1" s="1"/>
  <c r="I4777" i="1"/>
  <c r="J4777" i="1" s="1"/>
  <c r="I4778" i="1"/>
  <c r="J4778" i="1" s="1"/>
  <c r="I4779" i="1"/>
  <c r="J4779" i="1" s="1"/>
  <c r="I4785" i="1"/>
  <c r="J4785" i="1" s="1"/>
  <c r="I4786" i="1"/>
  <c r="J4786" i="1" s="1"/>
  <c r="I4787" i="1"/>
  <c r="J4787" i="1" s="1"/>
  <c r="I4788" i="1"/>
  <c r="J4788" i="1" s="1"/>
  <c r="I4789" i="1"/>
  <c r="J4789" i="1" s="1"/>
  <c r="I4790" i="1"/>
  <c r="J4790" i="1" s="1"/>
  <c r="I4791" i="1"/>
  <c r="J4791" i="1" s="1"/>
  <c r="I4792" i="1"/>
  <c r="J4792" i="1" s="1"/>
  <c r="I4795" i="1"/>
  <c r="J4795" i="1" s="1"/>
  <c r="I4796" i="1"/>
  <c r="J4796" i="1" s="1"/>
  <c r="I4797" i="1"/>
  <c r="J4797" i="1" s="1"/>
  <c r="I4798" i="1"/>
  <c r="J4798" i="1" s="1"/>
  <c r="I4799" i="1"/>
  <c r="J4799" i="1" s="1"/>
  <c r="I4800" i="1"/>
  <c r="J4800" i="1" s="1"/>
  <c r="I4801" i="1"/>
  <c r="J4801" i="1" s="1"/>
  <c r="I4806" i="1"/>
  <c r="J4806" i="1" s="1"/>
  <c r="I4807" i="1"/>
  <c r="J4807" i="1" s="1"/>
  <c r="I4808" i="1"/>
  <c r="J4808" i="1" s="1"/>
  <c r="I4809" i="1"/>
  <c r="J4809" i="1" s="1"/>
  <c r="I4810" i="1"/>
  <c r="J4810" i="1" s="1"/>
  <c r="I4811" i="1"/>
  <c r="J4811" i="1" s="1"/>
  <c r="I4817" i="1"/>
  <c r="J4817" i="1" s="1"/>
  <c r="I4818" i="1"/>
  <c r="J4818" i="1" s="1"/>
  <c r="I4819" i="1"/>
  <c r="J4819" i="1" s="1"/>
  <c r="I4820" i="1"/>
  <c r="J4820" i="1" s="1"/>
  <c r="I4821" i="1"/>
  <c r="J4821" i="1" s="1"/>
  <c r="I4822" i="1"/>
  <c r="J4822" i="1" s="1"/>
  <c r="I4823" i="1"/>
  <c r="J4823" i="1" s="1"/>
  <c r="I4824" i="1"/>
  <c r="J4824" i="1" s="1"/>
  <c r="I4825" i="1"/>
  <c r="J4825" i="1" s="1"/>
  <c r="I4830" i="1"/>
  <c r="J4830" i="1" s="1"/>
  <c r="I4831" i="1"/>
  <c r="J4831" i="1" s="1"/>
  <c r="I4832" i="1"/>
  <c r="J4832" i="1" s="1"/>
  <c r="I4833" i="1"/>
  <c r="J4833" i="1" s="1"/>
  <c r="I4834" i="1"/>
  <c r="J4834" i="1" s="1"/>
  <c r="I4835" i="1"/>
  <c r="J4835" i="1" s="1"/>
  <c r="I4836" i="1"/>
  <c r="J4836" i="1" s="1"/>
  <c r="I4840" i="1"/>
  <c r="J4840" i="1" s="1"/>
  <c r="I4841" i="1"/>
  <c r="J4841" i="1" s="1"/>
  <c r="I4842" i="1"/>
  <c r="J4842" i="1" s="1"/>
  <c r="I4843" i="1"/>
  <c r="J4843" i="1" s="1"/>
  <c r="I4844" i="1"/>
  <c r="J4844" i="1" s="1"/>
  <c r="I4845" i="1"/>
  <c r="J4845" i="1" s="1"/>
  <c r="I4846" i="1"/>
  <c r="J4846" i="1" s="1"/>
  <c r="I4847" i="1"/>
  <c r="J4847" i="1" s="1"/>
  <c r="I4848" i="1"/>
  <c r="J4848" i="1" s="1"/>
  <c r="I4852" i="1"/>
  <c r="J4852" i="1" s="1"/>
  <c r="I4853" i="1"/>
  <c r="J4853" i="1" s="1"/>
  <c r="I4854" i="1"/>
  <c r="J4854" i="1" s="1"/>
  <c r="I4855" i="1"/>
  <c r="J4855" i="1" s="1"/>
  <c r="I4856" i="1"/>
  <c r="J4856" i="1" s="1"/>
  <c r="I4857" i="1"/>
  <c r="J4857" i="1" s="1"/>
  <c r="I4858" i="1"/>
  <c r="J4858" i="1" s="1"/>
  <c r="I4859" i="1"/>
  <c r="J4859" i="1" s="1"/>
  <c r="I4864" i="1"/>
  <c r="J4864" i="1" s="1"/>
  <c r="I4865" i="1"/>
  <c r="J4865" i="1" s="1"/>
  <c r="I4866" i="1"/>
  <c r="J4866" i="1" s="1"/>
  <c r="I4867" i="1"/>
  <c r="J4867" i="1" s="1"/>
  <c r="I4868" i="1"/>
  <c r="J4868" i="1" s="1"/>
  <c r="I4869" i="1"/>
  <c r="J4869" i="1" s="1"/>
  <c r="I4874" i="1"/>
  <c r="J4874" i="1" s="1"/>
  <c r="I4875" i="1"/>
  <c r="J4875" i="1" s="1"/>
  <c r="I4876" i="1"/>
  <c r="J4876" i="1" s="1"/>
  <c r="I4877" i="1"/>
  <c r="J4877" i="1" s="1"/>
  <c r="I4878" i="1"/>
  <c r="J4878" i="1" s="1"/>
  <c r="I4879" i="1"/>
  <c r="J4879" i="1" s="1"/>
  <c r="I4884" i="1"/>
  <c r="J4884" i="1" s="1"/>
  <c r="I4885" i="1"/>
  <c r="J4885" i="1" s="1"/>
  <c r="I4886" i="1"/>
  <c r="J4886" i="1" s="1"/>
  <c r="I4887" i="1"/>
  <c r="J4887" i="1" s="1"/>
  <c r="I4888" i="1"/>
  <c r="J4888" i="1" s="1"/>
  <c r="I4889" i="1"/>
  <c r="J4889" i="1" s="1"/>
  <c r="I4890" i="1"/>
  <c r="J4890" i="1" s="1"/>
  <c r="I4893" i="1"/>
  <c r="J4893" i="1" s="1"/>
  <c r="I4894" i="1"/>
  <c r="J4894" i="1" s="1"/>
  <c r="I4895" i="1"/>
  <c r="J4895" i="1" s="1"/>
  <c r="I4896" i="1"/>
  <c r="J4896" i="1" s="1"/>
  <c r="I4897" i="1"/>
  <c r="J4897" i="1" s="1"/>
  <c r="I4898" i="1"/>
  <c r="J4898" i="1" s="1"/>
  <c r="I4901" i="1"/>
  <c r="J4901" i="1" s="1"/>
  <c r="I4902" i="1"/>
  <c r="J4902" i="1" s="1"/>
  <c r="I4903" i="1"/>
  <c r="J4903" i="1" s="1"/>
  <c r="I4904" i="1"/>
  <c r="J4904" i="1" s="1"/>
  <c r="I4905" i="1"/>
  <c r="J4905" i="1" s="1"/>
  <c r="I4906" i="1"/>
  <c r="J4906" i="1" s="1"/>
  <c r="I4907" i="1"/>
  <c r="J4907" i="1" s="1"/>
  <c r="I4908" i="1"/>
  <c r="J4908" i="1" s="1"/>
  <c r="I4909" i="1"/>
  <c r="J4909" i="1" s="1"/>
  <c r="I4910" i="1"/>
  <c r="J4910" i="1" s="1"/>
  <c r="I4911" i="1"/>
  <c r="J4911" i="1" s="1"/>
  <c r="I4912" i="1"/>
  <c r="J4912" i="1" s="1"/>
  <c r="I4913" i="1"/>
  <c r="J4913" i="1" s="1"/>
  <c r="I4914" i="1"/>
  <c r="J4914" i="1" s="1"/>
  <c r="I4915" i="1"/>
  <c r="J4915" i="1" s="1"/>
  <c r="I4916" i="1"/>
  <c r="J4916" i="1" s="1"/>
  <c r="I4923" i="1"/>
  <c r="J4923" i="1" s="1"/>
  <c r="I4924" i="1"/>
  <c r="J4924" i="1" s="1"/>
  <c r="I4925" i="1"/>
  <c r="J4925" i="1" s="1"/>
  <c r="I4926" i="1"/>
  <c r="J4926" i="1" s="1"/>
  <c r="I4927" i="1"/>
  <c r="J4927" i="1" s="1"/>
  <c r="I4928" i="1"/>
  <c r="J4928" i="1" s="1"/>
  <c r="I4929" i="1"/>
  <c r="J4929" i="1" s="1"/>
  <c r="I4930" i="1"/>
  <c r="J4930" i="1" s="1"/>
  <c r="I4931" i="1"/>
  <c r="J4931" i="1" s="1"/>
  <c r="I4932" i="1"/>
  <c r="J4932" i="1" s="1"/>
  <c r="I4940" i="1"/>
  <c r="J4940" i="1" s="1"/>
  <c r="I4941" i="1"/>
  <c r="J4941" i="1" s="1"/>
  <c r="I4942" i="1"/>
  <c r="J4942" i="1" s="1"/>
  <c r="I4943" i="1"/>
  <c r="J4943" i="1" s="1"/>
  <c r="I4944" i="1"/>
  <c r="J4944" i="1" s="1"/>
  <c r="I4945" i="1"/>
  <c r="J4945" i="1" s="1"/>
  <c r="I4946" i="1"/>
  <c r="J4946" i="1" s="1"/>
  <c r="I37" i="1"/>
  <c r="J37" i="1" s="1"/>
  <c r="I4024" i="1"/>
  <c r="J4024" i="1" s="1"/>
  <c r="I682" i="1"/>
  <c r="J682" i="1" s="1"/>
  <c r="I2816" i="1"/>
  <c r="J2816" i="1" s="1"/>
  <c r="I1170" i="1"/>
  <c r="J1170" i="1" s="1"/>
  <c r="I2696" i="1"/>
  <c r="J2696" i="1" s="1"/>
  <c r="I1432" i="1"/>
  <c r="J1432" i="1" s="1"/>
  <c r="I3708" i="1"/>
  <c r="J3708" i="1" s="1"/>
  <c r="I3356" i="1"/>
  <c r="J3356" i="1" s="1"/>
  <c r="I2707" i="1"/>
  <c r="J2707" i="1" s="1"/>
  <c r="I4328" i="1"/>
  <c r="J4328" i="1" s="1"/>
  <c r="I4452" i="1"/>
  <c r="J4452" i="1" s="1"/>
  <c r="I3878" i="1"/>
  <c r="J3878" i="1" s="1"/>
  <c r="I1113" i="1"/>
  <c r="J1113" i="1" s="1"/>
  <c r="I2066" i="1"/>
  <c r="J2066" i="1" s="1"/>
  <c r="I196" i="1"/>
  <c r="J196" i="1" s="1"/>
  <c r="I550" i="1"/>
  <c r="J550" i="1" s="1"/>
  <c r="I4599" i="1"/>
  <c r="J4599" i="1" s="1"/>
  <c r="I1332" i="1"/>
  <c r="J1332" i="1" s="1"/>
  <c r="I4088" i="1"/>
  <c r="J4088" i="1" s="1"/>
  <c r="I3182" i="1"/>
  <c r="J3182" i="1" s="1"/>
  <c r="I4198" i="1"/>
  <c r="J4198" i="1" s="1"/>
  <c r="I2541" i="1"/>
  <c r="J2541" i="1" s="1"/>
  <c r="I2107" i="1"/>
  <c r="J2107" i="1" s="1"/>
  <c r="I3697" i="1"/>
  <c r="J3697" i="1" s="1"/>
  <c r="I3150" i="1"/>
  <c r="J3150" i="1" s="1"/>
  <c r="I295" i="1"/>
  <c r="J295" i="1" s="1"/>
  <c r="I3497" i="1"/>
  <c r="J3497" i="1" s="1"/>
  <c r="I390" i="1"/>
  <c r="J390" i="1" s="1"/>
  <c r="I4849" i="1"/>
  <c r="J4849" i="1" s="1"/>
  <c r="I4761" i="1"/>
  <c r="J4761" i="1" s="1"/>
  <c r="I409" i="1"/>
  <c r="J409" i="1" s="1"/>
  <c r="I4622" i="1"/>
  <c r="J4622" i="1" s="1"/>
  <c r="I4230" i="1"/>
  <c r="J4230" i="1" s="1"/>
  <c r="I1433" i="1"/>
  <c r="J1433" i="1" s="1"/>
  <c r="I4210" i="1"/>
  <c r="J4210" i="1" s="1"/>
  <c r="I4557" i="1"/>
  <c r="J4557" i="1" s="1"/>
  <c r="I3344" i="1"/>
  <c r="J3344" i="1" s="1"/>
  <c r="I3986" i="1"/>
  <c r="J3986" i="1" s="1"/>
  <c r="I2828" i="1"/>
  <c r="J2828" i="1" s="1"/>
  <c r="I4688" i="1"/>
  <c r="J4688" i="1" s="1"/>
  <c r="I2896" i="1"/>
  <c r="J2896" i="1" s="1"/>
  <c r="I3099" i="1"/>
  <c r="J3099" i="1" s="1"/>
  <c r="I4615" i="1"/>
  <c r="J4615" i="1" s="1"/>
  <c r="I2774" i="1"/>
  <c r="J2774" i="1" s="1"/>
  <c r="I4248" i="1"/>
  <c r="J4248" i="1" s="1"/>
  <c r="I3808" i="1"/>
  <c r="J3808" i="1" s="1"/>
  <c r="I2980" i="1"/>
  <c r="J2980" i="1" s="1"/>
  <c r="I2607" i="1"/>
  <c r="J2607" i="1" s="1"/>
  <c r="I4826" i="1"/>
  <c r="J4826" i="1" s="1"/>
  <c r="I3485" i="1"/>
  <c r="J3485" i="1" s="1"/>
  <c r="I4933" i="1"/>
  <c r="J4933" i="1" s="1"/>
  <c r="I165" i="1"/>
  <c r="J165" i="1" s="1"/>
  <c r="I2016" i="1"/>
  <c r="J2016" i="1" s="1"/>
  <c r="I3151" i="1"/>
  <c r="J3151" i="1" s="1"/>
  <c r="I3072" i="1"/>
  <c r="J3072" i="1" s="1"/>
  <c r="I4649" i="1"/>
  <c r="J4649" i="1" s="1"/>
  <c r="I3987" i="1"/>
  <c r="J3987" i="1" s="1"/>
  <c r="I3678" i="1"/>
  <c r="J3678" i="1" s="1"/>
  <c r="I2840" i="1"/>
  <c r="J2840" i="1" s="1"/>
  <c r="I3048" i="1"/>
  <c r="J3048" i="1" s="1"/>
  <c r="I4917" i="1"/>
  <c r="J4917" i="1" s="1"/>
  <c r="I343" i="1"/>
  <c r="J343" i="1" s="1"/>
  <c r="I4329" i="1"/>
  <c r="J4329" i="1" s="1"/>
  <c r="I2936" i="1"/>
  <c r="J2936" i="1" s="1"/>
  <c r="I4199" i="1"/>
  <c r="J4199" i="1" s="1"/>
  <c r="I1500" i="1"/>
  <c r="J1500" i="1" s="1"/>
  <c r="I2244" i="1"/>
  <c r="J2244" i="1" s="1"/>
  <c r="I391" i="1"/>
  <c r="J391" i="1" s="1"/>
  <c r="I1333" i="1"/>
  <c r="J1333" i="1" s="1"/>
  <c r="I166" i="1"/>
  <c r="J166" i="1" s="1"/>
  <c r="I4812" i="1"/>
  <c r="J4812" i="1" s="1"/>
  <c r="I4149" i="1"/>
  <c r="J4149" i="1" s="1"/>
  <c r="I3998" i="1"/>
  <c r="J3998" i="1" s="1"/>
  <c r="I2912" i="1"/>
  <c r="J2912" i="1" s="1"/>
  <c r="I3405" i="1"/>
  <c r="J3405" i="1" s="1"/>
  <c r="I3961" i="1"/>
  <c r="J3961" i="1" s="1"/>
  <c r="I3794" i="1"/>
  <c r="J3794" i="1" s="1"/>
  <c r="I4048" i="1"/>
  <c r="J4048" i="1" s="1"/>
  <c r="I3809" i="1"/>
  <c r="J3809" i="1" s="1"/>
  <c r="I3417" i="1"/>
  <c r="J3417" i="1" s="1"/>
  <c r="I4379" i="1"/>
  <c r="J4379" i="1" s="1"/>
  <c r="I4380" i="1"/>
  <c r="J4380" i="1" s="1"/>
  <c r="I4381" i="1"/>
  <c r="J4381" i="1" s="1"/>
  <c r="I4423" i="1"/>
  <c r="J4423" i="1" s="1"/>
  <c r="I2642" i="1"/>
  <c r="J2642" i="1" s="1"/>
  <c r="I214" i="1"/>
  <c r="J214" i="1" s="1"/>
  <c r="I3973" i="1"/>
  <c r="J3973" i="1" s="1"/>
  <c r="I2346" i="1"/>
  <c r="J2346" i="1" s="1"/>
  <c r="I1357" i="1"/>
  <c r="J1357" i="1" s="1"/>
  <c r="I1976" i="1"/>
  <c r="J1976" i="1" s="1"/>
  <c r="I2471" i="1"/>
  <c r="J2471" i="1" s="1"/>
  <c r="I2719" i="1"/>
  <c r="J2719" i="1" s="1"/>
  <c r="I2312" i="1"/>
  <c r="J2312" i="1" s="1"/>
  <c r="I1501" i="1"/>
  <c r="J1501" i="1" s="1"/>
  <c r="I3739" i="1"/>
  <c r="J3739" i="1" s="1"/>
  <c r="I4130" i="1"/>
  <c r="J4130" i="1" s="1"/>
  <c r="I1772" i="1"/>
  <c r="J1772" i="1" s="1"/>
  <c r="I4249" i="1"/>
  <c r="J4249" i="1" s="1"/>
  <c r="I2674" i="1"/>
  <c r="J2674" i="1" s="1"/>
  <c r="I4360" i="1"/>
  <c r="J4360" i="1" s="1"/>
  <c r="I38" i="1"/>
  <c r="J38" i="1" s="1"/>
  <c r="I410" i="1"/>
  <c r="J410" i="1" s="1"/>
  <c r="I4689" i="1"/>
  <c r="J4689" i="1" s="1"/>
  <c r="I2172" i="1"/>
  <c r="J2172" i="1" s="1"/>
  <c r="I3284" i="1"/>
  <c r="J3284" i="1" s="1"/>
  <c r="I4580" i="1"/>
  <c r="J4580" i="1" s="1"/>
  <c r="I3323" i="1"/>
  <c r="J3323" i="1" s="1"/>
  <c r="I912" i="1"/>
  <c r="J912" i="1" s="1"/>
  <c r="I460" i="1"/>
  <c r="J460" i="1" s="1"/>
  <c r="I1637" i="1"/>
  <c r="J1637" i="1" s="1"/>
  <c r="I1804" i="1"/>
  <c r="J1804" i="1" s="1"/>
  <c r="I3518" i="1"/>
  <c r="J3518" i="1" s="1"/>
  <c r="I3345" i="1"/>
  <c r="J3345" i="1" s="1"/>
  <c r="I296" i="1"/>
  <c r="J296" i="1" s="1"/>
  <c r="I1773" i="1"/>
  <c r="J1773" i="1" s="1"/>
  <c r="I4506" i="1"/>
  <c r="J4506" i="1" s="1"/>
  <c r="I2085" i="1"/>
  <c r="J2085" i="1" s="1"/>
  <c r="I4870" i="1"/>
  <c r="J4870" i="1" s="1"/>
  <c r="I2542" i="1"/>
  <c r="J2542" i="1" s="1"/>
  <c r="I3952" i="1"/>
  <c r="J3952" i="1" s="1"/>
  <c r="I4211" i="1"/>
  <c r="J4211" i="1" s="1"/>
  <c r="I1522" i="1"/>
  <c r="J1522" i="1" s="1"/>
  <c r="I2740" i="1"/>
  <c r="J2740" i="1" s="1"/>
  <c r="I1358" i="1"/>
  <c r="J1358" i="1" s="1"/>
  <c r="I2887" i="1"/>
  <c r="J2887" i="1" s="1"/>
  <c r="I2270" i="1"/>
  <c r="J2270" i="1" s="1"/>
  <c r="I884" i="1"/>
  <c r="J884" i="1" s="1"/>
  <c r="I1257" i="1"/>
  <c r="J1257" i="1" s="1"/>
  <c r="I2959" i="1"/>
  <c r="J2959" i="1" s="1"/>
  <c r="I12" i="1"/>
  <c r="J12" i="1" s="1"/>
  <c r="I2923" i="1"/>
  <c r="J2923" i="1" s="1"/>
  <c r="I4534" i="1"/>
  <c r="J4534" i="1" s="1"/>
  <c r="I2370" i="1"/>
  <c r="J2370" i="1" s="1"/>
  <c r="I3315" i="1"/>
  <c r="J3315" i="1" s="1"/>
  <c r="I2741" i="1"/>
  <c r="J2741" i="1" s="1"/>
  <c r="I2817" i="1"/>
  <c r="J2817" i="1" s="1"/>
  <c r="I1523" i="1"/>
  <c r="J1523" i="1" s="1"/>
  <c r="I2897" i="1"/>
  <c r="J2897" i="1" s="1"/>
  <c r="I4934" i="1"/>
  <c r="J4934" i="1" s="1"/>
  <c r="I3049" i="1"/>
  <c r="J3049" i="1" s="1"/>
  <c r="I1667" i="1"/>
  <c r="J1667" i="1" s="1"/>
  <c r="I3519" i="1"/>
  <c r="J3519" i="1" s="1"/>
  <c r="I2667" i="1"/>
  <c r="J2667" i="1" s="1"/>
  <c r="I4850" i="1"/>
  <c r="J4850" i="1" s="1"/>
  <c r="I3418" i="1"/>
  <c r="J3418" i="1" s="1"/>
  <c r="I3161" i="1"/>
  <c r="J3161" i="1" s="1"/>
  <c r="I683" i="1"/>
  <c r="J683" i="1" s="1"/>
  <c r="I2742" i="1"/>
  <c r="J2742" i="1" s="1"/>
  <c r="I885" i="1"/>
  <c r="J885" i="1" s="1"/>
  <c r="I805" i="1"/>
  <c r="J805" i="1" s="1"/>
  <c r="I3387" i="1"/>
  <c r="J3387" i="1" s="1"/>
  <c r="I722" i="1"/>
  <c r="J722" i="1" s="1"/>
  <c r="I2245" i="1"/>
  <c r="J2245" i="1" s="1"/>
  <c r="I215" i="1"/>
  <c r="J215" i="1" s="1"/>
  <c r="I4314" i="1"/>
  <c r="J4314" i="1" s="1"/>
  <c r="I2271" i="1"/>
  <c r="J2271" i="1" s="1"/>
  <c r="I3780" i="1"/>
  <c r="J3780" i="1" s="1"/>
  <c r="I3285" i="1"/>
  <c r="J3285" i="1" s="1"/>
  <c r="I3554" i="1"/>
  <c r="J3554" i="1" s="1"/>
  <c r="I2200" i="1"/>
  <c r="J2200" i="1" s="1"/>
  <c r="I4507" i="1"/>
  <c r="J4507" i="1" s="1"/>
  <c r="I2841" i="1"/>
  <c r="J2841" i="1" s="1"/>
  <c r="I4241" i="1"/>
  <c r="J4241" i="1" s="1"/>
  <c r="I3365" i="1"/>
  <c r="J3365" i="1" s="1"/>
  <c r="I1019" i="1"/>
  <c r="J1019" i="1" s="1"/>
  <c r="I367" i="1"/>
  <c r="J367" i="1" s="1"/>
  <c r="I3832" i="1"/>
  <c r="J3832" i="1" s="1"/>
  <c r="I297" i="1"/>
  <c r="J297" i="1" s="1"/>
  <c r="I3843" i="1"/>
  <c r="J3843" i="1" s="1"/>
  <c r="I2017" i="1"/>
  <c r="J2017" i="1" s="1"/>
  <c r="I119" i="1"/>
  <c r="J119" i="1" s="1"/>
  <c r="I2898" i="1"/>
  <c r="J2898" i="1" s="1"/>
  <c r="I1434" i="1"/>
  <c r="J1434" i="1" s="1"/>
  <c r="I3749" i="1"/>
  <c r="J3749" i="1" s="1"/>
  <c r="I2379" i="1"/>
  <c r="J2379" i="1" s="1"/>
  <c r="I4076" i="1"/>
  <c r="J4076" i="1" s="1"/>
  <c r="I1020" i="1"/>
  <c r="J1020" i="1" s="1"/>
  <c r="I1334" i="1"/>
  <c r="J1334" i="1" s="1"/>
  <c r="I2563" i="1"/>
  <c r="J2563" i="1" s="1"/>
  <c r="I1279" i="1"/>
  <c r="J1279" i="1" s="1"/>
  <c r="I762" i="1"/>
  <c r="J762" i="1" s="1"/>
  <c r="I4871" i="1"/>
  <c r="J4871" i="1" s="1"/>
  <c r="I3844" i="1"/>
  <c r="J3844" i="1" s="1"/>
  <c r="I3129" i="1"/>
  <c r="J3129" i="1" s="1"/>
  <c r="I3645" i="1"/>
  <c r="J3645" i="1" s="1"/>
  <c r="I3212" i="1"/>
  <c r="J3212" i="1" s="1"/>
  <c r="I3819" i="1"/>
  <c r="J3819" i="1" s="1"/>
  <c r="I3664" i="1"/>
  <c r="J3664" i="1" s="1"/>
  <c r="I4751" i="1"/>
  <c r="J4751" i="1" s="1"/>
  <c r="I4212" i="1"/>
  <c r="J4212" i="1" s="1"/>
  <c r="I498" i="1"/>
  <c r="J498" i="1" s="1"/>
  <c r="I3653" i="1"/>
  <c r="J3653" i="1" s="1"/>
  <c r="I3921" i="1"/>
  <c r="J3921" i="1" s="1"/>
  <c r="I913" i="1"/>
  <c r="J913" i="1" s="1"/>
  <c r="I2608" i="1"/>
  <c r="J2608" i="1" s="1"/>
  <c r="I1359" i="1"/>
  <c r="J1359" i="1" s="1"/>
  <c r="I3100" i="1"/>
  <c r="J3100" i="1" s="1"/>
  <c r="I3466" i="1"/>
  <c r="J3466" i="1" s="1"/>
  <c r="I3698" i="1"/>
  <c r="J3698" i="1" s="1"/>
  <c r="I2142" i="1"/>
  <c r="J2142" i="1" s="1"/>
  <c r="I4660" i="1"/>
  <c r="J4660" i="1" s="1"/>
  <c r="I3346" i="1"/>
  <c r="J3346" i="1" s="1"/>
  <c r="I2829" i="1"/>
  <c r="J2829" i="1" s="1"/>
  <c r="I2129" i="1"/>
  <c r="J2129" i="1" s="1"/>
  <c r="I2057" i="1"/>
  <c r="J2057" i="1" s="1"/>
  <c r="I4025" i="1"/>
  <c r="J4025" i="1" s="1"/>
  <c r="I3035" i="1"/>
  <c r="J3035" i="1" s="1"/>
  <c r="I2966" i="1"/>
  <c r="J2966" i="1" s="1"/>
  <c r="I1050" i="1"/>
  <c r="J1050" i="1" s="1"/>
  <c r="I3634" i="1"/>
  <c r="J3634" i="1" s="1"/>
  <c r="I3941" i="1"/>
  <c r="J3941" i="1" s="1"/>
  <c r="I4361" i="1"/>
  <c r="J4361" i="1" s="1"/>
  <c r="I3520" i="1"/>
  <c r="J3520" i="1" s="1"/>
  <c r="I216" i="1"/>
  <c r="J216" i="1" s="1"/>
  <c r="I4935" i="1"/>
  <c r="J4935" i="1" s="1"/>
  <c r="I605" i="1"/>
  <c r="J605" i="1" s="1"/>
  <c r="I2489" i="1"/>
  <c r="J2489" i="1" s="1"/>
  <c r="I4918" i="1"/>
  <c r="J4918" i="1" s="1"/>
  <c r="I3974" i="1"/>
  <c r="J3974" i="1" s="1"/>
  <c r="I3474" i="1"/>
  <c r="J3474" i="1" s="1"/>
  <c r="I4200" i="1"/>
  <c r="J4200" i="1" s="1"/>
  <c r="I578" i="1"/>
  <c r="J578" i="1" s="1"/>
  <c r="I3388" i="1"/>
  <c r="J3388" i="1" s="1"/>
  <c r="I2876" i="1"/>
  <c r="J2876" i="1" s="1"/>
  <c r="I2108" i="1"/>
  <c r="J2108" i="1" s="1"/>
  <c r="I3845" i="1"/>
  <c r="J3845" i="1" s="1"/>
  <c r="I479" i="1"/>
  <c r="J479" i="1" s="1"/>
  <c r="I4591" i="1"/>
  <c r="J4591" i="1" s="1"/>
  <c r="I1213" i="1"/>
  <c r="J1213" i="1" s="1"/>
  <c r="I4026" i="1"/>
  <c r="J4026" i="1" s="1"/>
  <c r="I2752" i="1"/>
  <c r="J2752" i="1" s="1"/>
  <c r="I1837" i="1"/>
  <c r="J1837" i="1" s="1"/>
  <c r="I4395" i="1"/>
  <c r="J4395" i="1" s="1"/>
  <c r="I2620" i="1"/>
  <c r="J2620" i="1" s="1"/>
  <c r="I4860" i="1"/>
  <c r="J4860" i="1" s="1"/>
  <c r="I3665" i="1"/>
  <c r="J3665" i="1" s="1"/>
  <c r="I3545" i="1"/>
  <c r="J3545" i="1" s="1"/>
  <c r="I4012" i="1"/>
  <c r="J4012" i="1" s="1"/>
  <c r="I3820" i="1"/>
  <c r="J3820" i="1" s="1"/>
  <c r="I3810" i="1"/>
  <c r="J3810" i="1" s="1"/>
  <c r="I3061" i="1"/>
  <c r="J3061" i="1" s="1"/>
  <c r="I1171" i="1"/>
  <c r="J1171" i="1" s="1"/>
  <c r="I2076" i="1"/>
  <c r="J2076" i="1" s="1"/>
  <c r="I3975" i="1"/>
  <c r="J3975" i="1" s="1"/>
  <c r="I1305" i="1"/>
  <c r="J1305" i="1" s="1"/>
  <c r="I4162" i="1"/>
  <c r="J4162" i="1" s="1"/>
  <c r="I3498" i="1"/>
  <c r="J3498" i="1" s="1"/>
  <c r="I3450" i="1"/>
  <c r="J3450" i="1" s="1"/>
  <c r="I2152" i="1"/>
  <c r="J2152" i="1" s="1"/>
  <c r="I3062" i="1"/>
  <c r="J3062" i="1" s="1"/>
  <c r="I3063" i="1"/>
  <c r="J3063" i="1" s="1"/>
  <c r="I1172" i="1"/>
  <c r="J1172" i="1" s="1"/>
  <c r="I4061" i="1"/>
  <c r="J4061" i="1" s="1"/>
  <c r="I4315" i="1"/>
  <c r="J4315" i="1" s="1"/>
  <c r="I3419" i="1"/>
  <c r="J3419" i="1" s="1"/>
  <c r="I1592" i="1"/>
  <c r="J1592" i="1" s="1"/>
  <c r="I2480" i="1"/>
  <c r="J2480" i="1" s="1"/>
  <c r="I4131" i="1"/>
  <c r="J4131" i="1" s="1"/>
  <c r="I2185" i="1"/>
  <c r="J2185" i="1" s="1"/>
  <c r="I4780" i="1"/>
  <c r="J4780" i="1" s="1"/>
  <c r="I3740" i="1"/>
  <c r="J3740" i="1" s="1"/>
  <c r="I140" i="1"/>
  <c r="J140" i="1" s="1"/>
  <c r="I1710" i="1"/>
  <c r="J1710" i="1" s="1"/>
  <c r="I1148" i="1"/>
  <c r="J1148" i="1" s="1"/>
  <c r="I4880" i="1"/>
  <c r="J4880" i="1" s="1"/>
  <c r="I3555" i="1"/>
  <c r="J3555" i="1" s="1"/>
  <c r="I1306" i="1"/>
  <c r="J1306" i="1" s="1"/>
  <c r="I4581" i="1"/>
  <c r="J4581" i="1" s="1"/>
  <c r="I4121" i="1"/>
  <c r="J4121" i="1" s="1"/>
  <c r="I1068" i="1"/>
  <c r="J1068" i="1" s="1"/>
  <c r="I2609" i="1"/>
  <c r="J2609" i="1" s="1"/>
  <c r="I4837" i="1"/>
  <c r="J4837" i="1" s="1"/>
  <c r="I4523" i="1"/>
  <c r="J4523" i="1" s="1"/>
  <c r="I4222" i="1"/>
  <c r="J4222" i="1" s="1"/>
  <c r="I2720" i="1"/>
  <c r="J2720" i="1" s="1"/>
  <c r="I3909" i="1"/>
  <c r="J3909" i="1" s="1"/>
  <c r="I4707" i="1"/>
  <c r="J4707" i="1" s="1"/>
  <c r="I2143" i="1"/>
  <c r="J2143" i="1" s="1"/>
  <c r="I3486" i="1"/>
  <c r="J3486" i="1" s="1"/>
  <c r="I1727" i="1"/>
  <c r="J1727" i="1" s="1"/>
  <c r="I2763" i="1"/>
  <c r="J2763" i="1" s="1"/>
  <c r="I3556" i="1"/>
  <c r="J3556" i="1" s="1"/>
  <c r="I2313" i="1"/>
  <c r="J2313" i="1" s="1"/>
  <c r="I4541" i="1"/>
  <c r="J4541" i="1" s="1"/>
  <c r="I1464" i="1"/>
  <c r="J1464" i="1" s="1"/>
  <c r="I3687" i="1"/>
  <c r="J3687" i="1" s="1"/>
  <c r="I579" i="1"/>
  <c r="J579" i="1" s="1"/>
  <c r="I1258" i="1"/>
  <c r="J1258" i="1" s="1"/>
  <c r="I4163" i="1"/>
  <c r="J4163" i="1" s="1"/>
  <c r="I368" i="1"/>
  <c r="J368" i="1" s="1"/>
  <c r="I4453" i="1"/>
  <c r="J4453" i="1" s="1"/>
  <c r="I3509" i="1"/>
  <c r="J3509" i="1" s="1"/>
  <c r="I3855" i="1"/>
  <c r="J3855" i="1" s="1"/>
  <c r="I4558" i="1"/>
  <c r="J4558" i="1" s="1"/>
  <c r="I3357" i="1"/>
  <c r="J3357" i="1" s="1"/>
  <c r="I886" i="1"/>
  <c r="J886" i="1" s="1"/>
  <c r="I3475" i="1"/>
  <c r="J3475" i="1" s="1"/>
  <c r="I2775" i="1"/>
  <c r="J2775" i="1" s="1"/>
  <c r="I3565" i="1"/>
  <c r="J3565" i="1" s="1"/>
  <c r="I2564" i="1"/>
  <c r="J2564" i="1" s="1"/>
  <c r="I2888" i="1"/>
  <c r="J2888" i="1" s="1"/>
  <c r="I606" i="1"/>
  <c r="J606" i="1" s="1"/>
  <c r="I4382" i="1"/>
  <c r="J4382" i="1" s="1"/>
  <c r="I3130" i="1"/>
  <c r="J3130" i="1" s="1"/>
  <c r="I4454" i="1"/>
  <c r="J4454" i="1" s="1"/>
  <c r="I3254" i="1"/>
  <c r="J3254" i="1" s="1"/>
  <c r="I4680" i="1"/>
  <c r="J4680" i="1" s="1"/>
  <c r="I2937" i="1"/>
  <c r="J2937" i="1" s="1"/>
  <c r="I3654" i="1"/>
  <c r="J3654" i="1" s="1"/>
  <c r="I3942" i="1"/>
  <c r="J3942" i="1" s="1"/>
  <c r="I4524" i="1"/>
  <c r="J4524" i="1" s="1"/>
  <c r="I2077" i="1"/>
  <c r="J2077" i="1" s="1"/>
  <c r="I2998" i="1"/>
  <c r="J2998" i="1" s="1"/>
  <c r="I3879" i="1"/>
  <c r="J3879" i="1" s="1"/>
  <c r="I806" i="1"/>
  <c r="J806" i="1" s="1"/>
  <c r="I1747" i="1"/>
  <c r="J1747" i="1" s="1"/>
  <c r="I4569" i="1"/>
  <c r="J4569" i="1" s="1"/>
  <c r="I2650" i="1"/>
  <c r="J2650" i="1" s="1"/>
  <c r="I2793" i="1"/>
  <c r="J2793" i="1" s="1"/>
  <c r="I392" i="1"/>
  <c r="J392" i="1" s="1"/>
  <c r="I785" i="1"/>
  <c r="J785" i="1" s="1"/>
  <c r="I4186" i="1"/>
  <c r="J4186" i="1" s="1"/>
  <c r="I4279" i="1"/>
  <c r="J4279" i="1" s="1"/>
  <c r="I4187" i="1"/>
  <c r="J4187" i="1" s="1"/>
  <c r="I1880" i="1"/>
  <c r="J1880" i="1" s="1"/>
  <c r="I2565" i="1"/>
  <c r="J2565" i="1" s="1"/>
  <c r="I2109" i="1"/>
  <c r="J2109" i="1" s="1"/>
  <c r="I3358" i="1"/>
  <c r="J3358" i="1" s="1"/>
  <c r="I3557" i="1"/>
  <c r="J3557" i="1" s="1"/>
  <c r="I3427" i="1"/>
  <c r="J3427" i="1" s="1"/>
  <c r="I2585" i="1"/>
  <c r="J2585" i="1" s="1"/>
  <c r="I4861" i="1"/>
  <c r="J4861" i="1" s="1"/>
  <c r="I3922" i="1"/>
  <c r="J3922" i="1" s="1"/>
  <c r="I3988" i="1"/>
  <c r="J3988" i="1" s="1"/>
  <c r="I3335" i="1"/>
  <c r="J3335" i="1" s="1"/>
  <c r="I2034" i="1"/>
  <c r="J2034" i="1" s="1"/>
  <c r="I298" i="1"/>
  <c r="J298" i="1" s="1"/>
  <c r="I2783" i="1"/>
  <c r="J2783" i="1" s="1"/>
  <c r="I13" i="1"/>
  <c r="J13" i="1" s="1"/>
  <c r="I657" i="1"/>
  <c r="J657" i="1" s="1"/>
  <c r="I4936" i="1"/>
  <c r="J4936" i="1" s="1"/>
  <c r="I3170" i="1"/>
  <c r="J3170" i="1" s="1"/>
  <c r="I2412" i="1"/>
  <c r="J2412" i="1" s="1"/>
  <c r="I4340" i="1"/>
  <c r="J4340" i="1" s="1"/>
  <c r="I2173" i="1"/>
  <c r="J2173" i="1" s="1"/>
  <c r="I763" i="1"/>
  <c r="J763" i="1" s="1"/>
  <c r="I3856" i="1"/>
  <c r="J3856" i="1" s="1"/>
  <c r="I1307" i="1"/>
  <c r="J1307" i="1" s="1"/>
  <c r="I3795" i="1"/>
  <c r="J3795" i="1" s="1"/>
  <c r="I2186" i="1"/>
  <c r="J2186" i="1" s="1"/>
  <c r="I2804" i="1"/>
  <c r="J2804" i="1" s="1"/>
  <c r="I2566" i="1"/>
  <c r="J2566" i="1" s="1"/>
  <c r="I369" i="1"/>
  <c r="J369" i="1" s="1"/>
  <c r="I4424" i="1"/>
  <c r="J4424" i="1" s="1"/>
  <c r="I499" i="1"/>
  <c r="J499" i="1" s="1"/>
  <c r="I4280" i="1"/>
  <c r="J4280" i="1" s="1"/>
  <c r="I2794" i="1"/>
  <c r="J2794" i="1" s="1"/>
  <c r="I2458" i="1"/>
  <c r="J2458" i="1" s="1"/>
  <c r="I2272" i="1"/>
  <c r="J2272" i="1" s="1"/>
  <c r="I3389" i="1"/>
  <c r="J3389" i="1" s="1"/>
  <c r="I3255" i="1"/>
  <c r="J3255" i="1" s="1"/>
  <c r="I2216" i="1"/>
  <c r="J2216" i="1" s="1"/>
  <c r="I2990" i="1"/>
  <c r="J2990" i="1" s="1"/>
  <c r="I855" i="1"/>
  <c r="J855" i="1" s="1"/>
  <c r="I217" i="1"/>
  <c r="J217" i="1" s="1"/>
  <c r="I2426" i="1"/>
  <c r="J2426" i="1" s="1"/>
  <c r="I3587" i="1"/>
  <c r="J3587" i="1" s="1"/>
  <c r="I4383" i="1"/>
  <c r="J4383" i="1" s="1"/>
  <c r="I1691" i="1"/>
  <c r="J1691" i="1" s="1"/>
  <c r="I2006" i="1"/>
  <c r="J2006" i="1" s="1"/>
  <c r="I3510" i="1"/>
  <c r="J3510" i="1" s="1"/>
  <c r="I1774" i="1"/>
  <c r="J1774" i="1" s="1"/>
  <c r="I3796" i="1"/>
  <c r="J3796" i="1" s="1"/>
  <c r="I2288" i="1"/>
  <c r="J2288" i="1" s="1"/>
  <c r="I254" i="1"/>
  <c r="J254" i="1" s="1"/>
  <c r="I2427" i="1"/>
  <c r="J2427" i="1" s="1"/>
  <c r="I2776" i="1"/>
  <c r="J2776" i="1" s="1"/>
  <c r="I3930" i="1"/>
  <c r="J3930" i="1" s="1"/>
  <c r="I4802" i="1"/>
  <c r="J4802" i="1" s="1"/>
  <c r="I167" i="1"/>
  <c r="J167" i="1" s="1"/>
  <c r="I4550" i="1"/>
  <c r="J4550" i="1" s="1"/>
  <c r="I2764" i="1"/>
  <c r="J2764" i="1" s="1"/>
  <c r="I2390" i="1"/>
  <c r="J2390" i="1" s="1"/>
  <c r="I1668" i="1"/>
  <c r="J1668" i="1" s="1"/>
  <c r="I2865" i="1"/>
  <c r="J2865" i="1" s="1"/>
  <c r="I3566" i="1"/>
  <c r="J3566" i="1" s="1"/>
  <c r="I982" i="1"/>
  <c r="J982" i="1" s="1"/>
  <c r="I2233" i="1"/>
  <c r="J2233" i="1" s="1"/>
  <c r="I61" i="1"/>
  <c r="J61" i="1" s="1"/>
  <c r="I3533" i="1"/>
  <c r="J3533" i="1" s="1"/>
  <c r="I3307" i="1"/>
  <c r="J3307" i="1" s="1"/>
  <c r="I4455" i="1"/>
  <c r="J4455" i="1" s="1"/>
  <c r="I4231" i="1"/>
  <c r="J4231" i="1" s="1"/>
  <c r="I4188" i="1"/>
  <c r="J4188" i="1" s="1"/>
  <c r="I393" i="1"/>
  <c r="J393" i="1" s="1"/>
  <c r="I2459" i="1"/>
  <c r="J2459" i="1" s="1"/>
  <c r="I4456" i="1"/>
  <c r="J4456" i="1" s="1"/>
  <c r="I4762" i="1"/>
  <c r="J4762" i="1" s="1"/>
  <c r="I120" i="1"/>
  <c r="J120" i="1" s="1"/>
  <c r="I4631" i="1"/>
  <c r="J4631" i="1" s="1"/>
  <c r="I2371" i="1"/>
  <c r="J2371" i="1" s="1"/>
  <c r="I3962" i="1"/>
  <c r="J3962" i="1" s="1"/>
  <c r="I3709" i="1"/>
  <c r="J3709" i="1" s="1"/>
  <c r="I3846" i="1"/>
  <c r="J3846" i="1" s="1"/>
  <c r="I1308" i="1"/>
  <c r="J1308" i="1" s="1"/>
  <c r="I4049" i="1"/>
  <c r="J4049" i="1" s="1"/>
  <c r="I2110" i="1"/>
  <c r="J2110" i="1" s="1"/>
  <c r="I630" i="1"/>
  <c r="J630" i="1" s="1"/>
  <c r="I739" i="1"/>
  <c r="J739" i="1" s="1"/>
  <c r="I3597" i="1"/>
  <c r="J3597" i="1" s="1"/>
  <c r="I1195" i="1"/>
  <c r="J1195" i="1" s="1"/>
  <c r="I999" i="1"/>
  <c r="J999" i="1" s="1"/>
  <c r="I1977" i="1"/>
  <c r="J1977" i="1" s="1"/>
  <c r="I4919" i="1"/>
  <c r="J4919" i="1" s="1"/>
  <c r="I2721" i="1"/>
  <c r="J2721" i="1" s="1"/>
  <c r="I2273" i="1"/>
  <c r="J2273" i="1" s="1"/>
  <c r="I3162" i="1"/>
  <c r="J3162" i="1" s="1"/>
  <c r="I658" i="1"/>
  <c r="J658" i="1" s="1"/>
  <c r="I2842" i="1"/>
  <c r="J2842" i="1" s="1"/>
  <c r="I3607" i="1"/>
  <c r="J3607" i="1" s="1"/>
  <c r="I2246" i="1"/>
  <c r="J2246" i="1" s="1"/>
  <c r="I4089" i="1"/>
  <c r="J4089" i="1" s="1"/>
  <c r="I2722" i="1"/>
  <c r="J2722" i="1" s="1"/>
  <c r="I1389" i="1"/>
  <c r="J1389" i="1" s="1"/>
  <c r="I4100" i="1"/>
  <c r="J4100" i="1" s="1"/>
  <c r="I3811" i="1"/>
  <c r="J3811" i="1" s="1"/>
  <c r="I3910" i="1"/>
  <c r="J3910" i="1" s="1"/>
  <c r="I2274" i="1"/>
  <c r="J2274" i="1" s="1"/>
  <c r="I2938" i="1"/>
  <c r="J2938" i="1" s="1"/>
  <c r="I2634" i="1"/>
  <c r="J2634" i="1" s="1"/>
  <c r="I856" i="1"/>
  <c r="J856" i="1" s="1"/>
  <c r="I2007" i="1"/>
  <c r="J2007" i="1" s="1"/>
  <c r="I3476" i="1"/>
  <c r="J3476" i="1" s="1"/>
  <c r="I2899" i="1"/>
  <c r="J2899" i="1" s="1"/>
  <c r="I96" i="1"/>
  <c r="J96" i="1" s="1"/>
  <c r="I3578" i="1"/>
  <c r="J3578" i="1" s="1"/>
  <c r="I1000" i="1"/>
  <c r="J1000" i="1" s="1"/>
  <c r="I2843" i="1"/>
  <c r="J2843" i="1" s="1"/>
  <c r="I320" i="1"/>
  <c r="J320" i="1" s="1"/>
  <c r="I3213" i="1"/>
  <c r="J3213" i="1" s="1"/>
  <c r="I3666" i="1"/>
  <c r="J3666" i="1" s="1"/>
  <c r="I3138" i="1"/>
  <c r="J3138" i="1" s="1"/>
  <c r="I2217" i="1"/>
  <c r="J2217" i="1" s="1"/>
  <c r="I4396" i="1"/>
  <c r="J4396" i="1" s="1"/>
  <c r="I4111" i="1"/>
  <c r="J4111" i="1" s="1"/>
  <c r="I2765" i="1"/>
  <c r="J2765" i="1" s="1"/>
  <c r="I4465" i="1"/>
  <c r="J4465" i="1" s="1"/>
  <c r="I740" i="1"/>
  <c r="J740" i="1" s="1"/>
  <c r="I2708" i="1"/>
  <c r="J2708" i="1" s="1"/>
  <c r="I4164" i="1"/>
  <c r="J4164" i="1" s="1"/>
  <c r="I4027" i="1"/>
  <c r="J4027" i="1" s="1"/>
  <c r="I1130" i="1"/>
  <c r="J1130" i="1" s="1"/>
  <c r="I1051" i="1"/>
  <c r="J1051" i="1" s="1"/>
  <c r="I3451" i="1"/>
  <c r="J3451" i="1" s="1"/>
  <c r="I4730" i="1"/>
  <c r="J4730" i="1" s="1"/>
  <c r="I2337" i="1"/>
  <c r="J2337" i="1" s="1"/>
  <c r="I1114" i="1"/>
  <c r="J1114" i="1" s="1"/>
  <c r="I4294" i="1"/>
  <c r="J4294" i="1" s="1"/>
  <c r="I1413" i="1"/>
  <c r="J1413" i="1" s="1"/>
  <c r="I4642" i="1"/>
  <c r="J4642" i="1" s="1"/>
  <c r="I3976" i="1"/>
  <c r="J3976" i="1" s="1"/>
  <c r="I1934" i="1"/>
  <c r="J1934" i="1" s="1"/>
  <c r="I3286" i="1"/>
  <c r="J3286" i="1" s="1"/>
  <c r="I4535" i="1"/>
  <c r="J4535" i="1" s="1"/>
  <c r="I2510" i="1"/>
  <c r="J2510" i="1" s="1"/>
  <c r="I4316" i="1"/>
  <c r="J4316" i="1" s="1"/>
  <c r="I121" i="1"/>
  <c r="J121" i="1" s="1"/>
  <c r="I4281" i="1"/>
  <c r="J4281" i="1" s="1"/>
  <c r="I3256" i="1"/>
  <c r="J3256" i="1" s="1"/>
  <c r="I3953" i="1"/>
  <c r="J3953" i="1" s="1"/>
  <c r="I1775" i="1"/>
  <c r="J1775" i="1" s="1"/>
  <c r="I2086" i="1"/>
  <c r="J2086" i="1" s="1"/>
  <c r="I3225" i="1"/>
  <c r="J3225" i="1" s="1"/>
  <c r="I4881" i="1"/>
  <c r="J4881" i="1" s="1"/>
  <c r="I2095" i="1"/>
  <c r="J2095" i="1" s="1"/>
  <c r="I3931" i="1"/>
  <c r="J3931" i="1" s="1"/>
  <c r="I2111" i="1"/>
  <c r="J2111" i="1" s="1"/>
  <c r="I3755" i="1"/>
  <c r="J3755" i="1" s="1"/>
  <c r="I3911" i="1"/>
  <c r="J3911" i="1" s="1"/>
  <c r="I3458" i="1"/>
  <c r="J3458" i="1" s="1"/>
  <c r="I1435" i="1"/>
  <c r="J1435" i="1" s="1"/>
  <c r="I4174" i="1"/>
  <c r="J4174" i="1" s="1"/>
  <c r="I2900" i="1"/>
  <c r="J2900" i="1" s="1"/>
  <c r="I1818" i="1"/>
  <c r="J1818" i="1" s="1"/>
  <c r="I4384" i="1"/>
  <c r="J4384" i="1" s="1"/>
  <c r="I3499" i="1"/>
  <c r="J3499" i="1" s="1"/>
  <c r="I4851" i="1"/>
  <c r="J4851" i="1" s="1"/>
  <c r="I1978" i="1"/>
  <c r="J1978" i="1" s="1"/>
  <c r="I1524" i="1"/>
  <c r="J1524" i="1" s="1"/>
  <c r="I4650" i="1"/>
  <c r="J4650" i="1" s="1"/>
  <c r="I4803" i="1"/>
  <c r="J4803" i="1" s="1"/>
  <c r="I2511" i="1"/>
  <c r="J2511" i="1" s="1"/>
  <c r="I807" i="1"/>
  <c r="J807" i="1" s="1"/>
  <c r="I4700" i="1"/>
  <c r="J4700" i="1" s="1"/>
  <c r="I3912" i="1"/>
  <c r="J3912" i="1" s="1"/>
  <c r="I4872" i="1"/>
  <c r="J4872" i="1" s="1"/>
  <c r="I631" i="1"/>
  <c r="J631" i="1" s="1"/>
  <c r="I4741" i="1"/>
  <c r="J4741" i="1" s="1"/>
  <c r="I3821" i="1"/>
  <c r="J3821" i="1" s="1"/>
  <c r="I2844" i="1"/>
  <c r="J2844" i="1" s="1"/>
  <c r="I1335" i="1"/>
  <c r="J1335" i="1" s="1"/>
  <c r="I4474" i="1"/>
  <c r="J4474" i="1" s="1"/>
  <c r="I1309" i="1"/>
  <c r="J1309" i="1" s="1"/>
  <c r="I500" i="1"/>
  <c r="J500" i="1" s="1"/>
  <c r="I2753" i="1"/>
  <c r="J2753" i="1" s="1"/>
  <c r="I1230" i="1"/>
  <c r="J1230" i="1" s="1"/>
  <c r="I2533" i="1"/>
  <c r="J2533" i="1" s="1"/>
  <c r="I62" i="1"/>
  <c r="J62" i="1" s="1"/>
  <c r="I2035" i="1"/>
  <c r="J2035" i="1" s="1"/>
  <c r="I480" i="1"/>
  <c r="J480" i="1" s="1"/>
  <c r="I4882" i="1"/>
  <c r="J4882" i="1" s="1"/>
  <c r="I2939" i="1"/>
  <c r="J2939" i="1" s="1"/>
  <c r="I4582" i="1"/>
  <c r="J4582" i="1" s="1"/>
  <c r="I4484" i="1"/>
  <c r="J4484" i="1" s="1"/>
  <c r="I3579" i="1"/>
  <c r="J3579" i="1" s="1"/>
  <c r="I2391" i="1"/>
  <c r="J2391" i="1" s="1"/>
  <c r="I1548" i="1"/>
  <c r="J1548" i="1" s="1"/>
  <c r="I4425" i="1"/>
  <c r="J4425" i="1" s="1"/>
  <c r="I2036" i="1"/>
  <c r="J2036" i="1" s="1"/>
  <c r="I80" i="1"/>
  <c r="J80" i="1" s="1"/>
  <c r="I2795" i="1"/>
  <c r="J2795" i="1" s="1"/>
  <c r="I370" i="1"/>
  <c r="J370" i="1" s="1"/>
  <c r="I2924" i="1"/>
  <c r="J2924" i="1" s="1"/>
  <c r="I3467" i="1"/>
  <c r="J3467" i="1" s="1"/>
  <c r="I1728" i="1"/>
  <c r="J1728" i="1" s="1"/>
  <c r="I4891" i="1"/>
  <c r="J4891" i="1" s="1"/>
  <c r="I461" i="1"/>
  <c r="J461" i="1" s="1"/>
  <c r="I344" i="1"/>
  <c r="J344" i="1" s="1"/>
  <c r="I3797" i="1"/>
  <c r="J3797" i="1" s="1"/>
  <c r="I218" i="1"/>
  <c r="J218" i="1" s="1"/>
  <c r="I4397" i="1"/>
  <c r="J4397" i="1" s="1"/>
  <c r="I4295" i="1"/>
  <c r="J4295" i="1" s="1"/>
  <c r="I1310" i="1"/>
  <c r="J1310" i="1" s="1"/>
  <c r="I3999" i="1"/>
  <c r="J3999" i="1" s="1"/>
  <c r="I4028" i="1"/>
  <c r="J4028" i="1" s="1"/>
  <c r="I3679" i="1"/>
  <c r="J3679" i="1" s="1"/>
  <c r="I2130" i="1"/>
  <c r="J2130" i="1" s="1"/>
  <c r="I4632" i="1"/>
  <c r="J4632" i="1" s="1"/>
  <c r="I1593" i="1"/>
  <c r="J1593" i="1" s="1"/>
  <c r="I3688" i="1"/>
  <c r="J3688" i="1" s="1"/>
  <c r="I1838" i="1"/>
  <c r="J1838" i="1" s="1"/>
  <c r="I2512" i="1"/>
  <c r="J2512" i="1" s="1"/>
  <c r="I2967" i="1"/>
  <c r="J2967" i="1" s="1"/>
  <c r="I1914" i="1"/>
  <c r="J1914" i="1" s="1"/>
  <c r="I4475" i="1"/>
  <c r="J4475" i="1" s="1"/>
  <c r="I3977" i="1"/>
  <c r="J3977" i="1" s="1"/>
  <c r="I2513" i="1"/>
  <c r="J2513" i="1" s="1"/>
  <c r="I2380" i="1"/>
  <c r="J2380" i="1" s="1"/>
  <c r="I299" i="1"/>
  <c r="J299" i="1" s="1"/>
  <c r="I3963" i="1"/>
  <c r="J3963" i="1" s="1"/>
  <c r="I4600" i="1"/>
  <c r="J4600" i="1" s="1"/>
  <c r="I4601" i="1"/>
  <c r="J4601" i="1" s="1"/>
  <c r="I2067" i="1"/>
  <c r="J2067" i="1" s="1"/>
  <c r="I63" i="1"/>
  <c r="J63" i="1" s="1"/>
  <c r="I1568" i="1"/>
  <c r="J1568" i="1" s="1"/>
  <c r="I3152" i="1"/>
  <c r="J3152" i="1" s="1"/>
  <c r="I4362" i="1"/>
  <c r="J4362" i="1" s="1"/>
  <c r="I2078" i="1"/>
  <c r="J2078" i="1" s="1"/>
  <c r="I4773" i="1"/>
  <c r="J4773" i="1" s="1"/>
  <c r="I2901" i="1"/>
  <c r="J2901" i="1" s="1"/>
  <c r="I1954" i="1"/>
  <c r="J1954" i="1" s="1"/>
  <c r="I1484" i="1"/>
  <c r="J1484" i="1" s="1"/>
  <c r="I4781" i="1"/>
  <c r="J4781" i="1" s="1"/>
  <c r="I4827" i="1"/>
  <c r="J4827" i="1" s="1"/>
  <c r="I808" i="1"/>
  <c r="J808" i="1" s="1"/>
  <c r="I2498" i="1"/>
  <c r="J2498" i="1" s="1"/>
  <c r="I168" i="1"/>
  <c r="J168" i="1" s="1"/>
  <c r="I3857" i="1"/>
  <c r="J3857" i="1" s="1"/>
  <c r="I2280" i="1"/>
  <c r="J2280" i="1" s="1"/>
  <c r="I1614" i="1"/>
  <c r="J1614" i="1" s="1"/>
  <c r="I2018" i="1"/>
  <c r="J2018" i="1" s="1"/>
  <c r="I3226" i="1"/>
  <c r="J3226" i="1" s="1"/>
  <c r="I4258" i="1"/>
  <c r="J4258" i="1" s="1"/>
  <c r="I3781" i="1"/>
  <c r="J3781" i="1" s="1"/>
  <c r="I2723" i="1"/>
  <c r="J2723" i="1" s="1"/>
  <c r="I1311" i="1"/>
  <c r="J1311" i="1" s="1"/>
  <c r="I4296" i="1"/>
  <c r="J4296" i="1" s="1"/>
  <c r="I3769" i="1"/>
  <c r="J3769" i="1" s="1"/>
  <c r="I1569" i="1"/>
  <c r="J1569" i="1" s="1"/>
  <c r="I4282" i="1"/>
  <c r="J4282" i="1" s="1"/>
  <c r="I2392" i="1"/>
  <c r="J2392" i="1" s="1"/>
  <c r="I3118" i="1"/>
  <c r="J3118" i="1" s="1"/>
  <c r="I2554" i="1"/>
  <c r="J2554" i="1" s="1"/>
  <c r="I1955" i="1"/>
  <c r="J1955" i="1" s="1"/>
  <c r="I4937" i="1"/>
  <c r="J4937" i="1" s="1"/>
  <c r="I1214" i="1"/>
  <c r="J1214" i="1" s="1"/>
  <c r="I3195" i="1"/>
  <c r="J3195" i="1" s="1"/>
  <c r="I3240" i="1"/>
  <c r="J3240" i="1" s="1"/>
  <c r="I141" i="1"/>
  <c r="J141" i="1" s="1"/>
  <c r="I4719" i="1"/>
  <c r="J4719" i="1" s="1"/>
  <c r="I2372" i="1"/>
  <c r="J2372" i="1" s="1"/>
  <c r="I1979" i="1"/>
  <c r="J1979" i="1" s="1"/>
  <c r="I255" i="1"/>
  <c r="J255" i="1" s="1"/>
  <c r="I3534" i="1"/>
  <c r="J3534" i="1" s="1"/>
  <c r="I3153" i="1"/>
  <c r="J3153" i="1" s="1"/>
  <c r="I4189" i="1"/>
  <c r="J4189" i="1" s="1"/>
  <c r="I2436" i="1"/>
  <c r="J2436" i="1" s="1"/>
  <c r="I1231" i="1"/>
  <c r="J1231" i="1" s="1"/>
  <c r="I1525" i="1"/>
  <c r="J1525" i="1" s="1"/>
  <c r="I2428" i="1"/>
  <c r="J2428" i="1" s="1"/>
  <c r="I3667" i="1"/>
  <c r="J3667" i="1" s="1"/>
  <c r="I4041" i="1"/>
  <c r="J4041" i="1" s="1"/>
  <c r="I3347" i="1"/>
  <c r="J3347" i="1" s="1"/>
  <c r="I276" i="1"/>
  <c r="J276" i="1" s="1"/>
  <c r="I411" i="1"/>
  <c r="J411" i="1" s="1"/>
  <c r="I3101" i="1"/>
  <c r="J3101" i="1" s="1"/>
  <c r="I4306" i="1"/>
  <c r="J4306" i="1" s="1"/>
  <c r="I3689" i="1"/>
  <c r="J3689" i="1" s="1"/>
  <c r="I4398" i="1"/>
  <c r="J4398" i="1" s="1"/>
  <c r="I4476" i="1"/>
  <c r="J4476" i="1" s="1"/>
  <c r="I412" i="1"/>
  <c r="J412" i="1" s="1"/>
  <c r="I2651" i="1"/>
  <c r="J2651" i="1" s="1"/>
  <c r="I4259" i="1"/>
  <c r="J4259" i="1" s="1"/>
  <c r="I2845" i="1"/>
  <c r="J2845" i="1" s="1"/>
  <c r="I4283" i="1"/>
  <c r="J4283" i="1" s="1"/>
  <c r="I2289" i="1"/>
  <c r="J2289" i="1" s="1"/>
  <c r="I1131" i="1"/>
  <c r="J1131" i="1" s="1"/>
  <c r="I632" i="1"/>
  <c r="J632" i="1" s="1"/>
  <c r="I2796" i="1"/>
  <c r="J2796" i="1" s="1"/>
  <c r="I3668" i="1"/>
  <c r="J3668" i="1" s="1"/>
  <c r="I3620" i="1"/>
  <c r="J3620" i="1" s="1"/>
  <c r="I2697" i="1"/>
  <c r="J2697" i="1" s="1"/>
  <c r="I3847" i="1"/>
  <c r="J3847" i="1" s="1"/>
  <c r="I3690" i="1"/>
  <c r="J3690" i="1" s="1"/>
  <c r="I3183" i="1"/>
  <c r="J3183" i="1" s="1"/>
  <c r="I345" i="1"/>
  <c r="J345" i="1" s="1"/>
  <c r="I3822" i="1"/>
  <c r="J3822" i="1" s="1"/>
  <c r="I3756" i="1"/>
  <c r="J3756" i="1" s="1"/>
  <c r="I142" i="1"/>
  <c r="J142" i="1" s="1"/>
  <c r="I4920" i="1"/>
  <c r="J4920" i="1" s="1"/>
  <c r="I965" i="1"/>
  <c r="J965" i="1" s="1"/>
  <c r="I2218" i="1"/>
  <c r="J2218" i="1" s="1"/>
  <c r="I3621" i="1"/>
  <c r="J3621" i="1" s="1"/>
  <c r="I3437" i="1"/>
  <c r="J3437" i="1" s="1"/>
  <c r="I2358" i="1"/>
  <c r="J2358" i="1" s="1"/>
  <c r="I1729" i="1"/>
  <c r="J1729" i="1" s="1"/>
  <c r="I4813" i="1"/>
  <c r="J4813" i="1" s="1"/>
  <c r="I3406" i="1"/>
  <c r="J3406" i="1" s="1"/>
  <c r="I2913" i="1"/>
  <c r="J2913" i="1" s="1"/>
  <c r="I2019" i="1"/>
  <c r="J2019" i="1" s="1"/>
  <c r="I809" i="1"/>
  <c r="J809" i="1" s="1"/>
  <c r="I3227" i="1"/>
  <c r="J3227" i="1" s="1"/>
  <c r="I3741" i="1"/>
  <c r="J3741" i="1" s="1"/>
  <c r="I3171" i="1"/>
  <c r="J3171" i="1" s="1"/>
  <c r="I4250" i="1"/>
  <c r="J4250" i="1" s="1"/>
  <c r="I3622" i="1"/>
  <c r="J3622" i="1" s="1"/>
  <c r="I1149" i="1"/>
  <c r="J1149" i="1" s="1"/>
  <c r="I169" i="1"/>
  <c r="J169" i="1" s="1"/>
  <c r="I2818" i="1"/>
  <c r="J2818" i="1" s="1"/>
  <c r="I4752" i="1"/>
  <c r="J4752" i="1" s="1"/>
  <c r="I2314" i="1"/>
  <c r="J2314" i="1" s="1"/>
  <c r="I2302" i="1"/>
  <c r="J2302" i="1" s="1"/>
  <c r="I2303" i="1"/>
  <c r="J2303" i="1" s="1"/>
  <c r="I3954" i="1"/>
  <c r="J3954" i="1" s="1"/>
  <c r="I3139" i="1"/>
  <c r="J3139" i="1" s="1"/>
  <c r="I3812" i="1"/>
  <c r="J3812" i="1" s="1"/>
  <c r="I3943" i="1"/>
  <c r="J3943" i="1" s="1"/>
  <c r="I3009" i="1"/>
  <c r="J3009" i="1" s="1"/>
  <c r="I2866" i="1"/>
  <c r="J2866" i="1" s="1"/>
  <c r="I2381" i="1"/>
  <c r="J2381" i="1" s="1"/>
  <c r="I2595" i="1"/>
  <c r="J2595" i="1" s="1"/>
  <c r="I3050" i="1"/>
  <c r="J3050" i="1" s="1"/>
  <c r="I2144" i="1"/>
  <c r="J2144" i="1" s="1"/>
  <c r="I39" i="1"/>
  <c r="J39" i="1" s="1"/>
  <c r="I1748" i="1"/>
  <c r="J1748" i="1" s="1"/>
  <c r="I3359" i="1"/>
  <c r="J3359" i="1" s="1"/>
  <c r="I4708" i="1"/>
  <c r="J4708" i="1" s="1"/>
  <c r="I4753" i="1"/>
  <c r="J4753" i="1" s="1"/>
  <c r="I2437" i="1"/>
  <c r="J2437" i="1" s="1"/>
  <c r="I2522" i="1"/>
  <c r="J2522" i="1" s="1"/>
  <c r="I2037" i="1"/>
  <c r="J2037" i="1" s="1"/>
  <c r="I3184" i="1"/>
  <c r="J3184" i="1" s="1"/>
  <c r="I633" i="1"/>
  <c r="J633" i="1" s="1"/>
  <c r="I2281" i="1"/>
  <c r="J2281" i="1" s="1"/>
  <c r="I2925" i="1"/>
  <c r="J2925" i="1" s="1"/>
  <c r="I3287" i="1"/>
  <c r="J3287" i="1" s="1"/>
  <c r="I4029" i="1"/>
  <c r="J4029" i="1" s="1"/>
  <c r="I659" i="1"/>
  <c r="J659" i="1" s="1"/>
  <c r="I4838" i="1"/>
  <c r="J4838" i="1" s="1"/>
  <c r="I2347" i="1"/>
  <c r="J2347" i="1" s="1"/>
  <c r="I2534" i="1"/>
  <c r="J2534" i="1" s="1"/>
  <c r="I701" i="1"/>
  <c r="J701" i="1" s="1"/>
  <c r="I4112" i="1"/>
  <c r="J4112" i="1" s="1"/>
  <c r="I4000" i="1"/>
  <c r="J4000" i="1" s="1"/>
  <c r="I219" i="1"/>
  <c r="J219" i="1" s="1"/>
  <c r="I2684" i="1"/>
  <c r="J2684" i="1" s="1"/>
  <c r="I2460" i="1"/>
  <c r="J2460" i="1" s="1"/>
  <c r="I3699" i="1"/>
  <c r="J3699" i="1" s="1"/>
  <c r="I2635" i="1"/>
  <c r="J2635" i="1" s="1"/>
  <c r="I3833" i="1"/>
  <c r="J3833" i="1" s="1"/>
  <c r="I3932" i="1"/>
  <c r="J3932" i="1" s="1"/>
  <c r="I4260" i="1"/>
  <c r="J4260" i="1" s="1"/>
  <c r="I321" i="1"/>
  <c r="J321" i="1" s="1"/>
  <c r="I2315" i="1"/>
  <c r="J2315" i="1" s="1"/>
  <c r="I2732" i="1"/>
  <c r="J2732" i="1" s="1"/>
  <c r="I346" i="1"/>
  <c r="J346" i="1" s="1"/>
  <c r="I4001" i="1"/>
  <c r="J4001" i="1" s="1"/>
  <c r="I436" i="1"/>
  <c r="J436" i="1" s="1"/>
  <c r="I2187" i="1"/>
  <c r="J2187" i="1" s="1"/>
  <c r="I2068" i="1"/>
  <c r="J2068" i="1" s="1"/>
  <c r="I3397" i="1"/>
  <c r="J3397" i="1" s="1"/>
  <c r="I4921" i="1"/>
  <c r="J4921" i="1" s="1"/>
  <c r="I2069" i="1"/>
  <c r="J2069" i="1" s="1"/>
  <c r="I2290" i="1"/>
  <c r="J2290" i="1" s="1"/>
  <c r="I3567" i="1"/>
  <c r="J3567" i="1" s="1"/>
  <c r="I2174" i="1"/>
  <c r="J2174" i="1" s="1"/>
  <c r="I4862" i="1"/>
  <c r="J4862" i="1" s="1"/>
  <c r="I2724" i="1"/>
  <c r="J2724" i="1" s="1"/>
  <c r="I3051" i="1"/>
  <c r="J3051" i="1" s="1"/>
  <c r="I4363" i="1"/>
  <c r="J4363" i="1" s="1"/>
  <c r="I2359" i="1"/>
  <c r="J2359" i="1" s="1"/>
  <c r="I1465" i="1"/>
  <c r="J1465" i="1" s="1"/>
  <c r="I2260" i="1"/>
  <c r="J2260" i="1" s="1"/>
  <c r="I4050" i="1"/>
  <c r="J4050" i="1" s="1"/>
  <c r="I4804" i="1"/>
  <c r="J4804" i="1" s="1"/>
  <c r="I3955" i="1"/>
  <c r="J3955" i="1" s="1"/>
  <c r="I1150" i="1"/>
  <c r="J1150" i="1" s="1"/>
  <c r="I2096" i="1"/>
  <c r="J2096" i="1" s="1"/>
  <c r="I4175" i="1"/>
  <c r="J4175" i="1" s="1"/>
  <c r="I2316" i="1"/>
  <c r="J2316" i="1" s="1"/>
  <c r="I1069" i="1"/>
  <c r="J1069" i="1" s="1"/>
  <c r="I1638" i="1"/>
  <c r="J1638" i="1" s="1"/>
  <c r="I4863" i="1"/>
  <c r="J4863" i="1" s="1"/>
  <c r="I3546" i="1"/>
  <c r="J3546" i="1" s="1"/>
  <c r="I966" i="1"/>
  <c r="J966" i="1" s="1"/>
  <c r="I1360" i="1"/>
  <c r="J1360" i="1" s="1"/>
  <c r="I1570" i="1"/>
  <c r="J1570" i="1" s="1"/>
  <c r="I143" i="1"/>
  <c r="J143" i="1" s="1"/>
  <c r="I4720" i="1"/>
  <c r="J4720" i="1" s="1"/>
  <c r="I4426" i="1"/>
  <c r="J4426" i="1" s="1"/>
  <c r="I3438" i="1"/>
  <c r="J3438" i="1" s="1"/>
  <c r="I684" i="1"/>
  <c r="J684" i="1" s="1"/>
  <c r="I983" i="1"/>
  <c r="J983" i="1" s="1"/>
  <c r="I3377" i="1"/>
  <c r="J3377" i="1" s="1"/>
  <c r="I3913" i="1"/>
  <c r="J3913" i="1" s="1"/>
  <c r="I4754" i="1"/>
  <c r="J4754" i="1" s="1"/>
  <c r="I3154" i="1"/>
  <c r="J3154" i="1" s="1"/>
  <c r="I4113" i="1"/>
  <c r="J4113" i="1" s="1"/>
  <c r="I3276" i="1"/>
  <c r="J3276" i="1" s="1"/>
  <c r="I3257" i="1"/>
  <c r="J3257" i="1" s="1"/>
  <c r="I4602" i="1"/>
  <c r="J4602" i="1" s="1"/>
  <c r="I4814" i="1"/>
  <c r="J4814" i="1" s="1"/>
  <c r="I4013" i="1"/>
  <c r="J4013" i="1" s="1"/>
  <c r="I4466" i="1"/>
  <c r="J4466" i="1" s="1"/>
  <c r="I2219" i="1"/>
  <c r="J2219" i="1" s="1"/>
  <c r="I1571" i="1"/>
  <c r="J1571" i="1" s="1"/>
  <c r="I4330" i="1"/>
  <c r="J4330" i="1" s="1"/>
  <c r="I3834" i="1"/>
  <c r="J3834" i="1" s="1"/>
  <c r="I3865" i="1"/>
  <c r="J3865" i="1" s="1"/>
  <c r="I4101" i="1"/>
  <c r="J4101" i="1" s="1"/>
  <c r="I1115" i="1"/>
  <c r="J1115" i="1" s="1"/>
  <c r="I3020" i="1"/>
  <c r="J3020" i="1" s="1"/>
  <c r="I3092" i="1"/>
  <c r="J3092" i="1" s="1"/>
  <c r="I1336" i="1"/>
  <c r="J1336" i="1" s="1"/>
  <c r="I4077" i="1"/>
  <c r="J4077" i="1" s="1"/>
  <c r="I2201" i="1"/>
  <c r="J2201" i="1" s="1"/>
  <c r="I4414" i="1"/>
  <c r="J4414" i="1" s="1"/>
  <c r="I3598" i="1"/>
  <c r="J3598" i="1" s="1"/>
  <c r="I1173" i="1"/>
  <c r="J1173" i="1" s="1"/>
  <c r="I2586" i="1"/>
  <c r="J2586" i="1" s="1"/>
  <c r="I2220" i="1"/>
  <c r="J2220" i="1" s="1"/>
  <c r="I3521" i="1"/>
  <c r="J3521" i="1" s="1"/>
  <c r="I4213" i="1"/>
  <c r="J4213" i="1" s="1"/>
  <c r="I4122" i="1"/>
  <c r="J4122" i="1" s="1"/>
  <c r="I2668" i="1"/>
  <c r="J2668" i="1" s="1"/>
  <c r="I1956" i="1"/>
  <c r="J1956" i="1" s="1"/>
  <c r="I1466" i="1"/>
  <c r="J1466" i="1" s="1"/>
  <c r="I4467" i="1"/>
  <c r="J4467" i="1" s="1"/>
  <c r="I4284" i="1"/>
  <c r="J4284" i="1" s="1"/>
  <c r="I3064" i="1"/>
  <c r="J3064" i="1" s="1"/>
  <c r="I2960" i="1"/>
  <c r="J2960" i="1" s="1"/>
  <c r="I256" i="1"/>
  <c r="J256" i="1" s="1"/>
  <c r="I1526" i="1"/>
  <c r="J1526" i="1" s="1"/>
  <c r="I4223" i="1"/>
  <c r="J4223" i="1" s="1"/>
  <c r="I3522" i="1"/>
  <c r="J3522" i="1" s="1"/>
  <c r="I3348" i="1"/>
  <c r="J3348" i="1" s="1"/>
  <c r="I4763" i="1"/>
  <c r="J4763" i="1" s="1"/>
  <c r="I4370" i="1"/>
  <c r="J4370" i="1" s="1"/>
  <c r="I1857" i="1"/>
  <c r="J1857" i="1" s="1"/>
  <c r="I2323" i="1"/>
  <c r="J2323" i="1" s="1"/>
  <c r="I2360" i="1"/>
  <c r="J2360" i="1" s="1"/>
  <c r="I4892" i="1"/>
  <c r="J4892" i="1" s="1"/>
  <c r="I551" i="1"/>
  <c r="J551" i="1" s="1"/>
  <c r="I1312" i="1"/>
  <c r="J1312" i="1" s="1"/>
  <c r="I4439" i="1"/>
  <c r="J4439" i="1" s="1"/>
  <c r="I2291" i="1"/>
  <c r="J2291" i="1" s="1"/>
  <c r="I4947" i="1"/>
  <c r="J4947" i="1" s="1"/>
  <c r="I2097" i="1"/>
  <c r="J2097" i="1" s="1"/>
  <c r="I1070" i="1"/>
  <c r="J1070" i="1" s="1"/>
  <c r="I322" i="1"/>
  <c r="J322" i="1" s="1"/>
  <c r="I1594" i="1"/>
  <c r="J1594" i="1" s="1"/>
  <c r="I1957" i="1"/>
  <c r="J1957" i="1" s="1"/>
  <c r="I3459" i="1"/>
  <c r="J3459" i="1" s="1"/>
  <c r="I4583" i="1"/>
  <c r="J4583" i="1" s="1"/>
  <c r="I3131" i="1"/>
  <c r="J3131" i="1" s="1"/>
  <c r="I4242" i="1"/>
  <c r="J4242" i="1" s="1"/>
  <c r="I2304" i="1"/>
  <c r="J2304" i="1" s="1"/>
  <c r="I4495" i="1"/>
  <c r="J4495" i="1" s="1"/>
  <c r="I3390" i="1"/>
  <c r="J3390" i="1" s="1"/>
  <c r="I2247" i="1"/>
  <c r="J2247" i="1" s="1"/>
  <c r="I4232" i="1"/>
  <c r="J4232" i="1" s="1"/>
  <c r="I371" i="1"/>
  <c r="J371" i="1" s="1"/>
  <c r="I2026" i="1"/>
  <c r="J2026" i="1" s="1"/>
  <c r="I4165" i="1"/>
  <c r="J4165" i="1" s="1"/>
  <c r="I2348" i="1"/>
  <c r="J2348" i="1" s="1"/>
  <c r="I4166" i="1"/>
  <c r="J4166" i="1" s="1"/>
  <c r="I3112" i="1"/>
  <c r="J3112" i="1" s="1"/>
  <c r="I4427" i="1"/>
  <c r="J4427" i="1" s="1"/>
  <c r="I2698" i="1"/>
  <c r="J2698" i="1" s="1"/>
  <c r="I4948" i="1"/>
  <c r="J4948" i="1" s="1"/>
  <c r="I3021" i="1"/>
  <c r="J3021" i="1" s="1"/>
  <c r="I4828" i="1"/>
  <c r="J4828" i="1" s="1"/>
  <c r="I3349" i="1"/>
  <c r="J3349" i="1" s="1"/>
  <c r="I3933" i="1"/>
  <c r="J3933" i="1" s="1"/>
  <c r="I3073" i="1"/>
  <c r="J3073" i="1" s="1"/>
  <c r="I2543" i="1"/>
  <c r="J2543" i="1" s="1"/>
  <c r="I4142" i="1"/>
  <c r="J4142" i="1" s="1"/>
  <c r="I2234" i="1"/>
  <c r="J2234" i="1" s="1"/>
  <c r="I3093" i="1"/>
  <c r="J3093" i="1" s="1"/>
  <c r="I4440" i="1"/>
  <c r="J4440" i="1" s="1"/>
  <c r="I1858" i="1"/>
  <c r="J1858" i="1" s="1"/>
  <c r="I2324" i="1"/>
  <c r="J2324" i="1" s="1"/>
  <c r="I3890" i="1"/>
  <c r="J3890" i="1" s="1"/>
  <c r="I1095" i="1"/>
  <c r="J1095" i="1" s="1"/>
  <c r="I3978" i="1"/>
  <c r="J3978" i="1" s="1"/>
  <c r="I2338" i="1"/>
  <c r="J2338" i="1" s="1"/>
  <c r="I1958" i="1"/>
  <c r="J1958" i="1" s="1"/>
  <c r="I2429" i="1"/>
  <c r="J2429" i="1" s="1"/>
  <c r="I1174" i="1"/>
  <c r="J1174" i="1" s="1"/>
  <c r="I3378" i="1"/>
  <c r="J3378" i="1" s="1"/>
  <c r="I2221" i="1"/>
  <c r="J2221" i="1" s="1"/>
  <c r="I1071" i="1"/>
  <c r="J1071" i="1" s="1"/>
  <c r="I2373" i="1"/>
  <c r="J2373" i="1" s="1"/>
  <c r="I1572" i="1"/>
  <c r="J1572" i="1" s="1"/>
  <c r="I1313" i="1"/>
  <c r="J1313" i="1" s="1"/>
  <c r="I144" i="1"/>
  <c r="J144" i="1" s="1"/>
  <c r="I4513" i="1"/>
  <c r="J4513" i="1" s="1"/>
  <c r="I1805" i="1"/>
  <c r="J1805" i="1" s="1"/>
  <c r="I2621" i="1"/>
  <c r="J2621" i="1" s="1"/>
  <c r="I3757" i="1"/>
  <c r="J3757" i="1" s="1"/>
  <c r="I3214" i="1"/>
  <c r="J3214" i="1" s="1"/>
  <c r="I4190" i="1"/>
  <c r="J4190" i="1" s="1"/>
  <c r="I1615" i="1"/>
  <c r="J1615" i="1" s="1"/>
  <c r="I2846" i="1"/>
  <c r="J2846" i="1" s="1"/>
  <c r="I3608" i="1"/>
  <c r="J3608" i="1" s="1"/>
  <c r="I4883" i="1"/>
  <c r="J4883" i="1" s="1"/>
  <c r="I1215" i="1"/>
  <c r="J1215" i="1" s="1"/>
  <c r="I2222" i="1"/>
  <c r="J2222" i="1" s="1"/>
  <c r="I3185" i="1"/>
  <c r="J3185" i="1" s="1"/>
  <c r="I2282" i="1"/>
  <c r="J2282" i="1" s="1"/>
  <c r="I4143" i="1"/>
  <c r="J4143" i="1" s="1"/>
  <c r="I3487" i="1"/>
  <c r="J3487" i="1" s="1"/>
  <c r="I3782" i="1"/>
  <c r="J3782" i="1" s="1"/>
  <c r="I4150" i="1"/>
  <c r="J4150" i="1" s="1"/>
  <c r="I437" i="1"/>
  <c r="J437" i="1" s="1"/>
  <c r="I1196" i="1"/>
  <c r="J1196" i="1" s="1"/>
  <c r="I2027" i="1"/>
  <c r="J2027" i="1" s="1"/>
  <c r="I3866" i="1"/>
  <c r="J3866" i="1" s="1"/>
  <c r="I1361" i="1"/>
  <c r="J1361" i="1" s="1"/>
  <c r="I3439" i="1"/>
  <c r="J3439" i="1" s="1"/>
  <c r="I4123" i="1"/>
  <c r="J4123" i="1" s="1"/>
  <c r="I4090" i="1"/>
  <c r="J4090" i="1" s="1"/>
  <c r="I4742" i="1"/>
  <c r="J4742" i="1" s="1"/>
  <c r="I3835" i="1"/>
  <c r="J3835" i="1" s="1"/>
  <c r="I741" i="1"/>
  <c r="J741" i="1" s="1"/>
  <c r="I1502" i="1"/>
  <c r="J1502" i="1" s="1"/>
  <c r="I2999" i="1"/>
  <c r="J2999" i="1" s="1"/>
  <c r="I552" i="1"/>
  <c r="J552" i="1" s="1"/>
  <c r="I2160" i="1"/>
  <c r="J2160" i="1" s="1"/>
  <c r="I3798" i="1"/>
  <c r="J3798" i="1" s="1"/>
  <c r="I2292" i="1"/>
  <c r="J2292" i="1" s="1"/>
  <c r="I3934" i="1"/>
  <c r="J3934" i="1" s="1"/>
  <c r="I3635" i="1"/>
  <c r="J3635" i="1" s="1"/>
  <c r="I3669" i="1"/>
  <c r="J3669" i="1" s="1"/>
  <c r="I2403" i="1"/>
  <c r="J2403" i="1" s="1"/>
  <c r="I3599" i="1"/>
  <c r="J3599" i="1" s="1"/>
  <c r="I4570" i="1"/>
  <c r="J4570" i="1" s="1"/>
  <c r="I3119" i="1"/>
  <c r="J3119" i="1" s="1"/>
  <c r="I2472" i="1"/>
  <c r="J2472" i="1" s="1"/>
  <c r="I2855" i="1"/>
  <c r="J2855" i="1" s="1"/>
  <c r="I4114" i="1"/>
  <c r="J4114" i="1" s="1"/>
  <c r="I4151" i="1"/>
  <c r="J4151" i="1" s="1"/>
  <c r="I4341" i="1"/>
  <c r="J4341" i="1" s="1"/>
  <c r="I786" i="1"/>
  <c r="J786" i="1" s="1"/>
  <c r="I1692" i="1"/>
  <c r="J1692" i="1" s="1"/>
  <c r="I2045" i="1"/>
  <c r="J2045" i="1" s="1"/>
  <c r="I4829" i="1"/>
  <c r="J4829" i="1" s="1"/>
  <c r="I1259" i="1"/>
  <c r="J1259" i="1" s="1"/>
  <c r="I4651" i="1"/>
  <c r="J4651" i="1" s="1"/>
  <c r="I2131" i="1"/>
  <c r="J2131" i="1" s="1"/>
  <c r="I4873" i="1"/>
  <c r="J4873" i="1" s="1"/>
  <c r="I2202" i="1"/>
  <c r="J2202" i="1" s="1"/>
  <c r="I1806" i="1"/>
  <c r="J1806" i="1" s="1"/>
  <c r="I1915" i="1"/>
  <c r="J1915" i="1" s="1"/>
  <c r="I438" i="1"/>
  <c r="J438" i="1" s="1"/>
  <c r="I4603" i="1"/>
  <c r="J4603" i="1" s="1"/>
  <c r="I1021" i="1"/>
  <c r="J1021" i="1" s="1"/>
  <c r="I2481" i="1"/>
  <c r="J2481" i="1" s="1"/>
  <c r="I4068" i="1"/>
  <c r="J4068" i="1" s="1"/>
  <c r="I3452" i="1"/>
  <c r="J3452" i="1" s="1"/>
  <c r="I2261" i="1"/>
  <c r="J2261" i="1" s="1"/>
  <c r="I2499" i="1"/>
  <c r="J2499" i="1" s="1"/>
  <c r="I3609" i="1"/>
  <c r="J3609" i="1" s="1"/>
  <c r="I2567" i="1"/>
  <c r="J2567" i="1" s="1"/>
  <c r="I1151" i="1"/>
  <c r="J1151" i="1" s="1"/>
  <c r="I1776" i="1"/>
  <c r="J1776" i="1" s="1"/>
  <c r="I4176" i="1"/>
  <c r="J4176" i="1" s="1"/>
  <c r="I2968" i="1"/>
  <c r="J2968" i="1" s="1"/>
  <c r="I887" i="1"/>
  <c r="J887" i="1" s="1"/>
  <c r="I1175" i="1"/>
  <c r="J1175" i="1" s="1"/>
  <c r="I3022" i="1"/>
  <c r="J3022" i="1" s="1"/>
  <c r="I4167" i="1"/>
  <c r="J4167" i="1" s="1"/>
  <c r="I4078" i="1"/>
  <c r="J4078" i="1" s="1"/>
  <c r="I3023" i="1"/>
  <c r="J3023" i="1" s="1"/>
  <c r="I2699" i="1"/>
  <c r="J2699" i="1" s="1"/>
  <c r="I2805" i="1"/>
  <c r="J2805" i="1" s="1"/>
  <c r="I4661" i="1"/>
  <c r="J4661" i="1" s="1"/>
  <c r="I3655" i="1"/>
  <c r="J3655" i="1" s="1"/>
  <c r="I888" i="1"/>
  <c r="J888" i="1" s="1"/>
  <c r="I2806" i="1"/>
  <c r="J2806" i="1" s="1"/>
  <c r="I2305" i="1"/>
  <c r="J2305" i="1" s="1"/>
  <c r="I4428" i="1"/>
  <c r="J4428" i="1" s="1"/>
  <c r="I3428" i="1"/>
  <c r="J3428" i="1" s="1"/>
  <c r="I4317" i="1"/>
  <c r="J4317" i="1" s="1"/>
  <c r="I4793" i="1"/>
  <c r="J4793" i="1" s="1"/>
  <c r="I170" i="1"/>
  <c r="J170" i="1" s="1"/>
  <c r="I2413" i="1"/>
  <c r="J2413" i="1" s="1"/>
  <c r="I462" i="1"/>
  <c r="J462" i="1" s="1"/>
  <c r="I1260" i="1"/>
  <c r="J1260" i="1" s="1"/>
  <c r="I4839" i="1"/>
  <c r="J4839" i="1" s="1"/>
  <c r="I3024" i="1"/>
  <c r="J3024" i="1" s="1"/>
  <c r="I3052" i="1"/>
  <c r="J3052" i="1" s="1"/>
  <c r="I3241" i="1"/>
  <c r="J3241" i="1" s="1"/>
  <c r="I3296" i="1"/>
  <c r="J3296" i="1" s="1"/>
  <c r="I4014" i="1"/>
  <c r="J4014" i="1" s="1"/>
  <c r="I3308" i="1"/>
  <c r="J3308" i="1" s="1"/>
  <c r="I347" i="1"/>
  <c r="J347" i="1" s="1"/>
  <c r="I3074" i="1"/>
  <c r="J3074" i="1" s="1"/>
  <c r="I1819" i="1"/>
  <c r="J1819" i="1" s="1"/>
  <c r="I3391" i="1"/>
  <c r="J3391" i="1" s="1"/>
  <c r="I932" i="1"/>
  <c r="J932" i="1" s="1"/>
  <c r="I2914" i="1"/>
  <c r="J2914" i="1" s="1"/>
  <c r="I4623" i="1"/>
  <c r="J4623" i="1" s="1"/>
  <c r="I4261" i="1"/>
  <c r="J4261" i="1" s="1"/>
  <c r="I1152" i="1"/>
  <c r="J1152" i="1" s="1"/>
  <c r="I481" i="1"/>
  <c r="J481" i="1" s="1"/>
  <c r="I4285" i="1"/>
  <c r="J4285" i="1" s="1"/>
  <c r="I1314" i="1"/>
  <c r="J1314" i="1" s="1"/>
  <c r="I2175" i="1"/>
  <c r="J2175" i="1" s="1"/>
  <c r="I3025" i="1"/>
  <c r="J3025" i="1" s="1"/>
  <c r="I3477" i="1"/>
  <c r="J3477" i="1" s="1"/>
  <c r="I2969" i="1"/>
  <c r="J2969" i="1" s="1"/>
  <c r="I1436" i="1"/>
  <c r="J1436" i="1" s="1"/>
  <c r="I2209" i="1"/>
  <c r="J2209" i="1" s="1"/>
  <c r="I2430" i="1"/>
  <c r="J2430" i="1" s="1"/>
  <c r="I3440" i="1"/>
  <c r="J3440" i="1" s="1"/>
  <c r="I3691" i="1"/>
  <c r="J3691" i="1" s="1"/>
  <c r="I2058" i="1"/>
  <c r="J2058" i="1" s="1"/>
  <c r="I2046" i="1"/>
  <c r="J2046" i="1" s="1"/>
  <c r="I439" i="1"/>
  <c r="J439" i="1" s="1"/>
  <c r="I1052" i="1"/>
  <c r="J1052" i="1" s="1"/>
  <c r="I171" i="1"/>
  <c r="J171" i="1" s="1"/>
  <c r="I3234" i="1"/>
  <c r="J3234" i="1" s="1"/>
  <c r="I3964" i="1"/>
  <c r="J3964" i="1" s="1"/>
  <c r="I3770" i="1"/>
  <c r="J3770" i="1" s="1"/>
  <c r="I3297" i="1"/>
  <c r="J3297" i="1" s="1"/>
  <c r="I3880" i="1"/>
  <c r="J3880" i="1" s="1"/>
  <c r="I1711" i="1"/>
  <c r="J1711" i="1" s="1"/>
  <c r="I2317" i="1"/>
  <c r="J2317" i="1" s="1"/>
  <c r="I2830" i="1"/>
  <c r="J2830" i="1" s="1"/>
  <c r="I4782" i="1"/>
  <c r="J4782" i="1" s="1"/>
  <c r="I984" i="1"/>
  <c r="J984" i="1" s="1"/>
  <c r="I2867" i="1"/>
  <c r="J2867" i="1" s="1"/>
  <c r="I634" i="1"/>
  <c r="J634" i="1" s="1"/>
  <c r="I4709" i="1"/>
  <c r="J4709" i="1" s="1"/>
  <c r="I580" i="1"/>
  <c r="J580" i="1" s="1"/>
  <c r="I3783" i="1"/>
  <c r="J3783" i="1" s="1"/>
  <c r="I967" i="1"/>
  <c r="J967" i="1" s="1"/>
  <c r="I4938" i="1"/>
  <c r="J4938" i="1" s="1"/>
  <c r="I742" i="1"/>
  <c r="J742" i="1" s="1"/>
  <c r="I889" i="1"/>
  <c r="J889" i="1" s="1"/>
  <c r="I3729" i="1"/>
  <c r="J3729" i="1" s="1"/>
  <c r="I4262" i="1"/>
  <c r="J4262" i="1" s="1"/>
  <c r="I4783" i="1"/>
  <c r="J4783" i="1" s="1"/>
  <c r="I3202" i="1"/>
  <c r="J3202" i="1" s="1"/>
  <c r="I4592" i="1"/>
  <c r="J4592" i="1" s="1"/>
  <c r="I2523" i="1"/>
  <c r="J2523" i="1" s="1"/>
  <c r="I4815" i="1"/>
  <c r="J4815" i="1" s="1"/>
  <c r="I3867" i="1"/>
  <c r="J3867" i="1" s="1"/>
  <c r="I3010" i="1"/>
  <c r="J3010" i="1" s="1"/>
  <c r="I372" i="1"/>
  <c r="J372" i="1" s="1"/>
  <c r="I4168" i="1"/>
  <c r="J4168" i="1" s="1"/>
  <c r="I4805" i="1"/>
  <c r="J4805" i="1" s="1"/>
  <c r="I3623" i="1"/>
  <c r="J3623" i="1" s="1"/>
  <c r="I4415" i="1"/>
  <c r="J4415" i="1" s="1"/>
  <c r="I3758" i="1"/>
  <c r="J3758" i="1" s="1"/>
  <c r="I3881" i="1"/>
  <c r="J3881" i="1" s="1"/>
  <c r="I1315" i="1"/>
  <c r="J1315" i="1" s="1"/>
  <c r="I1280" i="1"/>
  <c r="J1280" i="1" s="1"/>
  <c r="I2248" i="1"/>
  <c r="J2248" i="1" s="1"/>
  <c r="I2059" i="1"/>
  <c r="J2059" i="1" s="1"/>
  <c r="I197" i="1"/>
  <c r="J197" i="1" s="1"/>
  <c r="I2622" i="1"/>
  <c r="J2622" i="1" s="1"/>
  <c r="I4079" i="1"/>
  <c r="J4079" i="1" s="1"/>
  <c r="I4102" i="1"/>
  <c r="J4102" i="1" s="1"/>
  <c r="I277" i="1"/>
  <c r="J277" i="1" s="1"/>
  <c r="I1132" i="1"/>
  <c r="J1132" i="1" s="1"/>
  <c r="I2524" i="1"/>
  <c r="J2524" i="1" s="1"/>
  <c r="I3366" i="1"/>
  <c r="J3366" i="1" s="1"/>
  <c r="I1362" i="1"/>
  <c r="J1362" i="1" s="1"/>
  <c r="I4485" i="1"/>
  <c r="J4485" i="1" s="1"/>
  <c r="I1316" i="1"/>
  <c r="J1316" i="1" s="1"/>
  <c r="I4468" i="1"/>
  <c r="J4468" i="1" s="1"/>
  <c r="I3558" i="1"/>
  <c r="J3558" i="1" s="1"/>
  <c r="I40" i="1"/>
  <c r="J40" i="1" s="1"/>
  <c r="I1390" i="1"/>
  <c r="J1390" i="1" s="1"/>
  <c r="I1859" i="1"/>
  <c r="J1859" i="1" s="1"/>
  <c r="I501" i="1"/>
  <c r="J501" i="1" s="1"/>
  <c r="I4269" i="1"/>
  <c r="J4269" i="1" s="1"/>
  <c r="I3902" i="1"/>
  <c r="J3902" i="1" s="1"/>
  <c r="I2132" i="1"/>
  <c r="J2132" i="1" s="1"/>
  <c r="I3742" i="1"/>
  <c r="J3742" i="1" s="1"/>
  <c r="I3743" i="1"/>
  <c r="J3743" i="1" s="1"/>
  <c r="I2596" i="1"/>
  <c r="J2596" i="1" s="1"/>
  <c r="I4604" i="1"/>
  <c r="J4604" i="1" s="1"/>
  <c r="I4731" i="1"/>
  <c r="J4731" i="1" s="1"/>
  <c r="I1935" i="1"/>
  <c r="J1935" i="1" s="1"/>
  <c r="I2877" i="1"/>
  <c r="J2877" i="1" s="1"/>
  <c r="I1096" i="1"/>
  <c r="J1096" i="1" s="1"/>
  <c r="I2981" i="1"/>
  <c r="J2981" i="1" s="1"/>
  <c r="I4331" i="1"/>
  <c r="J4331" i="1" s="1"/>
  <c r="I4062" i="1"/>
  <c r="J4062" i="1" s="1"/>
  <c r="I41" i="1"/>
  <c r="J41" i="1" s="1"/>
  <c r="I4201" i="1"/>
  <c r="J4201" i="1" s="1"/>
  <c r="I3759" i="1"/>
  <c r="J3759" i="1" s="1"/>
  <c r="I2831" i="1"/>
  <c r="J2831" i="1" s="1"/>
  <c r="I3535" i="1"/>
  <c r="J3535" i="1" s="1"/>
  <c r="I3536" i="1"/>
  <c r="J3536" i="1" s="1"/>
  <c r="I1261" i="1"/>
  <c r="J1261" i="1" s="1"/>
  <c r="I1053" i="1"/>
  <c r="J1053" i="1" s="1"/>
  <c r="I3858" i="1"/>
  <c r="J3858" i="1" s="1"/>
  <c r="I4286" i="1"/>
  <c r="J4286" i="1" s="1"/>
  <c r="I42" i="1"/>
  <c r="J42" i="1" s="1"/>
  <c r="I2188" i="1"/>
  <c r="J2188" i="1" s="1"/>
  <c r="I3771" i="1"/>
  <c r="J3771" i="1" s="1"/>
  <c r="I3891" i="1"/>
  <c r="J3891" i="1" s="1"/>
  <c r="I2856" i="1"/>
  <c r="J2856" i="1" s="1"/>
  <c r="I3258" i="1"/>
  <c r="J3258" i="1" s="1"/>
  <c r="I2249" i="1"/>
  <c r="J2249" i="1" s="1"/>
  <c r="I97" i="1"/>
  <c r="J97" i="1" s="1"/>
  <c r="I3868" i="1"/>
  <c r="J3868" i="1" s="1"/>
  <c r="I2325" i="1"/>
  <c r="J2325" i="1" s="1"/>
  <c r="I4732" i="1"/>
  <c r="J4732" i="1" s="1"/>
  <c r="I3298" i="1"/>
  <c r="J3298" i="1" s="1"/>
  <c r="I3646" i="1"/>
  <c r="J3646" i="1" s="1"/>
  <c r="I1054" i="1"/>
  <c r="J1054" i="1" s="1"/>
  <c r="I3892" i="1"/>
  <c r="J3892" i="1" s="1"/>
  <c r="I1317" i="1"/>
  <c r="J1317" i="1" s="1"/>
  <c r="I985" i="1"/>
  <c r="J985" i="1" s="1"/>
  <c r="I2262" i="1"/>
  <c r="J2262" i="1" s="1"/>
  <c r="I2189" i="1"/>
  <c r="J2189" i="1" s="1"/>
  <c r="I2161" i="1"/>
  <c r="J2161" i="1" s="1"/>
  <c r="I2306" i="1"/>
  <c r="J2306" i="1" s="1"/>
  <c r="I3700" i="1"/>
  <c r="J3700" i="1" s="1"/>
  <c r="I2709" i="1"/>
  <c r="J2709" i="1" s="1"/>
  <c r="I1959" i="1"/>
  <c r="J1959" i="1" s="1"/>
  <c r="I4307" i="1"/>
  <c r="J4307" i="1" s="1"/>
  <c r="I278" i="1"/>
  <c r="J278" i="1" s="1"/>
  <c r="I1503" i="1"/>
  <c r="J1503" i="1" s="1"/>
  <c r="I3379" i="1"/>
  <c r="J3379" i="1" s="1"/>
  <c r="I2878" i="1"/>
  <c r="J2878" i="1" s="1"/>
  <c r="I1072" i="1"/>
  <c r="J1072" i="1" s="1"/>
  <c r="I3172" i="1"/>
  <c r="J3172" i="1" s="1"/>
  <c r="I4297" i="1"/>
  <c r="J4297" i="1" s="1"/>
  <c r="I1616" i="1"/>
  <c r="J1616" i="1" s="1"/>
  <c r="I2573" i="1"/>
  <c r="J2573" i="1" s="1"/>
  <c r="I2133" i="1"/>
  <c r="J2133" i="1" s="1"/>
  <c r="I2361" i="1"/>
  <c r="J2361" i="1" s="1"/>
  <c r="I4030" i="1"/>
  <c r="J4030" i="1" s="1"/>
  <c r="I1437" i="1"/>
  <c r="J1437" i="1" s="1"/>
  <c r="I3636" i="1"/>
  <c r="J3636" i="1" s="1"/>
  <c r="I2743" i="1"/>
  <c r="J2743" i="1" s="1"/>
  <c r="I3380" i="1"/>
  <c r="J3380" i="1" s="1"/>
  <c r="I43" i="1"/>
  <c r="J43" i="1" s="1"/>
  <c r="I2490" i="1"/>
  <c r="J2490" i="1" s="1"/>
  <c r="I4477" i="1"/>
  <c r="J4477" i="1" s="1"/>
  <c r="I3041" i="1"/>
  <c r="J3041" i="1" s="1"/>
  <c r="I4298" i="1"/>
  <c r="J4298" i="1" s="1"/>
  <c r="I1504" i="1"/>
  <c r="J1504" i="1" s="1"/>
  <c r="I2404" i="1"/>
  <c r="J2404" i="1" s="1"/>
  <c r="I3324" i="1"/>
  <c r="J3324" i="1" s="1"/>
  <c r="I2847" i="1"/>
  <c r="J2847" i="1" s="1"/>
  <c r="I3228" i="1"/>
  <c r="J3228" i="1" s="1"/>
  <c r="I4616" i="1"/>
  <c r="J4616" i="1" s="1"/>
  <c r="I4031" i="1"/>
  <c r="J4031" i="1" s="1"/>
  <c r="I4922" i="1"/>
  <c r="J4922" i="1" s="1"/>
  <c r="I2685" i="1"/>
  <c r="J2685" i="1" s="1"/>
  <c r="I1153" i="1"/>
  <c r="J1153" i="1" s="1"/>
  <c r="I1318" i="1"/>
  <c r="J1318" i="1" s="1"/>
  <c r="I2020" i="1"/>
  <c r="J2020" i="1" s="1"/>
  <c r="I3420" i="1"/>
  <c r="J3420" i="1" s="1"/>
  <c r="I660" i="1"/>
  <c r="J660" i="1" s="1"/>
  <c r="I3085" i="1"/>
  <c r="J3085" i="1" s="1"/>
  <c r="I4080" i="1"/>
  <c r="J4080" i="1" s="1"/>
  <c r="I2414" i="1"/>
  <c r="J2414" i="1" s="1"/>
  <c r="I3859" i="1"/>
  <c r="J3859" i="1" s="1"/>
  <c r="I4690" i="1"/>
  <c r="J4690" i="1" s="1"/>
  <c r="I4899" i="1"/>
  <c r="J4899" i="1" s="1"/>
  <c r="I2555" i="1"/>
  <c r="J2555" i="1" s="1"/>
  <c r="I3173" i="1"/>
  <c r="J3173" i="1" s="1"/>
  <c r="I4429" i="1"/>
  <c r="J4429" i="1" s="1"/>
  <c r="I2652" i="1"/>
  <c r="J2652" i="1" s="1"/>
  <c r="I220" i="1"/>
  <c r="J220" i="1" s="1"/>
  <c r="I3637" i="1"/>
  <c r="J3637" i="1" s="1"/>
  <c r="I2008" i="1"/>
  <c r="J2008" i="1" s="1"/>
  <c r="I3893" i="1"/>
  <c r="J3893" i="1" s="1"/>
  <c r="I3325" i="1"/>
  <c r="J3325" i="1" s="1"/>
  <c r="I2733" i="1"/>
  <c r="J2733" i="1" s="1"/>
  <c r="I4308" i="1"/>
  <c r="J4308" i="1" s="1"/>
  <c r="I4430" i="1"/>
  <c r="J4430" i="1" s="1"/>
  <c r="I2744" i="1"/>
  <c r="J2744" i="1" s="1"/>
  <c r="I4364" i="1"/>
  <c r="J4364" i="1" s="1"/>
  <c r="I2448" i="1"/>
  <c r="J2448" i="1" s="1"/>
  <c r="I2926" i="1"/>
  <c r="J2926" i="1" s="1"/>
  <c r="I2514" i="1"/>
  <c r="J2514" i="1" s="1"/>
  <c r="I4721" i="1"/>
  <c r="J4721" i="1" s="1"/>
  <c r="I4939" i="1"/>
  <c r="J4939" i="1" s="1"/>
  <c r="I3760" i="1"/>
  <c r="J3760" i="1" s="1"/>
  <c r="I2940" i="1"/>
  <c r="J2940" i="1" s="1"/>
  <c r="I3500" i="1"/>
  <c r="J3500" i="1" s="1"/>
  <c r="I4051" i="1"/>
  <c r="J4051" i="1" s="1"/>
  <c r="I2415" i="1"/>
  <c r="J2415" i="1" s="1"/>
  <c r="I2339" i="1"/>
  <c r="J2339" i="1" s="1"/>
  <c r="I3186" i="1"/>
  <c r="J3186" i="1" s="1"/>
  <c r="I3772" i="1"/>
  <c r="J3772" i="1" s="1"/>
  <c r="I4233" i="1"/>
  <c r="J4233" i="1" s="1"/>
  <c r="I2326" i="1"/>
  <c r="J2326" i="1" s="1"/>
  <c r="I3065" i="1"/>
  <c r="J3065" i="1" s="1"/>
  <c r="I3381" i="1"/>
  <c r="J3381" i="1" s="1"/>
  <c r="I1777" i="1"/>
  <c r="J1777" i="1" s="1"/>
  <c r="I413" i="1"/>
  <c r="J413" i="1" s="1"/>
  <c r="I4900" i="1"/>
  <c r="J4900" i="1" s="1"/>
  <c r="I4816" i="1"/>
  <c r="J4816" i="1" s="1"/>
  <c r="I3979" i="1"/>
  <c r="J3979" i="1" s="1"/>
  <c r="I2970" i="1"/>
  <c r="J2970" i="1" s="1"/>
  <c r="I3511" i="1"/>
  <c r="J3511" i="1" s="1"/>
  <c r="I2327" i="1"/>
  <c r="J2327" i="1" s="1"/>
  <c r="I1414" i="1"/>
  <c r="J1414" i="1" s="1"/>
  <c r="I1617" i="1"/>
  <c r="J1617" i="1" s="1"/>
  <c r="I4559" i="1"/>
  <c r="J4559" i="1" s="1"/>
  <c r="I1778" i="1"/>
  <c r="J1778" i="1" s="1"/>
  <c r="I553" i="1"/>
  <c r="J553" i="1" s="1"/>
  <c r="I4371" i="1"/>
  <c r="J4371" i="1" s="1"/>
  <c r="I2349" i="1"/>
  <c r="J2349" i="1" s="1"/>
  <c r="I2725" i="1"/>
  <c r="J2725" i="1" s="1"/>
  <c r="I4441" i="1"/>
  <c r="J4441" i="1" s="1"/>
  <c r="I3407" i="1"/>
  <c r="J3407" i="1" s="1"/>
  <c r="I4784" i="1"/>
  <c r="J4784" i="1" s="1"/>
  <c r="I1485" i="1"/>
  <c r="J1485" i="1" s="1"/>
  <c r="I1232" i="1"/>
  <c r="J1232" i="1" s="1"/>
  <c r="I2848" i="1"/>
  <c r="J2848" i="1" s="1"/>
  <c r="I240" i="1"/>
  <c r="J240" i="1" s="1"/>
  <c r="I4442" i="1"/>
  <c r="J4442" i="1" s="1"/>
  <c r="I4115" i="1"/>
  <c r="J4115" i="1" s="1"/>
  <c r="I2784" i="1"/>
  <c r="J2784" i="1" s="1"/>
  <c r="I2623" i="1"/>
  <c r="J2623" i="1" s="1"/>
  <c r="I3242" i="1"/>
  <c r="J3242" i="1" s="1"/>
  <c r="I723" i="1"/>
  <c r="J723" i="1" s="1"/>
  <c r="I4514" i="1"/>
  <c r="J4514" i="1" s="1"/>
  <c r="I3710" i="1"/>
  <c r="J3710" i="1" s="1"/>
  <c r="I2482" i="1"/>
  <c r="J2482" i="1" s="1"/>
  <c r="I810" i="1"/>
  <c r="J810" i="1" s="1"/>
  <c r="I2119" i="1"/>
  <c r="J2119" i="1" s="1"/>
  <c r="I81" i="1"/>
  <c r="J81" i="1" s="1"/>
  <c r="I3266" i="1"/>
  <c r="J3266" i="1" s="1"/>
  <c r="I2047" i="1"/>
  <c r="J2047" i="1" s="1"/>
  <c r="I2176" i="1"/>
  <c r="J2176" i="1" s="1"/>
  <c r="I4794" i="1"/>
  <c r="J4794" i="1" s="1"/>
  <c r="I2263" i="1"/>
  <c r="J2263" i="1" s="1"/>
  <c r="I394" i="1"/>
  <c r="J394" i="1" s="1"/>
  <c r="I2574" i="1"/>
  <c r="J2574" i="1" s="1"/>
  <c r="I14" i="1"/>
  <c r="J14" i="1" s="1"/>
  <c r="I2785" i="1"/>
  <c r="J2785" i="1" s="1"/>
  <c r="I2223" i="1"/>
  <c r="J2223" i="1" s="1"/>
  <c r="I3799" i="1"/>
  <c r="J3799" i="1" s="1"/>
  <c r="I145" i="1"/>
  <c r="J145" i="1" s="1"/>
  <c r="I1097" i="1"/>
  <c r="J1097" i="1" s="1"/>
  <c r="I3848" i="1"/>
  <c r="J3848" i="1" s="1"/>
  <c r="I2556" i="1"/>
  <c r="J2556" i="1" s="1"/>
  <c r="I3721" i="1"/>
  <c r="J3721" i="1" s="1"/>
  <c r="I2461" i="1"/>
  <c r="J2461" i="1" s="1"/>
  <c r="I3243" i="1"/>
  <c r="J3243" i="1" s="1"/>
  <c r="I2162" i="1"/>
  <c r="J2162" i="1" s="1"/>
  <c r="I2500" i="1"/>
  <c r="J2500" i="1" s="1"/>
  <c r="I4224" i="1"/>
  <c r="J4224" i="1" s="1"/>
  <c r="I279" i="1"/>
  <c r="J279" i="1" s="1"/>
  <c r="I4643" i="1"/>
  <c r="J4643" i="1" s="1"/>
  <c r="I3501" i="1"/>
  <c r="J3501" i="1" s="1"/>
  <c r="I3980" i="1"/>
  <c r="J3980" i="1" s="1"/>
  <c r="I98" i="1"/>
  <c r="J98" i="1" s="1"/>
  <c r="I1505" i="1"/>
  <c r="J1505" i="1" s="1"/>
  <c r="I1391" i="1"/>
  <c r="J1391" i="1" s="1"/>
  <c r="I607" i="1"/>
  <c r="J607" i="1" s="1"/>
  <c r="I890" i="1"/>
  <c r="J890" i="1" s="1"/>
  <c r="I1881" i="1"/>
  <c r="J1881" i="1" s="1"/>
  <c r="I1233" i="1"/>
  <c r="J1233" i="1" s="1"/>
  <c r="I1216" i="1"/>
  <c r="J1216" i="1" s="1"/>
  <c r="I221" i="1"/>
  <c r="J221" i="1" s="1"/>
  <c r="I1133" i="1"/>
  <c r="J1133" i="1" s="1"/>
  <c r="I832" i="1"/>
  <c r="J832" i="1" s="1"/>
  <c r="I1527" i="1"/>
  <c r="J1527" i="1" s="1"/>
  <c r="I968" i="1"/>
  <c r="J968" i="1" s="1"/>
  <c r="I857" i="1"/>
  <c r="J857" i="1" s="1"/>
  <c r="I1960" i="1"/>
  <c r="J1960" i="1" s="1"/>
  <c r="I323" i="1"/>
  <c r="J323" i="1" s="1"/>
  <c r="I1573" i="1"/>
  <c r="J1573" i="1" s="1"/>
  <c r="I15" i="1"/>
  <c r="J15" i="1" s="1"/>
  <c r="I463" i="1"/>
  <c r="J463" i="1" s="1"/>
  <c r="I1574" i="1"/>
  <c r="J1574" i="1" s="1"/>
  <c r="I1234" i="1"/>
  <c r="J1234" i="1" s="1"/>
  <c r="I1438" i="1"/>
  <c r="J1438" i="1" s="1"/>
  <c r="I1669" i="1"/>
  <c r="J1669" i="1" s="1"/>
  <c r="I1073" i="1"/>
  <c r="J1073" i="1" s="1"/>
  <c r="I1363" i="1"/>
  <c r="J1363" i="1" s="1"/>
  <c r="I1820" i="1"/>
  <c r="J1820" i="1" s="1"/>
  <c r="I891" i="1"/>
  <c r="J891" i="1" s="1"/>
  <c r="I1549" i="1"/>
  <c r="J1549" i="1" s="1"/>
  <c r="I554" i="1"/>
  <c r="J554" i="1" s="1"/>
  <c r="I1670" i="1"/>
  <c r="J1670" i="1" s="1"/>
  <c r="I1235" i="1"/>
  <c r="J1235" i="1" s="1"/>
  <c r="I635" i="1"/>
  <c r="J635" i="1" s="1"/>
  <c r="I222" i="1"/>
  <c r="J222" i="1" s="1"/>
  <c r="I1671" i="1"/>
  <c r="J1671" i="1" s="1"/>
  <c r="I833" i="1"/>
  <c r="J833" i="1" s="1"/>
  <c r="I146" i="1"/>
  <c r="J146" i="1" s="1"/>
  <c r="I1550" i="1"/>
  <c r="J1550" i="1" s="1"/>
  <c r="I324" i="1"/>
  <c r="J324" i="1" s="1"/>
  <c r="I1839" i="1"/>
  <c r="J1839" i="1" s="1"/>
  <c r="I1392" i="1"/>
  <c r="J1392" i="1" s="1"/>
  <c r="I373" i="1"/>
  <c r="J373" i="1" s="1"/>
  <c r="I743" i="1"/>
  <c r="J743" i="1" s="1"/>
  <c r="I892" i="1"/>
  <c r="J892" i="1" s="1"/>
  <c r="I1415" i="1"/>
  <c r="J1415" i="1" s="1"/>
  <c r="I1693" i="1"/>
  <c r="J1693" i="1" s="1"/>
  <c r="I1528" i="1"/>
  <c r="J1528" i="1" s="1"/>
  <c r="I1281" i="1"/>
  <c r="J1281" i="1" s="1"/>
  <c r="I834" i="1"/>
  <c r="J834" i="1" s="1"/>
  <c r="I933" i="1"/>
  <c r="J933" i="1" s="1"/>
  <c r="I1749" i="1"/>
  <c r="J1749" i="1" s="1"/>
  <c r="I764" i="1"/>
  <c r="J764" i="1" s="1"/>
  <c r="I934" i="1"/>
  <c r="J934" i="1" s="1"/>
  <c r="I1821" i="1"/>
  <c r="J1821" i="1" s="1"/>
  <c r="I555" i="1"/>
  <c r="J555" i="1" s="1"/>
  <c r="I1486" i="1"/>
  <c r="J1486" i="1" s="1"/>
  <c r="I1319" i="1"/>
  <c r="J1319" i="1" s="1"/>
  <c r="I1916" i="1"/>
  <c r="J1916" i="1" s="1"/>
  <c r="I858" i="1"/>
  <c r="J858" i="1" s="1"/>
  <c r="I440" i="1"/>
  <c r="J440" i="1" s="1"/>
  <c r="I1595" i="1"/>
  <c r="J1595" i="1" s="1"/>
  <c r="I1022" i="1"/>
  <c r="J1022" i="1" s="1"/>
  <c r="I1217" i="1"/>
  <c r="J1217" i="1" s="1"/>
  <c r="I765" i="1"/>
  <c r="J765" i="1" s="1"/>
  <c r="I1467" i="1"/>
  <c r="J1467" i="1" s="1"/>
  <c r="I1001" i="1"/>
  <c r="J1001" i="1" s="1"/>
  <c r="I1618" i="1"/>
  <c r="J1618" i="1" s="1"/>
  <c r="I935" i="1"/>
  <c r="J935" i="1" s="1"/>
  <c r="I147" i="1"/>
  <c r="J147" i="1" s="1"/>
  <c r="I529" i="1"/>
  <c r="J529" i="1" s="1"/>
  <c r="I744" i="1"/>
  <c r="J744" i="1" s="1"/>
  <c r="I122" i="1"/>
  <c r="J122" i="1" s="1"/>
  <c r="I952" i="1"/>
  <c r="J952" i="1" s="1"/>
  <c r="I1439" i="1"/>
  <c r="J1439" i="1" s="1"/>
  <c r="I1529" i="1"/>
  <c r="J1529" i="1" s="1"/>
  <c r="I482" i="1"/>
  <c r="J482" i="1" s="1"/>
  <c r="I280" i="1"/>
  <c r="J280" i="1" s="1"/>
  <c r="I198" i="1"/>
  <c r="J198" i="1" s="1"/>
  <c r="I257" i="1"/>
  <c r="J257" i="1" s="1"/>
  <c r="I1440" i="1"/>
  <c r="J1440" i="1" s="1"/>
  <c r="I483" i="1"/>
  <c r="J483" i="1" s="1"/>
  <c r="I464" i="1"/>
  <c r="J464" i="1" s="1"/>
  <c r="I581" i="1"/>
  <c r="J581" i="1" s="1"/>
  <c r="I502" i="1"/>
  <c r="J502" i="1" s="1"/>
  <c r="I1197" i="1"/>
  <c r="J1197" i="1" s="1"/>
  <c r="I1530" i="1"/>
  <c r="J1530" i="1" s="1"/>
  <c r="I1441" i="1"/>
  <c r="J1441" i="1" s="1"/>
  <c r="I1882" i="1"/>
  <c r="J1882" i="1" s="1"/>
  <c r="I1917" i="1"/>
  <c r="J1917" i="1" s="1"/>
  <c r="I44" i="1"/>
  <c r="J44" i="1" s="1"/>
  <c r="I1282" i="1"/>
  <c r="J1282" i="1" s="1"/>
  <c r="I503" i="1"/>
  <c r="J503" i="1" s="1"/>
  <c r="I582" i="1"/>
  <c r="J582" i="1" s="1"/>
  <c r="I223" i="1"/>
  <c r="J223" i="1" s="1"/>
  <c r="I1596" i="1"/>
  <c r="J1596" i="1" s="1"/>
  <c r="I835" i="1"/>
  <c r="J835" i="1" s="1"/>
  <c r="I1506" i="1"/>
  <c r="J1506" i="1" s="1"/>
  <c r="I1961" i="1"/>
  <c r="J1961" i="1" s="1"/>
  <c r="I914" i="1"/>
  <c r="J914" i="1" s="1"/>
  <c r="I1840" i="1"/>
  <c r="J1840" i="1" s="1"/>
  <c r="I1442" i="1"/>
  <c r="J1442" i="1" s="1"/>
  <c r="I1895" i="1"/>
  <c r="J1895" i="1" s="1"/>
  <c r="I1337" i="1"/>
  <c r="J1337" i="1" s="1"/>
  <c r="I724" i="1"/>
  <c r="J724" i="1" s="1"/>
  <c r="I1936" i="1"/>
  <c r="J1936" i="1" s="1"/>
  <c r="I1750" i="1"/>
  <c r="J1750" i="1" s="1"/>
  <c r="I258" i="1"/>
  <c r="J258" i="1" s="1"/>
  <c r="I99" i="1"/>
  <c r="J99" i="1" s="1"/>
  <c r="I1822" i="1"/>
  <c r="J1822" i="1" s="1"/>
  <c r="I1860" i="1"/>
  <c r="J1860" i="1" s="1"/>
  <c r="I1393" i="1"/>
  <c r="J1393" i="1" s="1"/>
  <c r="I811" i="1"/>
  <c r="J811" i="1" s="1"/>
  <c r="I812" i="1"/>
  <c r="J812" i="1" s="1"/>
  <c r="I1023" i="1"/>
  <c r="J1023" i="1" s="1"/>
  <c r="I414" i="1"/>
  <c r="J414" i="1" s="1"/>
  <c r="I725" i="1"/>
  <c r="J725" i="1" s="1"/>
  <c r="I1364" i="1"/>
  <c r="J1364" i="1" s="1"/>
  <c r="I1443" i="1"/>
  <c r="J1443" i="1" s="1"/>
  <c r="I348" i="1"/>
  <c r="J348" i="1" s="1"/>
  <c r="I745" i="1"/>
  <c r="J745" i="1" s="1"/>
  <c r="I441" i="1"/>
  <c r="J441" i="1" s="1"/>
  <c r="I1002" i="1"/>
  <c r="J1002" i="1" s="1"/>
  <c r="I259" i="1"/>
  <c r="J259" i="1" s="1"/>
  <c r="I1531" i="1"/>
  <c r="J1531" i="1" s="1"/>
  <c r="I1619" i="1"/>
  <c r="J1619" i="1" s="1"/>
  <c r="I1532" i="1"/>
  <c r="J1532" i="1" s="1"/>
  <c r="I1551" i="1"/>
  <c r="J1551" i="1" s="1"/>
  <c r="I608" i="1"/>
  <c r="J608" i="1" s="1"/>
  <c r="I172" i="1"/>
  <c r="J172" i="1" s="1"/>
  <c r="I173" i="1"/>
  <c r="J173" i="1" s="1"/>
  <c r="I893" i="1"/>
  <c r="J893" i="1" s="1"/>
  <c r="I556" i="1"/>
  <c r="J556" i="1" s="1"/>
  <c r="I1468" i="1"/>
  <c r="J1468" i="1" s="1"/>
  <c r="I936" i="1"/>
  <c r="J936" i="1" s="1"/>
  <c r="I1074" i="1"/>
  <c r="J1074" i="1" s="1"/>
  <c r="I1507" i="1"/>
  <c r="J1507" i="1" s="1"/>
  <c r="I1098" i="1"/>
  <c r="J1098" i="1" s="1"/>
  <c r="I395" i="1"/>
  <c r="J395" i="1" s="1"/>
  <c r="I1099" i="1"/>
  <c r="J1099" i="1" s="1"/>
  <c r="I1055" i="1"/>
  <c r="J1055" i="1" s="1"/>
  <c r="I1694" i="1"/>
  <c r="J1694" i="1" s="1"/>
  <c r="I504" i="1"/>
  <c r="J504" i="1" s="1"/>
  <c r="I557" i="1"/>
  <c r="J557" i="1" s="1"/>
  <c r="I813" i="1"/>
  <c r="J813" i="1" s="1"/>
  <c r="I1176" i="1"/>
  <c r="J1176" i="1" s="1"/>
  <c r="I465" i="1"/>
  <c r="J465" i="1" s="1"/>
  <c r="I1508" i="1"/>
  <c r="J1508" i="1" s="1"/>
  <c r="I937" i="1"/>
  <c r="J937" i="1" s="1"/>
  <c r="I1751" i="1"/>
  <c r="J1751" i="1" s="1"/>
  <c r="I1469" i="1"/>
  <c r="J1469" i="1" s="1"/>
  <c r="I1918" i="1"/>
  <c r="J1918" i="1" s="1"/>
  <c r="I1841" i="1"/>
  <c r="J1841" i="1" s="1"/>
  <c r="I1575" i="1"/>
  <c r="J1575" i="1" s="1"/>
  <c r="I661" i="1"/>
  <c r="J661" i="1" s="1"/>
  <c r="I859" i="1"/>
  <c r="J859" i="1" s="1"/>
  <c r="I636" i="1"/>
  <c r="J636" i="1" s="1"/>
  <c r="I1134" i="1"/>
  <c r="J1134" i="1" s="1"/>
  <c r="I82" i="1"/>
  <c r="J82" i="1" s="1"/>
  <c r="I1487" i="1"/>
  <c r="J1487" i="1" s="1"/>
  <c r="I1980" i="1"/>
  <c r="J1980" i="1" s="1"/>
  <c r="I1919" i="1"/>
  <c r="J1919" i="1" s="1"/>
  <c r="I415" i="1"/>
  <c r="J415" i="1" s="1"/>
  <c r="I1236" i="1"/>
  <c r="J1236" i="1" s="1"/>
  <c r="I1620" i="1"/>
  <c r="J1620" i="1" s="1"/>
  <c r="I685" i="1"/>
  <c r="J685" i="1" s="1"/>
  <c r="I1135" i="1"/>
  <c r="J1135" i="1" s="1"/>
  <c r="I1237" i="1"/>
  <c r="J1237" i="1" s="1"/>
  <c r="I349" i="1"/>
  <c r="J349" i="1" s="1"/>
  <c r="I894" i="1"/>
  <c r="J894" i="1" s="1"/>
  <c r="I416" i="1"/>
  <c r="J416" i="1" s="1"/>
  <c r="I726" i="1"/>
  <c r="J726" i="1" s="1"/>
  <c r="I64" i="1"/>
  <c r="J64" i="1" s="1"/>
  <c r="I583" i="1"/>
  <c r="J583" i="1" s="1"/>
  <c r="I1394" i="1"/>
  <c r="J1394" i="1" s="1"/>
  <c r="I417" i="1"/>
  <c r="J417" i="1" s="1"/>
  <c r="I396" i="1"/>
  <c r="J396" i="1" s="1"/>
  <c r="I1807" i="1"/>
  <c r="J1807" i="1" s="1"/>
  <c r="I1395" i="1"/>
  <c r="J1395" i="1" s="1"/>
  <c r="I986" i="1"/>
  <c r="J986" i="1" s="1"/>
  <c r="I1842" i="1"/>
  <c r="J1842" i="1" s="1"/>
  <c r="I637" i="1"/>
  <c r="J637" i="1" s="1"/>
  <c r="I915" i="1"/>
  <c r="J915" i="1" s="1"/>
  <c r="I505" i="1"/>
  <c r="J505" i="1" s="1"/>
  <c r="I1843" i="1"/>
  <c r="J1843" i="1" s="1"/>
  <c r="I558" i="1"/>
  <c r="J558" i="1" s="1"/>
  <c r="I1416" i="1"/>
  <c r="J1416" i="1" s="1"/>
  <c r="I1444" i="1"/>
  <c r="J1444" i="1" s="1"/>
  <c r="I1396" i="1"/>
  <c r="J1396" i="1" s="1"/>
  <c r="I895" i="1"/>
  <c r="J895" i="1" s="1"/>
  <c r="I938" i="1"/>
  <c r="J938" i="1" s="1"/>
  <c r="I638" i="1"/>
  <c r="J638" i="1" s="1"/>
  <c r="I953" i="1"/>
  <c r="J953" i="1" s="1"/>
  <c r="I325" i="1"/>
  <c r="J325" i="1" s="1"/>
  <c r="I1695" i="1"/>
  <c r="J1695" i="1" s="1"/>
  <c r="I584" i="1"/>
  <c r="J584" i="1" s="1"/>
  <c r="I1752" i="1"/>
  <c r="J1752" i="1" s="1"/>
  <c r="I281" i="1"/>
  <c r="J281" i="1" s="1"/>
  <c r="I1896" i="1"/>
  <c r="J1896" i="1" s="1"/>
  <c r="I1844" i="1"/>
  <c r="J1844" i="1" s="1"/>
  <c r="I1597" i="1"/>
  <c r="J1597" i="1" s="1"/>
  <c r="I1075" i="1"/>
  <c r="J1075" i="1" s="1"/>
  <c r="I662" i="1"/>
  <c r="J662" i="1" s="1"/>
  <c r="I1672" i="1"/>
  <c r="J1672" i="1" s="1"/>
  <c r="I300" i="1"/>
  <c r="J300" i="1" s="1"/>
  <c r="I836" i="1"/>
  <c r="J836" i="1" s="1"/>
  <c r="I1024" i="1"/>
  <c r="J1024" i="1" s="1"/>
  <c r="I65" i="1"/>
  <c r="J65" i="1" s="1"/>
  <c r="I83" i="1"/>
  <c r="J83" i="1" s="1"/>
  <c r="I1730" i="1"/>
  <c r="J1730" i="1" s="1"/>
  <c r="I1937" i="1"/>
  <c r="J1937" i="1" s="1"/>
  <c r="I1365" i="1"/>
  <c r="J1365" i="1" s="1"/>
  <c r="I559" i="1"/>
  <c r="J559" i="1" s="1"/>
  <c r="I350" i="1"/>
  <c r="J350" i="1" s="1"/>
  <c r="I1779" i="1"/>
  <c r="J1779" i="1" s="1"/>
  <c r="I84" i="1"/>
  <c r="J84" i="1" s="1"/>
  <c r="I1576" i="1"/>
  <c r="J1576" i="1" s="1"/>
  <c r="I1823" i="1"/>
  <c r="J1823" i="1" s="1"/>
  <c r="I1861" i="1"/>
  <c r="J1861" i="1" s="1"/>
  <c r="I1154" i="1"/>
  <c r="J1154" i="1" s="1"/>
  <c r="I969" i="1"/>
  <c r="J969" i="1" s="1"/>
  <c r="I1552" i="1"/>
  <c r="J1552" i="1" s="1"/>
  <c r="I702" i="1"/>
  <c r="J702" i="1" s="1"/>
  <c r="I1470" i="1"/>
  <c r="J1470" i="1" s="1"/>
  <c r="I1076" i="1"/>
  <c r="J1076" i="1" s="1"/>
  <c r="I1155" i="1"/>
  <c r="J1155" i="1" s="1"/>
  <c r="I1780" i="1"/>
  <c r="J1780" i="1" s="1"/>
  <c r="I241" i="1"/>
  <c r="J241" i="1" s="1"/>
  <c r="I585" i="1"/>
  <c r="J585" i="1" s="1"/>
  <c r="I703" i="1"/>
  <c r="J703" i="1" s="1"/>
  <c r="I1262" i="1"/>
  <c r="J1262" i="1" s="1"/>
  <c r="I1577" i="1"/>
  <c r="J1577" i="1" s="1"/>
  <c r="I586" i="1"/>
  <c r="J586" i="1" s="1"/>
  <c r="I1598" i="1"/>
  <c r="J1598" i="1" s="1"/>
  <c r="I954" i="1"/>
  <c r="J954" i="1" s="1"/>
  <c r="I1156" i="1"/>
  <c r="J1156" i="1" s="1"/>
  <c r="I1533" i="1"/>
  <c r="J1533" i="1" s="1"/>
  <c r="I442" i="1"/>
  <c r="J442" i="1" s="1"/>
  <c r="I639" i="1"/>
  <c r="J639" i="1" s="1"/>
  <c r="I1445" i="1"/>
  <c r="J1445" i="1" s="1"/>
  <c r="I1366" i="1"/>
  <c r="J1366" i="1" s="1"/>
  <c r="I242" i="1"/>
  <c r="J242" i="1" s="1"/>
  <c r="I243" i="1"/>
  <c r="J243" i="1" s="1"/>
  <c r="I1578" i="1"/>
  <c r="J1578" i="1" s="1"/>
  <c r="I1320" i="1"/>
  <c r="J1320" i="1" s="1"/>
  <c r="I100" i="1"/>
  <c r="J100" i="1" s="1"/>
  <c r="I746" i="1"/>
  <c r="J746" i="1" s="1"/>
  <c r="I16" i="1"/>
  <c r="J16" i="1" s="1"/>
  <c r="I916" i="1"/>
  <c r="J916" i="1" s="1"/>
  <c r="I506" i="1"/>
  <c r="J506" i="1" s="1"/>
  <c r="I148" i="1"/>
  <c r="J148" i="1" s="1"/>
  <c r="I301" i="1"/>
  <c r="J301" i="1" s="1"/>
  <c r="I747" i="1"/>
  <c r="J747" i="1" s="1"/>
  <c r="I1712" i="1"/>
  <c r="J1712" i="1" s="1"/>
  <c r="I1367" i="1"/>
  <c r="J1367" i="1" s="1"/>
  <c r="I1696" i="1"/>
  <c r="J1696" i="1" s="1"/>
  <c r="I123" i="1"/>
  <c r="J123" i="1" s="1"/>
  <c r="I663" i="1"/>
  <c r="J663" i="1" s="1"/>
  <c r="I704" i="1"/>
  <c r="J704" i="1" s="1"/>
  <c r="I814" i="1"/>
  <c r="J814" i="1" s="1"/>
  <c r="I987" i="1"/>
  <c r="J987" i="1" s="1"/>
  <c r="I860" i="1"/>
  <c r="J860" i="1" s="1"/>
  <c r="I1753" i="1"/>
  <c r="J1753" i="1" s="1"/>
  <c r="I1488" i="1"/>
  <c r="J1488" i="1" s="1"/>
  <c r="I1621" i="1"/>
  <c r="J1621" i="1" s="1"/>
  <c r="I917" i="1"/>
  <c r="J917" i="1" s="1"/>
  <c r="I1263" i="1"/>
  <c r="J1263" i="1" s="1"/>
  <c r="I1599" i="1"/>
  <c r="J1599" i="1" s="1"/>
  <c r="I1639" i="1"/>
  <c r="J1639" i="1" s="1"/>
  <c r="I174" i="1"/>
  <c r="J174" i="1" s="1"/>
  <c r="I101" i="1"/>
  <c r="J101" i="1" s="1"/>
  <c r="I85" i="1"/>
  <c r="J85" i="1" s="1"/>
  <c r="I1471" i="1"/>
  <c r="J1471" i="1" s="1"/>
  <c r="I66" i="1"/>
  <c r="J66" i="1" s="1"/>
  <c r="I149" i="1"/>
  <c r="J149" i="1" s="1"/>
  <c r="I609" i="1"/>
  <c r="J609" i="1" s="1"/>
  <c r="I1264" i="1"/>
  <c r="J1264" i="1" s="1"/>
  <c r="I150" i="1"/>
  <c r="J150" i="1" s="1"/>
  <c r="I151" i="1"/>
  <c r="J151" i="1" s="1"/>
  <c r="I748" i="1"/>
  <c r="J748" i="1" s="1"/>
  <c r="I1781" i="1"/>
  <c r="J1781" i="1" s="1"/>
  <c r="I1782" i="1"/>
  <c r="J1782" i="1" s="1"/>
  <c r="I1025" i="1"/>
  <c r="J1025" i="1" s="1"/>
  <c r="I1472" i="1"/>
  <c r="J1472" i="1" s="1"/>
  <c r="I124" i="1"/>
  <c r="J124" i="1" s="1"/>
  <c r="I1417" i="1"/>
  <c r="J1417" i="1" s="1"/>
  <c r="I1600" i="1"/>
  <c r="J1600" i="1" s="1"/>
  <c r="I1136" i="1"/>
  <c r="J1136" i="1" s="1"/>
  <c r="I1862" i="1"/>
  <c r="J1862" i="1" s="1"/>
  <c r="I705" i="1"/>
  <c r="J705" i="1" s="1"/>
  <c r="I560" i="1"/>
  <c r="J560" i="1" s="1"/>
  <c r="I766" i="1"/>
  <c r="J766" i="1" s="1"/>
  <c r="I530" i="1"/>
  <c r="J530" i="1" s="1"/>
  <c r="I1640" i="1"/>
  <c r="J1640" i="1" s="1"/>
  <c r="I1100" i="1"/>
  <c r="J1100" i="1" s="1"/>
  <c r="I466" i="1"/>
  <c r="J466" i="1" s="1"/>
  <c r="I1622" i="1"/>
  <c r="J1622" i="1" s="1"/>
  <c r="I1397" i="1"/>
  <c r="J1397" i="1" s="1"/>
  <c r="I1962" i="1"/>
  <c r="J1962" i="1" s="1"/>
  <c r="I224" i="1"/>
  <c r="J224" i="1" s="1"/>
  <c r="I561" i="1"/>
  <c r="J561" i="1" s="1"/>
  <c r="I418" i="1"/>
  <c r="J418" i="1" s="1"/>
  <c r="I45" i="1"/>
  <c r="J45" i="1" s="1"/>
  <c r="I1601" i="1"/>
  <c r="J1601" i="1" s="1"/>
  <c r="I1238" i="1"/>
  <c r="J1238" i="1" s="1"/>
  <c r="I1731" i="1"/>
  <c r="J1731" i="1" s="1"/>
  <c r="I1198" i="1"/>
  <c r="J1198" i="1" s="1"/>
  <c r="I1897" i="1"/>
  <c r="J1897" i="1" s="1"/>
  <c r="I1981" i="1"/>
  <c r="J1981" i="1" s="1"/>
  <c r="I1077" i="1"/>
  <c r="J1077" i="1" s="1"/>
  <c r="I1808" i="1"/>
  <c r="J1808" i="1" s="1"/>
  <c r="I1446" i="1"/>
  <c r="J1446" i="1" s="1"/>
  <c r="I706" i="1"/>
  <c r="J706" i="1" s="1"/>
  <c r="I815" i="1"/>
  <c r="J815" i="1" s="1"/>
  <c r="I727" i="1"/>
  <c r="J727" i="1" s="1"/>
  <c r="I1489" i="1"/>
  <c r="J1489" i="1" s="1"/>
  <c r="I939" i="1"/>
  <c r="J939" i="1" s="1"/>
  <c r="I1003" i="1"/>
  <c r="J1003" i="1" s="1"/>
  <c r="I918" i="1"/>
  <c r="J918" i="1" s="1"/>
  <c r="I225" i="1"/>
  <c r="J225" i="1" s="1"/>
  <c r="I1579" i="1"/>
  <c r="J1579" i="1" s="1"/>
  <c r="I1101" i="1"/>
  <c r="J1101" i="1" s="1"/>
  <c r="I1265" i="1"/>
  <c r="J1265" i="1" s="1"/>
  <c r="I397" i="1"/>
  <c r="J397" i="1" s="1"/>
  <c r="I1026" i="1"/>
  <c r="J1026" i="1" s="1"/>
  <c r="I1509" i="1"/>
  <c r="J1509" i="1" s="1"/>
  <c r="I374" i="1"/>
  <c r="J374" i="1" s="1"/>
  <c r="I1602" i="1"/>
  <c r="J1602" i="1" s="1"/>
  <c r="I1534" i="1"/>
  <c r="J1534" i="1" s="1"/>
  <c r="I1603" i="1"/>
  <c r="J1603" i="1" s="1"/>
  <c r="I562" i="1"/>
  <c r="J562" i="1" s="1"/>
  <c r="I1883" i="1"/>
  <c r="J1883" i="1" s="1"/>
  <c r="I861" i="1"/>
  <c r="J861" i="1" s="1"/>
  <c r="I1078" i="1"/>
  <c r="J1078" i="1" s="1"/>
  <c r="I767" i="1"/>
  <c r="J767" i="1" s="1"/>
  <c r="I1641" i="1"/>
  <c r="J1641" i="1" s="1"/>
  <c r="I1863" i="1"/>
  <c r="J1863" i="1" s="1"/>
  <c r="I1809" i="1"/>
  <c r="J1809" i="1" s="1"/>
  <c r="I1754" i="1"/>
  <c r="J1754" i="1" s="1"/>
  <c r="I1218" i="1"/>
  <c r="J1218" i="1" s="1"/>
  <c r="I1938" i="1"/>
  <c r="J1938" i="1" s="1"/>
  <c r="I816" i="1"/>
  <c r="J816" i="1" s="1"/>
  <c r="I940" i="1"/>
  <c r="J940" i="1" s="1"/>
  <c r="I1447" i="1"/>
  <c r="J1447" i="1" s="1"/>
  <c r="I1027" i="1"/>
  <c r="J1027" i="1" s="1"/>
  <c r="I686" i="1"/>
  <c r="J686" i="1" s="1"/>
  <c r="I1004" i="1"/>
  <c r="J1004" i="1" s="1"/>
  <c r="I1283" i="1"/>
  <c r="J1283" i="1" s="1"/>
  <c r="I787" i="1"/>
  <c r="J787" i="1" s="1"/>
  <c r="I443" i="1"/>
  <c r="J443" i="1" s="1"/>
  <c r="I1939" i="1"/>
  <c r="J1939" i="1" s="1"/>
  <c r="I1284" i="1"/>
  <c r="J1284" i="1" s="1"/>
  <c r="I1028" i="1"/>
  <c r="J1028" i="1" s="1"/>
  <c r="I587" i="1"/>
  <c r="J587" i="1" s="1"/>
  <c r="I1642" i="1"/>
  <c r="J1642" i="1" s="1"/>
  <c r="I1368" i="1"/>
  <c r="J1368" i="1" s="1"/>
  <c r="I1418" i="1"/>
  <c r="J1418" i="1" s="1"/>
  <c r="I152" i="1"/>
  <c r="J152" i="1" s="1"/>
  <c r="I1510" i="1"/>
  <c r="J1510" i="1" s="1"/>
  <c r="I199" i="1"/>
  <c r="J199" i="1" s="1"/>
  <c r="I1338" i="1"/>
  <c r="J1338" i="1" s="1"/>
  <c r="I1697" i="1"/>
  <c r="J1697" i="1" s="1"/>
  <c r="I1079" i="1"/>
  <c r="J1079" i="1" s="1"/>
  <c r="I1285" i="1"/>
  <c r="J1285" i="1" s="1"/>
  <c r="I1490" i="1"/>
  <c r="J1490" i="1" s="1"/>
  <c r="I467" i="1"/>
  <c r="J467" i="1" s="1"/>
  <c r="I1116" i="1"/>
  <c r="J1116" i="1" s="1"/>
  <c r="I125" i="1"/>
  <c r="J125" i="1" s="1"/>
  <c r="I1643" i="1"/>
  <c r="J1643" i="1" s="1"/>
  <c r="I1864" i="1"/>
  <c r="J1864" i="1" s="1"/>
  <c r="I610" i="1"/>
  <c r="J610" i="1" s="1"/>
  <c r="I1473" i="1"/>
  <c r="J1473" i="1" s="1"/>
  <c r="I749" i="1"/>
  <c r="J749" i="1" s="1"/>
  <c r="I563" i="1"/>
  <c r="J563" i="1" s="1"/>
  <c r="I1644" i="1"/>
  <c r="J1644" i="1" s="1"/>
  <c r="I664" i="1"/>
  <c r="J664" i="1" s="1"/>
  <c r="I67" i="1"/>
  <c r="J67" i="1" s="1"/>
  <c r="I302" i="1"/>
  <c r="J302" i="1" s="1"/>
  <c r="I102" i="1"/>
  <c r="J102" i="1" s="1"/>
  <c r="I1177" i="1"/>
  <c r="J1177" i="1" s="1"/>
  <c r="I837" i="1"/>
  <c r="J837" i="1" s="1"/>
  <c r="I687" i="1"/>
  <c r="J687" i="1" s="1"/>
  <c r="I244" i="1"/>
  <c r="J244" i="1" s="1"/>
  <c r="I1755" i="1"/>
  <c r="J1755" i="1" s="1"/>
  <c r="I303" i="1"/>
  <c r="J303" i="1" s="1"/>
  <c r="I1339" i="1"/>
  <c r="J1339" i="1" s="1"/>
  <c r="I126" i="1"/>
  <c r="J126" i="1" s="1"/>
  <c r="I707" i="1"/>
  <c r="J707" i="1" s="1"/>
  <c r="I1580" i="1"/>
  <c r="J1580" i="1" s="1"/>
  <c r="I1137" i="1"/>
  <c r="J1137" i="1" s="1"/>
  <c r="I611" i="1"/>
  <c r="J611" i="1" s="1"/>
  <c r="I1553" i="1"/>
  <c r="J1553" i="1" s="1"/>
  <c r="I1029" i="1"/>
  <c r="J1029" i="1" s="1"/>
  <c r="I588" i="1"/>
  <c r="J588" i="1" s="1"/>
  <c r="I988" i="1"/>
  <c r="J988" i="1" s="1"/>
  <c r="I1535" i="1"/>
  <c r="J1535" i="1" s="1"/>
  <c r="I1474" i="1"/>
  <c r="J1474" i="1" s="1"/>
  <c r="I531" i="1"/>
  <c r="J531" i="1" s="1"/>
  <c r="I1623" i="1"/>
  <c r="J1623" i="1" s="1"/>
  <c r="I1673" i="1"/>
  <c r="J1673" i="1" s="1"/>
  <c r="I1448" i="1"/>
  <c r="J1448" i="1" s="1"/>
  <c r="I1419" i="1"/>
  <c r="J1419" i="1" s="1"/>
  <c r="I1884" i="1"/>
  <c r="J1884" i="1" s="1"/>
  <c r="I1604" i="1"/>
  <c r="J1604" i="1" s="1"/>
  <c r="I788" i="1"/>
  <c r="J788" i="1" s="1"/>
  <c r="I1178" i="1"/>
  <c r="J1178" i="1" s="1"/>
  <c r="I1056" i="1"/>
  <c r="J1056" i="1" s="1"/>
  <c r="I419" i="1"/>
  <c r="J419" i="1" s="1"/>
  <c r="I245" i="1"/>
  <c r="J245" i="1" s="1"/>
  <c r="I86" i="1"/>
  <c r="J86" i="1" s="1"/>
  <c r="I1420" i="1"/>
  <c r="J1420" i="1" s="1"/>
  <c r="I640" i="1"/>
  <c r="J640" i="1" s="1"/>
  <c r="I46" i="1"/>
  <c r="J46" i="1" s="1"/>
  <c r="I564" i="1"/>
  <c r="J564" i="1" s="1"/>
  <c r="I87" i="1"/>
  <c r="J87" i="1" s="1"/>
  <c r="I1554" i="1"/>
  <c r="J1554" i="1" s="1"/>
  <c r="I1824" i="1"/>
  <c r="J1824" i="1" s="1"/>
  <c r="I565" i="1"/>
  <c r="J565" i="1" s="1"/>
  <c r="I175" i="1"/>
  <c r="J175" i="1" s="1"/>
  <c r="I484" i="1"/>
  <c r="J484" i="1" s="1"/>
  <c r="I260" i="1"/>
  <c r="J260" i="1" s="1"/>
  <c r="I789" i="1"/>
  <c r="J789" i="1" s="1"/>
  <c r="I1940" i="1"/>
  <c r="J1940" i="1" s="1"/>
  <c r="I507" i="1"/>
  <c r="J507" i="1" s="1"/>
  <c r="I896" i="1"/>
  <c r="J896" i="1" s="1"/>
  <c r="I1756" i="1"/>
  <c r="J1756" i="1" s="1"/>
  <c r="I1536" i="1"/>
  <c r="J1536" i="1" s="1"/>
  <c r="I47" i="1"/>
  <c r="J47" i="1" s="1"/>
  <c r="I468" i="1"/>
  <c r="J468" i="1" s="1"/>
  <c r="I1783" i="1"/>
  <c r="J1783" i="1" s="1"/>
  <c r="I1286" i="1"/>
  <c r="J1286" i="1" s="1"/>
  <c r="I1511" i="1"/>
  <c r="J1511" i="1" s="1"/>
  <c r="I708" i="1"/>
  <c r="J708" i="1" s="1"/>
  <c r="I1512" i="1"/>
  <c r="J1512" i="1" s="1"/>
  <c r="I282" i="1"/>
  <c r="J282" i="1" s="1"/>
  <c r="I1537" i="1"/>
  <c r="J1537" i="1" s="1"/>
  <c r="I1179" i="1"/>
  <c r="J1179" i="1" s="1"/>
  <c r="I1757" i="1"/>
  <c r="J1757" i="1" s="1"/>
  <c r="I444" i="1"/>
  <c r="J444" i="1" s="1"/>
  <c r="I1513" i="1"/>
  <c r="J1513" i="1" s="1"/>
  <c r="I1514" i="1"/>
  <c r="J1514" i="1" s="1"/>
  <c r="I862" i="1"/>
  <c r="J862" i="1" s="1"/>
  <c r="I326" i="1"/>
  <c r="J326" i="1" s="1"/>
  <c r="I1825" i="1"/>
  <c r="J1825" i="1" s="1"/>
  <c r="I327" i="1"/>
  <c r="J327" i="1" s="1"/>
  <c r="I176" i="1"/>
  <c r="J176" i="1" s="1"/>
  <c r="I328" i="1"/>
  <c r="J328" i="1" s="1"/>
  <c r="I641" i="1"/>
  <c r="J641" i="1" s="1"/>
  <c r="I1005" i="1"/>
  <c r="J1005" i="1" s="1"/>
  <c r="I1555" i="1"/>
  <c r="J1555" i="1" s="1"/>
  <c r="I261" i="1"/>
  <c r="J261" i="1" s="1"/>
  <c r="I1898" i="1"/>
  <c r="J1898" i="1" s="1"/>
  <c r="I17" i="1"/>
  <c r="J17" i="1" s="1"/>
  <c r="I48" i="1"/>
  <c r="J48" i="1" s="1"/>
  <c r="I1698" i="1"/>
  <c r="J1698" i="1" s="1"/>
  <c r="I1398" i="1"/>
  <c r="J1398" i="1" s="1"/>
  <c r="I709" i="1"/>
  <c r="J709" i="1" s="1"/>
  <c r="I989" i="1"/>
  <c r="J989" i="1" s="1"/>
  <c r="I1030" i="1"/>
  <c r="J1030" i="1" s="1"/>
  <c r="I863" i="1"/>
  <c r="J863" i="1" s="1"/>
  <c r="I612" i="1"/>
  <c r="J612" i="1" s="1"/>
  <c r="I1199" i="1"/>
  <c r="J1199" i="1" s="1"/>
  <c r="I768" i="1"/>
  <c r="J768" i="1" s="1"/>
  <c r="I1399" i="1"/>
  <c r="J1399" i="1" s="1"/>
  <c r="I769" i="1"/>
  <c r="J769" i="1" s="1"/>
  <c r="I1713" i="1"/>
  <c r="J1713" i="1" s="1"/>
  <c r="I1941" i="1"/>
  <c r="J1941" i="1" s="1"/>
  <c r="I1369" i="1"/>
  <c r="J1369" i="1" s="1"/>
  <c r="I897" i="1"/>
  <c r="J897" i="1" s="1"/>
  <c r="I1826" i="1"/>
  <c r="J1826" i="1" s="1"/>
  <c r="I919" i="1"/>
  <c r="J919" i="1" s="1"/>
  <c r="I1031" i="1"/>
  <c r="J1031" i="1" s="1"/>
  <c r="I508" i="1"/>
  <c r="J508" i="1" s="1"/>
  <c r="I566" i="1"/>
  <c r="J566" i="1" s="1"/>
  <c r="I750" i="1"/>
  <c r="J750" i="1" s="1"/>
  <c r="I1982" i="1"/>
  <c r="J1982" i="1" s="1"/>
  <c r="I1983" i="1"/>
  <c r="J1983" i="1" s="1"/>
  <c r="I1239" i="1"/>
  <c r="J1239" i="1" s="1"/>
  <c r="I1732" i="1"/>
  <c r="J1732" i="1" s="1"/>
  <c r="I1491" i="1"/>
  <c r="J1491" i="1" s="1"/>
  <c r="I1699" i="1"/>
  <c r="J1699" i="1" s="1"/>
  <c r="I665" i="1"/>
  <c r="J665" i="1" s="1"/>
  <c r="I751" i="1"/>
  <c r="J751" i="1" s="1"/>
  <c r="I1032" i="1"/>
  <c r="J1032" i="1" s="1"/>
  <c r="I177" i="1"/>
  <c r="J177" i="1" s="1"/>
  <c r="I970" i="1"/>
  <c r="J970" i="1" s="1"/>
  <c r="I18" i="1"/>
  <c r="J18" i="1" s="1"/>
  <c r="I1810" i="1"/>
  <c r="J1810" i="1" s="1"/>
  <c r="I1321" i="1"/>
  <c r="J1321" i="1" s="1"/>
  <c r="I1845" i="1"/>
  <c r="J1845" i="1" s="1"/>
  <c r="I688" i="1"/>
  <c r="J688" i="1" s="1"/>
  <c r="I790" i="1"/>
  <c r="J790" i="1" s="1"/>
  <c r="I1624" i="1"/>
  <c r="J1624" i="1" s="1"/>
  <c r="I1674" i="1"/>
  <c r="J1674" i="1" s="1"/>
  <c r="I1449" i="1"/>
  <c r="J1449" i="1" s="1"/>
  <c r="I1450" i="1"/>
  <c r="J1450" i="1" s="1"/>
  <c r="I1266" i="1"/>
  <c r="J1266" i="1" s="1"/>
  <c r="I1784" i="1"/>
  <c r="J1784" i="1" s="1"/>
  <c r="I19" i="1"/>
  <c r="J19" i="1" s="1"/>
  <c r="I613" i="1"/>
  <c r="J613" i="1" s="1"/>
  <c r="I469" i="1"/>
  <c r="J469" i="1" s="1"/>
  <c r="I752" i="1"/>
  <c r="J752" i="1" s="1"/>
  <c r="I770" i="1"/>
  <c r="J770" i="1" s="1"/>
  <c r="I103" i="1"/>
  <c r="J103" i="1" s="1"/>
  <c r="I614" i="1"/>
  <c r="J614" i="1" s="1"/>
  <c r="I1885" i="1"/>
  <c r="J1885" i="1" s="1"/>
  <c r="I1240" i="1"/>
  <c r="J1240" i="1" s="1"/>
  <c r="I642" i="1"/>
  <c r="J642" i="1" s="1"/>
  <c r="I178" i="1"/>
  <c r="J178" i="1" s="1"/>
  <c r="I666" i="1"/>
  <c r="J666" i="1" s="1"/>
  <c r="I1963" i="1"/>
  <c r="J1963" i="1" s="1"/>
  <c r="I920" i="1"/>
  <c r="J920" i="1" s="1"/>
  <c r="I351" i="1"/>
  <c r="J351" i="1" s="1"/>
  <c r="I104" i="1"/>
  <c r="J104" i="1" s="1"/>
  <c r="I615" i="1"/>
  <c r="J615" i="1" s="1"/>
  <c r="I1645" i="1"/>
  <c r="J1645" i="1" s="1"/>
  <c r="I1200" i="1"/>
  <c r="J1200" i="1" s="1"/>
  <c r="I1733" i="1"/>
  <c r="J1733" i="1" s="1"/>
  <c r="I1964" i="1"/>
  <c r="J1964" i="1" s="1"/>
  <c r="I485" i="1"/>
  <c r="J485" i="1" s="1"/>
  <c r="I1340" i="1"/>
  <c r="J1340" i="1" s="1"/>
  <c r="I375" i="1"/>
  <c r="J375" i="1" s="1"/>
  <c r="I1899" i="1"/>
  <c r="J1899" i="1" s="1"/>
  <c r="I1785" i="1"/>
  <c r="J1785" i="1" s="1"/>
  <c r="I838" i="1"/>
  <c r="J838" i="1" s="1"/>
  <c r="I20" i="1"/>
  <c r="J20" i="1" s="1"/>
  <c r="I616" i="1"/>
  <c r="J616" i="1" s="1"/>
  <c r="I1241" i="1"/>
  <c r="J1241" i="1" s="1"/>
  <c r="I352" i="1"/>
  <c r="J352" i="1" s="1"/>
  <c r="I283" i="1"/>
  <c r="J283" i="1" s="1"/>
  <c r="I864" i="1"/>
  <c r="J864" i="1" s="1"/>
  <c r="I1080" i="1"/>
  <c r="J1080" i="1" s="1"/>
  <c r="I971" i="1"/>
  <c r="J971" i="1" s="1"/>
  <c r="I532" i="1"/>
  <c r="J532" i="1" s="1"/>
  <c r="I839" i="1"/>
  <c r="J839" i="1" s="1"/>
  <c r="I1900" i="1"/>
  <c r="J1900" i="1" s="1"/>
  <c r="I1581" i="1"/>
  <c r="J1581" i="1" s="1"/>
  <c r="I865" i="1"/>
  <c r="J865" i="1" s="1"/>
  <c r="I105" i="1"/>
  <c r="J105" i="1" s="1"/>
  <c r="I1492" i="1"/>
  <c r="J1492" i="1" s="1"/>
  <c r="I1242" i="1"/>
  <c r="J1242" i="1" s="1"/>
  <c r="I728" i="1"/>
  <c r="J728" i="1" s="1"/>
  <c r="I486" i="1"/>
  <c r="J486" i="1" s="1"/>
  <c r="I68" i="1"/>
  <c r="J68" i="1" s="1"/>
  <c r="I990" i="1"/>
  <c r="J990" i="1" s="1"/>
  <c r="I643" i="1"/>
  <c r="J643" i="1" s="1"/>
  <c r="I106" i="1"/>
  <c r="J106" i="1" s="1"/>
  <c r="I1758" i="1"/>
  <c r="J1758" i="1" s="1"/>
  <c r="I262" i="1"/>
  <c r="J262" i="1" s="1"/>
  <c r="I153" i="1"/>
  <c r="J153" i="1" s="1"/>
  <c r="I589" i="1"/>
  <c r="J589" i="1" s="1"/>
  <c r="I509" i="1"/>
  <c r="J509" i="1" s="1"/>
  <c r="I921" i="1"/>
  <c r="J921" i="1" s="1"/>
  <c r="I1180" i="1"/>
  <c r="J1180" i="1" s="1"/>
  <c r="I817" i="1"/>
  <c r="J817" i="1" s="1"/>
  <c r="I1493" i="1"/>
  <c r="J1493" i="1" s="1"/>
  <c r="I1886" i="1"/>
  <c r="J1886" i="1" s="1"/>
  <c r="I445" i="1"/>
  <c r="J445" i="1" s="1"/>
  <c r="I791" i="1"/>
  <c r="J791" i="1" s="1"/>
  <c r="I689" i="1"/>
  <c r="J689" i="1" s="1"/>
  <c r="I49" i="1"/>
  <c r="J49" i="1" s="1"/>
  <c r="I1965" i="1"/>
  <c r="J1965" i="1" s="1"/>
  <c r="I1646" i="1"/>
  <c r="J1646" i="1" s="1"/>
  <c r="I955" i="1"/>
  <c r="J955" i="1" s="1"/>
  <c r="I690" i="1"/>
  <c r="J690" i="1" s="1"/>
  <c r="I1786" i="1"/>
  <c r="J1786" i="1" s="1"/>
  <c r="I1787" i="1"/>
  <c r="J1787" i="1" s="1"/>
  <c r="I376" i="1"/>
  <c r="J376" i="1" s="1"/>
  <c r="I771" i="1"/>
  <c r="J771" i="1" s="1"/>
  <c r="I21" i="1"/>
  <c r="J21" i="1" s="1"/>
  <c r="I226" i="1"/>
  <c r="J226" i="1" s="1"/>
  <c r="I1370" i="1"/>
  <c r="J1370" i="1" s="1"/>
  <c r="I1243" i="1"/>
  <c r="J1243" i="1" s="1"/>
  <c r="I667" i="1"/>
  <c r="J667" i="1" s="1"/>
  <c r="I1556" i="1"/>
  <c r="J1556" i="1" s="1"/>
  <c r="I284" i="1"/>
  <c r="J284" i="1" s="1"/>
  <c r="I1827" i="1"/>
  <c r="J1827" i="1" s="1"/>
  <c r="I1341" i="1"/>
  <c r="J1341" i="1" s="1"/>
  <c r="I1138" i="1"/>
  <c r="J1138" i="1" s="1"/>
  <c r="I304" i="1"/>
  <c r="J304" i="1" s="1"/>
  <c r="I1901" i="1"/>
  <c r="J1901" i="1" s="1"/>
  <c r="I1342" i="1"/>
  <c r="J1342" i="1" s="1"/>
  <c r="I154" i="1"/>
  <c r="J154" i="1" s="1"/>
  <c r="I729" i="1"/>
  <c r="J729" i="1" s="1"/>
  <c r="I991" i="1"/>
  <c r="J991" i="1" s="1"/>
  <c r="I305" i="1"/>
  <c r="J305" i="1" s="1"/>
  <c r="I420" i="1"/>
  <c r="J420" i="1" s="1"/>
  <c r="I1538" i="1"/>
  <c r="J1538" i="1" s="1"/>
  <c r="I1920" i="1"/>
  <c r="J1920" i="1" s="1"/>
  <c r="I792" i="1"/>
  <c r="J792" i="1" s="1"/>
  <c r="I1647" i="1"/>
  <c r="J1647" i="1" s="1"/>
  <c r="I1421" i="1"/>
  <c r="J1421" i="1" s="1"/>
  <c r="I1400" i="1"/>
  <c r="J1400" i="1" s="1"/>
  <c r="I617" i="1"/>
  <c r="J617" i="1" s="1"/>
  <c r="I866" i="1"/>
  <c r="J866" i="1" s="1"/>
  <c r="I818" i="1"/>
  <c r="J818" i="1" s="1"/>
  <c r="I1675" i="1"/>
  <c r="J1675" i="1" s="1"/>
  <c r="I1343" i="1"/>
  <c r="J1343" i="1" s="1"/>
  <c r="I1033" i="1"/>
  <c r="J1033" i="1" s="1"/>
  <c r="I1081" i="1"/>
  <c r="J1081" i="1" s="1"/>
  <c r="I590" i="1"/>
  <c r="J590" i="1" s="1"/>
  <c r="I1865" i="1"/>
  <c r="J1865" i="1" s="1"/>
  <c r="I510" i="1"/>
  <c r="J510" i="1" s="1"/>
  <c r="I591" i="1"/>
  <c r="J591" i="1" s="1"/>
  <c r="I1648" i="1"/>
  <c r="J1648" i="1" s="1"/>
  <c r="I1714" i="1"/>
  <c r="J1714" i="1" s="1"/>
  <c r="I179" i="1"/>
  <c r="J179" i="1" s="1"/>
  <c r="I898" i="1"/>
  <c r="J898" i="1" s="1"/>
  <c r="I941" i="1"/>
  <c r="J941" i="1" s="1"/>
  <c r="I1942" i="1"/>
  <c r="J1942" i="1" s="1"/>
  <c r="I511" i="1"/>
  <c r="J511" i="1" s="1"/>
  <c r="I377" i="1"/>
  <c r="J377" i="1" s="1"/>
  <c r="I867" i="1"/>
  <c r="J867" i="1" s="1"/>
  <c r="I1539" i="1"/>
  <c r="J1539" i="1" s="1"/>
  <c r="I533" i="1"/>
  <c r="J533" i="1" s="1"/>
  <c r="I421" i="1"/>
  <c r="J421" i="1" s="1"/>
  <c r="I772" i="1"/>
  <c r="J772" i="1" s="1"/>
  <c r="I1788" i="1"/>
  <c r="J1788" i="1" s="1"/>
  <c r="I285" i="1"/>
  <c r="J285" i="1" s="1"/>
  <c r="I1649" i="1"/>
  <c r="J1649" i="1" s="1"/>
  <c r="I512" i="1"/>
  <c r="J512" i="1" s="1"/>
  <c r="I868" i="1"/>
  <c r="J868" i="1" s="1"/>
  <c r="I1943" i="1"/>
  <c r="J1943" i="1" s="1"/>
  <c r="I1789" i="1"/>
  <c r="J1789" i="1" s="1"/>
  <c r="I378" i="1"/>
  <c r="J378" i="1" s="1"/>
  <c r="I263" i="1"/>
  <c r="J263" i="1" s="1"/>
  <c r="I1057" i="1"/>
  <c r="J1057" i="1" s="1"/>
  <c r="I592" i="1"/>
  <c r="J592" i="1" s="1"/>
  <c r="I1540" i="1"/>
  <c r="J1540" i="1" s="1"/>
  <c r="I1650" i="1"/>
  <c r="J1650" i="1" s="1"/>
  <c r="I567" i="1"/>
  <c r="J567" i="1" s="1"/>
  <c r="I593" i="1"/>
  <c r="J593" i="1" s="1"/>
  <c r="I422" i="1"/>
  <c r="J422" i="1" s="1"/>
  <c r="I1451" i="1"/>
  <c r="J1451" i="1" s="1"/>
  <c r="I329" i="1"/>
  <c r="J329" i="1" s="1"/>
  <c r="I1734" i="1"/>
  <c r="J1734" i="1" s="1"/>
  <c r="I1790" i="1"/>
  <c r="J1790" i="1" s="1"/>
  <c r="I330" i="1"/>
  <c r="J330" i="1" s="1"/>
  <c r="I1401" i="1"/>
  <c r="J1401" i="1" s="1"/>
  <c r="I1759" i="1"/>
  <c r="J1759" i="1" s="1"/>
  <c r="I1515" i="1"/>
  <c r="J1515" i="1" s="1"/>
  <c r="I1287" i="1"/>
  <c r="J1287" i="1" s="1"/>
  <c r="I1201" i="1"/>
  <c r="J1201" i="1" s="1"/>
  <c r="I1760" i="1"/>
  <c r="J1760" i="1" s="1"/>
  <c r="I1921" i="1"/>
  <c r="J1921" i="1" s="1"/>
  <c r="I1984" i="1"/>
  <c r="J1984" i="1" s="1"/>
  <c r="I1058" i="1"/>
  <c r="J1058" i="1" s="1"/>
  <c r="I398" i="1"/>
  <c r="J398" i="1" s="1"/>
  <c r="I1985" i="1"/>
  <c r="J1985" i="1" s="1"/>
  <c r="I1791" i="1"/>
  <c r="J1791" i="1" s="1"/>
  <c r="I353" i="1"/>
  <c r="J353" i="1" s="1"/>
  <c r="I1219" i="1"/>
  <c r="J1219" i="1" s="1"/>
  <c r="I331" i="1"/>
  <c r="J331" i="1" s="1"/>
  <c r="I487" i="1"/>
  <c r="J487" i="1" s="1"/>
  <c r="I773" i="1"/>
  <c r="J773" i="1" s="1"/>
  <c r="I1475" i="1"/>
  <c r="J1475" i="1" s="1"/>
  <c r="I1059" i="1"/>
  <c r="J1059" i="1" s="1"/>
  <c r="I1651" i="1"/>
  <c r="J1651" i="1" s="1"/>
  <c r="I1288" i="1"/>
  <c r="J1288" i="1" s="1"/>
  <c r="I399" i="1"/>
  <c r="J399" i="1" s="1"/>
  <c r="I668" i="1"/>
  <c r="J668" i="1" s="1"/>
  <c r="I1267" i="1"/>
  <c r="J1267" i="1" s="1"/>
  <c r="I774" i="1"/>
  <c r="J774" i="1" s="1"/>
  <c r="I354" i="1"/>
  <c r="J354" i="1" s="1"/>
  <c r="I1866" i="1"/>
  <c r="J1866" i="1" s="1"/>
  <c r="I972" i="1"/>
  <c r="J972" i="1" s="1"/>
  <c r="I1157" i="1"/>
  <c r="J1157" i="1" s="1"/>
  <c r="I793" i="1"/>
  <c r="J793" i="1" s="1"/>
  <c r="I1139" i="1"/>
  <c r="J1139" i="1" s="1"/>
  <c r="I1202" i="1"/>
  <c r="J1202" i="1" s="1"/>
  <c r="I1060" i="1"/>
  <c r="J1060" i="1" s="1"/>
  <c r="I379" i="1"/>
  <c r="J379" i="1" s="1"/>
  <c r="I306" i="1"/>
  <c r="J306" i="1" s="1"/>
  <c r="I1986" i="1"/>
  <c r="J1986" i="1" s="1"/>
  <c r="I1371" i="1"/>
  <c r="J1371" i="1" s="1"/>
  <c r="I1034" i="1"/>
  <c r="J1034" i="1" s="1"/>
  <c r="I1344" i="1"/>
  <c r="J1344" i="1" s="1"/>
  <c r="I1220" i="1"/>
  <c r="J1220" i="1" s="1"/>
  <c r="I1117" i="1"/>
  <c r="J1117" i="1" s="1"/>
  <c r="I1203" i="1"/>
  <c r="J1203" i="1" s="1"/>
  <c r="I869" i="1"/>
  <c r="J869" i="1" s="1"/>
  <c r="I246" i="1"/>
  <c r="J246" i="1" s="1"/>
  <c r="I973" i="1"/>
  <c r="J973" i="1" s="1"/>
  <c r="I307" i="1"/>
  <c r="J307" i="1" s="1"/>
  <c r="I200" i="1"/>
  <c r="J200" i="1" s="1"/>
  <c r="I1289" i="1"/>
  <c r="J1289" i="1" s="1"/>
  <c r="I534" i="1"/>
  <c r="J534" i="1" s="1"/>
  <c r="I180" i="1"/>
  <c r="J180" i="1" s="1"/>
  <c r="I181" i="1"/>
  <c r="J181" i="1" s="1"/>
  <c r="I355" i="1"/>
  <c r="J355" i="1" s="1"/>
  <c r="I1625" i="1"/>
  <c r="J1625" i="1" s="1"/>
  <c r="I1035" i="1"/>
  <c r="J1035" i="1" s="1"/>
  <c r="I568" i="1"/>
  <c r="J568" i="1" s="1"/>
  <c r="I1605" i="1"/>
  <c r="J1605" i="1" s="1"/>
  <c r="I1422" i="1"/>
  <c r="J1422" i="1" s="1"/>
  <c r="I942" i="1"/>
  <c r="J942" i="1" s="1"/>
  <c r="I356" i="1"/>
  <c r="J356" i="1" s="1"/>
  <c r="I669" i="1"/>
  <c r="J669" i="1" s="1"/>
  <c r="I22" i="1"/>
  <c r="J22" i="1" s="1"/>
  <c r="I127" i="1"/>
  <c r="J127" i="1" s="1"/>
  <c r="I1118" i="1"/>
  <c r="J1118" i="1" s="1"/>
  <c r="I264" i="1"/>
  <c r="J264" i="1" s="1"/>
  <c r="I870" i="1"/>
  <c r="J870" i="1" s="1"/>
  <c r="I1922" i="1"/>
  <c r="J1922" i="1" s="1"/>
  <c r="I1290" i="1"/>
  <c r="J1290" i="1" s="1"/>
  <c r="I128" i="1"/>
  <c r="J128" i="1" s="1"/>
  <c r="I1372" i="1"/>
  <c r="J1372" i="1" s="1"/>
  <c r="I1966" i="1"/>
  <c r="J1966" i="1" s="1"/>
  <c r="I710" i="1"/>
  <c r="J710" i="1" s="1"/>
  <c r="I470" i="1"/>
  <c r="J470" i="1" s="1"/>
  <c r="I446" i="1"/>
  <c r="J446" i="1" s="1"/>
  <c r="I380" i="1"/>
  <c r="J380" i="1" s="1"/>
  <c r="I1322" i="1"/>
  <c r="J1322" i="1" s="1"/>
  <c r="I1761" i="1"/>
  <c r="J1761" i="1" s="1"/>
  <c r="I1119" i="1"/>
  <c r="J1119" i="1" s="1"/>
  <c r="I794" i="1"/>
  <c r="J794" i="1" s="1"/>
  <c r="I711" i="1"/>
  <c r="J711" i="1" s="1"/>
  <c r="I840" i="1"/>
  <c r="J840" i="1" s="1"/>
  <c r="I1944" i="1"/>
  <c r="J1944" i="1" s="1"/>
  <c r="I423" i="1"/>
  <c r="J423" i="1" s="1"/>
  <c r="I1082" i="1"/>
  <c r="J1082" i="1" s="1"/>
  <c r="I400" i="1"/>
  <c r="J400" i="1" s="1"/>
  <c r="I753" i="1"/>
  <c r="J753" i="1" s="1"/>
  <c r="I401" i="1"/>
  <c r="J401" i="1" s="1"/>
  <c r="I1735" i="1"/>
  <c r="J1735" i="1" s="1"/>
  <c r="I247" i="1"/>
  <c r="J247" i="1" s="1"/>
  <c r="I795" i="1"/>
  <c r="J795" i="1" s="1"/>
  <c r="I841" i="1"/>
  <c r="J841" i="1" s="1"/>
  <c r="I182" i="1"/>
  <c r="J182" i="1" s="1"/>
  <c r="I1452" i="1"/>
  <c r="J1452" i="1" s="1"/>
  <c r="I1700" i="1"/>
  <c r="J1700" i="1" s="1"/>
  <c r="I1541" i="1"/>
  <c r="J1541" i="1" s="1"/>
  <c r="I1345" i="1"/>
  <c r="J1345" i="1" s="1"/>
  <c r="I1323" i="1"/>
  <c r="J1323" i="1" s="1"/>
  <c r="I899" i="1"/>
  <c r="J899" i="1" s="1"/>
  <c r="I535" i="1"/>
  <c r="J535" i="1" s="1"/>
  <c r="I1346" i="1"/>
  <c r="J1346" i="1" s="1"/>
  <c r="I1557" i="1"/>
  <c r="J1557" i="1" s="1"/>
  <c r="I1846" i="1"/>
  <c r="J1846" i="1" s="1"/>
  <c r="I670" i="1"/>
  <c r="J670" i="1" s="1"/>
  <c r="I265" i="1"/>
  <c r="J265" i="1" s="1"/>
  <c r="I1792" i="1"/>
  <c r="J1792" i="1" s="1"/>
  <c r="I1847" i="1"/>
  <c r="J1847" i="1" s="1"/>
  <c r="I308" i="1"/>
  <c r="J308" i="1" s="1"/>
  <c r="I974" i="1"/>
  <c r="J974" i="1" s="1"/>
  <c r="I1140" i="1"/>
  <c r="J1140" i="1" s="1"/>
  <c r="I50" i="1"/>
  <c r="J50" i="1" s="1"/>
  <c r="I754" i="1"/>
  <c r="J754" i="1" s="1"/>
  <c r="I183" i="1"/>
  <c r="J183" i="1" s="1"/>
  <c r="I691" i="1"/>
  <c r="J691" i="1" s="1"/>
  <c r="I1902" i="1"/>
  <c r="J1902" i="1" s="1"/>
  <c r="I332" i="1"/>
  <c r="J332" i="1" s="1"/>
  <c r="I1652" i="1"/>
  <c r="J1652" i="1" s="1"/>
  <c r="I775" i="1"/>
  <c r="J775" i="1" s="1"/>
  <c r="I1181" i="1"/>
  <c r="J1181" i="1" s="1"/>
  <c r="I536" i="1"/>
  <c r="J536" i="1" s="1"/>
  <c r="I569" i="1"/>
  <c r="J569" i="1" s="1"/>
  <c r="I1542" i="1"/>
  <c r="J1542" i="1" s="1"/>
  <c r="I1083" i="1"/>
  <c r="J1083" i="1" s="1"/>
  <c r="I248" i="1"/>
  <c r="J248" i="1" s="1"/>
  <c r="I1291" i="1"/>
  <c r="J1291" i="1" s="1"/>
  <c r="I1887" i="1"/>
  <c r="J1887" i="1" s="1"/>
  <c r="I956" i="1"/>
  <c r="J956" i="1" s="1"/>
  <c r="I712" i="1"/>
  <c r="J712" i="1" s="1"/>
  <c r="I447" i="1"/>
  <c r="J447" i="1" s="1"/>
  <c r="I1903" i="1"/>
  <c r="J1903" i="1" s="1"/>
  <c r="I448" i="1"/>
  <c r="J448" i="1" s="1"/>
  <c r="I1453" i="1"/>
  <c r="J1453" i="1" s="1"/>
  <c r="I107" i="1"/>
  <c r="J107" i="1" s="1"/>
  <c r="I992" i="1"/>
  <c r="J992" i="1" s="1"/>
  <c r="I1701" i="1"/>
  <c r="J1701" i="1" s="1"/>
  <c r="I333" i="1"/>
  <c r="J333" i="1" s="1"/>
  <c r="I1268" i="1"/>
  <c r="J1268" i="1" s="1"/>
  <c r="I1292" i="1"/>
  <c r="J1292" i="1" s="1"/>
  <c r="I1084" i="1"/>
  <c r="J1084" i="1" s="1"/>
  <c r="I842" i="1"/>
  <c r="J842" i="1" s="1"/>
  <c r="I381" i="1"/>
  <c r="J381" i="1" s="1"/>
  <c r="I488" i="1"/>
  <c r="J488" i="1" s="1"/>
  <c r="I1454" i="1"/>
  <c r="J1454" i="1" s="1"/>
  <c r="I69" i="1"/>
  <c r="J69" i="1" s="1"/>
  <c r="I1793" i="1"/>
  <c r="J1793" i="1" s="1"/>
  <c r="I713" i="1"/>
  <c r="J713" i="1" s="1"/>
  <c r="I1120" i="1"/>
  <c r="J1120" i="1" s="1"/>
  <c r="I957" i="1"/>
  <c r="J957" i="1" s="1"/>
  <c r="I819" i="1"/>
  <c r="J819" i="1" s="1"/>
  <c r="I1402" i="1"/>
  <c r="J1402" i="1" s="1"/>
  <c r="I1221" i="1"/>
  <c r="J1221" i="1" s="1"/>
  <c r="I796" i="1"/>
  <c r="J796" i="1" s="1"/>
  <c r="I1121" i="1"/>
  <c r="J1121" i="1" s="1"/>
  <c r="I513" i="1"/>
  <c r="J513" i="1" s="1"/>
  <c r="I309" i="1"/>
  <c r="J309" i="1" s="1"/>
  <c r="I382" i="1"/>
  <c r="J382" i="1" s="1"/>
  <c r="I1403" i="1"/>
  <c r="J1403" i="1" s="1"/>
  <c r="I1036" i="1"/>
  <c r="J1036" i="1" s="1"/>
  <c r="I334" i="1"/>
  <c r="J334" i="1" s="1"/>
  <c r="I1293" i="1"/>
  <c r="J1293" i="1" s="1"/>
  <c r="I1269" i="1"/>
  <c r="J1269" i="1" s="1"/>
  <c r="I1676" i="1"/>
  <c r="J1676" i="1" s="1"/>
  <c r="I537" i="1"/>
  <c r="J537" i="1" s="1"/>
  <c r="I1182" i="1"/>
  <c r="J1182" i="1" s="1"/>
  <c r="I1677" i="1"/>
  <c r="J1677" i="1" s="1"/>
  <c r="I958" i="1"/>
  <c r="J958" i="1" s="1"/>
  <c r="I266" i="1"/>
  <c r="J266" i="1" s="1"/>
  <c r="I1404" i="1"/>
  <c r="J1404" i="1" s="1"/>
  <c r="I1848" i="1"/>
  <c r="J1848" i="1" s="1"/>
  <c r="I1423" i="1"/>
  <c r="J1423" i="1" s="1"/>
  <c r="I1204" i="1"/>
  <c r="J1204" i="1" s="1"/>
  <c r="I1715" i="1"/>
  <c r="J1715" i="1" s="1"/>
  <c r="I357" i="1"/>
  <c r="J357" i="1" s="1"/>
  <c r="I184" i="1"/>
  <c r="J184" i="1" s="1"/>
  <c r="I310" i="1"/>
  <c r="J310" i="1" s="1"/>
  <c r="I714" i="1"/>
  <c r="J714" i="1" s="1"/>
  <c r="I1678" i="1"/>
  <c r="J1678" i="1" s="1"/>
  <c r="I1222" i="1"/>
  <c r="J1222" i="1" s="1"/>
  <c r="I900" i="1"/>
  <c r="J900" i="1" s="1"/>
  <c r="I1828" i="1"/>
  <c r="J1828" i="1" s="1"/>
  <c r="I538" i="1"/>
  <c r="J538" i="1" s="1"/>
  <c r="I1653" i="1"/>
  <c r="J1653" i="1" s="1"/>
  <c r="I514" i="1"/>
  <c r="J514" i="1" s="1"/>
  <c r="I424" i="1"/>
  <c r="J424" i="1" s="1"/>
  <c r="I618" i="1"/>
  <c r="J618" i="1" s="1"/>
  <c r="I776" i="1"/>
  <c r="J776" i="1" s="1"/>
  <c r="I1888" i="1"/>
  <c r="J1888" i="1" s="1"/>
  <c r="I1223" i="1"/>
  <c r="J1223" i="1" s="1"/>
  <c r="I871" i="1"/>
  <c r="J871" i="1" s="1"/>
  <c r="I1424" i="1"/>
  <c r="J1424" i="1" s="1"/>
  <c r="I1006" i="1"/>
  <c r="J1006" i="1" s="1"/>
  <c r="I671" i="1"/>
  <c r="J671" i="1" s="1"/>
  <c r="I644" i="1"/>
  <c r="J644" i="1" s="1"/>
  <c r="I1904" i="1"/>
  <c r="J1904" i="1" s="1"/>
  <c r="I1867" i="1"/>
  <c r="J1867" i="1" s="1"/>
  <c r="I23" i="1"/>
  <c r="J23" i="1" s="1"/>
  <c r="I539" i="1"/>
  <c r="J539" i="1" s="1"/>
  <c r="I1244" i="1"/>
  <c r="J1244" i="1" s="1"/>
  <c r="I201" i="1"/>
  <c r="J201" i="1" s="1"/>
  <c r="I1007" i="1"/>
  <c r="J1007" i="1" s="1"/>
  <c r="I1606" i="1"/>
  <c r="J1606" i="1" s="1"/>
  <c r="I1905" i="1"/>
  <c r="J1905" i="1" s="1"/>
  <c r="I202" i="1"/>
  <c r="J202" i="1" s="1"/>
  <c r="I51" i="1"/>
  <c r="J51" i="1" s="1"/>
  <c r="I335" i="1"/>
  <c r="J335" i="1" s="1"/>
  <c r="I24" i="1"/>
  <c r="J24" i="1" s="1"/>
  <c r="I1037" i="1"/>
  <c r="J1037" i="1" s="1"/>
  <c r="I1324" i="1"/>
  <c r="J1324" i="1" s="1"/>
  <c r="I1373" i="1"/>
  <c r="J1373" i="1" s="1"/>
  <c r="I993" i="1"/>
  <c r="J993" i="1" s="1"/>
  <c r="I594" i="1"/>
  <c r="J594" i="1" s="1"/>
  <c r="I692" i="1"/>
  <c r="J692" i="1" s="1"/>
  <c r="I619" i="1"/>
  <c r="J619" i="1" s="1"/>
  <c r="I693" i="1"/>
  <c r="J693" i="1" s="1"/>
  <c r="I185" i="1"/>
  <c r="J185" i="1" s="1"/>
  <c r="I425" i="1"/>
  <c r="J425" i="1" s="1"/>
  <c r="I570" i="1"/>
  <c r="J570" i="1" s="1"/>
  <c r="I1122" i="1"/>
  <c r="J1122" i="1" s="1"/>
  <c r="I311" i="1"/>
  <c r="J311" i="1" s="1"/>
  <c r="I1245" i="1"/>
  <c r="J1245" i="1" s="1"/>
  <c r="I515" i="1"/>
  <c r="J515" i="1" s="1"/>
  <c r="I1061" i="1"/>
  <c r="J1061" i="1" s="1"/>
  <c r="I25" i="1"/>
  <c r="J25" i="1" s="1"/>
  <c r="I1494" i="1"/>
  <c r="J1494" i="1" s="1"/>
  <c r="I1038" i="1"/>
  <c r="J1038" i="1" s="1"/>
  <c r="I516" i="1"/>
  <c r="J516" i="1" s="1"/>
  <c r="I1141" i="1"/>
  <c r="J1141" i="1" s="1"/>
  <c r="I186" i="1"/>
  <c r="J186" i="1" s="1"/>
  <c r="I1716" i="1"/>
  <c r="J1716" i="1" s="1"/>
  <c r="I267" i="1"/>
  <c r="J267" i="1" s="1"/>
  <c r="I187" i="1"/>
  <c r="J187" i="1" s="1"/>
  <c r="I595" i="1"/>
  <c r="J595" i="1" s="1"/>
  <c r="I1679" i="1"/>
  <c r="J1679" i="1" s="1"/>
  <c r="I383" i="1"/>
  <c r="J383" i="1" s="1"/>
  <c r="I188" i="1"/>
  <c r="J188" i="1" s="1"/>
  <c r="I129" i="1"/>
  <c r="J129" i="1" s="1"/>
  <c r="I1062" i="1"/>
  <c r="J1062" i="1" s="1"/>
  <c r="I1626" i="1"/>
  <c r="J1626" i="1" s="1"/>
  <c r="I645" i="1"/>
  <c r="J645" i="1" s="1"/>
  <c r="I402" i="1"/>
  <c r="J402" i="1" s="1"/>
  <c r="I1762" i="1"/>
  <c r="J1762" i="1" s="1"/>
  <c r="I1680" i="1"/>
  <c r="J1680" i="1" s="1"/>
  <c r="I975" i="1"/>
  <c r="J975" i="1" s="1"/>
  <c r="I1246" i="1"/>
  <c r="J1246" i="1" s="1"/>
  <c r="I1811" i="1"/>
  <c r="J1811" i="1" s="1"/>
  <c r="I426" i="1"/>
  <c r="J426" i="1" s="1"/>
  <c r="I189" i="1"/>
  <c r="J189" i="1" s="1"/>
  <c r="I1987" i="1"/>
  <c r="J1987" i="1" s="1"/>
  <c r="I1142" i="1"/>
  <c r="J1142" i="1" s="1"/>
  <c r="I1988" i="1"/>
  <c r="J1988" i="1" s="1"/>
  <c r="I1763" i="1"/>
  <c r="J1763" i="1" s="1"/>
  <c r="I286" i="1"/>
  <c r="J286" i="1" s="1"/>
  <c r="I820" i="1"/>
  <c r="J820" i="1" s="1"/>
  <c r="I1849" i="1"/>
  <c r="J1849" i="1" s="1"/>
  <c r="I1627" i="1"/>
  <c r="J1627" i="1" s="1"/>
  <c r="I1717" i="1"/>
  <c r="J1717" i="1" s="1"/>
  <c r="I1158" i="1"/>
  <c r="J1158" i="1" s="1"/>
  <c r="I872" i="1"/>
  <c r="J872" i="1" s="1"/>
  <c r="I1374" i="1"/>
  <c r="J1374" i="1" s="1"/>
  <c r="I1476" i="1"/>
  <c r="J1476" i="1" s="1"/>
  <c r="I843" i="1"/>
  <c r="J843" i="1" s="1"/>
  <c r="I646" i="1"/>
  <c r="J646" i="1" s="1"/>
  <c r="I403" i="1"/>
  <c r="J403" i="1" s="1"/>
  <c r="I821" i="1"/>
  <c r="J821" i="1" s="1"/>
  <c r="I1375" i="1"/>
  <c r="J1375" i="1" s="1"/>
  <c r="I922" i="1"/>
  <c r="J922" i="1" s="1"/>
  <c r="I312" i="1"/>
  <c r="J312" i="1" s="1"/>
  <c r="I923" i="1"/>
  <c r="J923" i="1" s="1"/>
  <c r="I1906" i="1"/>
  <c r="J1906" i="1" s="1"/>
  <c r="I647" i="1"/>
  <c r="J647" i="1" s="1"/>
  <c r="I1008" i="1"/>
  <c r="J1008" i="1" s="1"/>
  <c r="I1868" i="1"/>
  <c r="J1868" i="1" s="1"/>
  <c r="I924" i="1"/>
  <c r="J924" i="1" s="1"/>
  <c r="I1869" i="1"/>
  <c r="J1869" i="1" s="1"/>
  <c r="I1923" i="1"/>
  <c r="J1923" i="1" s="1"/>
  <c r="I620" i="1"/>
  <c r="J620" i="1" s="1"/>
  <c r="I1924" i="1"/>
  <c r="J1924" i="1" s="1"/>
  <c r="I427" i="1"/>
  <c r="J427" i="1" s="1"/>
  <c r="I873" i="1"/>
  <c r="J873" i="1" s="1"/>
  <c r="I715" i="1"/>
  <c r="J715" i="1" s="1"/>
  <c r="I1247" i="1"/>
  <c r="J1247" i="1" s="1"/>
  <c r="I755" i="1"/>
  <c r="J755" i="1" s="1"/>
  <c r="I1654" i="1"/>
  <c r="J1654" i="1" s="1"/>
  <c r="I1582" i="1"/>
  <c r="J1582" i="1" s="1"/>
  <c r="I1183" i="1"/>
  <c r="J1183" i="1" s="1"/>
  <c r="I1376" i="1"/>
  <c r="J1376" i="1" s="1"/>
  <c r="I1558" i="1"/>
  <c r="J1558" i="1" s="1"/>
  <c r="I901" i="1"/>
  <c r="J901" i="1" s="1"/>
  <c r="I1184" i="1"/>
  <c r="J1184" i="1" s="1"/>
  <c r="I227" i="1"/>
  <c r="J227" i="1" s="1"/>
  <c r="I1655" i="1"/>
  <c r="J1655" i="1" s="1"/>
  <c r="I228" i="1"/>
  <c r="J228" i="1" s="1"/>
  <c r="I1039" i="1"/>
  <c r="J1039" i="1" s="1"/>
  <c r="I287" i="1"/>
  <c r="J287" i="1" s="1"/>
  <c r="I1040" i="1"/>
  <c r="J1040" i="1" s="1"/>
  <c r="I1377" i="1"/>
  <c r="J1377" i="1" s="1"/>
  <c r="I1870" i="1"/>
  <c r="J1870" i="1" s="1"/>
  <c r="I756" i="1"/>
  <c r="J756" i="1" s="1"/>
  <c r="I1294" i="1"/>
  <c r="J1294" i="1" s="1"/>
  <c r="I449" i="1"/>
  <c r="J449" i="1" s="1"/>
  <c r="I70" i="1"/>
  <c r="J70" i="1" s="1"/>
  <c r="I540" i="1"/>
  <c r="J540" i="1" s="1"/>
  <c r="I108" i="1"/>
  <c r="J108" i="1" s="1"/>
  <c r="I1989" i="1"/>
  <c r="J1989" i="1" s="1"/>
  <c r="I1085" i="1"/>
  <c r="J1085" i="1" s="1"/>
  <c r="I1812" i="1"/>
  <c r="J1812" i="1" s="1"/>
  <c r="I1378" i="1"/>
  <c r="J1378" i="1" s="1"/>
  <c r="I1925" i="1"/>
  <c r="J1925" i="1" s="1"/>
  <c r="I428" i="1"/>
  <c r="J428" i="1" s="1"/>
  <c r="I1123" i="1"/>
  <c r="J1123" i="1" s="1"/>
  <c r="I1945" i="1"/>
  <c r="J1945" i="1" s="1"/>
  <c r="I109" i="1"/>
  <c r="J109" i="1" s="1"/>
  <c r="I1907" i="1"/>
  <c r="J1907" i="1" s="1"/>
  <c r="I777" i="1"/>
  <c r="J777" i="1" s="1"/>
  <c r="I844" i="1"/>
  <c r="J844" i="1" s="1"/>
  <c r="I1224" i="1"/>
  <c r="J1224" i="1" s="1"/>
  <c r="I1159" i="1"/>
  <c r="J1159" i="1" s="1"/>
  <c r="I203" i="1"/>
  <c r="J203" i="1" s="1"/>
  <c r="I1248" i="1"/>
  <c r="J1248" i="1" s="1"/>
  <c r="I288" i="1"/>
  <c r="J288" i="1" s="1"/>
  <c r="I925" i="1"/>
  <c r="J925" i="1" s="1"/>
  <c r="I130" i="1"/>
  <c r="J130" i="1" s="1"/>
  <c r="I229" i="1"/>
  <c r="J229" i="1" s="1"/>
  <c r="I874" i="1"/>
  <c r="J874" i="1" s="1"/>
  <c r="I204" i="1"/>
  <c r="J204" i="1" s="1"/>
  <c r="I1124" i="1"/>
  <c r="J1124" i="1" s="1"/>
  <c r="I1736" i="1"/>
  <c r="J1736" i="1" s="1"/>
  <c r="I822" i="1"/>
  <c r="J822" i="1" s="1"/>
  <c r="I1764" i="1"/>
  <c r="J1764" i="1" s="1"/>
  <c r="I1990" i="1"/>
  <c r="J1990" i="1" s="1"/>
  <c r="I596" i="1"/>
  <c r="J596" i="1" s="1"/>
  <c r="I1379" i="1"/>
  <c r="J1379" i="1" s="1"/>
  <c r="I1425" i="1"/>
  <c r="J1425" i="1" s="1"/>
  <c r="I289" i="1"/>
  <c r="J289" i="1" s="1"/>
  <c r="I1889" i="1"/>
  <c r="J1889" i="1" s="1"/>
  <c r="I1583" i="1"/>
  <c r="J1583" i="1" s="1"/>
  <c r="I26" i="1"/>
  <c r="J26" i="1" s="1"/>
  <c r="I943" i="1"/>
  <c r="J943" i="1" s="1"/>
  <c r="I597" i="1"/>
  <c r="J597" i="1" s="1"/>
  <c r="I959" i="1"/>
  <c r="J959" i="1" s="1"/>
  <c r="I875" i="1"/>
  <c r="J875" i="1" s="1"/>
  <c r="I1477" i="1"/>
  <c r="J1477" i="1" s="1"/>
  <c r="I1426" i="1"/>
  <c r="J1426" i="1" s="1"/>
  <c r="I1270" i="1"/>
  <c r="J1270" i="1" s="1"/>
  <c r="I1559" i="1"/>
  <c r="J1559" i="1" s="1"/>
  <c r="I797" i="1"/>
  <c r="J797" i="1" s="1"/>
  <c r="I429" i="1"/>
  <c r="J429" i="1" s="1"/>
  <c r="I517" i="1"/>
  <c r="J517" i="1" s="1"/>
  <c r="I1656" i="1"/>
  <c r="J1656" i="1" s="1"/>
  <c r="I518" i="1"/>
  <c r="J518" i="1" s="1"/>
  <c r="I205" i="1"/>
  <c r="J205" i="1" s="1"/>
  <c r="I876" i="1"/>
  <c r="J876" i="1" s="1"/>
  <c r="I1102" i="1"/>
  <c r="J1102" i="1" s="1"/>
  <c r="I71" i="1"/>
  <c r="J71" i="1" s="1"/>
  <c r="I1967" i="1"/>
  <c r="J1967" i="1" s="1"/>
  <c r="I648" i="1"/>
  <c r="J648" i="1" s="1"/>
  <c r="I1829" i="1"/>
  <c r="J1829" i="1" s="1"/>
  <c r="I541" i="1"/>
  <c r="J541" i="1" s="1"/>
  <c r="I1560" i="1"/>
  <c r="J1560" i="1" s="1"/>
  <c r="I1185" i="1"/>
  <c r="J1185" i="1" s="1"/>
  <c r="I1103" i="1"/>
  <c r="J1103" i="1" s="1"/>
  <c r="I672" i="1"/>
  <c r="J672" i="1" s="1"/>
  <c r="I1380" i="1"/>
  <c r="J1380" i="1" s="1"/>
  <c r="I926" i="1"/>
  <c r="J926" i="1" s="1"/>
  <c r="I1186" i="1"/>
  <c r="J1186" i="1" s="1"/>
  <c r="I1104" i="1"/>
  <c r="J1104" i="1" s="1"/>
  <c r="I2" i="1"/>
  <c r="J2" i="1" s="1"/>
  <c r="G6" i="1"/>
  <c r="G7" i="1"/>
  <c r="G8" i="1"/>
  <c r="G9" i="1"/>
  <c r="G10" i="1"/>
  <c r="G11" i="1"/>
  <c r="G27" i="1"/>
  <c r="G28" i="1"/>
  <c r="G29" i="1"/>
  <c r="G30" i="1"/>
  <c r="G31" i="1"/>
  <c r="G32" i="1"/>
  <c r="G33" i="1"/>
  <c r="G34" i="1"/>
  <c r="G35" i="1"/>
  <c r="G36" i="1"/>
  <c r="G52" i="1"/>
  <c r="G53" i="1"/>
  <c r="G54" i="1"/>
  <c r="G55" i="1"/>
  <c r="G56" i="1"/>
  <c r="G57" i="1"/>
  <c r="G58" i="1"/>
  <c r="G59" i="1"/>
  <c r="G60" i="1"/>
  <c r="G72" i="1"/>
  <c r="G73" i="1"/>
  <c r="G74" i="1"/>
  <c r="G75" i="1"/>
  <c r="G76" i="1"/>
  <c r="G77" i="1"/>
  <c r="G78" i="1"/>
  <c r="G79" i="1"/>
  <c r="G88" i="1"/>
  <c r="G89" i="1"/>
  <c r="G90" i="1"/>
  <c r="G91" i="1"/>
  <c r="G92" i="1"/>
  <c r="G93" i="1"/>
  <c r="G94" i="1"/>
  <c r="G95" i="1"/>
  <c r="G110" i="1"/>
  <c r="G111" i="1"/>
  <c r="G112" i="1"/>
  <c r="G113" i="1"/>
  <c r="G114" i="1"/>
  <c r="G115" i="1"/>
  <c r="G116" i="1"/>
  <c r="G117" i="1"/>
  <c r="G118" i="1"/>
  <c r="G131" i="1"/>
  <c r="G132" i="1"/>
  <c r="G133" i="1"/>
  <c r="G134" i="1"/>
  <c r="G135" i="1"/>
  <c r="G136" i="1"/>
  <c r="G137" i="1"/>
  <c r="G138" i="1"/>
  <c r="G139" i="1"/>
  <c r="G155" i="1"/>
  <c r="G156" i="1"/>
  <c r="G157" i="1"/>
  <c r="G158" i="1"/>
  <c r="G159" i="1"/>
  <c r="G160" i="1"/>
  <c r="G161" i="1"/>
  <c r="G162" i="1"/>
  <c r="G163" i="1"/>
  <c r="G164" i="1"/>
  <c r="G190" i="1"/>
  <c r="G191" i="1"/>
  <c r="G192" i="1"/>
  <c r="G193" i="1"/>
  <c r="G194" i="1"/>
  <c r="G195" i="1"/>
  <c r="G206" i="1"/>
  <c r="G207" i="1"/>
  <c r="G208" i="1"/>
  <c r="G209" i="1"/>
  <c r="G210" i="1"/>
  <c r="G211" i="1"/>
  <c r="G212" i="1"/>
  <c r="G213" i="1"/>
  <c r="G230" i="1"/>
  <c r="G231" i="1"/>
  <c r="G232" i="1"/>
  <c r="G233" i="1"/>
  <c r="G234" i="1"/>
  <c r="G235" i="1"/>
  <c r="G236" i="1"/>
  <c r="G237" i="1"/>
  <c r="G238" i="1"/>
  <c r="G239" i="1"/>
  <c r="G249" i="1"/>
  <c r="G250" i="1"/>
  <c r="G251" i="1"/>
  <c r="G252" i="1"/>
  <c r="G253" i="1"/>
  <c r="G268" i="1"/>
  <c r="G269" i="1"/>
  <c r="G270" i="1"/>
  <c r="G271" i="1"/>
  <c r="G272" i="1"/>
  <c r="G273" i="1"/>
  <c r="G274" i="1"/>
  <c r="G275" i="1"/>
  <c r="G290" i="1"/>
  <c r="G291" i="1"/>
  <c r="G292" i="1"/>
  <c r="G293" i="1"/>
  <c r="G294" i="1"/>
  <c r="G313" i="1"/>
  <c r="G314" i="1"/>
  <c r="G315" i="1"/>
  <c r="G316" i="1"/>
  <c r="G317" i="1"/>
  <c r="G318" i="1"/>
  <c r="G319" i="1"/>
  <c r="G336" i="1"/>
  <c r="G337" i="1"/>
  <c r="G338" i="1"/>
  <c r="G339" i="1"/>
  <c r="G340" i="1"/>
  <c r="G341" i="1"/>
  <c r="G342" i="1"/>
  <c r="G358" i="1"/>
  <c r="G359" i="1"/>
  <c r="G360" i="1"/>
  <c r="G361" i="1"/>
  <c r="G362" i="1"/>
  <c r="G363" i="1"/>
  <c r="G364" i="1"/>
  <c r="G365" i="1"/>
  <c r="G366" i="1"/>
  <c r="G384" i="1"/>
  <c r="G385" i="1"/>
  <c r="G386" i="1"/>
  <c r="G387" i="1"/>
  <c r="G388" i="1"/>
  <c r="G389" i="1"/>
  <c r="G404" i="1"/>
  <c r="G405" i="1"/>
  <c r="G406" i="1"/>
  <c r="G407" i="1"/>
  <c r="G408" i="1"/>
  <c r="G430" i="1"/>
  <c r="G431" i="1"/>
  <c r="G432" i="1"/>
  <c r="G433" i="1"/>
  <c r="G434" i="1"/>
  <c r="G435" i="1"/>
  <c r="G450" i="1"/>
  <c r="G451" i="1"/>
  <c r="G452" i="1"/>
  <c r="G453" i="1"/>
  <c r="G454" i="1"/>
  <c r="G455" i="1"/>
  <c r="G456" i="1"/>
  <c r="G457" i="1"/>
  <c r="G458" i="1"/>
  <c r="G459" i="1"/>
  <c r="G471" i="1"/>
  <c r="G472" i="1"/>
  <c r="G473" i="1"/>
  <c r="G474" i="1"/>
  <c r="G475" i="1"/>
  <c r="G476" i="1"/>
  <c r="G477" i="1"/>
  <c r="G478" i="1"/>
  <c r="G489" i="1"/>
  <c r="G490" i="1"/>
  <c r="G491" i="1"/>
  <c r="G492" i="1"/>
  <c r="G493" i="1"/>
  <c r="G494" i="1"/>
  <c r="G495" i="1"/>
  <c r="G496" i="1"/>
  <c r="G497" i="1"/>
  <c r="G519" i="1"/>
  <c r="G520" i="1"/>
  <c r="G521" i="1"/>
  <c r="G522" i="1"/>
  <c r="G523" i="1"/>
  <c r="G524" i="1"/>
  <c r="G525" i="1"/>
  <c r="G526" i="1"/>
  <c r="G527" i="1"/>
  <c r="G528" i="1"/>
  <c r="G542" i="1"/>
  <c r="G543" i="1"/>
  <c r="G544" i="1"/>
  <c r="G545" i="1"/>
  <c r="G546" i="1"/>
  <c r="G547" i="1"/>
  <c r="G548" i="1"/>
  <c r="G549" i="1"/>
  <c r="G571" i="1"/>
  <c r="G572" i="1"/>
  <c r="G573" i="1"/>
  <c r="G574" i="1"/>
  <c r="G575" i="1"/>
  <c r="G576" i="1"/>
  <c r="G577" i="1"/>
  <c r="G598" i="1"/>
  <c r="G599" i="1"/>
  <c r="G600" i="1"/>
  <c r="G601" i="1"/>
  <c r="G602" i="1"/>
  <c r="G603" i="1"/>
  <c r="G604" i="1"/>
  <c r="G621" i="1"/>
  <c r="G622" i="1"/>
  <c r="G623" i="1"/>
  <c r="G624" i="1"/>
  <c r="G625" i="1"/>
  <c r="G626" i="1"/>
  <c r="G627" i="1"/>
  <c r="G628" i="1"/>
  <c r="G629" i="1"/>
  <c r="G649" i="1"/>
  <c r="G650" i="1"/>
  <c r="G651" i="1"/>
  <c r="G652" i="1"/>
  <c r="G653" i="1"/>
  <c r="G654" i="1"/>
  <c r="G655" i="1"/>
  <c r="G656" i="1"/>
  <c r="G673" i="1"/>
  <c r="G674" i="1"/>
  <c r="G675" i="1"/>
  <c r="G676" i="1"/>
  <c r="G677" i="1"/>
  <c r="G678" i="1"/>
  <c r="G679" i="1"/>
  <c r="G680" i="1"/>
  <c r="G681" i="1"/>
  <c r="G694" i="1"/>
  <c r="G695" i="1"/>
  <c r="G696" i="1"/>
  <c r="G697" i="1"/>
  <c r="G698" i="1"/>
  <c r="G699" i="1"/>
  <c r="G700" i="1"/>
  <c r="G716" i="1"/>
  <c r="G717" i="1"/>
  <c r="G718" i="1"/>
  <c r="G719" i="1"/>
  <c r="G720" i="1"/>
  <c r="G721" i="1"/>
  <c r="G730" i="1"/>
  <c r="G731" i="1"/>
  <c r="G732" i="1"/>
  <c r="G733" i="1"/>
  <c r="G734" i="1"/>
  <c r="G735" i="1"/>
  <c r="G736" i="1"/>
  <c r="G737" i="1"/>
  <c r="G738" i="1"/>
  <c r="G757" i="1"/>
  <c r="G758" i="1"/>
  <c r="G759" i="1"/>
  <c r="G760" i="1"/>
  <c r="G761" i="1"/>
  <c r="G778" i="1"/>
  <c r="G779" i="1"/>
  <c r="G780" i="1"/>
  <c r="G781" i="1"/>
  <c r="G782" i="1"/>
  <c r="G783" i="1"/>
  <c r="G784" i="1"/>
  <c r="G798" i="1"/>
  <c r="G799" i="1"/>
  <c r="G800" i="1"/>
  <c r="G801" i="1"/>
  <c r="G802" i="1"/>
  <c r="G803" i="1"/>
  <c r="G804" i="1"/>
  <c r="G823" i="1"/>
  <c r="G824" i="1"/>
  <c r="G825" i="1"/>
  <c r="G826" i="1"/>
  <c r="G827" i="1"/>
  <c r="G828" i="1"/>
  <c r="G829" i="1"/>
  <c r="G830" i="1"/>
  <c r="G831" i="1"/>
  <c r="G845" i="1"/>
  <c r="G846" i="1"/>
  <c r="G847" i="1"/>
  <c r="G848" i="1"/>
  <c r="G849" i="1"/>
  <c r="G850" i="1"/>
  <c r="G851" i="1"/>
  <c r="G852" i="1"/>
  <c r="G853" i="1"/>
  <c r="G854" i="1"/>
  <c r="G877" i="1"/>
  <c r="G878" i="1"/>
  <c r="G879" i="1"/>
  <c r="G880" i="1"/>
  <c r="G881" i="1"/>
  <c r="G882" i="1"/>
  <c r="G883" i="1"/>
  <c r="G902" i="1"/>
  <c r="G903" i="1"/>
  <c r="G904" i="1"/>
  <c r="G905" i="1"/>
  <c r="G906" i="1"/>
  <c r="G907" i="1"/>
  <c r="G908" i="1"/>
  <c r="G909" i="1"/>
  <c r="G910" i="1"/>
  <c r="G911" i="1"/>
  <c r="G927" i="1"/>
  <c r="G928" i="1"/>
  <c r="G929" i="1"/>
  <c r="G930" i="1"/>
  <c r="G931" i="1"/>
  <c r="G944" i="1"/>
  <c r="G945" i="1"/>
  <c r="G946" i="1"/>
  <c r="G947" i="1"/>
  <c r="G948" i="1"/>
  <c r="G949" i="1"/>
  <c r="G950" i="1"/>
  <c r="G951" i="1"/>
  <c r="G960" i="1"/>
  <c r="G961" i="1"/>
  <c r="G962" i="1"/>
  <c r="G963" i="1"/>
  <c r="G964" i="1"/>
  <c r="G976" i="1"/>
  <c r="G977" i="1"/>
  <c r="G978" i="1"/>
  <c r="G979" i="1"/>
  <c r="G980" i="1"/>
  <c r="G981" i="1"/>
  <c r="G994" i="1"/>
  <c r="G995" i="1"/>
  <c r="G996" i="1"/>
  <c r="G997" i="1"/>
  <c r="G998" i="1"/>
  <c r="G1009" i="1"/>
  <c r="G1010" i="1"/>
  <c r="G1011" i="1"/>
  <c r="G1012" i="1"/>
  <c r="G1013" i="1"/>
  <c r="G1014" i="1"/>
  <c r="G1015" i="1"/>
  <c r="G1016" i="1"/>
  <c r="G1017" i="1"/>
  <c r="G1018" i="1"/>
  <c r="G1041" i="1"/>
  <c r="G1042" i="1"/>
  <c r="G1043" i="1"/>
  <c r="G1044" i="1"/>
  <c r="G1045" i="1"/>
  <c r="G1046" i="1"/>
  <c r="G1047" i="1"/>
  <c r="G1048" i="1"/>
  <c r="G1049" i="1"/>
  <c r="G1063" i="1"/>
  <c r="G1064" i="1"/>
  <c r="G1065" i="1"/>
  <c r="G1066" i="1"/>
  <c r="G1067" i="1"/>
  <c r="G1086" i="1"/>
  <c r="G1087" i="1"/>
  <c r="G1088" i="1"/>
  <c r="G1089" i="1"/>
  <c r="G1090" i="1"/>
  <c r="G1091" i="1"/>
  <c r="G1092" i="1"/>
  <c r="G1093" i="1"/>
  <c r="G1094" i="1"/>
  <c r="G1105" i="1"/>
  <c r="G1106" i="1"/>
  <c r="G1107" i="1"/>
  <c r="G1108" i="1"/>
  <c r="G1109" i="1"/>
  <c r="G1110" i="1"/>
  <c r="G1111" i="1"/>
  <c r="G1112" i="1"/>
  <c r="G1125" i="1"/>
  <c r="G1126" i="1"/>
  <c r="G1127" i="1"/>
  <c r="G1128" i="1"/>
  <c r="G1129" i="1"/>
  <c r="G1143" i="1"/>
  <c r="G1144" i="1"/>
  <c r="G1145" i="1"/>
  <c r="G1146" i="1"/>
  <c r="G1147" i="1"/>
  <c r="G1160" i="1"/>
  <c r="G1161" i="1"/>
  <c r="G1162" i="1"/>
  <c r="G1163" i="1"/>
  <c r="G1164" i="1"/>
  <c r="G1165" i="1"/>
  <c r="G1166" i="1"/>
  <c r="G1167" i="1"/>
  <c r="G1168" i="1"/>
  <c r="G1169" i="1"/>
  <c r="G1187" i="1"/>
  <c r="G1188" i="1"/>
  <c r="G1189" i="1"/>
  <c r="G1190" i="1"/>
  <c r="G1191" i="1"/>
  <c r="G1192" i="1"/>
  <c r="G1193" i="1"/>
  <c r="G1194" i="1"/>
  <c r="G1205" i="1"/>
  <c r="G1206" i="1"/>
  <c r="G1207" i="1"/>
  <c r="G1208" i="1"/>
  <c r="G1209" i="1"/>
  <c r="G1210" i="1"/>
  <c r="G1211" i="1"/>
  <c r="G1212" i="1"/>
  <c r="G1225" i="1"/>
  <c r="G1226" i="1"/>
  <c r="G1227" i="1"/>
  <c r="G1228" i="1"/>
  <c r="G1229" i="1"/>
  <c r="G1249" i="1"/>
  <c r="G1250" i="1"/>
  <c r="G1251" i="1"/>
  <c r="G1252" i="1"/>
  <c r="G1253" i="1"/>
  <c r="G1254" i="1"/>
  <c r="G1255" i="1"/>
  <c r="G1256" i="1"/>
  <c r="G1271" i="1"/>
  <c r="G1272" i="1"/>
  <c r="G1273" i="1"/>
  <c r="G1274" i="1"/>
  <c r="G1275" i="1"/>
  <c r="G1276" i="1"/>
  <c r="G1277" i="1"/>
  <c r="G1278" i="1"/>
  <c r="G1295" i="1"/>
  <c r="G1296" i="1"/>
  <c r="G1297" i="1"/>
  <c r="G1298" i="1"/>
  <c r="G1299" i="1"/>
  <c r="G1300" i="1"/>
  <c r="G1301" i="1"/>
  <c r="G1302" i="1"/>
  <c r="G1303" i="1"/>
  <c r="G1304" i="1"/>
  <c r="G1325" i="1"/>
  <c r="G1326" i="1"/>
  <c r="G1327" i="1"/>
  <c r="G1328" i="1"/>
  <c r="G1329" i="1"/>
  <c r="G1330" i="1"/>
  <c r="G1331" i="1"/>
  <c r="G1347" i="1"/>
  <c r="G1348" i="1"/>
  <c r="G1349" i="1"/>
  <c r="G1350" i="1"/>
  <c r="G1351" i="1"/>
  <c r="G1352" i="1"/>
  <c r="G1353" i="1"/>
  <c r="G1354" i="1"/>
  <c r="G1355" i="1"/>
  <c r="G1356" i="1"/>
  <c r="G1381" i="1"/>
  <c r="G1382" i="1"/>
  <c r="G1383" i="1"/>
  <c r="G1384" i="1"/>
  <c r="G1385" i="1"/>
  <c r="G1386" i="1"/>
  <c r="G1387" i="1"/>
  <c r="G1388" i="1"/>
  <c r="G1405" i="1"/>
  <c r="G1406" i="1"/>
  <c r="G1407" i="1"/>
  <c r="G1408" i="1"/>
  <c r="G1409" i="1"/>
  <c r="G1410" i="1"/>
  <c r="G1411" i="1"/>
  <c r="G1412" i="1"/>
  <c r="G1427" i="1"/>
  <c r="G1428" i="1"/>
  <c r="G1429" i="1"/>
  <c r="G1430" i="1"/>
  <c r="G1431" i="1"/>
  <c r="G1455" i="1"/>
  <c r="G1456" i="1"/>
  <c r="G1457" i="1"/>
  <c r="G1458" i="1"/>
  <c r="G1459" i="1"/>
  <c r="G1460" i="1"/>
  <c r="G1461" i="1"/>
  <c r="G1462" i="1"/>
  <c r="G1463" i="1"/>
  <c r="G1478" i="1"/>
  <c r="G1479" i="1"/>
  <c r="G1480" i="1"/>
  <c r="G1481" i="1"/>
  <c r="G1482" i="1"/>
  <c r="G1483" i="1"/>
  <c r="G1495" i="1"/>
  <c r="G1496" i="1"/>
  <c r="G1497" i="1"/>
  <c r="G1498" i="1"/>
  <c r="G1499" i="1"/>
  <c r="G1516" i="1"/>
  <c r="G1517" i="1"/>
  <c r="G1518" i="1"/>
  <c r="G1519" i="1"/>
  <c r="G1520" i="1"/>
  <c r="G1521" i="1"/>
  <c r="G1543" i="1"/>
  <c r="G1544" i="1"/>
  <c r="G1545" i="1"/>
  <c r="G1546" i="1"/>
  <c r="G1547" i="1"/>
  <c r="G1561" i="1"/>
  <c r="G1562" i="1"/>
  <c r="G1563" i="1"/>
  <c r="G1564" i="1"/>
  <c r="G1565" i="1"/>
  <c r="G1566" i="1"/>
  <c r="G1567" i="1"/>
  <c r="G1584" i="1"/>
  <c r="G1585" i="1"/>
  <c r="G1586" i="1"/>
  <c r="G1587" i="1"/>
  <c r="G1588" i="1"/>
  <c r="G1589" i="1"/>
  <c r="G1590" i="1"/>
  <c r="G1591" i="1"/>
  <c r="G1607" i="1"/>
  <c r="G1608" i="1"/>
  <c r="G1609" i="1"/>
  <c r="G1610" i="1"/>
  <c r="G1611" i="1"/>
  <c r="G1612" i="1"/>
  <c r="G1613" i="1"/>
  <c r="G1628" i="1"/>
  <c r="G1629" i="1"/>
  <c r="G1630" i="1"/>
  <c r="G1631" i="1"/>
  <c r="G1632" i="1"/>
  <c r="G1633" i="1"/>
  <c r="G1634" i="1"/>
  <c r="G1635" i="1"/>
  <c r="G1636" i="1"/>
  <c r="G1657" i="1"/>
  <c r="G1658" i="1"/>
  <c r="G1659" i="1"/>
  <c r="G1660" i="1"/>
  <c r="G1661" i="1"/>
  <c r="G1662" i="1"/>
  <c r="G1663" i="1"/>
  <c r="G1664" i="1"/>
  <c r="G1665" i="1"/>
  <c r="G1666" i="1"/>
  <c r="G1681" i="1"/>
  <c r="G1682" i="1"/>
  <c r="G1683" i="1"/>
  <c r="G1684" i="1"/>
  <c r="G1685" i="1"/>
  <c r="G1686" i="1"/>
  <c r="G1687" i="1"/>
  <c r="G1688" i="1"/>
  <c r="G1689" i="1"/>
  <c r="G1690" i="1"/>
  <c r="G1702" i="1"/>
  <c r="G1703" i="1"/>
  <c r="G1704" i="1"/>
  <c r="G1705" i="1"/>
  <c r="G1706" i="1"/>
  <c r="G1707" i="1"/>
  <c r="G1708" i="1"/>
  <c r="G1709" i="1"/>
  <c r="G1718" i="1"/>
  <c r="G1719" i="1"/>
  <c r="G1720" i="1"/>
  <c r="G1721" i="1"/>
  <c r="G1722" i="1"/>
  <c r="G1723" i="1"/>
  <c r="G1724" i="1"/>
  <c r="G1725" i="1"/>
  <c r="G1726" i="1"/>
  <c r="G1737" i="1"/>
  <c r="G1738" i="1"/>
  <c r="G1739" i="1"/>
  <c r="G1740" i="1"/>
  <c r="G1741" i="1"/>
  <c r="G1742" i="1"/>
  <c r="G1743" i="1"/>
  <c r="G1744" i="1"/>
  <c r="G1745" i="1"/>
  <c r="G1746" i="1"/>
  <c r="G1765" i="1"/>
  <c r="G1766" i="1"/>
  <c r="G1767" i="1"/>
  <c r="G1768" i="1"/>
  <c r="G1769" i="1"/>
  <c r="G1770" i="1"/>
  <c r="G1771" i="1"/>
  <c r="G1794" i="1"/>
  <c r="G1795" i="1"/>
  <c r="G1796" i="1"/>
  <c r="G1797" i="1"/>
  <c r="G1798" i="1"/>
  <c r="G1799" i="1"/>
  <c r="G1800" i="1"/>
  <c r="G1801" i="1"/>
  <c r="G1802" i="1"/>
  <c r="G1803" i="1"/>
  <c r="G1813" i="1"/>
  <c r="G1814" i="1"/>
  <c r="G1815" i="1"/>
  <c r="G1816" i="1"/>
  <c r="G1817" i="1"/>
  <c r="G1830" i="1"/>
  <c r="G1831" i="1"/>
  <c r="G1832" i="1"/>
  <c r="G1833" i="1"/>
  <c r="G1834" i="1"/>
  <c r="G1835" i="1"/>
  <c r="G1836" i="1"/>
  <c r="G1850" i="1"/>
  <c r="G1851" i="1"/>
  <c r="G1852" i="1"/>
  <c r="G1853" i="1"/>
  <c r="G1854" i="1"/>
  <c r="G1855" i="1"/>
  <c r="G1856" i="1"/>
  <c r="G1871" i="1"/>
  <c r="G1872" i="1"/>
  <c r="G1873" i="1"/>
  <c r="G1874" i="1"/>
  <c r="G1875" i="1"/>
  <c r="G1876" i="1"/>
  <c r="G1877" i="1"/>
  <c r="G1878" i="1"/>
  <c r="G1879" i="1"/>
  <c r="G1890" i="1"/>
  <c r="G1891" i="1"/>
  <c r="G1892" i="1"/>
  <c r="G1893" i="1"/>
  <c r="G1894" i="1"/>
  <c r="G1908" i="1"/>
  <c r="G1909" i="1"/>
  <c r="G1910" i="1"/>
  <c r="G1911" i="1"/>
  <c r="G1912" i="1"/>
  <c r="G1913" i="1"/>
  <c r="G1926" i="1"/>
  <c r="G1927" i="1"/>
  <c r="G1928" i="1"/>
  <c r="G1929" i="1"/>
  <c r="G1930" i="1"/>
  <c r="G1931" i="1"/>
  <c r="G1932" i="1"/>
  <c r="G1933" i="1"/>
  <c r="G1946" i="1"/>
  <c r="G1947" i="1"/>
  <c r="G1948" i="1"/>
  <c r="G1949" i="1"/>
  <c r="G1950" i="1"/>
  <c r="G1951" i="1"/>
  <c r="G1952" i="1"/>
  <c r="G1953" i="1"/>
  <c r="G1968" i="1"/>
  <c r="G1969" i="1"/>
  <c r="G1970" i="1"/>
  <c r="G1971" i="1"/>
  <c r="G1972" i="1"/>
  <c r="G1973" i="1"/>
  <c r="G1974" i="1"/>
  <c r="G1975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9" i="1"/>
  <c r="G2010" i="1"/>
  <c r="G2011" i="1"/>
  <c r="G2012" i="1"/>
  <c r="G2013" i="1"/>
  <c r="G2014" i="1"/>
  <c r="G2015" i="1"/>
  <c r="G2021" i="1"/>
  <c r="G2022" i="1"/>
  <c r="G2023" i="1"/>
  <c r="G2024" i="1"/>
  <c r="G2025" i="1"/>
  <c r="G2028" i="1"/>
  <c r="G2029" i="1"/>
  <c r="G2030" i="1"/>
  <c r="G2031" i="1"/>
  <c r="G2032" i="1"/>
  <c r="G2033" i="1"/>
  <c r="G2038" i="1"/>
  <c r="G2039" i="1"/>
  <c r="G2040" i="1"/>
  <c r="G2041" i="1"/>
  <c r="G2042" i="1"/>
  <c r="G2043" i="1"/>
  <c r="G2044" i="1"/>
  <c r="G2048" i="1"/>
  <c r="G2049" i="1"/>
  <c r="G2050" i="1"/>
  <c r="G2051" i="1"/>
  <c r="G2052" i="1"/>
  <c r="G2053" i="1"/>
  <c r="G2054" i="1"/>
  <c r="G2055" i="1"/>
  <c r="G2056" i="1"/>
  <c r="G2060" i="1"/>
  <c r="G2061" i="1"/>
  <c r="G2062" i="1"/>
  <c r="G2063" i="1"/>
  <c r="G2064" i="1"/>
  <c r="G2065" i="1"/>
  <c r="G2070" i="1"/>
  <c r="G2071" i="1"/>
  <c r="G2072" i="1"/>
  <c r="G2073" i="1"/>
  <c r="G2074" i="1"/>
  <c r="G2075" i="1"/>
  <c r="G2079" i="1"/>
  <c r="G2080" i="1"/>
  <c r="G2081" i="1"/>
  <c r="G2082" i="1"/>
  <c r="G2083" i="1"/>
  <c r="G2084" i="1"/>
  <c r="G2087" i="1"/>
  <c r="G2088" i="1"/>
  <c r="G2089" i="1"/>
  <c r="G2090" i="1"/>
  <c r="G2091" i="1"/>
  <c r="G2092" i="1"/>
  <c r="G2093" i="1"/>
  <c r="G2094" i="1"/>
  <c r="G2098" i="1"/>
  <c r="G2099" i="1"/>
  <c r="G2100" i="1"/>
  <c r="G2101" i="1"/>
  <c r="G2102" i="1"/>
  <c r="G2103" i="1"/>
  <c r="G2104" i="1"/>
  <c r="G2105" i="1"/>
  <c r="G2106" i="1"/>
  <c r="G2112" i="1"/>
  <c r="G2113" i="1"/>
  <c r="G2114" i="1"/>
  <c r="G2115" i="1"/>
  <c r="G2116" i="1"/>
  <c r="G2117" i="1"/>
  <c r="G2118" i="1"/>
  <c r="G2120" i="1"/>
  <c r="G2121" i="1"/>
  <c r="G2122" i="1"/>
  <c r="G2123" i="1"/>
  <c r="G2124" i="1"/>
  <c r="G2125" i="1"/>
  <c r="G2126" i="1"/>
  <c r="G2127" i="1"/>
  <c r="G2128" i="1"/>
  <c r="G2134" i="1"/>
  <c r="G2135" i="1"/>
  <c r="G2136" i="1"/>
  <c r="G2137" i="1"/>
  <c r="G2138" i="1"/>
  <c r="G2139" i="1"/>
  <c r="G2140" i="1"/>
  <c r="G2141" i="1"/>
  <c r="G2145" i="1"/>
  <c r="G2146" i="1"/>
  <c r="G2147" i="1"/>
  <c r="G2148" i="1"/>
  <c r="G2149" i="1"/>
  <c r="G2150" i="1"/>
  <c r="G2151" i="1"/>
  <c r="G2153" i="1"/>
  <c r="G2154" i="1"/>
  <c r="G2155" i="1"/>
  <c r="G2156" i="1"/>
  <c r="G2157" i="1"/>
  <c r="G2158" i="1"/>
  <c r="G2159" i="1"/>
  <c r="G2163" i="1"/>
  <c r="G2164" i="1"/>
  <c r="G2165" i="1"/>
  <c r="G2166" i="1"/>
  <c r="G2167" i="1"/>
  <c r="G2168" i="1"/>
  <c r="G2169" i="1"/>
  <c r="G2170" i="1"/>
  <c r="G2171" i="1"/>
  <c r="G2177" i="1"/>
  <c r="G2178" i="1"/>
  <c r="G2179" i="1"/>
  <c r="G2180" i="1"/>
  <c r="G2181" i="1"/>
  <c r="G2182" i="1"/>
  <c r="G2183" i="1"/>
  <c r="G2184" i="1"/>
  <c r="G2190" i="1"/>
  <c r="G2191" i="1"/>
  <c r="G2192" i="1"/>
  <c r="G2193" i="1"/>
  <c r="G2194" i="1"/>
  <c r="G2195" i="1"/>
  <c r="G2196" i="1"/>
  <c r="G2197" i="1"/>
  <c r="G2198" i="1"/>
  <c r="G2199" i="1"/>
  <c r="G2203" i="1"/>
  <c r="G2204" i="1"/>
  <c r="G2205" i="1"/>
  <c r="G2206" i="1"/>
  <c r="G2207" i="1"/>
  <c r="G2208" i="1"/>
  <c r="G2210" i="1"/>
  <c r="G2211" i="1"/>
  <c r="G2212" i="1"/>
  <c r="G2213" i="1"/>
  <c r="G2214" i="1"/>
  <c r="G2215" i="1"/>
  <c r="G2224" i="1"/>
  <c r="G2225" i="1"/>
  <c r="G2226" i="1"/>
  <c r="G2227" i="1"/>
  <c r="G2228" i="1"/>
  <c r="G2229" i="1"/>
  <c r="G2230" i="1"/>
  <c r="G2231" i="1"/>
  <c r="G2232" i="1"/>
  <c r="G2235" i="1"/>
  <c r="G2236" i="1"/>
  <c r="G2237" i="1"/>
  <c r="G2238" i="1"/>
  <c r="G2239" i="1"/>
  <c r="G2240" i="1"/>
  <c r="G2241" i="1"/>
  <c r="G2242" i="1"/>
  <c r="G2243" i="1"/>
  <c r="G2250" i="1"/>
  <c r="G2251" i="1"/>
  <c r="G2252" i="1"/>
  <c r="G2253" i="1"/>
  <c r="G2254" i="1"/>
  <c r="G2255" i="1"/>
  <c r="G2256" i="1"/>
  <c r="G2257" i="1"/>
  <c r="G2258" i="1"/>
  <c r="G2259" i="1"/>
  <c r="G2264" i="1"/>
  <c r="G2265" i="1"/>
  <c r="G2266" i="1"/>
  <c r="G2267" i="1"/>
  <c r="G2268" i="1"/>
  <c r="G2269" i="1"/>
  <c r="G2275" i="1"/>
  <c r="G2276" i="1"/>
  <c r="G2277" i="1"/>
  <c r="G2278" i="1"/>
  <c r="G2279" i="1"/>
  <c r="G2283" i="1"/>
  <c r="G2284" i="1"/>
  <c r="G2285" i="1"/>
  <c r="G2286" i="1"/>
  <c r="G2287" i="1"/>
  <c r="G2293" i="1"/>
  <c r="G2294" i="1"/>
  <c r="G2295" i="1"/>
  <c r="G2296" i="1"/>
  <c r="G2297" i="1"/>
  <c r="G2298" i="1"/>
  <c r="G2299" i="1"/>
  <c r="G2300" i="1"/>
  <c r="G2301" i="1"/>
  <c r="G2307" i="1"/>
  <c r="G2308" i="1"/>
  <c r="G2309" i="1"/>
  <c r="G2310" i="1"/>
  <c r="G2311" i="1"/>
  <c r="G2318" i="1"/>
  <c r="G2319" i="1"/>
  <c r="G2320" i="1"/>
  <c r="G2321" i="1"/>
  <c r="G2322" i="1"/>
  <c r="G2328" i="1"/>
  <c r="G2329" i="1"/>
  <c r="G2330" i="1"/>
  <c r="G2331" i="1"/>
  <c r="G2332" i="1"/>
  <c r="G2333" i="1"/>
  <c r="G2334" i="1"/>
  <c r="G2335" i="1"/>
  <c r="G2336" i="1"/>
  <c r="G2340" i="1"/>
  <c r="G2341" i="1"/>
  <c r="G2342" i="1"/>
  <c r="G2343" i="1"/>
  <c r="G2344" i="1"/>
  <c r="G2345" i="1"/>
  <c r="G2350" i="1"/>
  <c r="G2351" i="1"/>
  <c r="G2352" i="1"/>
  <c r="G2353" i="1"/>
  <c r="G2354" i="1"/>
  <c r="G2355" i="1"/>
  <c r="G2356" i="1"/>
  <c r="G2357" i="1"/>
  <c r="G2362" i="1"/>
  <c r="G2363" i="1"/>
  <c r="G2364" i="1"/>
  <c r="G2365" i="1"/>
  <c r="G2366" i="1"/>
  <c r="G2367" i="1"/>
  <c r="G2368" i="1"/>
  <c r="G2369" i="1"/>
  <c r="G2374" i="1"/>
  <c r="G2375" i="1"/>
  <c r="G2376" i="1"/>
  <c r="G2377" i="1"/>
  <c r="G2378" i="1"/>
  <c r="G2382" i="1"/>
  <c r="G2383" i="1"/>
  <c r="G2384" i="1"/>
  <c r="G2385" i="1"/>
  <c r="G2386" i="1"/>
  <c r="G2387" i="1"/>
  <c r="G2388" i="1"/>
  <c r="G2389" i="1"/>
  <c r="G2393" i="1"/>
  <c r="G2394" i="1"/>
  <c r="G2395" i="1"/>
  <c r="G2396" i="1"/>
  <c r="G2397" i="1"/>
  <c r="G2398" i="1"/>
  <c r="G2399" i="1"/>
  <c r="G2400" i="1"/>
  <c r="G2401" i="1"/>
  <c r="G2402" i="1"/>
  <c r="G2405" i="1"/>
  <c r="G2406" i="1"/>
  <c r="G2407" i="1"/>
  <c r="G2408" i="1"/>
  <c r="G2409" i="1"/>
  <c r="G2410" i="1"/>
  <c r="G2411" i="1"/>
  <c r="G2416" i="1"/>
  <c r="G2417" i="1"/>
  <c r="G2418" i="1"/>
  <c r="G2419" i="1"/>
  <c r="G2420" i="1"/>
  <c r="G2421" i="1"/>
  <c r="G2422" i="1"/>
  <c r="G2423" i="1"/>
  <c r="G2424" i="1"/>
  <c r="G2425" i="1"/>
  <c r="G2431" i="1"/>
  <c r="G2432" i="1"/>
  <c r="G2433" i="1"/>
  <c r="G2434" i="1"/>
  <c r="G2435" i="1"/>
  <c r="G2438" i="1"/>
  <c r="G2439" i="1"/>
  <c r="G2440" i="1"/>
  <c r="G2441" i="1"/>
  <c r="G2442" i="1"/>
  <c r="G2443" i="1"/>
  <c r="G2444" i="1"/>
  <c r="G2445" i="1"/>
  <c r="G2446" i="1"/>
  <c r="G2447" i="1"/>
  <c r="G2449" i="1"/>
  <c r="G2450" i="1"/>
  <c r="G2451" i="1"/>
  <c r="G2452" i="1"/>
  <c r="G2453" i="1"/>
  <c r="G2454" i="1"/>
  <c r="G2455" i="1"/>
  <c r="G2456" i="1"/>
  <c r="G2457" i="1"/>
  <c r="G2462" i="1"/>
  <c r="G2463" i="1"/>
  <c r="G2464" i="1"/>
  <c r="G2465" i="1"/>
  <c r="G2466" i="1"/>
  <c r="G2467" i="1"/>
  <c r="G2468" i="1"/>
  <c r="G2469" i="1"/>
  <c r="G2470" i="1"/>
  <c r="G2473" i="1"/>
  <c r="G2474" i="1"/>
  <c r="G2475" i="1"/>
  <c r="G2476" i="1"/>
  <c r="G2477" i="1"/>
  <c r="G2478" i="1"/>
  <c r="G2479" i="1"/>
  <c r="G2483" i="1"/>
  <c r="G2484" i="1"/>
  <c r="G2485" i="1"/>
  <c r="G2486" i="1"/>
  <c r="G2487" i="1"/>
  <c r="G2488" i="1"/>
  <c r="G2491" i="1"/>
  <c r="G2492" i="1"/>
  <c r="G2493" i="1"/>
  <c r="G2494" i="1"/>
  <c r="G2495" i="1"/>
  <c r="G2496" i="1"/>
  <c r="G2497" i="1"/>
  <c r="G2501" i="1"/>
  <c r="G2502" i="1"/>
  <c r="G2503" i="1"/>
  <c r="G2504" i="1"/>
  <c r="G2505" i="1"/>
  <c r="G2506" i="1"/>
  <c r="G2507" i="1"/>
  <c r="G2508" i="1"/>
  <c r="G2509" i="1"/>
  <c r="G2515" i="1"/>
  <c r="G2516" i="1"/>
  <c r="G2517" i="1"/>
  <c r="G2518" i="1"/>
  <c r="G2519" i="1"/>
  <c r="G2520" i="1"/>
  <c r="G2521" i="1"/>
  <c r="G2525" i="1"/>
  <c r="G2526" i="1"/>
  <c r="G2527" i="1"/>
  <c r="G2528" i="1"/>
  <c r="G2529" i="1"/>
  <c r="G2530" i="1"/>
  <c r="G2531" i="1"/>
  <c r="G2532" i="1"/>
  <c r="G2535" i="1"/>
  <c r="G2536" i="1"/>
  <c r="G2537" i="1"/>
  <c r="G2538" i="1"/>
  <c r="G2539" i="1"/>
  <c r="G2540" i="1"/>
  <c r="G2544" i="1"/>
  <c r="G2545" i="1"/>
  <c r="G2546" i="1"/>
  <c r="G2547" i="1"/>
  <c r="G2548" i="1"/>
  <c r="G2549" i="1"/>
  <c r="G2550" i="1"/>
  <c r="G2551" i="1"/>
  <c r="G2552" i="1"/>
  <c r="G2553" i="1"/>
  <c r="G2557" i="1"/>
  <c r="G2558" i="1"/>
  <c r="G2559" i="1"/>
  <c r="G2560" i="1"/>
  <c r="G2561" i="1"/>
  <c r="G2562" i="1"/>
  <c r="G2568" i="1"/>
  <c r="G2569" i="1"/>
  <c r="G2570" i="1"/>
  <c r="G2571" i="1"/>
  <c r="G2572" i="1"/>
  <c r="G2575" i="1"/>
  <c r="G2576" i="1"/>
  <c r="G2577" i="1"/>
  <c r="G2578" i="1"/>
  <c r="G2579" i="1"/>
  <c r="G2580" i="1"/>
  <c r="G2581" i="1"/>
  <c r="G2582" i="1"/>
  <c r="G2583" i="1"/>
  <c r="G2584" i="1"/>
  <c r="G2587" i="1"/>
  <c r="G2588" i="1"/>
  <c r="G2589" i="1"/>
  <c r="G2590" i="1"/>
  <c r="G2591" i="1"/>
  <c r="G2592" i="1"/>
  <c r="G2593" i="1"/>
  <c r="G2594" i="1"/>
  <c r="G2597" i="1"/>
  <c r="G2598" i="1"/>
  <c r="G2599" i="1"/>
  <c r="G2600" i="1"/>
  <c r="G2601" i="1"/>
  <c r="G2602" i="1"/>
  <c r="G2603" i="1"/>
  <c r="G2604" i="1"/>
  <c r="G2605" i="1"/>
  <c r="G2606" i="1"/>
  <c r="G2610" i="1"/>
  <c r="G2611" i="1"/>
  <c r="G2612" i="1"/>
  <c r="G2613" i="1"/>
  <c r="G2614" i="1"/>
  <c r="G2615" i="1"/>
  <c r="G2616" i="1"/>
  <c r="G2617" i="1"/>
  <c r="G2618" i="1"/>
  <c r="G2619" i="1"/>
  <c r="G2624" i="1"/>
  <c r="G2625" i="1"/>
  <c r="G2626" i="1"/>
  <c r="G2627" i="1"/>
  <c r="G2628" i="1"/>
  <c r="G2629" i="1"/>
  <c r="G2630" i="1"/>
  <c r="G2631" i="1"/>
  <c r="G2632" i="1"/>
  <c r="G2633" i="1"/>
  <c r="G2636" i="1"/>
  <c r="G2637" i="1"/>
  <c r="G2638" i="1"/>
  <c r="G2639" i="1"/>
  <c r="G2640" i="1"/>
  <c r="G2641" i="1"/>
  <c r="G2643" i="1"/>
  <c r="G2644" i="1"/>
  <c r="G2645" i="1"/>
  <c r="G2646" i="1"/>
  <c r="G2647" i="1"/>
  <c r="G2648" i="1"/>
  <c r="G2649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9" i="1"/>
  <c r="G2670" i="1"/>
  <c r="G2671" i="1"/>
  <c r="G2672" i="1"/>
  <c r="G2673" i="1"/>
  <c r="G2675" i="1"/>
  <c r="G2676" i="1"/>
  <c r="G2677" i="1"/>
  <c r="G2678" i="1"/>
  <c r="G2679" i="1"/>
  <c r="G2680" i="1"/>
  <c r="G2681" i="1"/>
  <c r="G2682" i="1"/>
  <c r="G2683" i="1"/>
  <c r="G2686" i="1"/>
  <c r="G2687" i="1"/>
  <c r="G2688" i="1"/>
  <c r="G2689" i="1"/>
  <c r="G2690" i="1"/>
  <c r="G2691" i="1"/>
  <c r="G2692" i="1"/>
  <c r="G2693" i="1"/>
  <c r="G2694" i="1"/>
  <c r="G2695" i="1"/>
  <c r="G2700" i="1"/>
  <c r="G2701" i="1"/>
  <c r="G2702" i="1"/>
  <c r="G2703" i="1"/>
  <c r="G2704" i="1"/>
  <c r="G2705" i="1"/>
  <c r="G2706" i="1"/>
  <c r="G2710" i="1"/>
  <c r="G2711" i="1"/>
  <c r="G2712" i="1"/>
  <c r="G2713" i="1"/>
  <c r="G2714" i="1"/>
  <c r="G2715" i="1"/>
  <c r="G2716" i="1"/>
  <c r="G2717" i="1"/>
  <c r="G2718" i="1"/>
  <c r="G2726" i="1"/>
  <c r="G2727" i="1"/>
  <c r="G2728" i="1"/>
  <c r="G2729" i="1"/>
  <c r="G2730" i="1"/>
  <c r="G2731" i="1"/>
  <c r="G2734" i="1"/>
  <c r="G2735" i="1"/>
  <c r="G2736" i="1"/>
  <c r="G2737" i="1"/>
  <c r="G2738" i="1"/>
  <c r="G2739" i="1"/>
  <c r="G2745" i="1"/>
  <c r="G2746" i="1"/>
  <c r="G2747" i="1"/>
  <c r="G2748" i="1"/>
  <c r="G2749" i="1"/>
  <c r="G2750" i="1"/>
  <c r="G2751" i="1"/>
  <c r="G2754" i="1"/>
  <c r="G2755" i="1"/>
  <c r="G2756" i="1"/>
  <c r="G2757" i="1"/>
  <c r="G2758" i="1"/>
  <c r="G2759" i="1"/>
  <c r="G2760" i="1"/>
  <c r="G2761" i="1"/>
  <c r="G2762" i="1"/>
  <c r="G2766" i="1"/>
  <c r="G2767" i="1"/>
  <c r="G2768" i="1"/>
  <c r="G2769" i="1"/>
  <c r="G2770" i="1"/>
  <c r="G2771" i="1"/>
  <c r="G2772" i="1"/>
  <c r="G2773" i="1"/>
  <c r="G2777" i="1"/>
  <c r="G2778" i="1"/>
  <c r="G2779" i="1"/>
  <c r="G2780" i="1"/>
  <c r="G2781" i="1"/>
  <c r="G2782" i="1"/>
  <c r="G2786" i="1"/>
  <c r="G2787" i="1"/>
  <c r="G2788" i="1"/>
  <c r="G2789" i="1"/>
  <c r="G2790" i="1"/>
  <c r="G2791" i="1"/>
  <c r="G2792" i="1"/>
  <c r="G2797" i="1"/>
  <c r="G2798" i="1"/>
  <c r="G2799" i="1"/>
  <c r="G2800" i="1"/>
  <c r="G2801" i="1"/>
  <c r="G2802" i="1"/>
  <c r="G2803" i="1"/>
  <c r="G2807" i="1"/>
  <c r="G2808" i="1"/>
  <c r="G2809" i="1"/>
  <c r="G2810" i="1"/>
  <c r="G2811" i="1"/>
  <c r="G2812" i="1"/>
  <c r="G2813" i="1"/>
  <c r="G2814" i="1"/>
  <c r="G2815" i="1"/>
  <c r="G2819" i="1"/>
  <c r="G2820" i="1"/>
  <c r="G2821" i="1"/>
  <c r="G2822" i="1"/>
  <c r="G2823" i="1"/>
  <c r="G2824" i="1"/>
  <c r="G2825" i="1"/>
  <c r="G2826" i="1"/>
  <c r="G2827" i="1"/>
  <c r="G2832" i="1"/>
  <c r="G2833" i="1"/>
  <c r="G2834" i="1"/>
  <c r="G2835" i="1"/>
  <c r="G2836" i="1"/>
  <c r="G2837" i="1"/>
  <c r="G2838" i="1"/>
  <c r="G2839" i="1"/>
  <c r="G2849" i="1"/>
  <c r="G2850" i="1"/>
  <c r="G2851" i="1"/>
  <c r="G2852" i="1"/>
  <c r="G2853" i="1"/>
  <c r="G2854" i="1"/>
  <c r="G2857" i="1"/>
  <c r="G2858" i="1"/>
  <c r="G2859" i="1"/>
  <c r="G2860" i="1"/>
  <c r="G2861" i="1"/>
  <c r="G2862" i="1"/>
  <c r="G2863" i="1"/>
  <c r="G2864" i="1"/>
  <c r="G2868" i="1"/>
  <c r="G2869" i="1"/>
  <c r="G2870" i="1"/>
  <c r="G2871" i="1"/>
  <c r="G2872" i="1"/>
  <c r="G2873" i="1"/>
  <c r="G2874" i="1"/>
  <c r="G2875" i="1"/>
  <c r="G2879" i="1"/>
  <c r="G2880" i="1"/>
  <c r="G2881" i="1"/>
  <c r="G2882" i="1"/>
  <c r="G2883" i="1"/>
  <c r="G2884" i="1"/>
  <c r="G2885" i="1"/>
  <c r="G2886" i="1"/>
  <c r="G2889" i="1"/>
  <c r="G2890" i="1"/>
  <c r="G2891" i="1"/>
  <c r="G2892" i="1"/>
  <c r="G2893" i="1"/>
  <c r="G2894" i="1"/>
  <c r="G2895" i="1"/>
  <c r="G2902" i="1"/>
  <c r="G2903" i="1"/>
  <c r="G2904" i="1"/>
  <c r="G2905" i="1"/>
  <c r="G2906" i="1"/>
  <c r="G2907" i="1"/>
  <c r="G2908" i="1"/>
  <c r="G2909" i="1"/>
  <c r="G2910" i="1"/>
  <c r="G2911" i="1"/>
  <c r="G2915" i="1"/>
  <c r="G2916" i="1"/>
  <c r="G2917" i="1"/>
  <c r="G2918" i="1"/>
  <c r="G2919" i="1"/>
  <c r="G2920" i="1"/>
  <c r="G2921" i="1"/>
  <c r="G2922" i="1"/>
  <c r="G2927" i="1"/>
  <c r="G2928" i="1"/>
  <c r="G2929" i="1"/>
  <c r="G2930" i="1"/>
  <c r="G2931" i="1"/>
  <c r="G2932" i="1"/>
  <c r="G2933" i="1"/>
  <c r="G2934" i="1"/>
  <c r="G2935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61" i="1"/>
  <c r="G2962" i="1"/>
  <c r="G2963" i="1"/>
  <c r="G2964" i="1"/>
  <c r="G2965" i="1"/>
  <c r="G2971" i="1"/>
  <c r="G2972" i="1"/>
  <c r="G2973" i="1"/>
  <c r="G2974" i="1"/>
  <c r="G2975" i="1"/>
  <c r="G2976" i="1"/>
  <c r="G2977" i="1"/>
  <c r="G2978" i="1"/>
  <c r="G2979" i="1"/>
  <c r="G2982" i="1"/>
  <c r="G2983" i="1"/>
  <c r="G2984" i="1"/>
  <c r="G2985" i="1"/>
  <c r="G2986" i="1"/>
  <c r="G2987" i="1"/>
  <c r="G2988" i="1"/>
  <c r="G2989" i="1"/>
  <c r="G2991" i="1"/>
  <c r="G2992" i="1"/>
  <c r="G2993" i="1"/>
  <c r="G2994" i="1"/>
  <c r="G2995" i="1"/>
  <c r="G2996" i="1"/>
  <c r="G2997" i="1"/>
  <c r="G3000" i="1"/>
  <c r="G3001" i="1"/>
  <c r="G3002" i="1"/>
  <c r="G3003" i="1"/>
  <c r="G3004" i="1"/>
  <c r="G3005" i="1"/>
  <c r="G3006" i="1"/>
  <c r="G3007" i="1"/>
  <c r="G3008" i="1"/>
  <c r="G3011" i="1"/>
  <c r="G3012" i="1"/>
  <c r="G3013" i="1"/>
  <c r="G3014" i="1"/>
  <c r="G3015" i="1"/>
  <c r="G3016" i="1"/>
  <c r="G3017" i="1"/>
  <c r="G3018" i="1"/>
  <c r="G3019" i="1"/>
  <c r="G3026" i="1"/>
  <c r="G3027" i="1"/>
  <c r="G3028" i="1"/>
  <c r="G3029" i="1"/>
  <c r="G3030" i="1"/>
  <c r="G3031" i="1"/>
  <c r="G3032" i="1"/>
  <c r="G3033" i="1"/>
  <c r="G3034" i="1"/>
  <c r="G3036" i="1"/>
  <c r="G3037" i="1"/>
  <c r="G3038" i="1"/>
  <c r="G3039" i="1"/>
  <c r="G3040" i="1"/>
  <c r="G3042" i="1"/>
  <c r="G3043" i="1"/>
  <c r="G3044" i="1"/>
  <c r="G3045" i="1"/>
  <c r="G3046" i="1"/>
  <c r="G3047" i="1"/>
  <c r="G3053" i="1"/>
  <c r="G3054" i="1"/>
  <c r="G3055" i="1"/>
  <c r="G3056" i="1"/>
  <c r="G3057" i="1"/>
  <c r="G3058" i="1"/>
  <c r="G3059" i="1"/>
  <c r="G3060" i="1"/>
  <c r="G3066" i="1"/>
  <c r="G3067" i="1"/>
  <c r="G3068" i="1"/>
  <c r="G3069" i="1"/>
  <c r="G3070" i="1"/>
  <c r="G3071" i="1"/>
  <c r="G3075" i="1"/>
  <c r="G3076" i="1"/>
  <c r="G3077" i="1"/>
  <c r="G3078" i="1"/>
  <c r="G3079" i="1"/>
  <c r="G3080" i="1"/>
  <c r="G3081" i="1"/>
  <c r="G3082" i="1"/>
  <c r="G3083" i="1"/>
  <c r="G3084" i="1"/>
  <c r="G3086" i="1"/>
  <c r="G3087" i="1"/>
  <c r="G3088" i="1"/>
  <c r="G3089" i="1"/>
  <c r="G3090" i="1"/>
  <c r="G3091" i="1"/>
  <c r="G3094" i="1"/>
  <c r="G3095" i="1"/>
  <c r="G3096" i="1"/>
  <c r="G3097" i="1"/>
  <c r="G3098" i="1"/>
  <c r="G3102" i="1"/>
  <c r="G3103" i="1"/>
  <c r="G3104" i="1"/>
  <c r="G3105" i="1"/>
  <c r="G3106" i="1"/>
  <c r="G3107" i="1"/>
  <c r="G3108" i="1"/>
  <c r="G3109" i="1"/>
  <c r="G3110" i="1"/>
  <c r="G3111" i="1"/>
  <c r="G3113" i="1"/>
  <c r="G3114" i="1"/>
  <c r="G3115" i="1"/>
  <c r="G3116" i="1"/>
  <c r="G3117" i="1"/>
  <c r="G3120" i="1"/>
  <c r="G3121" i="1"/>
  <c r="G3122" i="1"/>
  <c r="G3123" i="1"/>
  <c r="G3124" i="1"/>
  <c r="G3125" i="1"/>
  <c r="G3126" i="1"/>
  <c r="G3127" i="1"/>
  <c r="G3128" i="1"/>
  <c r="G3132" i="1"/>
  <c r="G3133" i="1"/>
  <c r="G3134" i="1"/>
  <c r="G3135" i="1"/>
  <c r="G3136" i="1"/>
  <c r="G3137" i="1"/>
  <c r="G3140" i="1"/>
  <c r="G3141" i="1"/>
  <c r="G3142" i="1"/>
  <c r="G3143" i="1"/>
  <c r="G3144" i="1"/>
  <c r="G3145" i="1"/>
  <c r="G3146" i="1"/>
  <c r="G3147" i="1"/>
  <c r="G3148" i="1"/>
  <c r="G3149" i="1"/>
  <c r="G3155" i="1"/>
  <c r="G3156" i="1"/>
  <c r="G3157" i="1"/>
  <c r="G3158" i="1"/>
  <c r="G3159" i="1"/>
  <c r="G3160" i="1"/>
  <c r="G3163" i="1"/>
  <c r="G3164" i="1"/>
  <c r="G3165" i="1"/>
  <c r="G3166" i="1"/>
  <c r="G3167" i="1"/>
  <c r="G3168" i="1"/>
  <c r="G3169" i="1"/>
  <c r="G3174" i="1"/>
  <c r="G3175" i="1"/>
  <c r="G3176" i="1"/>
  <c r="G3177" i="1"/>
  <c r="G3178" i="1"/>
  <c r="G3179" i="1"/>
  <c r="G3180" i="1"/>
  <c r="G3181" i="1"/>
  <c r="G3187" i="1"/>
  <c r="G3188" i="1"/>
  <c r="G3189" i="1"/>
  <c r="G3190" i="1"/>
  <c r="G3191" i="1"/>
  <c r="G3192" i="1"/>
  <c r="G3193" i="1"/>
  <c r="G3194" i="1"/>
  <c r="G3196" i="1"/>
  <c r="G3197" i="1"/>
  <c r="G3198" i="1"/>
  <c r="G3199" i="1"/>
  <c r="G3200" i="1"/>
  <c r="G3201" i="1"/>
  <c r="G3203" i="1"/>
  <c r="G3204" i="1"/>
  <c r="G3205" i="1"/>
  <c r="G3206" i="1"/>
  <c r="G3207" i="1"/>
  <c r="G3208" i="1"/>
  <c r="G3209" i="1"/>
  <c r="G3210" i="1"/>
  <c r="G3211" i="1"/>
  <c r="G3215" i="1"/>
  <c r="G3216" i="1"/>
  <c r="G3217" i="1"/>
  <c r="G3218" i="1"/>
  <c r="G3219" i="1"/>
  <c r="G3220" i="1"/>
  <c r="G3221" i="1"/>
  <c r="G3222" i="1"/>
  <c r="G3223" i="1"/>
  <c r="G3224" i="1"/>
  <c r="G3229" i="1"/>
  <c r="G3230" i="1"/>
  <c r="G3231" i="1"/>
  <c r="G3232" i="1"/>
  <c r="G3233" i="1"/>
  <c r="G3235" i="1"/>
  <c r="G3236" i="1"/>
  <c r="G3237" i="1"/>
  <c r="G3238" i="1"/>
  <c r="G3239" i="1"/>
  <c r="G3244" i="1"/>
  <c r="G3245" i="1"/>
  <c r="G3246" i="1"/>
  <c r="G3247" i="1"/>
  <c r="G3248" i="1"/>
  <c r="G3249" i="1"/>
  <c r="G3250" i="1"/>
  <c r="G3251" i="1"/>
  <c r="G3252" i="1"/>
  <c r="G3253" i="1"/>
  <c r="G3259" i="1"/>
  <c r="G3260" i="1"/>
  <c r="G3261" i="1"/>
  <c r="G3262" i="1"/>
  <c r="G3263" i="1"/>
  <c r="G3264" i="1"/>
  <c r="G3265" i="1"/>
  <c r="G3267" i="1"/>
  <c r="G3268" i="1"/>
  <c r="G3269" i="1"/>
  <c r="G3270" i="1"/>
  <c r="G3271" i="1"/>
  <c r="G3272" i="1"/>
  <c r="G3273" i="1"/>
  <c r="G3274" i="1"/>
  <c r="G3275" i="1"/>
  <c r="G3277" i="1"/>
  <c r="G3278" i="1"/>
  <c r="G3279" i="1"/>
  <c r="G3280" i="1"/>
  <c r="G3281" i="1"/>
  <c r="G3282" i="1"/>
  <c r="G3283" i="1"/>
  <c r="G3288" i="1"/>
  <c r="G3289" i="1"/>
  <c r="G3290" i="1"/>
  <c r="G3291" i="1"/>
  <c r="G3292" i="1"/>
  <c r="G3293" i="1"/>
  <c r="G3294" i="1"/>
  <c r="G3295" i="1"/>
  <c r="G3299" i="1"/>
  <c r="G3300" i="1"/>
  <c r="G3301" i="1"/>
  <c r="G3302" i="1"/>
  <c r="G3303" i="1"/>
  <c r="G3304" i="1"/>
  <c r="G3305" i="1"/>
  <c r="G3306" i="1"/>
  <c r="G3309" i="1"/>
  <c r="G3310" i="1"/>
  <c r="G3311" i="1"/>
  <c r="G3312" i="1"/>
  <c r="G3313" i="1"/>
  <c r="G3314" i="1"/>
  <c r="G3316" i="1"/>
  <c r="G3317" i="1"/>
  <c r="G3318" i="1"/>
  <c r="G3319" i="1"/>
  <c r="G3320" i="1"/>
  <c r="G3321" i="1"/>
  <c r="G3322" i="1"/>
  <c r="G3326" i="1"/>
  <c r="G3327" i="1"/>
  <c r="G3328" i="1"/>
  <c r="G3329" i="1"/>
  <c r="G3330" i="1"/>
  <c r="G3331" i="1"/>
  <c r="G3332" i="1"/>
  <c r="G3333" i="1"/>
  <c r="G3334" i="1"/>
  <c r="G3336" i="1"/>
  <c r="G3337" i="1"/>
  <c r="G3338" i="1"/>
  <c r="G3339" i="1"/>
  <c r="G3340" i="1"/>
  <c r="G3341" i="1"/>
  <c r="G3342" i="1"/>
  <c r="G3343" i="1"/>
  <c r="G3350" i="1"/>
  <c r="G3351" i="1"/>
  <c r="G3352" i="1"/>
  <c r="G3353" i="1"/>
  <c r="G3354" i="1"/>
  <c r="G3355" i="1"/>
  <c r="G3360" i="1"/>
  <c r="G3361" i="1"/>
  <c r="G3362" i="1"/>
  <c r="G3363" i="1"/>
  <c r="G3364" i="1"/>
  <c r="G3367" i="1"/>
  <c r="G3368" i="1"/>
  <c r="G3369" i="1"/>
  <c r="G3370" i="1"/>
  <c r="G3371" i="1"/>
  <c r="G3372" i="1"/>
  <c r="G3373" i="1"/>
  <c r="G3374" i="1"/>
  <c r="G3375" i="1"/>
  <c r="G3376" i="1"/>
  <c r="G3382" i="1"/>
  <c r="G3383" i="1"/>
  <c r="G3384" i="1"/>
  <c r="G3385" i="1"/>
  <c r="G3386" i="1"/>
  <c r="G3392" i="1"/>
  <c r="G3393" i="1"/>
  <c r="G3394" i="1"/>
  <c r="G3395" i="1"/>
  <c r="G3396" i="1"/>
  <c r="G3398" i="1"/>
  <c r="G3399" i="1"/>
  <c r="G3400" i="1"/>
  <c r="G3401" i="1"/>
  <c r="G3402" i="1"/>
  <c r="G3403" i="1"/>
  <c r="G3404" i="1"/>
  <c r="G3408" i="1"/>
  <c r="G3409" i="1"/>
  <c r="G3410" i="1"/>
  <c r="G3411" i="1"/>
  <c r="G3412" i="1"/>
  <c r="G3413" i="1"/>
  <c r="G3414" i="1"/>
  <c r="G3415" i="1"/>
  <c r="G3416" i="1"/>
  <c r="G3421" i="1"/>
  <c r="G3422" i="1"/>
  <c r="G3423" i="1"/>
  <c r="G3424" i="1"/>
  <c r="G3425" i="1"/>
  <c r="G3426" i="1"/>
  <c r="G3429" i="1"/>
  <c r="G3430" i="1"/>
  <c r="G3431" i="1"/>
  <c r="G3432" i="1"/>
  <c r="G3433" i="1"/>
  <c r="G3434" i="1"/>
  <c r="G3435" i="1"/>
  <c r="G3436" i="1"/>
  <c r="G3441" i="1"/>
  <c r="G3442" i="1"/>
  <c r="G3443" i="1"/>
  <c r="G3444" i="1"/>
  <c r="G3445" i="1"/>
  <c r="G3446" i="1"/>
  <c r="G3447" i="1"/>
  <c r="G3448" i="1"/>
  <c r="G3449" i="1"/>
  <c r="G3453" i="1"/>
  <c r="G3454" i="1"/>
  <c r="G3455" i="1"/>
  <c r="G3456" i="1"/>
  <c r="G3457" i="1"/>
  <c r="G3460" i="1"/>
  <c r="G3461" i="1"/>
  <c r="G3462" i="1"/>
  <c r="G3463" i="1"/>
  <c r="G3464" i="1"/>
  <c r="G3465" i="1"/>
  <c r="G3468" i="1"/>
  <c r="G3469" i="1"/>
  <c r="G3470" i="1"/>
  <c r="G3471" i="1"/>
  <c r="G3472" i="1"/>
  <c r="G3473" i="1"/>
  <c r="G3478" i="1"/>
  <c r="G3479" i="1"/>
  <c r="G3480" i="1"/>
  <c r="G3481" i="1"/>
  <c r="G3482" i="1"/>
  <c r="G3483" i="1"/>
  <c r="G3484" i="1"/>
  <c r="G3488" i="1"/>
  <c r="G3489" i="1"/>
  <c r="G3490" i="1"/>
  <c r="G3491" i="1"/>
  <c r="G3492" i="1"/>
  <c r="G3493" i="1"/>
  <c r="G3494" i="1"/>
  <c r="G3495" i="1"/>
  <c r="G3496" i="1"/>
  <c r="G3502" i="1"/>
  <c r="G3503" i="1"/>
  <c r="G3504" i="1"/>
  <c r="G3505" i="1"/>
  <c r="G3506" i="1"/>
  <c r="G3507" i="1"/>
  <c r="G3508" i="1"/>
  <c r="G3512" i="1"/>
  <c r="G3513" i="1"/>
  <c r="G3514" i="1"/>
  <c r="G3515" i="1"/>
  <c r="G3516" i="1"/>
  <c r="G3517" i="1"/>
  <c r="G3523" i="1"/>
  <c r="G3524" i="1"/>
  <c r="G3525" i="1"/>
  <c r="G3526" i="1"/>
  <c r="G3527" i="1"/>
  <c r="G3528" i="1"/>
  <c r="G3529" i="1"/>
  <c r="G3530" i="1"/>
  <c r="G3531" i="1"/>
  <c r="G3532" i="1"/>
  <c r="G3537" i="1"/>
  <c r="G3538" i="1"/>
  <c r="G3539" i="1"/>
  <c r="G3540" i="1"/>
  <c r="G3541" i="1"/>
  <c r="G3542" i="1"/>
  <c r="G3543" i="1"/>
  <c r="G3544" i="1"/>
  <c r="G3547" i="1"/>
  <c r="G3548" i="1"/>
  <c r="G3549" i="1"/>
  <c r="G3550" i="1"/>
  <c r="G3551" i="1"/>
  <c r="G3552" i="1"/>
  <c r="G3553" i="1"/>
  <c r="G3559" i="1"/>
  <c r="G3560" i="1"/>
  <c r="G3561" i="1"/>
  <c r="G3562" i="1"/>
  <c r="G3563" i="1"/>
  <c r="G3564" i="1"/>
  <c r="G3568" i="1"/>
  <c r="G3569" i="1"/>
  <c r="G3570" i="1"/>
  <c r="G3571" i="1"/>
  <c r="G3572" i="1"/>
  <c r="G3573" i="1"/>
  <c r="G3574" i="1"/>
  <c r="G3575" i="1"/>
  <c r="G3576" i="1"/>
  <c r="G3577" i="1"/>
  <c r="G3580" i="1"/>
  <c r="G3581" i="1"/>
  <c r="G3582" i="1"/>
  <c r="G3583" i="1"/>
  <c r="G3584" i="1"/>
  <c r="G3585" i="1"/>
  <c r="G3586" i="1"/>
  <c r="G3588" i="1"/>
  <c r="G3589" i="1"/>
  <c r="G3590" i="1"/>
  <c r="G3591" i="1"/>
  <c r="G3592" i="1"/>
  <c r="G3593" i="1"/>
  <c r="G3594" i="1"/>
  <c r="G3595" i="1"/>
  <c r="G3596" i="1"/>
  <c r="G3600" i="1"/>
  <c r="G3601" i="1"/>
  <c r="G3602" i="1"/>
  <c r="G3603" i="1"/>
  <c r="G3604" i="1"/>
  <c r="G3605" i="1"/>
  <c r="G3606" i="1"/>
  <c r="G3610" i="1"/>
  <c r="G3611" i="1"/>
  <c r="G3612" i="1"/>
  <c r="G3613" i="1"/>
  <c r="G3614" i="1"/>
  <c r="G3615" i="1"/>
  <c r="G3616" i="1"/>
  <c r="G3617" i="1"/>
  <c r="G3618" i="1"/>
  <c r="G3619" i="1"/>
  <c r="G3624" i="1"/>
  <c r="G3625" i="1"/>
  <c r="G3626" i="1"/>
  <c r="G3627" i="1"/>
  <c r="G3628" i="1"/>
  <c r="G3629" i="1"/>
  <c r="G3630" i="1"/>
  <c r="G3631" i="1"/>
  <c r="G3632" i="1"/>
  <c r="G3633" i="1"/>
  <c r="G3638" i="1"/>
  <c r="G3639" i="1"/>
  <c r="G3640" i="1"/>
  <c r="G3641" i="1"/>
  <c r="G3642" i="1"/>
  <c r="G3643" i="1"/>
  <c r="G3644" i="1"/>
  <c r="G3647" i="1"/>
  <c r="G3648" i="1"/>
  <c r="G3649" i="1"/>
  <c r="G3650" i="1"/>
  <c r="G3651" i="1"/>
  <c r="G3652" i="1"/>
  <c r="G3656" i="1"/>
  <c r="G3657" i="1"/>
  <c r="G3658" i="1"/>
  <c r="G3659" i="1"/>
  <c r="G3660" i="1"/>
  <c r="G3661" i="1"/>
  <c r="G3662" i="1"/>
  <c r="G3663" i="1"/>
  <c r="G3670" i="1"/>
  <c r="G3671" i="1"/>
  <c r="G3672" i="1"/>
  <c r="G3673" i="1"/>
  <c r="G3674" i="1"/>
  <c r="G3675" i="1"/>
  <c r="G3676" i="1"/>
  <c r="G3677" i="1"/>
  <c r="G3680" i="1"/>
  <c r="G3681" i="1"/>
  <c r="G3682" i="1"/>
  <c r="G3683" i="1"/>
  <c r="G3684" i="1"/>
  <c r="G3685" i="1"/>
  <c r="G3686" i="1"/>
  <c r="G3692" i="1"/>
  <c r="G3693" i="1"/>
  <c r="G3694" i="1"/>
  <c r="G3695" i="1"/>
  <c r="G3696" i="1"/>
  <c r="G3701" i="1"/>
  <c r="G3702" i="1"/>
  <c r="G3703" i="1"/>
  <c r="G3704" i="1"/>
  <c r="G3705" i="1"/>
  <c r="G3706" i="1"/>
  <c r="G3707" i="1"/>
  <c r="G3711" i="1"/>
  <c r="G3712" i="1"/>
  <c r="G3713" i="1"/>
  <c r="G3714" i="1"/>
  <c r="G3715" i="1"/>
  <c r="G3716" i="1"/>
  <c r="G3717" i="1"/>
  <c r="G3718" i="1"/>
  <c r="G3719" i="1"/>
  <c r="G3720" i="1"/>
  <c r="G3722" i="1"/>
  <c r="G3723" i="1"/>
  <c r="G3724" i="1"/>
  <c r="G3725" i="1"/>
  <c r="G3726" i="1"/>
  <c r="G3727" i="1"/>
  <c r="G3728" i="1"/>
  <c r="G3730" i="1"/>
  <c r="G3731" i="1"/>
  <c r="G3732" i="1"/>
  <c r="G3733" i="1"/>
  <c r="G3734" i="1"/>
  <c r="G3735" i="1"/>
  <c r="G3736" i="1"/>
  <c r="G3737" i="1"/>
  <c r="G3738" i="1"/>
  <c r="G3744" i="1"/>
  <c r="G3745" i="1"/>
  <c r="G3746" i="1"/>
  <c r="G3747" i="1"/>
  <c r="G3748" i="1"/>
  <c r="G3750" i="1"/>
  <c r="G3751" i="1"/>
  <c r="G3752" i="1"/>
  <c r="G3753" i="1"/>
  <c r="G3754" i="1"/>
  <c r="G3761" i="1"/>
  <c r="G3762" i="1"/>
  <c r="G3763" i="1"/>
  <c r="G3764" i="1"/>
  <c r="G3765" i="1"/>
  <c r="G3766" i="1"/>
  <c r="G3767" i="1"/>
  <c r="G3768" i="1"/>
  <c r="G3773" i="1"/>
  <c r="G3774" i="1"/>
  <c r="G3775" i="1"/>
  <c r="G3776" i="1"/>
  <c r="G3777" i="1"/>
  <c r="G3778" i="1"/>
  <c r="G3779" i="1"/>
  <c r="G3784" i="1"/>
  <c r="G3785" i="1"/>
  <c r="G3786" i="1"/>
  <c r="G3787" i="1"/>
  <c r="G3788" i="1"/>
  <c r="G3789" i="1"/>
  <c r="G3790" i="1"/>
  <c r="G3791" i="1"/>
  <c r="G3792" i="1"/>
  <c r="G3793" i="1"/>
  <c r="G3800" i="1"/>
  <c r="G3801" i="1"/>
  <c r="G3802" i="1"/>
  <c r="G3803" i="1"/>
  <c r="G3804" i="1"/>
  <c r="G3805" i="1"/>
  <c r="G3806" i="1"/>
  <c r="G3807" i="1"/>
  <c r="G3813" i="1"/>
  <c r="G3814" i="1"/>
  <c r="G3815" i="1"/>
  <c r="G3816" i="1"/>
  <c r="G3817" i="1"/>
  <c r="G3818" i="1"/>
  <c r="G3823" i="1"/>
  <c r="G3824" i="1"/>
  <c r="G3825" i="1"/>
  <c r="G3826" i="1"/>
  <c r="G3827" i="1"/>
  <c r="G3828" i="1"/>
  <c r="G3829" i="1"/>
  <c r="G3830" i="1"/>
  <c r="G3831" i="1"/>
  <c r="G3836" i="1"/>
  <c r="G3837" i="1"/>
  <c r="G3838" i="1"/>
  <c r="G3839" i="1"/>
  <c r="G3840" i="1"/>
  <c r="G3841" i="1"/>
  <c r="G3842" i="1"/>
  <c r="G3849" i="1"/>
  <c r="G3850" i="1"/>
  <c r="G3851" i="1"/>
  <c r="G3852" i="1"/>
  <c r="G3853" i="1"/>
  <c r="G3854" i="1"/>
  <c r="G3860" i="1"/>
  <c r="G3861" i="1"/>
  <c r="G3862" i="1"/>
  <c r="G3863" i="1"/>
  <c r="G3864" i="1"/>
  <c r="G3869" i="1"/>
  <c r="G3870" i="1"/>
  <c r="G3871" i="1"/>
  <c r="G3872" i="1"/>
  <c r="G3873" i="1"/>
  <c r="G3874" i="1"/>
  <c r="G3875" i="1"/>
  <c r="G3876" i="1"/>
  <c r="G3877" i="1"/>
  <c r="G3882" i="1"/>
  <c r="G3883" i="1"/>
  <c r="G3884" i="1"/>
  <c r="G3885" i="1"/>
  <c r="G3886" i="1"/>
  <c r="G3887" i="1"/>
  <c r="G3888" i="1"/>
  <c r="G3889" i="1"/>
  <c r="G3894" i="1"/>
  <c r="G3895" i="1"/>
  <c r="G3896" i="1"/>
  <c r="G3897" i="1"/>
  <c r="G3898" i="1"/>
  <c r="G3899" i="1"/>
  <c r="G3900" i="1"/>
  <c r="G3901" i="1"/>
  <c r="G3903" i="1"/>
  <c r="G3904" i="1"/>
  <c r="G3905" i="1"/>
  <c r="G3906" i="1"/>
  <c r="G3907" i="1"/>
  <c r="G3908" i="1"/>
  <c r="G3914" i="1"/>
  <c r="G3915" i="1"/>
  <c r="G3916" i="1"/>
  <c r="G3917" i="1"/>
  <c r="G3918" i="1"/>
  <c r="G3919" i="1"/>
  <c r="G3920" i="1"/>
  <c r="G3923" i="1"/>
  <c r="G3924" i="1"/>
  <c r="G3925" i="1"/>
  <c r="G3926" i="1"/>
  <c r="G3927" i="1"/>
  <c r="G3928" i="1"/>
  <c r="G3929" i="1"/>
  <c r="G3935" i="1"/>
  <c r="G3936" i="1"/>
  <c r="G3937" i="1"/>
  <c r="G3938" i="1"/>
  <c r="G3939" i="1"/>
  <c r="G3940" i="1"/>
  <c r="G3944" i="1"/>
  <c r="G3945" i="1"/>
  <c r="G3946" i="1"/>
  <c r="G3947" i="1"/>
  <c r="G3948" i="1"/>
  <c r="G3949" i="1"/>
  <c r="G3950" i="1"/>
  <c r="G3951" i="1"/>
  <c r="G3956" i="1"/>
  <c r="G3957" i="1"/>
  <c r="G3958" i="1"/>
  <c r="G3959" i="1"/>
  <c r="G3960" i="1"/>
  <c r="G3965" i="1"/>
  <c r="G3966" i="1"/>
  <c r="G3967" i="1"/>
  <c r="G3968" i="1"/>
  <c r="G3969" i="1"/>
  <c r="G3970" i="1"/>
  <c r="G3971" i="1"/>
  <c r="G3972" i="1"/>
  <c r="G3981" i="1"/>
  <c r="G3982" i="1"/>
  <c r="G3983" i="1"/>
  <c r="G3984" i="1"/>
  <c r="G3985" i="1"/>
  <c r="G3989" i="1"/>
  <c r="G3990" i="1"/>
  <c r="G3991" i="1"/>
  <c r="G3992" i="1"/>
  <c r="G3993" i="1"/>
  <c r="G3994" i="1"/>
  <c r="G3995" i="1"/>
  <c r="G3996" i="1"/>
  <c r="G3997" i="1"/>
  <c r="G4002" i="1"/>
  <c r="G4003" i="1"/>
  <c r="G4004" i="1"/>
  <c r="G4005" i="1"/>
  <c r="G4006" i="1"/>
  <c r="G4007" i="1"/>
  <c r="G4008" i="1"/>
  <c r="G4009" i="1"/>
  <c r="G4010" i="1"/>
  <c r="G4011" i="1"/>
  <c r="G4015" i="1"/>
  <c r="G4016" i="1"/>
  <c r="G4017" i="1"/>
  <c r="G4018" i="1"/>
  <c r="G4019" i="1"/>
  <c r="G4020" i="1"/>
  <c r="G4021" i="1"/>
  <c r="G4022" i="1"/>
  <c r="G4023" i="1"/>
  <c r="G4032" i="1"/>
  <c r="G4033" i="1"/>
  <c r="G4034" i="1"/>
  <c r="G4035" i="1"/>
  <c r="G4036" i="1"/>
  <c r="G4037" i="1"/>
  <c r="G4038" i="1"/>
  <c r="G4039" i="1"/>
  <c r="G4040" i="1"/>
  <c r="G4042" i="1"/>
  <c r="G4043" i="1"/>
  <c r="G4044" i="1"/>
  <c r="G4045" i="1"/>
  <c r="G4046" i="1"/>
  <c r="G4047" i="1"/>
  <c r="G4052" i="1"/>
  <c r="G4053" i="1"/>
  <c r="G4054" i="1"/>
  <c r="G4055" i="1"/>
  <c r="G4056" i="1"/>
  <c r="G4057" i="1"/>
  <c r="G4058" i="1"/>
  <c r="G4059" i="1"/>
  <c r="G4060" i="1"/>
  <c r="G4063" i="1"/>
  <c r="G4064" i="1"/>
  <c r="G4065" i="1"/>
  <c r="G4066" i="1"/>
  <c r="G4067" i="1"/>
  <c r="G4069" i="1"/>
  <c r="G4070" i="1"/>
  <c r="G4071" i="1"/>
  <c r="G4072" i="1"/>
  <c r="G4073" i="1"/>
  <c r="G4074" i="1"/>
  <c r="G4075" i="1"/>
  <c r="G4081" i="1"/>
  <c r="G4082" i="1"/>
  <c r="G4083" i="1"/>
  <c r="G4084" i="1"/>
  <c r="G4085" i="1"/>
  <c r="G4086" i="1"/>
  <c r="G4087" i="1"/>
  <c r="G4091" i="1"/>
  <c r="G4092" i="1"/>
  <c r="G4093" i="1"/>
  <c r="G4094" i="1"/>
  <c r="G4095" i="1"/>
  <c r="G4096" i="1"/>
  <c r="G4097" i="1"/>
  <c r="G4098" i="1"/>
  <c r="G4099" i="1"/>
  <c r="G4103" i="1"/>
  <c r="G4104" i="1"/>
  <c r="G4105" i="1"/>
  <c r="G4106" i="1"/>
  <c r="G4107" i="1"/>
  <c r="G4108" i="1"/>
  <c r="G4109" i="1"/>
  <c r="G4110" i="1"/>
  <c r="G4116" i="1"/>
  <c r="G4117" i="1"/>
  <c r="G4118" i="1"/>
  <c r="G4119" i="1"/>
  <c r="G4120" i="1"/>
  <c r="G4124" i="1"/>
  <c r="G4125" i="1"/>
  <c r="G4126" i="1"/>
  <c r="G4127" i="1"/>
  <c r="G4128" i="1"/>
  <c r="G4129" i="1"/>
  <c r="G4132" i="1"/>
  <c r="G4133" i="1"/>
  <c r="G4134" i="1"/>
  <c r="G4135" i="1"/>
  <c r="G4136" i="1"/>
  <c r="G4137" i="1"/>
  <c r="G4138" i="1"/>
  <c r="G4139" i="1"/>
  <c r="G4140" i="1"/>
  <c r="G4141" i="1"/>
  <c r="G4144" i="1"/>
  <c r="G4145" i="1"/>
  <c r="G4146" i="1"/>
  <c r="G4147" i="1"/>
  <c r="G4148" i="1"/>
  <c r="G4152" i="1"/>
  <c r="G4153" i="1"/>
  <c r="G4154" i="1"/>
  <c r="G4155" i="1"/>
  <c r="G4156" i="1"/>
  <c r="G4157" i="1"/>
  <c r="G4158" i="1"/>
  <c r="G4159" i="1"/>
  <c r="G4160" i="1"/>
  <c r="G4161" i="1"/>
  <c r="G4169" i="1"/>
  <c r="G4170" i="1"/>
  <c r="G4171" i="1"/>
  <c r="G4172" i="1"/>
  <c r="G4173" i="1"/>
  <c r="G4177" i="1"/>
  <c r="G4178" i="1"/>
  <c r="G4179" i="1"/>
  <c r="G4180" i="1"/>
  <c r="G4181" i="1"/>
  <c r="G4182" i="1"/>
  <c r="G4183" i="1"/>
  <c r="G4184" i="1"/>
  <c r="G4185" i="1"/>
  <c r="G4191" i="1"/>
  <c r="G4192" i="1"/>
  <c r="G4193" i="1"/>
  <c r="G4194" i="1"/>
  <c r="G4195" i="1"/>
  <c r="G4196" i="1"/>
  <c r="G4197" i="1"/>
  <c r="G4202" i="1"/>
  <c r="G4203" i="1"/>
  <c r="G4204" i="1"/>
  <c r="G4205" i="1"/>
  <c r="G4206" i="1"/>
  <c r="G4207" i="1"/>
  <c r="G4208" i="1"/>
  <c r="G4209" i="1"/>
  <c r="G4214" i="1"/>
  <c r="G4215" i="1"/>
  <c r="G4216" i="1"/>
  <c r="G4217" i="1"/>
  <c r="G4218" i="1"/>
  <c r="G4219" i="1"/>
  <c r="G4220" i="1"/>
  <c r="G4221" i="1"/>
  <c r="G4225" i="1"/>
  <c r="G4226" i="1"/>
  <c r="G4227" i="1"/>
  <c r="G4228" i="1"/>
  <c r="G4229" i="1"/>
  <c r="G4234" i="1"/>
  <c r="G4235" i="1"/>
  <c r="G4236" i="1"/>
  <c r="G4237" i="1"/>
  <c r="G4238" i="1"/>
  <c r="G4239" i="1"/>
  <c r="G4240" i="1"/>
  <c r="G4243" i="1"/>
  <c r="G4244" i="1"/>
  <c r="G4245" i="1"/>
  <c r="G4246" i="1"/>
  <c r="G4247" i="1"/>
  <c r="G4251" i="1"/>
  <c r="G4252" i="1"/>
  <c r="G4253" i="1"/>
  <c r="G4254" i="1"/>
  <c r="G4255" i="1"/>
  <c r="G4256" i="1"/>
  <c r="G4257" i="1"/>
  <c r="G4263" i="1"/>
  <c r="G4264" i="1"/>
  <c r="G4265" i="1"/>
  <c r="G4266" i="1"/>
  <c r="G4267" i="1"/>
  <c r="G4268" i="1"/>
  <c r="G4270" i="1"/>
  <c r="G4271" i="1"/>
  <c r="G4272" i="1"/>
  <c r="G4273" i="1"/>
  <c r="G4274" i="1"/>
  <c r="G4275" i="1"/>
  <c r="G4276" i="1"/>
  <c r="G4277" i="1"/>
  <c r="G4278" i="1"/>
  <c r="G4287" i="1"/>
  <c r="G4288" i="1"/>
  <c r="G4289" i="1"/>
  <c r="G4290" i="1"/>
  <c r="G4291" i="1"/>
  <c r="G4292" i="1"/>
  <c r="G4293" i="1"/>
  <c r="G4299" i="1"/>
  <c r="G4300" i="1"/>
  <c r="G4301" i="1"/>
  <c r="G4302" i="1"/>
  <c r="G4303" i="1"/>
  <c r="G4304" i="1"/>
  <c r="G4305" i="1"/>
  <c r="G4309" i="1"/>
  <c r="G4310" i="1"/>
  <c r="G4311" i="1"/>
  <c r="G4312" i="1"/>
  <c r="G4313" i="1"/>
  <c r="G4318" i="1"/>
  <c r="G4319" i="1"/>
  <c r="G4320" i="1"/>
  <c r="G4321" i="1"/>
  <c r="G4322" i="1"/>
  <c r="G4323" i="1"/>
  <c r="G4324" i="1"/>
  <c r="G4325" i="1"/>
  <c r="G4326" i="1"/>
  <c r="G4327" i="1"/>
  <c r="G4332" i="1"/>
  <c r="G4333" i="1"/>
  <c r="G4334" i="1"/>
  <c r="G4335" i="1"/>
  <c r="G4336" i="1"/>
  <c r="G4337" i="1"/>
  <c r="G4338" i="1"/>
  <c r="G4339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5" i="1"/>
  <c r="G4366" i="1"/>
  <c r="G4367" i="1"/>
  <c r="G4368" i="1"/>
  <c r="G4369" i="1"/>
  <c r="G4372" i="1"/>
  <c r="G4373" i="1"/>
  <c r="G4374" i="1"/>
  <c r="G4375" i="1"/>
  <c r="G4376" i="1"/>
  <c r="G4377" i="1"/>
  <c r="G4378" i="1"/>
  <c r="G4385" i="1"/>
  <c r="G4386" i="1"/>
  <c r="G4387" i="1"/>
  <c r="G4388" i="1"/>
  <c r="G4389" i="1"/>
  <c r="G4390" i="1"/>
  <c r="G4391" i="1"/>
  <c r="G4392" i="1"/>
  <c r="G4393" i="1"/>
  <c r="G4394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6" i="1"/>
  <c r="G4417" i="1"/>
  <c r="G4418" i="1"/>
  <c r="G4419" i="1"/>
  <c r="G4420" i="1"/>
  <c r="G4421" i="1"/>
  <c r="G4422" i="1"/>
  <c r="G4431" i="1"/>
  <c r="G4432" i="1"/>
  <c r="G4433" i="1"/>
  <c r="G4434" i="1"/>
  <c r="G4435" i="1"/>
  <c r="G4436" i="1"/>
  <c r="G4437" i="1"/>
  <c r="G4438" i="1"/>
  <c r="G4443" i="1"/>
  <c r="G4444" i="1"/>
  <c r="G4445" i="1"/>
  <c r="G4446" i="1"/>
  <c r="G4447" i="1"/>
  <c r="G4448" i="1"/>
  <c r="G4449" i="1"/>
  <c r="G4450" i="1"/>
  <c r="G4451" i="1"/>
  <c r="G4457" i="1"/>
  <c r="G4458" i="1"/>
  <c r="G4459" i="1"/>
  <c r="G4460" i="1"/>
  <c r="G4461" i="1"/>
  <c r="G4462" i="1"/>
  <c r="G4463" i="1"/>
  <c r="G4464" i="1"/>
  <c r="G4469" i="1"/>
  <c r="G4470" i="1"/>
  <c r="G4471" i="1"/>
  <c r="G4472" i="1"/>
  <c r="G4473" i="1"/>
  <c r="G4478" i="1"/>
  <c r="G4479" i="1"/>
  <c r="G4480" i="1"/>
  <c r="G4481" i="1"/>
  <c r="G4482" i="1"/>
  <c r="G4483" i="1"/>
  <c r="G4486" i="1"/>
  <c r="G4487" i="1"/>
  <c r="G4488" i="1"/>
  <c r="G4489" i="1"/>
  <c r="G4490" i="1"/>
  <c r="G4491" i="1"/>
  <c r="G4492" i="1"/>
  <c r="G4493" i="1"/>
  <c r="G4494" i="1"/>
  <c r="G4496" i="1"/>
  <c r="G4497" i="1"/>
  <c r="G4498" i="1"/>
  <c r="G4499" i="1"/>
  <c r="G4500" i="1"/>
  <c r="G4501" i="1"/>
  <c r="G4502" i="1"/>
  <c r="G4503" i="1"/>
  <c r="G4504" i="1"/>
  <c r="G4505" i="1"/>
  <c r="G4508" i="1"/>
  <c r="G4509" i="1"/>
  <c r="G4510" i="1"/>
  <c r="G4511" i="1"/>
  <c r="G4512" i="1"/>
  <c r="G4515" i="1"/>
  <c r="G4516" i="1"/>
  <c r="G4517" i="1"/>
  <c r="G4518" i="1"/>
  <c r="G4519" i="1"/>
  <c r="G4520" i="1"/>
  <c r="G4521" i="1"/>
  <c r="G4522" i="1"/>
  <c r="G4525" i="1"/>
  <c r="G4526" i="1"/>
  <c r="G4527" i="1"/>
  <c r="G4528" i="1"/>
  <c r="G4529" i="1"/>
  <c r="G4530" i="1"/>
  <c r="G4531" i="1"/>
  <c r="G4532" i="1"/>
  <c r="G4533" i="1"/>
  <c r="G4536" i="1"/>
  <c r="G4537" i="1"/>
  <c r="G4538" i="1"/>
  <c r="G4539" i="1"/>
  <c r="G4540" i="1"/>
  <c r="G4542" i="1"/>
  <c r="G4543" i="1"/>
  <c r="G4544" i="1"/>
  <c r="G4545" i="1"/>
  <c r="G4546" i="1"/>
  <c r="G4547" i="1"/>
  <c r="G4548" i="1"/>
  <c r="G4549" i="1"/>
  <c r="G4551" i="1"/>
  <c r="G4552" i="1"/>
  <c r="G4553" i="1"/>
  <c r="G4554" i="1"/>
  <c r="G4555" i="1"/>
  <c r="G4556" i="1"/>
  <c r="G4560" i="1"/>
  <c r="G4561" i="1"/>
  <c r="G4562" i="1"/>
  <c r="G4563" i="1"/>
  <c r="G4564" i="1"/>
  <c r="G4565" i="1"/>
  <c r="G4566" i="1"/>
  <c r="G4567" i="1"/>
  <c r="G4568" i="1"/>
  <c r="G4571" i="1"/>
  <c r="G4572" i="1"/>
  <c r="G4573" i="1"/>
  <c r="G4574" i="1"/>
  <c r="G4575" i="1"/>
  <c r="G4576" i="1"/>
  <c r="G4577" i="1"/>
  <c r="G4578" i="1"/>
  <c r="G4579" i="1"/>
  <c r="G4584" i="1"/>
  <c r="G4585" i="1"/>
  <c r="G4586" i="1"/>
  <c r="G4587" i="1"/>
  <c r="G4588" i="1"/>
  <c r="G4589" i="1"/>
  <c r="G4590" i="1"/>
  <c r="G4593" i="1"/>
  <c r="G4594" i="1"/>
  <c r="G4595" i="1"/>
  <c r="G4596" i="1"/>
  <c r="G4597" i="1"/>
  <c r="G4598" i="1"/>
  <c r="G4605" i="1"/>
  <c r="G4606" i="1"/>
  <c r="G4607" i="1"/>
  <c r="G4608" i="1"/>
  <c r="G4609" i="1"/>
  <c r="G4610" i="1"/>
  <c r="G4611" i="1"/>
  <c r="G4612" i="1"/>
  <c r="G4613" i="1"/>
  <c r="G4614" i="1"/>
  <c r="G4617" i="1"/>
  <c r="G4618" i="1"/>
  <c r="G4619" i="1"/>
  <c r="G4620" i="1"/>
  <c r="G4621" i="1"/>
  <c r="G4624" i="1"/>
  <c r="G4625" i="1"/>
  <c r="G4626" i="1"/>
  <c r="G4627" i="1"/>
  <c r="G4628" i="1"/>
  <c r="G4629" i="1"/>
  <c r="G4630" i="1"/>
  <c r="G4633" i="1"/>
  <c r="G4634" i="1"/>
  <c r="G4635" i="1"/>
  <c r="G4636" i="1"/>
  <c r="G4637" i="1"/>
  <c r="G4638" i="1"/>
  <c r="G4639" i="1"/>
  <c r="G4640" i="1"/>
  <c r="G4641" i="1"/>
  <c r="G4644" i="1"/>
  <c r="G4645" i="1"/>
  <c r="G4646" i="1"/>
  <c r="G4647" i="1"/>
  <c r="G4648" i="1"/>
  <c r="G4652" i="1"/>
  <c r="G4653" i="1"/>
  <c r="G4654" i="1"/>
  <c r="G4655" i="1"/>
  <c r="G4656" i="1"/>
  <c r="G4657" i="1"/>
  <c r="G4658" i="1"/>
  <c r="G4659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1" i="1"/>
  <c r="G4682" i="1"/>
  <c r="G4683" i="1"/>
  <c r="G4684" i="1"/>
  <c r="G4685" i="1"/>
  <c r="G4686" i="1"/>
  <c r="G4687" i="1"/>
  <c r="G4691" i="1"/>
  <c r="G4692" i="1"/>
  <c r="G4693" i="1"/>
  <c r="G4694" i="1"/>
  <c r="G4695" i="1"/>
  <c r="G4696" i="1"/>
  <c r="G4697" i="1"/>
  <c r="G4698" i="1"/>
  <c r="G4699" i="1"/>
  <c r="G4701" i="1"/>
  <c r="G4702" i="1"/>
  <c r="G4703" i="1"/>
  <c r="G4704" i="1"/>
  <c r="G4705" i="1"/>
  <c r="G4706" i="1"/>
  <c r="G4710" i="1"/>
  <c r="G4711" i="1"/>
  <c r="G4712" i="1"/>
  <c r="G4713" i="1"/>
  <c r="G4714" i="1"/>
  <c r="G4715" i="1"/>
  <c r="G4716" i="1"/>
  <c r="G4717" i="1"/>
  <c r="G4718" i="1"/>
  <c r="G4722" i="1"/>
  <c r="G4723" i="1"/>
  <c r="G4724" i="1"/>
  <c r="G4725" i="1"/>
  <c r="G4726" i="1"/>
  <c r="G4727" i="1"/>
  <c r="G4728" i="1"/>
  <c r="G4729" i="1"/>
  <c r="G4733" i="1"/>
  <c r="G4734" i="1"/>
  <c r="G4735" i="1"/>
  <c r="G4736" i="1"/>
  <c r="G4737" i="1"/>
  <c r="G4738" i="1"/>
  <c r="G4739" i="1"/>
  <c r="G4740" i="1"/>
  <c r="G4743" i="1"/>
  <c r="G4744" i="1"/>
  <c r="G4745" i="1"/>
  <c r="G4746" i="1"/>
  <c r="G4747" i="1"/>
  <c r="G4748" i="1"/>
  <c r="G4749" i="1"/>
  <c r="G4750" i="1"/>
  <c r="G4755" i="1"/>
  <c r="G4756" i="1"/>
  <c r="G4757" i="1"/>
  <c r="G4758" i="1"/>
  <c r="G4759" i="1"/>
  <c r="G4760" i="1"/>
  <c r="G4764" i="1"/>
  <c r="G4765" i="1"/>
  <c r="G4766" i="1"/>
  <c r="G4767" i="1"/>
  <c r="G4768" i="1"/>
  <c r="G4769" i="1"/>
  <c r="G4770" i="1"/>
  <c r="G4771" i="1"/>
  <c r="G4772" i="1"/>
  <c r="G4774" i="1"/>
  <c r="G4775" i="1"/>
  <c r="G4776" i="1"/>
  <c r="G4777" i="1"/>
  <c r="G4778" i="1"/>
  <c r="G4779" i="1"/>
  <c r="G4785" i="1"/>
  <c r="G4786" i="1"/>
  <c r="G4787" i="1"/>
  <c r="G4788" i="1"/>
  <c r="G4789" i="1"/>
  <c r="G4790" i="1"/>
  <c r="G4791" i="1"/>
  <c r="G4792" i="1"/>
  <c r="G4795" i="1"/>
  <c r="G4796" i="1"/>
  <c r="G4797" i="1"/>
  <c r="G4798" i="1"/>
  <c r="G4799" i="1"/>
  <c r="G4800" i="1"/>
  <c r="G4801" i="1"/>
  <c r="G4806" i="1"/>
  <c r="G4807" i="1"/>
  <c r="G4808" i="1"/>
  <c r="G4809" i="1"/>
  <c r="G4810" i="1"/>
  <c r="G4811" i="1"/>
  <c r="G4817" i="1"/>
  <c r="G4818" i="1"/>
  <c r="G4819" i="1"/>
  <c r="G4820" i="1"/>
  <c r="G4821" i="1"/>
  <c r="G4822" i="1"/>
  <c r="G4823" i="1"/>
  <c r="G4824" i="1"/>
  <c r="G4825" i="1"/>
  <c r="G4830" i="1"/>
  <c r="G4831" i="1"/>
  <c r="G4832" i="1"/>
  <c r="G4833" i="1"/>
  <c r="G4834" i="1"/>
  <c r="G4835" i="1"/>
  <c r="G4836" i="1"/>
  <c r="G4840" i="1"/>
  <c r="G4841" i="1"/>
  <c r="G4842" i="1"/>
  <c r="G4843" i="1"/>
  <c r="G4844" i="1"/>
  <c r="G4845" i="1"/>
  <c r="G4846" i="1"/>
  <c r="G4847" i="1"/>
  <c r="G4848" i="1"/>
  <c r="G4852" i="1"/>
  <c r="G4853" i="1"/>
  <c r="G4854" i="1"/>
  <c r="G4855" i="1"/>
  <c r="G4856" i="1"/>
  <c r="G4857" i="1"/>
  <c r="G4858" i="1"/>
  <c r="G4859" i="1"/>
  <c r="G4864" i="1"/>
  <c r="G4865" i="1"/>
  <c r="G4866" i="1"/>
  <c r="G4867" i="1"/>
  <c r="G4868" i="1"/>
  <c r="G4869" i="1"/>
  <c r="G4874" i="1"/>
  <c r="G4875" i="1"/>
  <c r="G4876" i="1"/>
  <c r="G4877" i="1"/>
  <c r="G4878" i="1"/>
  <c r="G4879" i="1"/>
  <c r="G4884" i="1"/>
  <c r="G4885" i="1"/>
  <c r="G4886" i="1"/>
  <c r="G4887" i="1"/>
  <c r="G4888" i="1"/>
  <c r="G4889" i="1"/>
  <c r="G4890" i="1"/>
  <c r="G4893" i="1"/>
  <c r="G4894" i="1"/>
  <c r="G4895" i="1"/>
  <c r="G4896" i="1"/>
  <c r="G4897" i="1"/>
  <c r="G4898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23" i="1"/>
  <c r="G4924" i="1"/>
  <c r="G4925" i="1"/>
  <c r="G4926" i="1"/>
  <c r="G4927" i="1"/>
  <c r="G4928" i="1"/>
  <c r="G4929" i="1"/>
  <c r="G4930" i="1"/>
  <c r="G4931" i="1"/>
  <c r="G4932" i="1"/>
  <c r="G4940" i="1"/>
  <c r="G4941" i="1"/>
  <c r="G4942" i="1"/>
  <c r="G4943" i="1"/>
  <c r="G4944" i="1"/>
  <c r="G4945" i="1"/>
  <c r="G4946" i="1"/>
  <c r="G37" i="1"/>
  <c r="G4024" i="1"/>
  <c r="G682" i="1"/>
  <c r="G2816" i="1"/>
  <c r="G1170" i="1"/>
  <c r="G2696" i="1"/>
  <c r="G1432" i="1"/>
  <c r="G3708" i="1"/>
  <c r="G3356" i="1"/>
  <c r="G2707" i="1"/>
  <c r="G4328" i="1"/>
  <c r="G4452" i="1"/>
  <c r="G3878" i="1"/>
  <c r="G1113" i="1"/>
  <c r="G2066" i="1"/>
  <c r="G196" i="1"/>
  <c r="G550" i="1"/>
  <c r="G4599" i="1"/>
  <c r="G1332" i="1"/>
  <c r="G4088" i="1"/>
  <c r="G3182" i="1"/>
  <c r="G4198" i="1"/>
  <c r="G2541" i="1"/>
  <c r="G2107" i="1"/>
  <c r="G3697" i="1"/>
  <c r="G3150" i="1"/>
  <c r="G295" i="1"/>
  <c r="G3497" i="1"/>
  <c r="G390" i="1"/>
  <c r="G4849" i="1"/>
  <c r="G4761" i="1"/>
  <c r="G409" i="1"/>
  <c r="G4622" i="1"/>
  <c r="G4230" i="1"/>
  <c r="G1433" i="1"/>
  <c r="G4210" i="1"/>
  <c r="G4557" i="1"/>
  <c r="G3344" i="1"/>
  <c r="G3986" i="1"/>
  <c r="G2828" i="1"/>
  <c r="G4688" i="1"/>
  <c r="G2896" i="1"/>
  <c r="G3099" i="1"/>
  <c r="G4615" i="1"/>
  <c r="G2774" i="1"/>
  <c r="G4248" i="1"/>
  <c r="G3808" i="1"/>
  <c r="G2980" i="1"/>
  <c r="G2607" i="1"/>
  <c r="G4826" i="1"/>
  <c r="G3485" i="1"/>
  <c r="G4933" i="1"/>
  <c r="G165" i="1"/>
  <c r="G2016" i="1"/>
  <c r="G3151" i="1"/>
  <c r="G3072" i="1"/>
  <c r="G4649" i="1"/>
  <c r="G3987" i="1"/>
  <c r="G3678" i="1"/>
  <c r="G2840" i="1"/>
  <c r="G3048" i="1"/>
  <c r="G4917" i="1"/>
  <c r="G343" i="1"/>
  <c r="G4329" i="1"/>
  <c r="G2936" i="1"/>
  <c r="G4199" i="1"/>
  <c r="G1500" i="1"/>
  <c r="G2244" i="1"/>
  <c r="G391" i="1"/>
  <c r="G1333" i="1"/>
  <c r="G166" i="1"/>
  <c r="G4812" i="1"/>
  <c r="G4149" i="1"/>
  <c r="G3998" i="1"/>
  <c r="G2912" i="1"/>
  <c r="G3405" i="1"/>
  <c r="G3961" i="1"/>
  <c r="G3794" i="1"/>
  <c r="G4048" i="1"/>
  <c r="G3809" i="1"/>
  <c r="G3417" i="1"/>
  <c r="G4379" i="1"/>
  <c r="G4380" i="1"/>
  <c r="G4381" i="1"/>
  <c r="G4423" i="1"/>
  <c r="G2642" i="1"/>
  <c r="G214" i="1"/>
  <c r="G3973" i="1"/>
  <c r="G2346" i="1"/>
  <c r="G1357" i="1"/>
  <c r="G1976" i="1"/>
  <c r="G2471" i="1"/>
  <c r="G2719" i="1"/>
  <c r="G2312" i="1"/>
  <c r="G1501" i="1"/>
  <c r="G3739" i="1"/>
  <c r="G4130" i="1"/>
  <c r="G1772" i="1"/>
  <c r="G4249" i="1"/>
  <c r="G2674" i="1"/>
  <c r="G4360" i="1"/>
  <c r="G38" i="1"/>
  <c r="G410" i="1"/>
  <c r="G4689" i="1"/>
  <c r="G2172" i="1"/>
  <c r="G3284" i="1"/>
  <c r="G4580" i="1"/>
  <c r="G3323" i="1"/>
  <c r="G912" i="1"/>
  <c r="G460" i="1"/>
  <c r="G1637" i="1"/>
  <c r="G1804" i="1"/>
  <c r="G3518" i="1"/>
  <c r="G3345" i="1"/>
  <c r="G296" i="1"/>
  <c r="G1773" i="1"/>
  <c r="G4506" i="1"/>
  <c r="G2085" i="1"/>
  <c r="G4870" i="1"/>
  <c r="G2542" i="1"/>
  <c r="G3952" i="1"/>
  <c r="G4211" i="1"/>
  <c r="G1522" i="1"/>
  <c r="G2740" i="1"/>
  <c r="G1358" i="1"/>
  <c r="G2887" i="1"/>
  <c r="G2270" i="1"/>
  <c r="G884" i="1"/>
  <c r="G1257" i="1"/>
  <c r="G2959" i="1"/>
  <c r="G12" i="1"/>
  <c r="G2923" i="1"/>
  <c r="G4534" i="1"/>
  <c r="G2370" i="1"/>
  <c r="G3315" i="1"/>
  <c r="G2741" i="1"/>
  <c r="G2817" i="1"/>
  <c r="G1523" i="1"/>
  <c r="G2897" i="1"/>
  <c r="G4934" i="1"/>
  <c r="G3049" i="1"/>
  <c r="G1667" i="1"/>
  <c r="G3519" i="1"/>
  <c r="G2667" i="1"/>
  <c r="G4850" i="1"/>
  <c r="G3418" i="1"/>
  <c r="G3161" i="1"/>
  <c r="G683" i="1"/>
  <c r="G2742" i="1"/>
  <c r="G885" i="1"/>
  <c r="G805" i="1"/>
  <c r="G3387" i="1"/>
  <c r="G722" i="1"/>
  <c r="G2245" i="1"/>
  <c r="G215" i="1"/>
  <c r="G4314" i="1"/>
  <c r="G2271" i="1"/>
  <c r="G3780" i="1"/>
  <c r="G3285" i="1"/>
  <c r="G3554" i="1"/>
  <c r="G2200" i="1"/>
  <c r="G4507" i="1"/>
  <c r="G2841" i="1"/>
  <c r="G4241" i="1"/>
  <c r="G3365" i="1"/>
  <c r="G1019" i="1"/>
  <c r="G367" i="1"/>
  <c r="G3832" i="1"/>
  <c r="G297" i="1"/>
  <c r="G3843" i="1"/>
  <c r="G2017" i="1"/>
  <c r="G119" i="1"/>
  <c r="G2898" i="1"/>
  <c r="G1434" i="1"/>
  <c r="G3749" i="1"/>
  <c r="G2379" i="1"/>
  <c r="G4076" i="1"/>
  <c r="G1020" i="1"/>
  <c r="G1334" i="1"/>
  <c r="G2563" i="1"/>
  <c r="G1279" i="1"/>
  <c r="G762" i="1"/>
  <c r="G4871" i="1"/>
  <c r="G3844" i="1"/>
  <c r="G3129" i="1"/>
  <c r="G3645" i="1"/>
  <c r="G3212" i="1"/>
  <c r="G3819" i="1"/>
  <c r="G3664" i="1"/>
  <c r="G4751" i="1"/>
  <c r="G4212" i="1"/>
  <c r="G498" i="1"/>
  <c r="G3653" i="1"/>
  <c r="G3921" i="1"/>
  <c r="G913" i="1"/>
  <c r="G2608" i="1"/>
  <c r="G1359" i="1"/>
  <c r="G3100" i="1"/>
  <c r="G3466" i="1"/>
  <c r="G3698" i="1"/>
  <c r="G2142" i="1"/>
  <c r="G4660" i="1"/>
  <c r="G3346" i="1"/>
  <c r="G2829" i="1"/>
  <c r="G2129" i="1"/>
  <c r="G2057" i="1"/>
  <c r="G4025" i="1"/>
  <c r="G3035" i="1"/>
  <c r="G2966" i="1"/>
  <c r="G1050" i="1"/>
  <c r="G3634" i="1"/>
  <c r="G3941" i="1"/>
  <c r="G4361" i="1"/>
  <c r="G3520" i="1"/>
  <c r="G216" i="1"/>
  <c r="G4935" i="1"/>
  <c r="G605" i="1"/>
  <c r="G2489" i="1"/>
  <c r="G4918" i="1"/>
  <c r="G3974" i="1"/>
  <c r="G3474" i="1"/>
  <c r="G4200" i="1"/>
  <c r="G578" i="1"/>
  <c r="G3388" i="1"/>
  <c r="G2876" i="1"/>
  <c r="G2108" i="1"/>
  <c r="G3845" i="1"/>
  <c r="G479" i="1"/>
  <c r="G4591" i="1"/>
  <c r="G1213" i="1"/>
  <c r="G4026" i="1"/>
  <c r="G2752" i="1"/>
  <c r="G1837" i="1"/>
  <c r="G4395" i="1"/>
  <c r="G2620" i="1"/>
  <c r="G4860" i="1"/>
  <c r="G3665" i="1"/>
  <c r="G3545" i="1"/>
  <c r="G4012" i="1"/>
  <c r="G3820" i="1"/>
  <c r="G3810" i="1"/>
  <c r="G3061" i="1"/>
  <c r="G1171" i="1"/>
  <c r="G2076" i="1"/>
  <c r="G3975" i="1"/>
  <c r="G1305" i="1"/>
  <c r="G4162" i="1"/>
  <c r="G3498" i="1"/>
  <c r="G3450" i="1"/>
  <c r="G2152" i="1"/>
  <c r="G3062" i="1"/>
  <c r="G3063" i="1"/>
  <c r="G1172" i="1"/>
  <c r="G4061" i="1"/>
  <c r="G4315" i="1"/>
  <c r="G3419" i="1"/>
  <c r="G1592" i="1"/>
  <c r="G2480" i="1"/>
  <c r="G4131" i="1"/>
  <c r="G2185" i="1"/>
  <c r="G4780" i="1"/>
  <c r="G3740" i="1"/>
  <c r="G140" i="1"/>
  <c r="G1710" i="1"/>
  <c r="G1148" i="1"/>
  <c r="G4880" i="1"/>
  <c r="G3555" i="1"/>
  <c r="G1306" i="1"/>
  <c r="G4581" i="1"/>
  <c r="G4121" i="1"/>
  <c r="G1068" i="1"/>
  <c r="G2609" i="1"/>
  <c r="G4837" i="1"/>
  <c r="G4523" i="1"/>
  <c r="G4222" i="1"/>
  <c r="G2720" i="1"/>
  <c r="G3909" i="1"/>
  <c r="G4707" i="1"/>
  <c r="G2143" i="1"/>
  <c r="G3486" i="1"/>
  <c r="G1727" i="1"/>
  <c r="G2763" i="1"/>
  <c r="G3556" i="1"/>
  <c r="G2313" i="1"/>
  <c r="G4541" i="1"/>
  <c r="G1464" i="1"/>
  <c r="G3687" i="1"/>
  <c r="G579" i="1"/>
  <c r="G1258" i="1"/>
  <c r="G4163" i="1"/>
  <c r="G368" i="1"/>
  <c r="G4453" i="1"/>
  <c r="G3509" i="1"/>
  <c r="G3855" i="1"/>
  <c r="G4558" i="1"/>
  <c r="G3357" i="1"/>
  <c r="G886" i="1"/>
  <c r="G3475" i="1"/>
  <c r="G2775" i="1"/>
  <c r="G3565" i="1"/>
  <c r="G2564" i="1"/>
  <c r="G2888" i="1"/>
  <c r="G606" i="1"/>
  <c r="G4382" i="1"/>
  <c r="G3130" i="1"/>
  <c r="G4454" i="1"/>
  <c r="G3254" i="1"/>
  <c r="G4680" i="1"/>
  <c r="G2937" i="1"/>
  <c r="G3654" i="1"/>
  <c r="G3942" i="1"/>
  <c r="G4524" i="1"/>
  <c r="G2077" i="1"/>
  <c r="G2998" i="1"/>
  <c r="G3879" i="1"/>
  <c r="G806" i="1"/>
  <c r="G1747" i="1"/>
  <c r="G4569" i="1"/>
  <c r="G2650" i="1"/>
  <c r="G2793" i="1"/>
  <c r="G392" i="1"/>
  <c r="G785" i="1"/>
  <c r="G4186" i="1"/>
  <c r="G4279" i="1"/>
  <c r="G4187" i="1"/>
  <c r="G1880" i="1"/>
  <c r="G2565" i="1"/>
  <c r="G2109" i="1"/>
  <c r="G3358" i="1"/>
  <c r="G3557" i="1"/>
  <c r="G3427" i="1"/>
  <c r="G2585" i="1"/>
  <c r="G4861" i="1"/>
  <c r="G3922" i="1"/>
  <c r="G3988" i="1"/>
  <c r="G3335" i="1"/>
  <c r="G2034" i="1"/>
  <c r="G298" i="1"/>
  <c r="G2783" i="1"/>
  <c r="G13" i="1"/>
  <c r="G657" i="1"/>
  <c r="G4936" i="1"/>
  <c r="G3170" i="1"/>
  <c r="G2412" i="1"/>
  <c r="G4340" i="1"/>
  <c r="G2173" i="1"/>
  <c r="G763" i="1"/>
  <c r="G3856" i="1"/>
  <c r="G1307" i="1"/>
  <c r="G3795" i="1"/>
  <c r="G2186" i="1"/>
  <c r="G2804" i="1"/>
  <c r="G2566" i="1"/>
  <c r="G369" i="1"/>
  <c r="G4424" i="1"/>
  <c r="G499" i="1"/>
  <c r="G4280" i="1"/>
  <c r="G2794" i="1"/>
  <c r="G2458" i="1"/>
  <c r="G2272" i="1"/>
  <c r="G3389" i="1"/>
  <c r="G3255" i="1"/>
  <c r="G2216" i="1"/>
  <c r="G2990" i="1"/>
  <c r="G855" i="1"/>
  <c r="G217" i="1"/>
  <c r="G2426" i="1"/>
  <c r="G3587" i="1"/>
  <c r="G4383" i="1"/>
  <c r="G1691" i="1"/>
  <c r="G2006" i="1"/>
  <c r="G3510" i="1"/>
  <c r="G1774" i="1"/>
  <c r="G3796" i="1"/>
  <c r="G2288" i="1"/>
  <c r="G254" i="1"/>
  <c r="G2427" i="1"/>
  <c r="G2776" i="1"/>
  <c r="G3930" i="1"/>
  <c r="G4802" i="1"/>
  <c r="G167" i="1"/>
  <c r="G4550" i="1"/>
  <c r="G2764" i="1"/>
  <c r="G2390" i="1"/>
  <c r="G1668" i="1"/>
  <c r="G2865" i="1"/>
  <c r="G3566" i="1"/>
  <c r="G982" i="1"/>
  <c r="G2233" i="1"/>
  <c r="G61" i="1"/>
  <c r="G3533" i="1"/>
  <c r="G3307" i="1"/>
  <c r="G4455" i="1"/>
  <c r="G4231" i="1"/>
  <c r="G4188" i="1"/>
  <c r="G393" i="1"/>
  <c r="G2459" i="1"/>
  <c r="G4456" i="1"/>
  <c r="G4762" i="1"/>
  <c r="G120" i="1"/>
  <c r="G4631" i="1"/>
  <c r="G2371" i="1"/>
  <c r="G3962" i="1"/>
  <c r="G3709" i="1"/>
  <c r="G3846" i="1"/>
  <c r="G1308" i="1"/>
  <c r="G4049" i="1"/>
  <c r="G2110" i="1"/>
  <c r="G630" i="1"/>
  <c r="G739" i="1"/>
  <c r="G3597" i="1"/>
  <c r="G1195" i="1"/>
  <c r="G999" i="1"/>
  <c r="G1977" i="1"/>
  <c r="G4919" i="1"/>
  <c r="G2721" i="1"/>
  <c r="G2273" i="1"/>
  <c r="G3162" i="1"/>
  <c r="G658" i="1"/>
  <c r="G2842" i="1"/>
  <c r="G3607" i="1"/>
  <c r="G2246" i="1"/>
  <c r="G4089" i="1"/>
  <c r="G2722" i="1"/>
  <c r="G1389" i="1"/>
  <c r="G4100" i="1"/>
  <c r="G3811" i="1"/>
  <c r="G3910" i="1"/>
  <c r="G2274" i="1"/>
  <c r="G2938" i="1"/>
  <c r="G2634" i="1"/>
  <c r="G856" i="1"/>
  <c r="G2007" i="1"/>
  <c r="G3476" i="1"/>
  <c r="G2899" i="1"/>
  <c r="G96" i="1"/>
  <c r="G3578" i="1"/>
  <c r="G1000" i="1"/>
  <c r="G2843" i="1"/>
  <c r="G320" i="1"/>
  <c r="G3213" i="1"/>
  <c r="G3666" i="1"/>
  <c r="G3138" i="1"/>
  <c r="G2217" i="1"/>
  <c r="G4396" i="1"/>
  <c r="G4111" i="1"/>
  <c r="G2765" i="1"/>
  <c r="G4465" i="1"/>
  <c r="G740" i="1"/>
  <c r="G2708" i="1"/>
  <c r="G4164" i="1"/>
  <c r="G4027" i="1"/>
  <c r="G1130" i="1"/>
  <c r="G1051" i="1"/>
  <c r="G3451" i="1"/>
  <c r="G4730" i="1"/>
  <c r="G2337" i="1"/>
  <c r="G1114" i="1"/>
  <c r="G4294" i="1"/>
  <c r="G1413" i="1"/>
  <c r="G4642" i="1"/>
  <c r="G3976" i="1"/>
  <c r="G1934" i="1"/>
  <c r="G3286" i="1"/>
  <c r="G4535" i="1"/>
  <c r="G2510" i="1"/>
  <c r="G4316" i="1"/>
  <c r="G121" i="1"/>
  <c r="G4281" i="1"/>
  <c r="G3256" i="1"/>
  <c r="G3953" i="1"/>
  <c r="G1775" i="1"/>
  <c r="G2086" i="1"/>
  <c r="G3225" i="1"/>
  <c r="G4881" i="1"/>
  <c r="G2095" i="1"/>
  <c r="G3931" i="1"/>
  <c r="G2111" i="1"/>
  <c r="G3755" i="1"/>
  <c r="G3911" i="1"/>
  <c r="G3458" i="1"/>
  <c r="G1435" i="1"/>
  <c r="G4174" i="1"/>
  <c r="G2900" i="1"/>
  <c r="G1818" i="1"/>
  <c r="G4384" i="1"/>
  <c r="G3499" i="1"/>
  <c r="G4851" i="1"/>
  <c r="G1978" i="1"/>
  <c r="G1524" i="1"/>
  <c r="G4650" i="1"/>
  <c r="G4803" i="1"/>
  <c r="G2511" i="1"/>
  <c r="G807" i="1"/>
  <c r="G4700" i="1"/>
  <c r="G3912" i="1"/>
  <c r="G4872" i="1"/>
  <c r="G631" i="1"/>
  <c r="G4741" i="1"/>
  <c r="G3821" i="1"/>
  <c r="G2844" i="1"/>
  <c r="G1335" i="1"/>
  <c r="G4474" i="1"/>
  <c r="G1309" i="1"/>
  <c r="G500" i="1"/>
  <c r="G2753" i="1"/>
  <c r="G1230" i="1"/>
  <c r="G2533" i="1"/>
  <c r="G62" i="1"/>
  <c r="G2035" i="1"/>
  <c r="G480" i="1"/>
  <c r="G4882" i="1"/>
  <c r="G2939" i="1"/>
  <c r="G4582" i="1"/>
  <c r="G4484" i="1"/>
  <c r="G3579" i="1"/>
  <c r="G2391" i="1"/>
  <c r="G1548" i="1"/>
  <c r="G4425" i="1"/>
  <c r="G2036" i="1"/>
  <c r="G80" i="1"/>
  <c r="G2795" i="1"/>
  <c r="G370" i="1"/>
  <c r="G2924" i="1"/>
  <c r="G3467" i="1"/>
  <c r="G1728" i="1"/>
  <c r="G4891" i="1"/>
  <c r="G461" i="1"/>
  <c r="G344" i="1"/>
  <c r="G3797" i="1"/>
  <c r="G218" i="1"/>
  <c r="G4397" i="1"/>
  <c r="G4295" i="1"/>
  <c r="G1310" i="1"/>
  <c r="G3999" i="1"/>
  <c r="G4028" i="1"/>
  <c r="G3679" i="1"/>
  <c r="G2130" i="1"/>
  <c r="G4632" i="1"/>
  <c r="G1593" i="1"/>
  <c r="G3688" i="1"/>
  <c r="G1838" i="1"/>
  <c r="G2512" i="1"/>
  <c r="G2967" i="1"/>
  <c r="G1914" i="1"/>
  <c r="G4475" i="1"/>
  <c r="G3977" i="1"/>
  <c r="G2513" i="1"/>
  <c r="G2380" i="1"/>
  <c r="G299" i="1"/>
  <c r="G3963" i="1"/>
  <c r="G4600" i="1"/>
  <c r="G4601" i="1"/>
  <c r="G2067" i="1"/>
  <c r="G63" i="1"/>
  <c r="G1568" i="1"/>
  <c r="G3152" i="1"/>
  <c r="G4362" i="1"/>
  <c r="G2078" i="1"/>
  <c r="G4773" i="1"/>
  <c r="G2901" i="1"/>
  <c r="G1954" i="1"/>
  <c r="G1484" i="1"/>
  <c r="G4781" i="1"/>
  <c r="G4827" i="1"/>
  <c r="G808" i="1"/>
  <c r="G2498" i="1"/>
  <c r="G168" i="1"/>
  <c r="G3857" i="1"/>
  <c r="G2280" i="1"/>
  <c r="G1614" i="1"/>
  <c r="G2018" i="1"/>
  <c r="G3226" i="1"/>
  <c r="G4258" i="1"/>
  <c r="G3781" i="1"/>
  <c r="G2723" i="1"/>
  <c r="G1311" i="1"/>
  <c r="G4296" i="1"/>
  <c r="G3769" i="1"/>
  <c r="G1569" i="1"/>
  <c r="G4282" i="1"/>
  <c r="G2392" i="1"/>
  <c r="G3118" i="1"/>
  <c r="G2554" i="1"/>
  <c r="G1955" i="1"/>
  <c r="G4937" i="1"/>
  <c r="G1214" i="1"/>
  <c r="G3195" i="1"/>
  <c r="G3240" i="1"/>
  <c r="G141" i="1"/>
  <c r="G4719" i="1"/>
  <c r="G2372" i="1"/>
  <c r="G1979" i="1"/>
  <c r="G255" i="1"/>
  <c r="G3534" i="1"/>
  <c r="G3153" i="1"/>
  <c r="G4189" i="1"/>
  <c r="G2436" i="1"/>
  <c r="G1231" i="1"/>
  <c r="G1525" i="1"/>
  <c r="G2428" i="1"/>
  <c r="G3667" i="1"/>
  <c r="G4041" i="1"/>
  <c r="G3347" i="1"/>
  <c r="G276" i="1"/>
  <c r="G411" i="1"/>
  <c r="G3101" i="1"/>
  <c r="G4306" i="1"/>
  <c r="G3689" i="1"/>
  <c r="G4398" i="1"/>
  <c r="G4476" i="1"/>
  <c r="G412" i="1"/>
  <c r="G2651" i="1"/>
  <c r="G4259" i="1"/>
  <c r="G2845" i="1"/>
  <c r="G4283" i="1"/>
  <c r="G2289" i="1"/>
  <c r="G1131" i="1"/>
  <c r="G632" i="1"/>
  <c r="G2796" i="1"/>
  <c r="G3668" i="1"/>
  <c r="G3620" i="1"/>
  <c r="G2697" i="1"/>
  <c r="G3847" i="1"/>
  <c r="G3690" i="1"/>
  <c r="G3183" i="1"/>
  <c r="G345" i="1"/>
  <c r="G3822" i="1"/>
  <c r="G3756" i="1"/>
  <c r="G142" i="1"/>
  <c r="G4920" i="1"/>
  <c r="G965" i="1"/>
  <c r="G2218" i="1"/>
  <c r="G3621" i="1"/>
  <c r="G3437" i="1"/>
  <c r="G2358" i="1"/>
  <c r="G1729" i="1"/>
  <c r="G4813" i="1"/>
  <c r="G3406" i="1"/>
  <c r="G2913" i="1"/>
  <c r="G2019" i="1"/>
  <c r="G809" i="1"/>
  <c r="G3227" i="1"/>
  <c r="G3741" i="1"/>
  <c r="G3171" i="1"/>
  <c r="G4250" i="1"/>
  <c r="G3622" i="1"/>
  <c r="G1149" i="1"/>
  <c r="G169" i="1"/>
  <c r="G2818" i="1"/>
  <c r="G4752" i="1"/>
  <c r="G2314" i="1"/>
  <c r="G2302" i="1"/>
  <c r="G2303" i="1"/>
  <c r="G3954" i="1"/>
  <c r="G3139" i="1"/>
  <c r="G3812" i="1"/>
  <c r="G3943" i="1"/>
  <c r="G3009" i="1"/>
  <c r="G2866" i="1"/>
  <c r="G2381" i="1"/>
  <c r="G2595" i="1"/>
  <c r="G3050" i="1"/>
  <c r="G2144" i="1"/>
  <c r="G39" i="1"/>
  <c r="G1748" i="1"/>
  <c r="G3359" i="1"/>
  <c r="G4708" i="1"/>
  <c r="G4753" i="1"/>
  <c r="G2437" i="1"/>
  <c r="G2522" i="1"/>
  <c r="G2037" i="1"/>
  <c r="G3184" i="1"/>
  <c r="G633" i="1"/>
  <c r="G2281" i="1"/>
  <c r="G2925" i="1"/>
  <c r="G3287" i="1"/>
  <c r="G4029" i="1"/>
  <c r="G659" i="1"/>
  <c r="G4838" i="1"/>
  <c r="G2347" i="1"/>
  <c r="G2534" i="1"/>
  <c r="G701" i="1"/>
  <c r="G4112" i="1"/>
  <c r="G4000" i="1"/>
  <c r="G219" i="1"/>
  <c r="G2684" i="1"/>
  <c r="G2460" i="1"/>
  <c r="G3699" i="1"/>
  <c r="G2635" i="1"/>
  <c r="G3833" i="1"/>
  <c r="G3932" i="1"/>
  <c r="G4260" i="1"/>
  <c r="G321" i="1"/>
  <c r="G2315" i="1"/>
  <c r="G2732" i="1"/>
  <c r="G346" i="1"/>
  <c r="G4001" i="1"/>
  <c r="G436" i="1"/>
  <c r="G2187" i="1"/>
  <c r="G2068" i="1"/>
  <c r="G3397" i="1"/>
  <c r="G4921" i="1"/>
  <c r="G2069" i="1"/>
  <c r="G2290" i="1"/>
  <c r="G3567" i="1"/>
  <c r="G2174" i="1"/>
  <c r="G4862" i="1"/>
  <c r="G2724" i="1"/>
  <c r="G3051" i="1"/>
  <c r="G4363" i="1"/>
  <c r="G2359" i="1"/>
  <c r="G1465" i="1"/>
  <c r="G2260" i="1"/>
  <c r="G4050" i="1"/>
  <c r="G4804" i="1"/>
  <c r="G3955" i="1"/>
  <c r="G1150" i="1"/>
  <c r="G2096" i="1"/>
  <c r="G4175" i="1"/>
  <c r="G2316" i="1"/>
  <c r="G1069" i="1"/>
  <c r="G1638" i="1"/>
  <c r="G4863" i="1"/>
  <c r="G3546" i="1"/>
  <c r="G966" i="1"/>
  <c r="G1360" i="1"/>
  <c r="G1570" i="1"/>
  <c r="G143" i="1"/>
  <c r="G4720" i="1"/>
  <c r="G4426" i="1"/>
  <c r="G3438" i="1"/>
  <c r="G684" i="1"/>
  <c r="G983" i="1"/>
  <c r="G3377" i="1"/>
  <c r="G3913" i="1"/>
  <c r="G4754" i="1"/>
  <c r="G3154" i="1"/>
  <c r="G4113" i="1"/>
  <c r="G3276" i="1"/>
  <c r="G3257" i="1"/>
  <c r="G4602" i="1"/>
  <c r="G4814" i="1"/>
  <c r="G4013" i="1"/>
  <c r="G4466" i="1"/>
  <c r="G2219" i="1"/>
  <c r="G1571" i="1"/>
  <c r="G4330" i="1"/>
  <c r="G3834" i="1"/>
  <c r="G3865" i="1"/>
  <c r="G4101" i="1"/>
  <c r="G1115" i="1"/>
  <c r="G3020" i="1"/>
  <c r="G3092" i="1"/>
  <c r="G1336" i="1"/>
  <c r="G4077" i="1"/>
  <c r="G2201" i="1"/>
  <c r="G4414" i="1"/>
  <c r="G3598" i="1"/>
  <c r="G1173" i="1"/>
  <c r="G2586" i="1"/>
  <c r="G2220" i="1"/>
  <c r="G3521" i="1"/>
  <c r="G4213" i="1"/>
  <c r="G4122" i="1"/>
  <c r="G2668" i="1"/>
  <c r="G1956" i="1"/>
  <c r="G1466" i="1"/>
  <c r="G4467" i="1"/>
  <c r="G4284" i="1"/>
  <c r="G3064" i="1"/>
  <c r="G2960" i="1"/>
  <c r="G256" i="1"/>
  <c r="G1526" i="1"/>
  <c r="G4223" i="1"/>
  <c r="G3522" i="1"/>
  <c r="G3348" i="1"/>
  <c r="G4763" i="1"/>
  <c r="G4370" i="1"/>
  <c r="G1857" i="1"/>
  <c r="G2323" i="1"/>
  <c r="G2360" i="1"/>
  <c r="G4892" i="1"/>
  <c r="G551" i="1"/>
  <c r="G1312" i="1"/>
  <c r="G4439" i="1"/>
  <c r="G2291" i="1"/>
  <c r="G4947" i="1"/>
  <c r="G2097" i="1"/>
  <c r="G1070" i="1"/>
  <c r="G322" i="1"/>
  <c r="G1594" i="1"/>
  <c r="G1957" i="1"/>
  <c r="G3459" i="1"/>
  <c r="G4583" i="1"/>
  <c r="G3131" i="1"/>
  <c r="G4242" i="1"/>
  <c r="G2304" i="1"/>
  <c r="G4495" i="1"/>
  <c r="G3390" i="1"/>
  <c r="G2247" i="1"/>
  <c r="G4232" i="1"/>
  <c r="G371" i="1"/>
  <c r="G2026" i="1"/>
  <c r="G4165" i="1"/>
  <c r="G2348" i="1"/>
  <c r="G4166" i="1"/>
  <c r="G3112" i="1"/>
  <c r="G4427" i="1"/>
  <c r="G2698" i="1"/>
  <c r="G4948" i="1"/>
  <c r="G3021" i="1"/>
  <c r="G4828" i="1"/>
  <c r="G3349" i="1"/>
  <c r="G3933" i="1"/>
  <c r="G3073" i="1"/>
  <c r="G2543" i="1"/>
  <c r="G4142" i="1"/>
  <c r="G2234" i="1"/>
  <c r="G3093" i="1"/>
  <c r="G4440" i="1"/>
  <c r="G1858" i="1"/>
  <c r="G2324" i="1"/>
  <c r="G3890" i="1"/>
  <c r="G1095" i="1"/>
  <c r="G3978" i="1"/>
  <c r="G2338" i="1"/>
  <c r="G1958" i="1"/>
  <c r="G2429" i="1"/>
  <c r="G1174" i="1"/>
  <c r="G3378" i="1"/>
  <c r="G2221" i="1"/>
  <c r="G1071" i="1"/>
  <c r="G2373" i="1"/>
  <c r="G1572" i="1"/>
  <c r="G1313" i="1"/>
  <c r="G144" i="1"/>
  <c r="G4513" i="1"/>
  <c r="G1805" i="1"/>
  <c r="G2621" i="1"/>
  <c r="G3757" i="1"/>
  <c r="G3214" i="1"/>
  <c r="G4190" i="1"/>
  <c r="G1615" i="1"/>
  <c r="G2846" i="1"/>
  <c r="G3608" i="1"/>
  <c r="G4883" i="1"/>
  <c r="G1215" i="1"/>
  <c r="G2222" i="1"/>
  <c r="G3185" i="1"/>
  <c r="G2282" i="1"/>
  <c r="G4143" i="1"/>
  <c r="G3487" i="1"/>
  <c r="G3782" i="1"/>
  <c r="G4150" i="1"/>
  <c r="G437" i="1"/>
  <c r="G1196" i="1"/>
  <c r="G2027" i="1"/>
  <c r="G3866" i="1"/>
  <c r="G1361" i="1"/>
  <c r="G3439" i="1"/>
  <c r="G4123" i="1"/>
  <c r="G4090" i="1"/>
  <c r="G4742" i="1"/>
  <c r="G3835" i="1"/>
  <c r="G741" i="1"/>
  <c r="G1502" i="1"/>
  <c r="G2999" i="1"/>
  <c r="G552" i="1"/>
  <c r="G2160" i="1"/>
  <c r="G3798" i="1"/>
  <c r="G2292" i="1"/>
  <c r="G3934" i="1"/>
  <c r="G3635" i="1"/>
  <c r="G3669" i="1"/>
  <c r="G2403" i="1"/>
  <c r="G3599" i="1"/>
  <c r="G4570" i="1"/>
  <c r="G3119" i="1"/>
  <c r="G2472" i="1"/>
  <c r="G2855" i="1"/>
  <c r="G4114" i="1"/>
  <c r="G4151" i="1"/>
  <c r="G4341" i="1"/>
  <c r="G786" i="1"/>
  <c r="G1692" i="1"/>
  <c r="G2045" i="1"/>
  <c r="G4829" i="1"/>
  <c r="G1259" i="1"/>
  <c r="G4651" i="1"/>
  <c r="G2131" i="1"/>
  <c r="G4873" i="1"/>
  <c r="G2202" i="1"/>
  <c r="G1806" i="1"/>
  <c r="G1915" i="1"/>
  <c r="G438" i="1"/>
  <c r="G4603" i="1"/>
  <c r="G1021" i="1"/>
  <c r="G2481" i="1"/>
  <c r="G4068" i="1"/>
  <c r="G3452" i="1"/>
  <c r="G2261" i="1"/>
  <c r="G2499" i="1"/>
  <c r="G3609" i="1"/>
  <c r="G2567" i="1"/>
  <c r="G1151" i="1"/>
  <c r="G1776" i="1"/>
  <c r="G4176" i="1"/>
  <c r="G2968" i="1"/>
  <c r="G887" i="1"/>
  <c r="G1175" i="1"/>
  <c r="G3022" i="1"/>
  <c r="G4167" i="1"/>
  <c r="G4078" i="1"/>
  <c r="G3023" i="1"/>
  <c r="G2699" i="1"/>
  <c r="G2805" i="1"/>
  <c r="G4661" i="1"/>
  <c r="G3655" i="1"/>
  <c r="G888" i="1"/>
  <c r="G2806" i="1"/>
  <c r="G2305" i="1"/>
  <c r="G4428" i="1"/>
  <c r="G3428" i="1"/>
  <c r="G4317" i="1"/>
  <c r="G4793" i="1"/>
  <c r="G170" i="1"/>
  <c r="G2413" i="1"/>
  <c r="G462" i="1"/>
  <c r="G1260" i="1"/>
  <c r="G4839" i="1"/>
  <c r="G3024" i="1"/>
  <c r="G3052" i="1"/>
  <c r="G3241" i="1"/>
  <c r="G3296" i="1"/>
  <c r="G4014" i="1"/>
  <c r="G3308" i="1"/>
  <c r="G347" i="1"/>
  <c r="G3074" i="1"/>
  <c r="G1819" i="1"/>
  <c r="G3391" i="1"/>
  <c r="G932" i="1"/>
  <c r="G2914" i="1"/>
  <c r="G4623" i="1"/>
  <c r="G4261" i="1"/>
  <c r="G1152" i="1"/>
  <c r="G481" i="1"/>
  <c r="G4285" i="1"/>
  <c r="G1314" i="1"/>
  <c r="G2175" i="1"/>
  <c r="G3025" i="1"/>
  <c r="G3477" i="1"/>
  <c r="G2969" i="1"/>
  <c r="G1436" i="1"/>
  <c r="G2209" i="1"/>
  <c r="G2430" i="1"/>
  <c r="G3440" i="1"/>
  <c r="G3691" i="1"/>
  <c r="G2058" i="1"/>
  <c r="G2046" i="1"/>
  <c r="G439" i="1"/>
  <c r="G1052" i="1"/>
  <c r="G171" i="1"/>
  <c r="G3234" i="1"/>
  <c r="G3964" i="1"/>
  <c r="G3770" i="1"/>
  <c r="G3297" i="1"/>
  <c r="G3880" i="1"/>
  <c r="G1711" i="1"/>
  <c r="G2317" i="1"/>
  <c r="G2830" i="1"/>
  <c r="G4782" i="1"/>
  <c r="G984" i="1"/>
  <c r="G2867" i="1"/>
  <c r="G634" i="1"/>
  <c r="G4709" i="1"/>
  <c r="G580" i="1"/>
  <c r="G3783" i="1"/>
  <c r="G967" i="1"/>
  <c r="G4938" i="1"/>
  <c r="G742" i="1"/>
  <c r="G889" i="1"/>
  <c r="G3729" i="1"/>
  <c r="G4262" i="1"/>
  <c r="G4783" i="1"/>
  <c r="G3202" i="1"/>
  <c r="G4592" i="1"/>
  <c r="G2523" i="1"/>
  <c r="G4815" i="1"/>
  <c r="G3867" i="1"/>
  <c r="G3010" i="1"/>
  <c r="G372" i="1"/>
  <c r="G4168" i="1"/>
  <c r="G4805" i="1"/>
  <c r="G3623" i="1"/>
  <c r="G4415" i="1"/>
  <c r="G3758" i="1"/>
  <c r="G3881" i="1"/>
  <c r="G1315" i="1"/>
  <c r="G1280" i="1"/>
  <c r="G2248" i="1"/>
  <c r="G2059" i="1"/>
  <c r="G197" i="1"/>
  <c r="G2622" i="1"/>
  <c r="G4079" i="1"/>
  <c r="G4102" i="1"/>
  <c r="G277" i="1"/>
  <c r="G1132" i="1"/>
  <c r="G2524" i="1"/>
  <c r="G3366" i="1"/>
  <c r="G1362" i="1"/>
  <c r="G4485" i="1"/>
  <c r="G1316" i="1"/>
  <c r="G4468" i="1"/>
  <c r="G3558" i="1"/>
  <c r="G40" i="1"/>
  <c r="G1390" i="1"/>
  <c r="G1859" i="1"/>
  <c r="G501" i="1"/>
  <c r="G4269" i="1"/>
  <c r="G3902" i="1"/>
  <c r="G2132" i="1"/>
  <c r="G3742" i="1"/>
  <c r="G3743" i="1"/>
  <c r="G2596" i="1"/>
  <c r="G4604" i="1"/>
  <c r="G4731" i="1"/>
  <c r="G1935" i="1"/>
  <c r="G2877" i="1"/>
  <c r="G1096" i="1"/>
  <c r="G2981" i="1"/>
  <c r="G4331" i="1"/>
  <c r="G4062" i="1"/>
  <c r="G41" i="1"/>
  <c r="G4201" i="1"/>
  <c r="G3759" i="1"/>
  <c r="G2831" i="1"/>
  <c r="G3535" i="1"/>
  <c r="G3536" i="1"/>
  <c r="G1261" i="1"/>
  <c r="G1053" i="1"/>
  <c r="G3858" i="1"/>
  <c r="G4286" i="1"/>
  <c r="G42" i="1"/>
  <c r="G2188" i="1"/>
  <c r="G3771" i="1"/>
  <c r="G3891" i="1"/>
  <c r="G2856" i="1"/>
  <c r="G3258" i="1"/>
  <c r="G2249" i="1"/>
  <c r="G97" i="1"/>
  <c r="G3868" i="1"/>
  <c r="G2325" i="1"/>
  <c r="G4732" i="1"/>
  <c r="G3298" i="1"/>
  <c r="G3646" i="1"/>
  <c r="G1054" i="1"/>
  <c r="G3892" i="1"/>
  <c r="G1317" i="1"/>
  <c r="G985" i="1"/>
  <c r="G2262" i="1"/>
  <c r="G2189" i="1"/>
  <c r="G2161" i="1"/>
  <c r="G2306" i="1"/>
  <c r="G3700" i="1"/>
  <c r="G2709" i="1"/>
  <c r="G1959" i="1"/>
  <c r="G4307" i="1"/>
  <c r="G278" i="1"/>
  <c r="G1503" i="1"/>
  <c r="G3379" i="1"/>
  <c r="G2878" i="1"/>
  <c r="G1072" i="1"/>
  <c r="G3172" i="1"/>
  <c r="G4297" i="1"/>
  <c r="G1616" i="1"/>
  <c r="G2573" i="1"/>
  <c r="G2133" i="1"/>
  <c r="G2361" i="1"/>
  <c r="G4030" i="1"/>
  <c r="G1437" i="1"/>
  <c r="G3636" i="1"/>
  <c r="G2743" i="1"/>
  <c r="G3380" i="1"/>
  <c r="G43" i="1"/>
  <c r="G2490" i="1"/>
  <c r="G4477" i="1"/>
  <c r="G3041" i="1"/>
  <c r="G4298" i="1"/>
  <c r="G1504" i="1"/>
  <c r="G2404" i="1"/>
  <c r="G3324" i="1"/>
  <c r="G2847" i="1"/>
  <c r="G3228" i="1"/>
  <c r="G4616" i="1"/>
  <c r="G4031" i="1"/>
  <c r="G4922" i="1"/>
  <c r="G2685" i="1"/>
  <c r="G1153" i="1"/>
  <c r="G1318" i="1"/>
  <c r="G2020" i="1"/>
  <c r="G3420" i="1"/>
  <c r="G660" i="1"/>
  <c r="G3085" i="1"/>
  <c r="G4080" i="1"/>
  <c r="G2414" i="1"/>
  <c r="G3859" i="1"/>
  <c r="G4690" i="1"/>
  <c r="G4899" i="1"/>
  <c r="G2555" i="1"/>
  <c r="G3173" i="1"/>
  <c r="G4429" i="1"/>
  <c r="G2652" i="1"/>
  <c r="G220" i="1"/>
  <c r="G3637" i="1"/>
  <c r="G2008" i="1"/>
  <c r="G3893" i="1"/>
  <c r="G3325" i="1"/>
  <c r="G2733" i="1"/>
  <c r="G4308" i="1"/>
  <c r="G4430" i="1"/>
  <c r="G2744" i="1"/>
  <c r="G4364" i="1"/>
  <c r="G2448" i="1"/>
  <c r="G2926" i="1"/>
  <c r="G2514" i="1"/>
  <c r="G4721" i="1"/>
  <c r="G4939" i="1"/>
  <c r="G3760" i="1"/>
  <c r="G2940" i="1"/>
  <c r="G3500" i="1"/>
  <c r="G4051" i="1"/>
  <c r="G2415" i="1"/>
  <c r="G2339" i="1"/>
  <c r="G3186" i="1"/>
  <c r="G3772" i="1"/>
  <c r="G4233" i="1"/>
  <c r="G2326" i="1"/>
  <c r="G3065" i="1"/>
  <c r="G3381" i="1"/>
  <c r="G1777" i="1"/>
  <c r="G413" i="1"/>
  <c r="G4900" i="1"/>
  <c r="G4816" i="1"/>
  <c r="G3979" i="1"/>
  <c r="G2970" i="1"/>
  <c r="G3511" i="1"/>
  <c r="G2327" i="1"/>
  <c r="G1414" i="1"/>
  <c r="G1617" i="1"/>
  <c r="G4559" i="1"/>
  <c r="G1778" i="1"/>
  <c r="G553" i="1"/>
  <c r="G4371" i="1"/>
  <c r="G2349" i="1"/>
  <c r="G2725" i="1"/>
  <c r="G4441" i="1"/>
  <c r="G3407" i="1"/>
  <c r="G4784" i="1"/>
  <c r="G1485" i="1"/>
  <c r="G1232" i="1"/>
  <c r="G2848" i="1"/>
  <c r="G240" i="1"/>
  <c r="G4442" i="1"/>
  <c r="G4115" i="1"/>
  <c r="G2784" i="1"/>
  <c r="G2623" i="1"/>
  <c r="G3242" i="1"/>
  <c r="G723" i="1"/>
  <c r="G4514" i="1"/>
  <c r="G3710" i="1"/>
  <c r="G2482" i="1"/>
  <c r="G810" i="1"/>
  <c r="G2119" i="1"/>
  <c r="G81" i="1"/>
  <c r="G3266" i="1"/>
  <c r="G2047" i="1"/>
  <c r="G2176" i="1"/>
  <c r="G4794" i="1"/>
  <c r="G2263" i="1"/>
  <c r="G394" i="1"/>
  <c r="G2574" i="1"/>
  <c r="G14" i="1"/>
  <c r="G2785" i="1"/>
  <c r="G2223" i="1"/>
  <c r="G3799" i="1"/>
  <c r="G145" i="1"/>
  <c r="G1097" i="1"/>
  <c r="G3848" i="1"/>
  <c r="G2556" i="1"/>
  <c r="G3721" i="1"/>
  <c r="G2461" i="1"/>
  <c r="G3243" i="1"/>
  <c r="G2162" i="1"/>
  <c r="G2500" i="1"/>
  <c r="G4224" i="1"/>
  <c r="G279" i="1"/>
  <c r="G4643" i="1"/>
  <c r="G3501" i="1"/>
  <c r="G3980" i="1"/>
  <c r="G98" i="1"/>
  <c r="G1505" i="1"/>
  <c r="G1391" i="1"/>
  <c r="G607" i="1"/>
  <c r="G890" i="1"/>
  <c r="G1881" i="1"/>
  <c r="G1233" i="1"/>
  <c r="G1216" i="1"/>
  <c r="G221" i="1"/>
  <c r="G1133" i="1"/>
  <c r="G832" i="1"/>
  <c r="G1527" i="1"/>
  <c r="G968" i="1"/>
  <c r="G857" i="1"/>
  <c r="G1960" i="1"/>
  <c r="G323" i="1"/>
  <c r="G1573" i="1"/>
  <c r="G15" i="1"/>
  <c r="G463" i="1"/>
  <c r="G1574" i="1"/>
  <c r="G1234" i="1"/>
  <c r="G1438" i="1"/>
  <c r="G1669" i="1"/>
  <c r="G1073" i="1"/>
  <c r="G1363" i="1"/>
  <c r="G1820" i="1"/>
  <c r="G891" i="1"/>
  <c r="G1549" i="1"/>
  <c r="G554" i="1"/>
  <c r="G1670" i="1"/>
  <c r="G1235" i="1"/>
  <c r="G635" i="1"/>
  <c r="G222" i="1"/>
  <c r="G1671" i="1"/>
  <c r="G833" i="1"/>
  <c r="G146" i="1"/>
  <c r="G1550" i="1"/>
  <c r="G324" i="1"/>
  <c r="G1839" i="1"/>
  <c r="G1392" i="1"/>
  <c r="G373" i="1"/>
  <c r="G743" i="1"/>
  <c r="G892" i="1"/>
  <c r="G1415" i="1"/>
  <c r="G1693" i="1"/>
  <c r="G1528" i="1"/>
  <c r="G1281" i="1"/>
  <c r="G834" i="1"/>
  <c r="G933" i="1"/>
  <c r="G1749" i="1"/>
  <c r="G764" i="1"/>
  <c r="G934" i="1"/>
  <c r="G1821" i="1"/>
  <c r="G555" i="1"/>
  <c r="G1486" i="1"/>
  <c r="G1319" i="1"/>
  <c r="G1916" i="1"/>
  <c r="G858" i="1"/>
  <c r="G440" i="1"/>
  <c r="G1595" i="1"/>
  <c r="G1022" i="1"/>
  <c r="G1217" i="1"/>
  <c r="G765" i="1"/>
  <c r="G1467" i="1"/>
  <c r="G1001" i="1"/>
  <c r="G1618" i="1"/>
  <c r="G935" i="1"/>
  <c r="G147" i="1"/>
  <c r="G529" i="1"/>
  <c r="G744" i="1"/>
  <c r="G122" i="1"/>
  <c r="G952" i="1"/>
  <c r="G1439" i="1"/>
  <c r="G1529" i="1"/>
  <c r="G482" i="1"/>
  <c r="G280" i="1"/>
  <c r="G198" i="1"/>
  <c r="G257" i="1"/>
  <c r="G1440" i="1"/>
  <c r="G483" i="1"/>
  <c r="G464" i="1"/>
  <c r="G581" i="1"/>
  <c r="G502" i="1"/>
  <c r="G1197" i="1"/>
  <c r="G1530" i="1"/>
  <c r="G1441" i="1"/>
  <c r="G1882" i="1"/>
  <c r="G1917" i="1"/>
  <c r="G44" i="1"/>
  <c r="G1282" i="1"/>
  <c r="G503" i="1"/>
  <c r="G582" i="1"/>
  <c r="G223" i="1"/>
  <c r="G1596" i="1"/>
  <c r="G835" i="1"/>
  <c r="G1506" i="1"/>
  <c r="G1961" i="1"/>
  <c r="G914" i="1"/>
  <c r="G1840" i="1"/>
  <c r="G1442" i="1"/>
  <c r="G1895" i="1"/>
  <c r="G1337" i="1"/>
  <c r="G724" i="1"/>
  <c r="G1936" i="1"/>
  <c r="G1750" i="1"/>
  <c r="G258" i="1"/>
  <c r="G99" i="1"/>
  <c r="G1822" i="1"/>
  <c r="G1860" i="1"/>
  <c r="G1393" i="1"/>
  <c r="G811" i="1"/>
  <c r="G812" i="1"/>
  <c r="G1023" i="1"/>
  <c r="G414" i="1"/>
  <c r="G725" i="1"/>
  <c r="G1364" i="1"/>
  <c r="G1443" i="1"/>
  <c r="G348" i="1"/>
  <c r="G745" i="1"/>
  <c r="G441" i="1"/>
  <c r="G1002" i="1"/>
  <c r="G259" i="1"/>
  <c r="G1531" i="1"/>
  <c r="G1619" i="1"/>
  <c r="G1532" i="1"/>
  <c r="G1551" i="1"/>
  <c r="G608" i="1"/>
  <c r="G172" i="1"/>
  <c r="G173" i="1"/>
  <c r="G893" i="1"/>
  <c r="G556" i="1"/>
  <c r="G1468" i="1"/>
  <c r="G936" i="1"/>
  <c r="G1074" i="1"/>
  <c r="G1507" i="1"/>
  <c r="G1098" i="1"/>
  <c r="G395" i="1"/>
  <c r="G1099" i="1"/>
  <c r="G1055" i="1"/>
  <c r="G1694" i="1"/>
  <c r="G504" i="1"/>
  <c r="G557" i="1"/>
  <c r="G813" i="1"/>
  <c r="G1176" i="1"/>
  <c r="G465" i="1"/>
  <c r="G1508" i="1"/>
  <c r="G937" i="1"/>
  <c r="G1751" i="1"/>
  <c r="G1469" i="1"/>
  <c r="G1918" i="1"/>
  <c r="G1841" i="1"/>
  <c r="G1575" i="1"/>
  <c r="G661" i="1"/>
  <c r="G859" i="1"/>
  <c r="G636" i="1"/>
  <c r="G1134" i="1"/>
  <c r="G82" i="1"/>
  <c r="G1487" i="1"/>
  <c r="G1980" i="1"/>
  <c r="G1919" i="1"/>
  <c r="G415" i="1"/>
  <c r="G1236" i="1"/>
  <c r="G1620" i="1"/>
  <c r="G685" i="1"/>
  <c r="G1135" i="1"/>
  <c r="G1237" i="1"/>
  <c r="G349" i="1"/>
  <c r="G894" i="1"/>
  <c r="G416" i="1"/>
  <c r="G726" i="1"/>
  <c r="G64" i="1"/>
  <c r="G583" i="1"/>
  <c r="G1394" i="1"/>
  <c r="G417" i="1"/>
  <c r="G396" i="1"/>
  <c r="G1807" i="1"/>
  <c r="G1395" i="1"/>
  <c r="G986" i="1"/>
  <c r="G1842" i="1"/>
  <c r="G637" i="1"/>
  <c r="G915" i="1"/>
  <c r="G505" i="1"/>
  <c r="G1843" i="1"/>
  <c r="G558" i="1"/>
  <c r="G1416" i="1"/>
  <c r="G1444" i="1"/>
  <c r="G1396" i="1"/>
  <c r="G895" i="1"/>
  <c r="G938" i="1"/>
  <c r="G638" i="1"/>
  <c r="G953" i="1"/>
  <c r="G325" i="1"/>
  <c r="G1695" i="1"/>
  <c r="G584" i="1"/>
  <c r="G1752" i="1"/>
  <c r="G281" i="1"/>
  <c r="G1896" i="1"/>
  <c r="G1844" i="1"/>
  <c r="G1597" i="1"/>
  <c r="G1075" i="1"/>
  <c r="G662" i="1"/>
  <c r="G1672" i="1"/>
  <c r="G300" i="1"/>
  <c r="G836" i="1"/>
  <c r="G1024" i="1"/>
  <c r="G65" i="1"/>
  <c r="G83" i="1"/>
  <c r="G1730" i="1"/>
  <c r="G1937" i="1"/>
  <c r="G1365" i="1"/>
  <c r="G559" i="1"/>
  <c r="G350" i="1"/>
  <c r="G1779" i="1"/>
  <c r="G84" i="1"/>
  <c r="G1576" i="1"/>
  <c r="G1823" i="1"/>
  <c r="G1861" i="1"/>
  <c r="G1154" i="1"/>
  <c r="G969" i="1"/>
  <c r="G1552" i="1"/>
  <c r="G702" i="1"/>
  <c r="G1470" i="1"/>
  <c r="G1076" i="1"/>
  <c r="G1155" i="1"/>
  <c r="G1780" i="1"/>
  <c r="G241" i="1"/>
  <c r="G585" i="1"/>
  <c r="G703" i="1"/>
  <c r="G1262" i="1"/>
  <c r="G1577" i="1"/>
  <c r="G586" i="1"/>
  <c r="G1598" i="1"/>
  <c r="G954" i="1"/>
  <c r="G1156" i="1"/>
  <c r="G1533" i="1"/>
  <c r="G442" i="1"/>
  <c r="G639" i="1"/>
  <c r="G1445" i="1"/>
  <c r="G1366" i="1"/>
  <c r="G242" i="1"/>
  <c r="G243" i="1"/>
  <c r="G1578" i="1"/>
  <c r="G1320" i="1"/>
  <c r="G100" i="1"/>
  <c r="G746" i="1"/>
  <c r="G16" i="1"/>
  <c r="G916" i="1"/>
  <c r="G506" i="1"/>
  <c r="G148" i="1"/>
  <c r="G301" i="1"/>
  <c r="G747" i="1"/>
  <c r="G1712" i="1"/>
  <c r="G1367" i="1"/>
  <c r="G1696" i="1"/>
  <c r="G123" i="1"/>
  <c r="G663" i="1"/>
  <c r="G704" i="1"/>
  <c r="G814" i="1"/>
  <c r="G987" i="1"/>
  <c r="G860" i="1"/>
  <c r="G1753" i="1"/>
  <c r="G1488" i="1"/>
  <c r="G1621" i="1"/>
  <c r="G917" i="1"/>
  <c r="G1263" i="1"/>
  <c r="G1599" i="1"/>
  <c r="G1639" i="1"/>
  <c r="G174" i="1"/>
  <c r="G101" i="1"/>
  <c r="G85" i="1"/>
  <c r="G1471" i="1"/>
  <c r="G66" i="1"/>
  <c r="G149" i="1"/>
  <c r="G609" i="1"/>
  <c r="G1264" i="1"/>
  <c r="G150" i="1"/>
  <c r="G151" i="1"/>
  <c r="G748" i="1"/>
  <c r="G1781" i="1"/>
  <c r="G1782" i="1"/>
  <c r="G1025" i="1"/>
  <c r="G1472" i="1"/>
  <c r="G124" i="1"/>
  <c r="G1417" i="1"/>
  <c r="G1600" i="1"/>
  <c r="G1136" i="1"/>
  <c r="G1862" i="1"/>
  <c r="G705" i="1"/>
  <c r="G560" i="1"/>
  <c r="G766" i="1"/>
  <c r="G530" i="1"/>
  <c r="G1640" i="1"/>
  <c r="G1100" i="1"/>
  <c r="G466" i="1"/>
  <c r="G1622" i="1"/>
  <c r="G1397" i="1"/>
  <c r="G1962" i="1"/>
  <c r="G224" i="1"/>
  <c r="G561" i="1"/>
  <c r="G418" i="1"/>
  <c r="G45" i="1"/>
  <c r="G1601" i="1"/>
  <c r="G1238" i="1"/>
  <c r="G1731" i="1"/>
  <c r="G1198" i="1"/>
  <c r="G1897" i="1"/>
  <c r="G1981" i="1"/>
  <c r="G1077" i="1"/>
  <c r="G1808" i="1"/>
  <c r="G1446" i="1"/>
  <c r="G706" i="1"/>
  <c r="G815" i="1"/>
  <c r="G727" i="1"/>
  <c r="G1489" i="1"/>
  <c r="G939" i="1"/>
  <c r="G1003" i="1"/>
  <c r="G918" i="1"/>
  <c r="G225" i="1"/>
  <c r="G1579" i="1"/>
  <c r="G1101" i="1"/>
  <c r="G1265" i="1"/>
  <c r="G397" i="1"/>
  <c r="G1026" i="1"/>
  <c r="G1509" i="1"/>
  <c r="G374" i="1"/>
  <c r="G1602" i="1"/>
  <c r="G1534" i="1"/>
  <c r="G1603" i="1"/>
  <c r="G562" i="1"/>
  <c r="G1883" i="1"/>
  <c r="G861" i="1"/>
  <c r="G1078" i="1"/>
  <c r="G767" i="1"/>
  <c r="G1641" i="1"/>
  <c r="G1863" i="1"/>
  <c r="G1809" i="1"/>
  <c r="G1754" i="1"/>
  <c r="G1218" i="1"/>
  <c r="G1938" i="1"/>
  <c r="G816" i="1"/>
  <c r="G940" i="1"/>
  <c r="G1447" i="1"/>
  <c r="G1027" i="1"/>
  <c r="G686" i="1"/>
  <c r="G1004" i="1"/>
  <c r="G1283" i="1"/>
  <c r="G787" i="1"/>
  <c r="G443" i="1"/>
  <c r="G1939" i="1"/>
  <c r="G1284" i="1"/>
  <c r="G1028" i="1"/>
  <c r="G587" i="1"/>
  <c r="G1642" i="1"/>
  <c r="G1368" i="1"/>
  <c r="G1418" i="1"/>
  <c r="G152" i="1"/>
  <c r="G1510" i="1"/>
  <c r="G199" i="1"/>
  <c r="G1338" i="1"/>
  <c r="G1697" i="1"/>
  <c r="G1079" i="1"/>
  <c r="G1285" i="1"/>
  <c r="G1490" i="1"/>
  <c r="G467" i="1"/>
  <c r="G1116" i="1"/>
  <c r="G125" i="1"/>
  <c r="G1643" i="1"/>
  <c r="G1864" i="1"/>
  <c r="G610" i="1"/>
  <c r="G1473" i="1"/>
  <c r="G749" i="1"/>
  <c r="G563" i="1"/>
  <c r="G1644" i="1"/>
  <c r="G664" i="1"/>
  <c r="G67" i="1"/>
  <c r="G302" i="1"/>
  <c r="G102" i="1"/>
  <c r="G1177" i="1"/>
  <c r="G837" i="1"/>
  <c r="G687" i="1"/>
  <c r="G244" i="1"/>
  <c r="G1755" i="1"/>
  <c r="G303" i="1"/>
  <c r="G1339" i="1"/>
  <c r="G126" i="1"/>
  <c r="G707" i="1"/>
  <c r="G1580" i="1"/>
  <c r="G1137" i="1"/>
  <c r="G611" i="1"/>
  <c r="G1553" i="1"/>
  <c r="G1029" i="1"/>
  <c r="G588" i="1"/>
  <c r="G988" i="1"/>
  <c r="G1535" i="1"/>
  <c r="G1474" i="1"/>
  <c r="G531" i="1"/>
  <c r="G1623" i="1"/>
  <c r="G1673" i="1"/>
  <c r="G1448" i="1"/>
  <c r="G1419" i="1"/>
  <c r="G1884" i="1"/>
  <c r="G1604" i="1"/>
  <c r="G788" i="1"/>
  <c r="G1178" i="1"/>
  <c r="G1056" i="1"/>
  <c r="G419" i="1"/>
  <c r="G245" i="1"/>
  <c r="G86" i="1"/>
  <c r="G1420" i="1"/>
  <c r="G640" i="1"/>
  <c r="G46" i="1"/>
  <c r="G564" i="1"/>
  <c r="G87" i="1"/>
  <c r="G1554" i="1"/>
  <c r="G1824" i="1"/>
  <c r="G565" i="1"/>
  <c r="G175" i="1"/>
  <c r="G484" i="1"/>
  <c r="G260" i="1"/>
  <c r="G789" i="1"/>
  <c r="G1940" i="1"/>
  <c r="G507" i="1"/>
  <c r="G896" i="1"/>
  <c r="G1756" i="1"/>
  <c r="G1536" i="1"/>
  <c r="G47" i="1"/>
  <c r="G468" i="1"/>
  <c r="G1783" i="1"/>
  <c r="G1286" i="1"/>
  <c r="G1511" i="1"/>
  <c r="G708" i="1"/>
  <c r="G1512" i="1"/>
  <c r="G282" i="1"/>
  <c r="G1537" i="1"/>
  <c r="G1179" i="1"/>
  <c r="G1757" i="1"/>
  <c r="G444" i="1"/>
  <c r="G1513" i="1"/>
  <c r="G1514" i="1"/>
  <c r="G862" i="1"/>
  <c r="G326" i="1"/>
  <c r="G1825" i="1"/>
  <c r="G327" i="1"/>
  <c r="G176" i="1"/>
  <c r="G328" i="1"/>
  <c r="G641" i="1"/>
  <c r="G1005" i="1"/>
  <c r="G1555" i="1"/>
  <c r="G261" i="1"/>
  <c r="G1898" i="1"/>
  <c r="G17" i="1"/>
  <c r="G48" i="1"/>
  <c r="G1698" i="1"/>
  <c r="G1398" i="1"/>
  <c r="G709" i="1"/>
  <c r="G989" i="1"/>
  <c r="G1030" i="1"/>
  <c r="G863" i="1"/>
  <c r="G612" i="1"/>
  <c r="G1199" i="1"/>
  <c r="G768" i="1"/>
  <c r="G1399" i="1"/>
  <c r="G769" i="1"/>
  <c r="G1713" i="1"/>
  <c r="G1941" i="1"/>
  <c r="G1369" i="1"/>
  <c r="G897" i="1"/>
  <c r="G1826" i="1"/>
  <c r="G919" i="1"/>
  <c r="G1031" i="1"/>
  <c r="G508" i="1"/>
  <c r="G566" i="1"/>
  <c r="G750" i="1"/>
  <c r="G1982" i="1"/>
  <c r="G1983" i="1"/>
  <c r="G1239" i="1"/>
  <c r="G1732" i="1"/>
  <c r="G1491" i="1"/>
  <c r="G1699" i="1"/>
  <c r="G665" i="1"/>
  <c r="G751" i="1"/>
  <c r="G1032" i="1"/>
  <c r="G177" i="1"/>
  <c r="G970" i="1"/>
  <c r="G18" i="1"/>
  <c r="G1810" i="1"/>
  <c r="G1321" i="1"/>
  <c r="G1845" i="1"/>
  <c r="G688" i="1"/>
  <c r="G790" i="1"/>
  <c r="G1624" i="1"/>
  <c r="G1674" i="1"/>
  <c r="G1449" i="1"/>
  <c r="G1450" i="1"/>
  <c r="G1266" i="1"/>
  <c r="G1784" i="1"/>
  <c r="G19" i="1"/>
  <c r="G613" i="1"/>
  <c r="G469" i="1"/>
  <c r="G752" i="1"/>
  <c r="G770" i="1"/>
  <c r="G103" i="1"/>
  <c r="G614" i="1"/>
  <c r="G1885" i="1"/>
  <c r="G1240" i="1"/>
  <c r="G642" i="1"/>
  <c r="G178" i="1"/>
  <c r="G666" i="1"/>
  <c r="G1963" i="1"/>
  <c r="G920" i="1"/>
  <c r="G351" i="1"/>
  <c r="G104" i="1"/>
  <c r="G615" i="1"/>
  <c r="G1645" i="1"/>
  <c r="G1200" i="1"/>
  <c r="G1733" i="1"/>
  <c r="G1964" i="1"/>
  <c r="G485" i="1"/>
  <c r="G1340" i="1"/>
  <c r="G375" i="1"/>
  <c r="G1899" i="1"/>
  <c r="G1785" i="1"/>
  <c r="G838" i="1"/>
  <c r="G20" i="1"/>
  <c r="G616" i="1"/>
  <c r="G1241" i="1"/>
  <c r="G352" i="1"/>
  <c r="G283" i="1"/>
  <c r="G864" i="1"/>
  <c r="G1080" i="1"/>
  <c r="G971" i="1"/>
  <c r="G532" i="1"/>
  <c r="G839" i="1"/>
  <c r="G1900" i="1"/>
  <c r="G1581" i="1"/>
  <c r="G865" i="1"/>
  <c r="G105" i="1"/>
  <c r="G1492" i="1"/>
  <c r="G1242" i="1"/>
  <c r="G728" i="1"/>
  <c r="G486" i="1"/>
  <c r="G68" i="1"/>
  <c r="G990" i="1"/>
  <c r="G643" i="1"/>
  <c r="G106" i="1"/>
  <c r="G1758" i="1"/>
  <c r="G262" i="1"/>
  <c r="G153" i="1"/>
  <c r="G589" i="1"/>
  <c r="G509" i="1"/>
  <c r="G921" i="1"/>
  <c r="G1180" i="1"/>
  <c r="G817" i="1"/>
  <c r="G1493" i="1"/>
  <c r="G1886" i="1"/>
  <c r="G445" i="1"/>
  <c r="G791" i="1"/>
  <c r="G689" i="1"/>
  <c r="G49" i="1"/>
  <c r="G1965" i="1"/>
  <c r="G1646" i="1"/>
  <c r="G955" i="1"/>
  <c r="G690" i="1"/>
  <c r="G1786" i="1"/>
  <c r="G1787" i="1"/>
  <c r="G376" i="1"/>
  <c r="G771" i="1"/>
  <c r="G21" i="1"/>
  <c r="G226" i="1"/>
  <c r="G1370" i="1"/>
  <c r="G1243" i="1"/>
  <c r="G667" i="1"/>
  <c r="G1556" i="1"/>
  <c r="G284" i="1"/>
  <c r="G1827" i="1"/>
  <c r="G1341" i="1"/>
  <c r="G1138" i="1"/>
  <c r="G304" i="1"/>
  <c r="G1901" i="1"/>
  <c r="G1342" i="1"/>
  <c r="G154" i="1"/>
  <c r="G729" i="1"/>
  <c r="G991" i="1"/>
  <c r="G305" i="1"/>
  <c r="G420" i="1"/>
  <c r="G1538" i="1"/>
  <c r="G1920" i="1"/>
  <c r="G792" i="1"/>
  <c r="G1647" i="1"/>
  <c r="G1421" i="1"/>
  <c r="G1400" i="1"/>
  <c r="G617" i="1"/>
  <c r="G866" i="1"/>
  <c r="G818" i="1"/>
  <c r="G1675" i="1"/>
  <c r="G1343" i="1"/>
  <c r="G1033" i="1"/>
  <c r="G1081" i="1"/>
  <c r="G590" i="1"/>
  <c r="G1865" i="1"/>
  <c r="G510" i="1"/>
  <c r="G591" i="1"/>
  <c r="G1648" i="1"/>
  <c r="G1714" i="1"/>
  <c r="G179" i="1"/>
  <c r="G898" i="1"/>
  <c r="G941" i="1"/>
  <c r="G1942" i="1"/>
  <c r="G511" i="1"/>
  <c r="G377" i="1"/>
  <c r="G867" i="1"/>
  <c r="G1539" i="1"/>
  <c r="G533" i="1"/>
  <c r="G421" i="1"/>
  <c r="G772" i="1"/>
  <c r="G1788" i="1"/>
  <c r="G285" i="1"/>
  <c r="G1649" i="1"/>
  <c r="G512" i="1"/>
  <c r="G868" i="1"/>
  <c r="G1943" i="1"/>
  <c r="G1789" i="1"/>
  <c r="G378" i="1"/>
  <c r="G263" i="1"/>
  <c r="G1057" i="1"/>
  <c r="G592" i="1"/>
  <c r="G1540" i="1"/>
  <c r="G1650" i="1"/>
  <c r="G567" i="1"/>
  <c r="G593" i="1"/>
  <c r="G422" i="1"/>
  <c r="G1451" i="1"/>
  <c r="G329" i="1"/>
  <c r="G1734" i="1"/>
  <c r="G1790" i="1"/>
  <c r="G330" i="1"/>
  <c r="G1401" i="1"/>
  <c r="G1759" i="1"/>
  <c r="G1515" i="1"/>
  <c r="G1287" i="1"/>
  <c r="G1201" i="1"/>
  <c r="G1760" i="1"/>
  <c r="G1921" i="1"/>
  <c r="G1984" i="1"/>
  <c r="G1058" i="1"/>
  <c r="G398" i="1"/>
  <c r="G1985" i="1"/>
  <c r="G1791" i="1"/>
  <c r="G353" i="1"/>
  <c r="G1219" i="1"/>
  <c r="G331" i="1"/>
  <c r="G487" i="1"/>
  <c r="G773" i="1"/>
  <c r="G1475" i="1"/>
  <c r="G1059" i="1"/>
  <c r="G1651" i="1"/>
  <c r="G1288" i="1"/>
  <c r="G399" i="1"/>
  <c r="G668" i="1"/>
  <c r="G1267" i="1"/>
  <c r="G774" i="1"/>
  <c r="G354" i="1"/>
  <c r="G1866" i="1"/>
  <c r="G972" i="1"/>
  <c r="G1157" i="1"/>
  <c r="G793" i="1"/>
  <c r="G1139" i="1"/>
  <c r="G1202" i="1"/>
  <c r="G1060" i="1"/>
  <c r="G379" i="1"/>
  <c r="G306" i="1"/>
  <c r="G1986" i="1"/>
  <c r="G1371" i="1"/>
  <c r="G1034" i="1"/>
  <c r="G1344" i="1"/>
  <c r="G1220" i="1"/>
  <c r="G1117" i="1"/>
  <c r="G1203" i="1"/>
  <c r="G869" i="1"/>
  <c r="G246" i="1"/>
  <c r="G973" i="1"/>
  <c r="G307" i="1"/>
  <c r="G200" i="1"/>
  <c r="G1289" i="1"/>
  <c r="G534" i="1"/>
  <c r="G180" i="1"/>
  <c r="G181" i="1"/>
  <c r="G355" i="1"/>
  <c r="G1625" i="1"/>
  <c r="G1035" i="1"/>
  <c r="G568" i="1"/>
  <c r="G1605" i="1"/>
  <c r="G1422" i="1"/>
  <c r="G942" i="1"/>
  <c r="G356" i="1"/>
  <c r="G669" i="1"/>
  <c r="G22" i="1"/>
  <c r="G127" i="1"/>
  <c r="G1118" i="1"/>
  <c r="G264" i="1"/>
  <c r="G870" i="1"/>
  <c r="G1922" i="1"/>
  <c r="G1290" i="1"/>
  <c r="G128" i="1"/>
  <c r="G1372" i="1"/>
  <c r="G1966" i="1"/>
  <c r="G710" i="1"/>
  <c r="G470" i="1"/>
  <c r="G446" i="1"/>
  <c r="G380" i="1"/>
  <c r="G1322" i="1"/>
  <c r="G1761" i="1"/>
  <c r="G1119" i="1"/>
  <c r="G794" i="1"/>
  <c r="G711" i="1"/>
  <c r="G840" i="1"/>
  <c r="G1944" i="1"/>
  <c r="G423" i="1"/>
  <c r="G1082" i="1"/>
  <c r="G400" i="1"/>
  <c r="G753" i="1"/>
  <c r="G401" i="1"/>
  <c r="G1735" i="1"/>
  <c r="G247" i="1"/>
  <c r="G795" i="1"/>
  <c r="G841" i="1"/>
  <c r="G182" i="1"/>
  <c r="G1452" i="1"/>
  <c r="G1700" i="1"/>
  <c r="G1541" i="1"/>
  <c r="G1345" i="1"/>
  <c r="G1323" i="1"/>
  <c r="G899" i="1"/>
  <c r="G535" i="1"/>
  <c r="G1346" i="1"/>
  <c r="G1557" i="1"/>
  <c r="G1846" i="1"/>
  <c r="G670" i="1"/>
  <c r="G265" i="1"/>
  <c r="G1792" i="1"/>
  <c r="G1847" i="1"/>
  <c r="G308" i="1"/>
  <c r="G974" i="1"/>
  <c r="G1140" i="1"/>
  <c r="G50" i="1"/>
  <c r="G754" i="1"/>
  <c r="G183" i="1"/>
  <c r="G691" i="1"/>
  <c r="G1902" i="1"/>
  <c r="G332" i="1"/>
  <c r="G1652" i="1"/>
  <c r="G775" i="1"/>
  <c r="G1181" i="1"/>
  <c r="G536" i="1"/>
  <c r="G569" i="1"/>
  <c r="G1542" i="1"/>
  <c r="G1083" i="1"/>
  <c r="G248" i="1"/>
  <c r="G1291" i="1"/>
  <c r="G1887" i="1"/>
  <c r="G956" i="1"/>
  <c r="G712" i="1"/>
  <c r="G447" i="1"/>
  <c r="G1903" i="1"/>
  <c r="G448" i="1"/>
  <c r="G1453" i="1"/>
  <c r="G107" i="1"/>
  <c r="G992" i="1"/>
  <c r="G1701" i="1"/>
  <c r="G333" i="1"/>
  <c r="G1268" i="1"/>
  <c r="G1292" i="1"/>
  <c r="G1084" i="1"/>
  <c r="G842" i="1"/>
  <c r="G381" i="1"/>
  <c r="G488" i="1"/>
  <c r="G1454" i="1"/>
  <c r="G69" i="1"/>
  <c r="G1793" i="1"/>
  <c r="G713" i="1"/>
  <c r="G1120" i="1"/>
  <c r="G957" i="1"/>
  <c r="G819" i="1"/>
  <c r="G1402" i="1"/>
  <c r="G1221" i="1"/>
  <c r="G796" i="1"/>
  <c r="G1121" i="1"/>
  <c r="G513" i="1"/>
  <c r="G309" i="1"/>
  <c r="G382" i="1"/>
  <c r="G1403" i="1"/>
  <c r="G1036" i="1"/>
  <c r="G334" i="1"/>
  <c r="G1293" i="1"/>
  <c r="G1269" i="1"/>
  <c r="G1676" i="1"/>
  <c r="G537" i="1"/>
  <c r="G1182" i="1"/>
  <c r="G1677" i="1"/>
  <c r="G958" i="1"/>
  <c r="G266" i="1"/>
  <c r="G1404" i="1"/>
  <c r="G1848" i="1"/>
  <c r="G1423" i="1"/>
  <c r="G1204" i="1"/>
  <c r="G1715" i="1"/>
  <c r="G357" i="1"/>
  <c r="G184" i="1"/>
  <c r="G310" i="1"/>
  <c r="G714" i="1"/>
  <c r="G1678" i="1"/>
  <c r="G1222" i="1"/>
  <c r="G900" i="1"/>
  <c r="G1828" i="1"/>
  <c r="G538" i="1"/>
  <c r="G1653" i="1"/>
  <c r="G514" i="1"/>
  <c r="G424" i="1"/>
  <c r="G618" i="1"/>
  <c r="G776" i="1"/>
  <c r="G1888" i="1"/>
  <c r="G1223" i="1"/>
  <c r="G871" i="1"/>
  <c r="G1424" i="1"/>
  <c r="G1006" i="1"/>
  <c r="G671" i="1"/>
  <c r="G644" i="1"/>
  <c r="G1904" i="1"/>
  <c r="G1867" i="1"/>
  <c r="G23" i="1"/>
  <c r="G539" i="1"/>
  <c r="G1244" i="1"/>
  <c r="G201" i="1"/>
  <c r="G1007" i="1"/>
  <c r="G1606" i="1"/>
  <c r="G1905" i="1"/>
  <c r="G202" i="1"/>
  <c r="G51" i="1"/>
  <c r="G335" i="1"/>
  <c r="G24" i="1"/>
  <c r="G1037" i="1"/>
  <c r="G1324" i="1"/>
  <c r="G1373" i="1"/>
  <c r="G993" i="1"/>
  <c r="G594" i="1"/>
  <c r="G692" i="1"/>
  <c r="G619" i="1"/>
  <c r="G693" i="1"/>
  <c r="G185" i="1"/>
  <c r="G425" i="1"/>
  <c r="G570" i="1"/>
  <c r="G1122" i="1"/>
  <c r="G311" i="1"/>
  <c r="G1245" i="1"/>
  <c r="G515" i="1"/>
  <c r="G1061" i="1"/>
  <c r="G25" i="1"/>
  <c r="G1494" i="1"/>
  <c r="G1038" i="1"/>
  <c r="G516" i="1"/>
  <c r="G1141" i="1"/>
  <c r="G186" i="1"/>
  <c r="G1716" i="1"/>
  <c r="G267" i="1"/>
  <c r="G187" i="1"/>
  <c r="G595" i="1"/>
  <c r="G1679" i="1"/>
  <c r="G383" i="1"/>
  <c r="G188" i="1"/>
  <c r="G129" i="1"/>
  <c r="G1062" i="1"/>
  <c r="G1626" i="1"/>
  <c r="G645" i="1"/>
  <c r="G402" i="1"/>
  <c r="G1762" i="1"/>
  <c r="G1680" i="1"/>
  <c r="G975" i="1"/>
  <c r="G1246" i="1"/>
  <c r="G1811" i="1"/>
  <c r="G426" i="1"/>
  <c r="G189" i="1"/>
  <c r="G1987" i="1"/>
  <c r="G1142" i="1"/>
  <c r="G1988" i="1"/>
  <c r="G1763" i="1"/>
  <c r="G286" i="1"/>
  <c r="G820" i="1"/>
  <c r="G1849" i="1"/>
  <c r="G1627" i="1"/>
  <c r="G1717" i="1"/>
  <c r="G1158" i="1"/>
  <c r="G872" i="1"/>
  <c r="G1374" i="1"/>
  <c r="G1476" i="1"/>
  <c r="G843" i="1"/>
  <c r="G646" i="1"/>
  <c r="G403" i="1"/>
  <c r="G821" i="1"/>
  <c r="G1375" i="1"/>
  <c r="G922" i="1"/>
  <c r="G312" i="1"/>
  <c r="G923" i="1"/>
  <c r="G1906" i="1"/>
  <c r="G647" i="1"/>
  <c r="G1008" i="1"/>
  <c r="G1868" i="1"/>
  <c r="G924" i="1"/>
  <c r="G1869" i="1"/>
  <c r="G1923" i="1"/>
  <c r="G620" i="1"/>
  <c r="G1924" i="1"/>
  <c r="G427" i="1"/>
  <c r="G873" i="1"/>
  <c r="G715" i="1"/>
  <c r="G1247" i="1"/>
  <c r="G755" i="1"/>
  <c r="G1654" i="1"/>
  <c r="G1582" i="1"/>
  <c r="G1183" i="1"/>
  <c r="G1376" i="1"/>
  <c r="G1558" i="1"/>
  <c r="G901" i="1"/>
  <c r="G1184" i="1"/>
  <c r="G227" i="1"/>
  <c r="G1655" i="1"/>
  <c r="G228" i="1"/>
  <c r="G1039" i="1"/>
  <c r="G287" i="1"/>
  <c r="G1040" i="1"/>
  <c r="G1377" i="1"/>
  <c r="G1870" i="1"/>
  <c r="G756" i="1"/>
  <c r="G1294" i="1"/>
  <c r="G449" i="1"/>
  <c r="G70" i="1"/>
  <c r="G540" i="1"/>
  <c r="G108" i="1"/>
  <c r="G1989" i="1"/>
  <c r="G1085" i="1"/>
  <c r="G1812" i="1"/>
  <c r="G1378" i="1"/>
  <c r="G1925" i="1"/>
  <c r="G428" i="1"/>
  <c r="G1123" i="1"/>
  <c r="G1945" i="1"/>
  <c r="G109" i="1"/>
  <c r="G1907" i="1"/>
  <c r="G777" i="1"/>
  <c r="G844" i="1"/>
  <c r="G1224" i="1"/>
  <c r="G1159" i="1"/>
  <c r="G203" i="1"/>
  <c r="G1248" i="1"/>
  <c r="G288" i="1"/>
  <c r="G925" i="1"/>
  <c r="G130" i="1"/>
  <c r="G229" i="1"/>
  <c r="G874" i="1"/>
  <c r="G204" i="1"/>
  <c r="G1124" i="1"/>
  <c r="G1736" i="1"/>
  <c r="G822" i="1"/>
  <c r="G1764" i="1"/>
  <c r="G1990" i="1"/>
  <c r="G596" i="1"/>
  <c r="G1379" i="1"/>
  <c r="G1425" i="1"/>
  <c r="G289" i="1"/>
  <c r="G1889" i="1"/>
  <c r="G1583" i="1"/>
  <c r="G26" i="1"/>
  <c r="G943" i="1"/>
  <c r="G597" i="1"/>
  <c r="G959" i="1"/>
  <c r="G875" i="1"/>
  <c r="G1477" i="1"/>
  <c r="G1426" i="1"/>
  <c r="G1270" i="1"/>
  <c r="G1559" i="1"/>
  <c r="G797" i="1"/>
  <c r="G429" i="1"/>
  <c r="G517" i="1"/>
  <c r="G1656" i="1"/>
  <c r="G518" i="1"/>
  <c r="G205" i="1"/>
  <c r="G876" i="1"/>
  <c r="G1102" i="1"/>
  <c r="G71" i="1"/>
  <c r="G1967" i="1"/>
  <c r="G648" i="1"/>
  <c r="G1829" i="1"/>
  <c r="G541" i="1"/>
  <c r="G1560" i="1"/>
  <c r="G1185" i="1"/>
  <c r="G1103" i="1"/>
  <c r="G672" i="1"/>
  <c r="G1380" i="1"/>
  <c r="G926" i="1"/>
  <c r="G1186" i="1"/>
  <c r="G1104" i="1"/>
  <c r="G3" i="1"/>
  <c r="G4" i="1"/>
  <c r="G5" i="1"/>
  <c r="G2" i="1"/>
</calcChain>
</file>

<file path=xl/sharedStrings.xml><?xml version="1.0" encoding="utf-8"?>
<sst xmlns="http://schemas.openxmlformats.org/spreadsheetml/2006/main" count="20380" uniqueCount="5427">
  <si>
    <t>Invoice ID</t>
  </si>
  <si>
    <t>Date</t>
  </si>
  <si>
    <t>Category</t>
  </si>
  <si>
    <t>Product</t>
  </si>
  <si>
    <t>Quantity</t>
  </si>
  <si>
    <t>Payment</t>
  </si>
  <si>
    <t>INV0001</t>
  </si>
  <si>
    <t>Cash</t>
  </si>
  <si>
    <t>INV0002</t>
  </si>
  <si>
    <t>Snacks</t>
  </si>
  <si>
    <t>Chips</t>
  </si>
  <si>
    <t>INV0003</t>
  </si>
  <si>
    <t>Beverages</t>
  </si>
  <si>
    <t>INV0004</t>
  </si>
  <si>
    <t>Toothpaste</t>
  </si>
  <si>
    <t>INV0005</t>
  </si>
  <si>
    <t>Shampoo</t>
  </si>
  <si>
    <t>Card</t>
  </si>
  <si>
    <t>INV0006</t>
  </si>
  <si>
    <t>Chocolate</t>
  </si>
  <si>
    <t>INV0007</t>
  </si>
  <si>
    <t>Transfer</t>
  </si>
  <si>
    <t>INV0008</t>
  </si>
  <si>
    <t>INV0009</t>
  </si>
  <si>
    <t>INV0010</t>
  </si>
  <si>
    <t>Biscuits</t>
  </si>
  <si>
    <t>INV0011</t>
  </si>
  <si>
    <t>INV0012</t>
  </si>
  <si>
    <t>Bread</t>
  </si>
  <si>
    <t>INV0013</t>
  </si>
  <si>
    <t>INV0014</t>
  </si>
  <si>
    <t>INV0015</t>
  </si>
  <si>
    <t>INV0016</t>
  </si>
  <si>
    <t>Household</t>
  </si>
  <si>
    <t>Soap</t>
  </si>
  <si>
    <t>INV0017</t>
  </si>
  <si>
    <t>INV0018</t>
  </si>
  <si>
    <t>INV0019</t>
  </si>
  <si>
    <t>INV0020</t>
  </si>
  <si>
    <t>Spaghetti</t>
  </si>
  <si>
    <t>INV0021</t>
  </si>
  <si>
    <t>INV0022</t>
  </si>
  <si>
    <t>Detergent</t>
  </si>
  <si>
    <t>INV0023</t>
  </si>
  <si>
    <t>INV0024</t>
  </si>
  <si>
    <t>INV0025</t>
  </si>
  <si>
    <t>INV0026</t>
  </si>
  <si>
    <t>INV0027</t>
  </si>
  <si>
    <t>INV0028</t>
  </si>
  <si>
    <t>INV0029</t>
  </si>
  <si>
    <t>INV0030</t>
  </si>
  <si>
    <t>INV0031</t>
  </si>
  <si>
    <t>INV0032</t>
  </si>
  <si>
    <t>INV0033</t>
  </si>
  <si>
    <t>INV0034</t>
  </si>
  <si>
    <t>INV0035</t>
  </si>
  <si>
    <t>INV0036</t>
  </si>
  <si>
    <t>INV0037</t>
  </si>
  <si>
    <t>INV0038</t>
  </si>
  <si>
    <t>INV0039</t>
  </si>
  <si>
    <t>INV0040</t>
  </si>
  <si>
    <t>INV0041</t>
  </si>
  <si>
    <t>INV0042</t>
  </si>
  <si>
    <t>INV0043</t>
  </si>
  <si>
    <t>INV0044</t>
  </si>
  <si>
    <t>INV0045</t>
  </si>
  <si>
    <t>INV0046</t>
  </si>
  <si>
    <t>INV0047</t>
  </si>
  <si>
    <t>INV0048</t>
  </si>
  <si>
    <t>INV0049</t>
  </si>
  <si>
    <t>INV0050</t>
  </si>
  <si>
    <t>INV0051</t>
  </si>
  <si>
    <t>INV0052</t>
  </si>
  <si>
    <t>INV0053</t>
  </si>
  <si>
    <t>INV0054</t>
  </si>
  <si>
    <t>INV0055</t>
  </si>
  <si>
    <t>INV0056</t>
  </si>
  <si>
    <t>INV0057</t>
  </si>
  <si>
    <t>INV0058</t>
  </si>
  <si>
    <t>INV0059</t>
  </si>
  <si>
    <t>INV0060</t>
  </si>
  <si>
    <t>INV0061</t>
  </si>
  <si>
    <t>INV0062</t>
  </si>
  <si>
    <t>INV0063</t>
  </si>
  <si>
    <t>INV0064</t>
  </si>
  <si>
    <t>INV0065</t>
  </si>
  <si>
    <t>INV0066</t>
  </si>
  <si>
    <t>INV0067</t>
  </si>
  <si>
    <t>INV0068</t>
  </si>
  <si>
    <t>INV0069</t>
  </si>
  <si>
    <t>INV0070</t>
  </si>
  <si>
    <t>INV0071</t>
  </si>
  <si>
    <t>INV0072</t>
  </si>
  <si>
    <t>INV0073</t>
  </si>
  <si>
    <t>INV0074</t>
  </si>
  <si>
    <t>INV0075</t>
  </si>
  <si>
    <t>INV0076</t>
  </si>
  <si>
    <t>INV0077</t>
  </si>
  <si>
    <t>INV0078</t>
  </si>
  <si>
    <t>INV0079</t>
  </si>
  <si>
    <t>INV0080</t>
  </si>
  <si>
    <t>INV0081</t>
  </si>
  <si>
    <t>INV0082</t>
  </si>
  <si>
    <t>INV0083</t>
  </si>
  <si>
    <t>INV0084</t>
  </si>
  <si>
    <t>INV0085</t>
  </si>
  <si>
    <t>INV0086</t>
  </si>
  <si>
    <t>INV0087</t>
  </si>
  <si>
    <t>INV0088</t>
  </si>
  <si>
    <t>INV0089</t>
  </si>
  <si>
    <t>INV0090</t>
  </si>
  <si>
    <t>INV0091</t>
  </si>
  <si>
    <t>INV0092</t>
  </si>
  <si>
    <t>INV0093</t>
  </si>
  <si>
    <t>INV0094</t>
  </si>
  <si>
    <t>INV0095</t>
  </si>
  <si>
    <t>INV0096</t>
  </si>
  <si>
    <t>INV0097</t>
  </si>
  <si>
    <t>INV0098</t>
  </si>
  <si>
    <t>INV0099</t>
  </si>
  <si>
    <t>INV0100</t>
  </si>
  <si>
    <t>INV0101</t>
  </si>
  <si>
    <t>INV0102</t>
  </si>
  <si>
    <t>INV0103</t>
  </si>
  <si>
    <t>INV0104</t>
  </si>
  <si>
    <t>INV0105</t>
  </si>
  <si>
    <t>INV0106</t>
  </si>
  <si>
    <t>INV0107</t>
  </si>
  <si>
    <t>INV0108</t>
  </si>
  <si>
    <t>INV0109</t>
  </si>
  <si>
    <t>INV0110</t>
  </si>
  <si>
    <t>INV0111</t>
  </si>
  <si>
    <t>INV0112</t>
  </si>
  <si>
    <t>INV0113</t>
  </si>
  <si>
    <t>INV0114</t>
  </si>
  <si>
    <t>INV0115</t>
  </si>
  <si>
    <t>INV0116</t>
  </si>
  <si>
    <t>INV0117</t>
  </si>
  <si>
    <t>INV0118</t>
  </si>
  <si>
    <t>INV0119</t>
  </si>
  <si>
    <t>INV0120</t>
  </si>
  <si>
    <t>INV0121</t>
  </si>
  <si>
    <t>INV0122</t>
  </si>
  <si>
    <t>INV0123</t>
  </si>
  <si>
    <t>INV0124</t>
  </si>
  <si>
    <t>INV0125</t>
  </si>
  <si>
    <t>INV0126</t>
  </si>
  <si>
    <t>INV0127</t>
  </si>
  <si>
    <t>INV0128</t>
  </si>
  <si>
    <t>INV0129</t>
  </si>
  <si>
    <t>INV0130</t>
  </si>
  <si>
    <t>INV0131</t>
  </si>
  <si>
    <t>INV0132</t>
  </si>
  <si>
    <t>INV0133</t>
  </si>
  <si>
    <t>INV0134</t>
  </si>
  <si>
    <t>INV0135</t>
  </si>
  <si>
    <t>INV0136</t>
  </si>
  <si>
    <t>INV0137</t>
  </si>
  <si>
    <t>INV0138</t>
  </si>
  <si>
    <t>INV0139</t>
  </si>
  <si>
    <t>INV0140</t>
  </si>
  <si>
    <t>INV0141</t>
  </si>
  <si>
    <t>INV0142</t>
  </si>
  <si>
    <t>INV0143</t>
  </si>
  <si>
    <t>INV0144</t>
  </si>
  <si>
    <t>INV0145</t>
  </si>
  <si>
    <t>INV0146</t>
  </si>
  <si>
    <t>INV0147</t>
  </si>
  <si>
    <t>INV0148</t>
  </si>
  <si>
    <t>INV0149</t>
  </si>
  <si>
    <t>INV0150</t>
  </si>
  <si>
    <t>INV0151</t>
  </si>
  <si>
    <t>INV0152</t>
  </si>
  <si>
    <t>INV0153</t>
  </si>
  <si>
    <t>INV0154</t>
  </si>
  <si>
    <t>INV0155</t>
  </si>
  <si>
    <t>INV0156</t>
  </si>
  <si>
    <t>INV0157</t>
  </si>
  <si>
    <t>INV0158</t>
  </si>
  <si>
    <t>INV0159</t>
  </si>
  <si>
    <t>INV0160</t>
  </si>
  <si>
    <t>INV0161</t>
  </si>
  <si>
    <t>INV0162</t>
  </si>
  <si>
    <t>INV0163</t>
  </si>
  <si>
    <t>INV0164</t>
  </si>
  <si>
    <t>INV0165</t>
  </si>
  <si>
    <t>INV0166</t>
  </si>
  <si>
    <t>INV0167</t>
  </si>
  <si>
    <t>INV0168</t>
  </si>
  <si>
    <t>INV0169</t>
  </si>
  <si>
    <t>INV0170</t>
  </si>
  <si>
    <t>INV0171</t>
  </si>
  <si>
    <t>INV0172</t>
  </si>
  <si>
    <t>INV0173</t>
  </si>
  <si>
    <t>INV0174</t>
  </si>
  <si>
    <t>INV0175</t>
  </si>
  <si>
    <t>INV0176</t>
  </si>
  <si>
    <t>INV0177</t>
  </si>
  <si>
    <t>INV0178</t>
  </si>
  <si>
    <t>INV0179</t>
  </si>
  <si>
    <t>INV0180</t>
  </si>
  <si>
    <t>INV0181</t>
  </si>
  <si>
    <t>INV0182</t>
  </si>
  <si>
    <t>INV0183</t>
  </si>
  <si>
    <t>INV0184</t>
  </si>
  <si>
    <t>INV0185</t>
  </si>
  <si>
    <t>INV0186</t>
  </si>
  <si>
    <t>INV0187</t>
  </si>
  <si>
    <t>INV0188</t>
  </si>
  <si>
    <t>INV0189</t>
  </si>
  <si>
    <t>INV0190</t>
  </si>
  <si>
    <t>INV0191</t>
  </si>
  <si>
    <t>INV0192</t>
  </si>
  <si>
    <t>INV0193</t>
  </si>
  <si>
    <t>INV0194</t>
  </si>
  <si>
    <t>INV0195</t>
  </si>
  <si>
    <t>INV0196</t>
  </si>
  <si>
    <t>INV0197</t>
  </si>
  <si>
    <t>INV0198</t>
  </si>
  <si>
    <t>INV0199</t>
  </si>
  <si>
    <t>INV0200</t>
  </si>
  <si>
    <t>INV0201</t>
  </si>
  <si>
    <t>INV0202</t>
  </si>
  <si>
    <t>INV0203</t>
  </si>
  <si>
    <t>INV0204</t>
  </si>
  <si>
    <t>INV0205</t>
  </si>
  <si>
    <t>INV0206</t>
  </si>
  <si>
    <t>INV0207</t>
  </si>
  <si>
    <t>INV0208</t>
  </si>
  <si>
    <t>INV0209</t>
  </si>
  <si>
    <t>INV0210</t>
  </si>
  <si>
    <t>INV0211</t>
  </si>
  <si>
    <t>INV0212</t>
  </si>
  <si>
    <t>INV0213</t>
  </si>
  <si>
    <t>INV0214</t>
  </si>
  <si>
    <t>INV0215</t>
  </si>
  <si>
    <t>INV0216</t>
  </si>
  <si>
    <t>INV0217</t>
  </si>
  <si>
    <t>INV0218</t>
  </si>
  <si>
    <t>INV0219</t>
  </si>
  <si>
    <t>INV0220</t>
  </si>
  <si>
    <t>INV0221</t>
  </si>
  <si>
    <t>INV0222</t>
  </si>
  <si>
    <t>INV0223</t>
  </si>
  <si>
    <t>INV0224</t>
  </si>
  <si>
    <t>INV0225</t>
  </si>
  <si>
    <t>INV0226</t>
  </si>
  <si>
    <t>INV0227</t>
  </si>
  <si>
    <t>INV0228</t>
  </si>
  <si>
    <t>INV0229</t>
  </si>
  <si>
    <t>INV0230</t>
  </si>
  <si>
    <t>INV0231</t>
  </si>
  <si>
    <t>INV0232</t>
  </si>
  <si>
    <t>INV0233</t>
  </si>
  <si>
    <t>INV0234</t>
  </si>
  <si>
    <t>INV0235</t>
  </si>
  <si>
    <t>INV0236</t>
  </si>
  <si>
    <t>INV0237</t>
  </si>
  <si>
    <t>INV0238</t>
  </si>
  <si>
    <t>INV0239</t>
  </si>
  <si>
    <t>INV0240</t>
  </si>
  <si>
    <t>INV0241</t>
  </si>
  <si>
    <t>INV0242</t>
  </si>
  <si>
    <t>INV0243</t>
  </si>
  <si>
    <t>INV0244</t>
  </si>
  <si>
    <t>INV0245</t>
  </si>
  <si>
    <t>INV0246</t>
  </si>
  <si>
    <t>INV0247</t>
  </si>
  <si>
    <t>INV0248</t>
  </si>
  <si>
    <t>INV0249</t>
  </si>
  <si>
    <t>INV0250</t>
  </si>
  <si>
    <t>INV0251</t>
  </si>
  <si>
    <t>INV0252</t>
  </si>
  <si>
    <t>INV0253</t>
  </si>
  <si>
    <t>INV0254</t>
  </si>
  <si>
    <t>INV0255</t>
  </si>
  <si>
    <t>INV0256</t>
  </si>
  <si>
    <t>INV0257</t>
  </si>
  <si>
    <t>INV0258</t>
  </si>
  <si>
    <t>INV0259</t>
  </si>
  <si>
    <t>INV0260</t>
  </si>
  <si>
    <t>INV0261</t>
  </si>
  <si>
    <t>INV0262</t>
  </si>
  <si>
    <t>INV0263</t>
  </si>
  <si>
    <t>INV0264</t>
  </si>
  <si>
    <t>INV0265</t>
  </si>
  <si>
    <t>INV0266</t>
  </si>
  <si>
    <t>INV0267</t>
  </si>
  <si>
    <t>INV0268</t>
  </si>
  <si>
    <t>INV0269</t>
  </si>
  <si>
    <t>INV0270</t>
  </si>
  <si>
    <t>INV0271</t>
  </si>
  <si>
    <t>INV0272</t>
  </si>
  <si>
    <t>INV0273</t>
  </si>
  <si>
    <t>INV0274</t>
  </si>
  <si>
    <t>INV0275</t>
  </si>
  <si>
    <t>INV0276</t>
  </si>
  <si>
    <t>INV0277</t>
  </si>
  <si>
    <t>INV0278</t>
  </si>
  <si>
    <t>INV0279</t>
  </si>
  <si>
    <t>INV0280</t>
  </si>
  <si>
    <t>INV0281</t>
  </si>
  <si>
    <t>INV0282</t>
  </si>
  <si>
    <t>INV0283</t>
  </si>
  <si>
    <t>INV0284</t>
  </si>
  <si>
    <t>INV0285</t>
  </si>
  <si>
    <t>INV0286</t>
  </si>
  <si>
    <t>INV0287</t>
  </si>
  <si>
    <t>INV0288</t>
  </si>
  <si>
    <t>INV0289</t>
  </si>
  <si>
    <t>INV0290</t>
  </si>
  <si>
    <t>INV0291</t>
  </si>
  <si>
    <t>INV0292</t>
  </si>
  <si>
    <t>INV0293</t>
  </si>
  <si>
    <t>INV0294</t>
  </si>
  <si>
    <t>INV0295</t>
  </si>
  <si>
    <t>INV0296</t>
  </si>
  <si>
    <t>INV0297</t>
  </si>
  <si>
    <t>INV0298</t>
  </si>
  <si>
    <t>INV0299</t>
  </si>
  <si>
    <t>INV0300</t>
  </si>
  <si>
    <t>INV0301</t>
  </si>
  <si>
    <t>INV0302</t>
  </si>
  <si>
    <t>INV0303</t>
  </si>
  <si>
    <t>INV0304</t>
  </si>
  <si>
    <t>INV0305</t>
  </si>
  <si>
    <t>INV0306</t>
  </si>
  <si>
    <t>INV0307</t>
  </si>
  <si>
    <t>INV0308</t>
  </si>
  <si>
    <t>INV0309</t>
  </si>
  <si>
    <t>INV0310</t>
  </si>
  <si>
    <t>INV0311</t>
  </si>
  <si>
    <t>INV0312</t>
  </si>
  <si>
    <t>INV0313</t>
  </si>
  <si>
    <t>INV0314</t>
  </si>
  <si>
    <t>INV0315</t>
  </si>
  <si>
    <t>INV0316</t>
  </si>
  <si>
    <t>INV0317</t>
  </si>
  <si>
    <t>INV0318</t>
  </si>
  <si>
    <t>INV0319</t>
  </si>
  <si>
    <t>INV0320</t>
  </si>
  <si>
    <t>INV0321</t>
  </si>
  <si>
    <t>INV0322</t>
  </si>
  <si>
    <t>INV0323</t>
  </si>
  <si>
    <t>INV0324</t>
  </si>
  <si>
    <t>INV0325</t>
  </si>
  <si>
    <t>INV0326</t>
  </si>
  <si>
    <t>INV0327</t>
  </si>
  <si>
    <t>INV0328</t>
  </si>
  <si>
    <t>INV0329</t>
  </si>
  <si>
    <t>INV0330</t>
  </si>
  <si>
    <t>INV0331</t>
  </si>
  <si>
    <t>INV0332</t>
  </si>
  <si>
    <t>INV0333</t>
  </si>
  <si>
    <t>INV0334</t>
  </si>
  <si>
    <t>INV0335</t>
  </si>
  <si>
    <t>INV0336</t>
  </si>
  <si>
    <t>INV0337</t>
  </si>
  <si>
    <t>INV0338</t>
  </si>
  <si>
    <t>INV0339</t>
  </si>
  <si>
    <t>INV0340</t>
  </si>
  <si>
    <t>INV0341</t>
  </si>
  <si>
    <t>INV0342</t>
  </si>
  <si>
    <t>INV0343</t>
  </si>
  <si>
    <t>INV0344</t>
  </si>
  <si>
    <t>INV0345</t>
  </si>
  <si>
    <t>INV0346</t>
  </si>
  <si>
    <t>INV0347</t>
  </si>
  <si>
    <t>INV0348</t>
  </si>
  <si>
    <t>INV0349</t>
  </si>
  <si>
    <t>INV0350</t>
  </si>
  <si>
    <t>INV0351</t>
  </si>
  <si>
    <t>INV0352</t>
  </si>
  <si>
    <t>INV0353</t>
  </si>
  <si>
    <t>INV0354</t>
  </si>
  <si>
    <t>INV0355</t>
  </si>
  <si>
    <t>INV0356</t>
  </si>
  <si>
    <t>INV0357</t>
  </si>
  <si>
    <t>INV0358</t>
  </si>
  <si>
    <t>INV0359</t>
  </si>
  <si>
    <t>INV0360</t>
  </si>
  <si>
    <t>INV0361</t>
  </si>
  <si>
    <t>INV0362</t>
  </si>
  <si>
    <t>INV0363</t>
  </si>
  <si>
    <t>INV0364</t>
  </si>
  <si>
    <t>INV0365</t>
  </si>
  <si>
    <t>INV0366</t>
  </si>
  <si>
    <t>INV0367</t>
  </si>
  <si>
    <t>INV0368</t>
  </si>
  <si>
    <t>INV0369</t>
  </si>
  <si>
    <t>INV0370</t>
  </si>
  <si>
    <t>INV0371</t>
  </si>
  <si>
    <t>INV0372</t>
  </si>
  <si>
    <t>INV0373</t>
  </si>
  <si>
    <t>INV0374</t>
  </si>
  <si>
    <t>INV0375</t>
  </si>
  <si>
    <t>INV0376</t>
  </si>
  <si>
    <t>INV0377</t>
  </si>
  <si>
    <t>INV0378</t>
  </si>
  <si>
    <t>INV0379</t>
  </si>
  <si>
    <t>INV0380</t>
  </si>
  <si>
    <t>INV0381</t>
  </si>
  <si>
    <t>INV0382</t>
  </si>
  <si>
    <t>INV0383</t>
  </si>
  <si>
    <t>INV0384</t>
  </si>
  <si>
    <t>INV0385</t>
  </si>
  <si>
    <t>INV0386</t>
  </si>
  <si>
    <t>INV0387</t>
  </si>
  <si>
    <t>INV0388</t>
  </si>
  <si>
    <t>INV0389</t>
  </si>
  <si>
    <t>INV0390</t>
  </si>
  <si>
    <t>INV0391</t>
  </si>
  <si>
    <t>INV0392</t>
  </si>
  <si>
    <t>INV0393</t>
  </si>
  <si>
    <t>INV0394</t>
  </si>
  <si>
    <t>INV0395</t>
  </si>
  <si>
    <t>INV0396</t>
  </si>
  <si>
    <t>INV0397</t>
  </si>
  <si>
    <t>INV0398</t>
  </si>
  <si>
    <t>INV0399</t>
  </si>
  <si>
    <t>INV0400</t>
  </si>
  <si>
    <t>INV0401</t>
  </si>
  <si>
    <t>INV0402</t>
  </si>
  <si>
    <t>INV0403</t>
  </si>
  <si>
    <t>INV0404</t>
  </si>
  <si>
    <t>INV0405</t>
  </si>
  <si>
    <t>INV0406</t>
  </si>
  <si>
    <t>INV0407</t>
  </si>
  <si>
    <t>INV0408</t>
  </si>
  <si>
    <t>INV0409</t>
  </si>
  <si>
    <t>INV0410</t>
  </si>
  <si>
    <t>INV0411</t>
  </si>
  <si>
    <t>INV0412</t>
  </si>
  <si>
    <t>INV0413</t>
  </si>
  <si>
    <t>INV0414</t>
  </si>
  <si>
    <t>INV0415</t>
  </si>
  <si>
    <t>INV0416</t>
  </si>
  <si>
    <t>INV0417</t>
  </si>
  <si>
    <t>INV0418</t>
  </si>
  <si>
    <t>INV0419</t>
  </si>
  <si>
    <t>INV0420</t>
  </si>
  <si>
    <t>INV0421</t>
  </si>
  <si>
    <t>INV0422</t>
  </si>
  <si>
    <t>INV0423</t>
  </si>
  <si>
    <t>INV0424</t>
  </si>
  <si>
    <t>INV0425</t>
  </si>
  <si>
    <t>INV0426</t>
  </si>
  <si>
    <t>INV0427</t>
  </si>
  <si>
    <t>INV0428</t>
  </si>
  <si>
    <t>INV0429</t>
  </si>
  <si>
    <t>INV0430</t>
  </si>
  <si>
    <t>INV0431</t>
  </si>
  <si>
    <t>INV0432</t>
  </si>
  <si>
    <t>INV0433</t>
  </si>
  <si>
    <t>INV0434</t>
  </si>
  <si>
    <t>INV0435</t>
  </si>
  <si>
    <t>INV0436</t>
  </si>
  <si>
    <t>INV0437</t>
  </si>
  <si>
    <t>INV0438</t>
  </si>
  <si>
    <t>INV0439</t>
  </si>
  <si>
    <t>INV0440</t>
  </si>
  <si>
    <t>INV0441</t>
  </si>
  <si>
    <t>INV0442</t>
  </si>
  <si>
    <t>INV0443</t>
  </si>
  <si>
    <t>INV0444</t>
  </si>
  <si>
    <t>INV0445</t>
  </si>
  <si>
    <t>INV0446</t>
  </si>
  <si>
    <t>INV0447</t>
  </si>
  <si>
    <t>INV0448</t>
  </si>
  <si>
    <t>INV0449</t>
  </si>
  <si>
    <t>INV0450</t>
  </si>
  <si>
    <t>INV0451</t>
  </si>
  <si>
    <t>INV0452</t>
  </si>
  <si>
    <t>INV0453</t>
  </si>
  <si>
    <t>INV0454</t>
  </si>
  <si>
    <t>INV0455</t>
  </si>
  <si>
    <t>INV0456</t>
  </si>
  <si>
    <t>INV0457</t>
  </si>
  <si>
    <t>INV0458</t>
  </si>
  <si>
    <t>INV0459</t>
  </si>
  <si>
    <t>INV0460</t>
  </si>
  <si>
    <t>INV0461</t>
  </si>
  <si>
    <t>INV0462</t>
  </si>
  <si>
    <t>INV0463</t>
  </si>
  <si>
    <t>INV0464</t>
  </si>
  <si>
    <t>INV0465</t>
  </si>
  <si>
    <t>INV0466</t>
  </si>
  <si>
    <t>INV0467</t>
  </si>
  <si>
    <t>INV0468</t>
  </si>
  <si>
    <t>INV0469</t>
  </si>
  <si>
    <t>INV0470</t>
  </si>
  <si>
    <t>INV0471</t>
  </si>
  <si>
    <t>INV0472</t>
  </si>
  <si>
    <t>INV0473</t>
  </si>
  <si>
    <t>INV0474</t>
  </si>
  <si>
    <t>INV0475</t>
  </si>
  <si>
    <t>INV0476</t>
  </si>
  <si>
    <t>INV0477</t>
  </si>
  <si>
    <t>INV0478</t>
  </si>
  <si>
    <t>INV0479</t>
  </si>
  <si>
    <t>INV0480</t>
  </si>
  <si>
    <t>INV0481</t>
  </si>
  <si>
    <t>INV0482</t>
  </si>
  <si>
    <t>INV0483</t>
  </si>
  <si>
    <t>INV0484</t>
  </si>
  <si>
    <t>INV0485</t>
  </si>
  <si>
    <t>INV0486</t>
  </si>
  <si>
    <t>INV0487</t>
  </si>
  <si>
    <t>INV0488</t>
  </si>
  <si>
    <t>INV0489</t>
  </si>
  <si>
    <t>INV0490</t>
  </si>
  <si>
    <t>INV0491</t>
  </si>
  <si>
    <t>INV0492</t>
  </si>
  <si>
    <t>INV0493</t>
  </si>
  <si>
    <t>INV0494</t>
  </si>
  <si>
    <t>INV0495</t>
  </si>
  <si>
    <t>INV0496</t>
  </si>
  <si>
    <t>INV0497</t>
  </si>
  <si>
    <t>INV0498</t>
  </si>
  <si>
    <t>INV0499</t>
  </si>
  <si>
    <t>INV0500</t>
  </si>
  <si>
    <t>INV0501</t>
  </si>
  <si>
    <t>INV0502</t>
  </si>
  <si>
    <t>INV0503</t>
  </si>
  <si>
    <t>INV0504</t>
  </si>
  <si>
    <t>INV0505</t>
  </si>
  <si>
    <t>INV0506</t>
  </si>
  <si>
    <t>INV0507</t>
  </si>
  <si>
    <t>INV0508</t>
  </si>
  <si>
    <t>INV0509</t>
  </si>
  <si>
    <t>INV0510</t>
  </si>
  <si>
    <t>INV0511</t>
  </si>
  <si>
    <t>INV0512</t>
  </si>
  <si>
    <t>INV0513</t>
  </si>
  <si>
    <t>INV0514</t>
  </si>
  <si>
    <t>INV0515</t>
  </si>
  <si>
    <t>INV0516</t>
  </si>
  <si>
    <t>INV0517</t>
  </si>
  <si>
    <t>INV0518</t>
  </si>
  <si>
    <t>INV0519</t>
  </si>
  <si>
    <t>INV0520</t>
  </si>
  <si>
    <t>INV0521</t>
  </si>
  <si>
    <t>INV0522</t>
  </si>
  <si>
    <t>INV0523</t>
  </si>
  <si>
    <t>INV0524</t>
  </si>
  <si>
    <t>INV0525</t>
  </si>
  <si>
    <t>INV0526</t>
  </si>
  <si>
    <t>INV0527</t>
  </si>
  <si>
    <t>INV0528</t>
  </si>
  <si>
    <t>INV0529</t>
  </si>
  <si>
    <t>INV0530</t>
  </si>
  <si>
    <t>INV0531</t>
  </si>
  <si>
    <t>INV0532</t>
  </si>
  <si>
    <t>INV0533</t>
  </si>
  <si>
    <t>INV0534</t>
  </si>
  <si>
    <t>INV0535</t>
  </si>
  <si>
    <t>INV0536</t>
  </si>
  <si>
    <t>INV0537</t>
  </si>
  <si>
    <t>INV0538</t>
  </si>
  <si>
    <t>INV0539</t>
  </si>
  <si>
    <t>INV0540</t>
  </si>
  <si>
    <t>INV0541</t>
  </si>
  <si>
    <t>INV0542</t>
  </si>
  <si>
    <t>INV0543</t>
  </si>
  <si>
    <t>INV0544</t>
  </si>
  <si>
    <t>INV0545</t>
  </si>
  <si>
    <t>INV0546</t>
  </si>
  <si>
    <t>INV0547</t>
  </si>
  <si>
    <t>INV0548</t>
  </si>
  <si>
    <t>INV0549</t>
  </si>
  <si>
    <t>INV0550</t>
  </si>
  <si>
    <t>INV0551</t>
  </si>
  <si>
    <t>INV0552</t>
  </si>
  <si>
    <t>INV0553</t>
  </si>
  <si>
    <t>INV0554</t>
  </si>
  <si>
    <t>INV0555</t>
  </si>
  <si>
    <t>INV0556</t>
  </si>
  <si>
    <t>INV0557</t>
  </si>
  <si>
    <t>INV0558</t>
  </si>
  <si>
    <t>INV0559</t>
  </si>
  <si>
    <t>INV0560</t>
  </si>
  <si>
    <t>INV0561</t>
  </si>
  <si>
    <t>INV0562</t>
  </si>
  <si>
    <t>INV0563</t>
  </si>
  <si>
    <t>INV0564</t>
  </si>
  <si>
    <t>INV0565</t>
  </si>
  <si>
    <t>INV0566</t>
  </si>
  <si>
    <t>INV0567</t>
  </si>
  <si>
    <t>INV0568</t>
  </si>
  <si>
    <t>INV0569</t>
  </si>
  <si>
    <t>INV0570</t>
  </si>
  <si>
    <t>INV0571</t>
  </si>
  <si>
    <t>INV0572</t>
  </si>
  <si>
    <t>INV0573</t>
  </si>
  <si>
    <t>INV0574</t>
  </si>
  <si>
    <t>INV0575</t>
  </si>
  <si>
    <t>INV0576</t>
  </si>
  <si>
    <t>INV0577</t>
  </si>
  <si>
    <t>INV0578</t>
  </si>
  <si>
    <t>INV0579</t>
  </si>
  <si>
    <t>INV0580</t>
  </si>
  <si>
    <t>INV0581</t>
  </si>
  <si>
    <t>INV0582</t>
  </si>
  <si>
    <t>INV0583</t>
  </si>
  <si>
    <t>INV0584</t>
  </si>
  <si>
    <t>INV0585</t>
  </si>
  <si>
    <t>INV0586</t>
  </si>
  <si>
    <t>INV0587</t>
  </si>
  <si>
    <t>INV0588</t>
  </si>
  <si>
    <t>INV0589</t>
  </si>
  <si>
    <t>INV0590</t>
  </si>
  <si>
    <t>INV0591</t>
  </si>
  <si>
    <t>INV0592</t>
  </si>
  <si>
    <t>INV0593</t>
  </si>
  <si>
    <t>INV0594</t>
  </si>
  <si>
    <t>INV0595</t>
  </si>
  <si>
    <t>INV0596</t>
  </si>
  <si>
    <t>INV0597</t>
  </si>
  <si>
    <t>INV0598</t>
  </si>
  <si>
    <t>INV0599</t>
  </si>
  <si>
    <t>INV0600</t>
  </si>
  <si>
    <t>INV0601</t>
  </si>
  <si>
    <t>INV0602</t>
  </si>
  <si>
    <t>INV0603</t>
  </si>
  <si>
    <t>INV0604</t>
  </si>
  <si>
    <t>INV0605</t>
  </si>
  <si>
    <t>INV0606</t>
  </si>
  <si>
    <t>INV0607</t>
  </si>
  <si>
    <t>INV0608</t>
  </si>
  <si>
    <t>INV0609</t>
  </si>
  <si>
    <t>INV0610</t>
  </si>
  <si>
    <t>INV0611</t>
  </si>
  <si>
    <t>INV0612</t>
  </si>
  <si>
    <t>INV0613</t>
  </si>
  <si>
    <t>INV0614</t>
  </si>
  <si>
    <t>INV0615</t>
  </si>
  <si>
    <t>INV0616</t>
  </si>
  <si>
    <t>INV0617</t>
  </si>
  <si>
    <t>INV0618</t>
  </si>
  <si>
    <t>INV0619</t>
  </si>
  <si>
    <t>INV0620</t>
  </si>
  <si>
    <t>INV0621</t>
  </si>
  <si>
    <t>INV0622</t>
  </si>
  <si>
    <t>INV0623</t>
  </si>
  <si>
    <t>INV0624</t>
  </si>
  <si>
    <t>INV0625</t>
  </si>
  <si>
    <t>INV0626</t>
  </si>
  <si>
    <t>INV0627</t>
  </si>
  <si>
    <t>INV0628</t>
  </si>
  <si>
    <t>INV0629</t>
  </si>
  <si>
    <t>INV0630</t>
  </si>
  <si>
    <t>INV0631</t>
  </si>
  <si>
    <t>INV0632</t>
  </si>
  <si>
    <t>INV0633</t>
  </si>
  <si>
    <t>INV0634</t>
  </si>
  <si>
    <t>INV0635</t>
  </si>
  <si>
    <t>INV0636</t>
  </si>
  <si>
    <t>INV0637</t>
  </si>
  <si>
    <t>INV0638</t>
  </si>
  <si>
    <t>INV0639</t>
  </si>
  <si>
    <t>INV0640</t>
  </si>
  <si>
    <t>INV0641</t>
  </si>
  <si>
    <t>INV0642</t>
  </si>
  <si>
    <t>INV0643</t>
  </si>
  <si>
    <t>INV0644</t>
  </si>
  <si>
    <t>INV0645</t>
  </si>
  <si>
    <t>INV0646</t>
  </si>
  <si>
    <t>INV0647</t>
  </si>
  <si>
    <t>INV0648</t>
  </si>
  <si>
    <t>INV0649</t>
  </si>
  <si>
    <t>INV0650</t>
  </si>
  <si>
    <t>INV0651</t>
  </si>
  <si>
    <t>INV0652</t>
  </si>
  <si>
    <t>INV0653</t>
  </si>
  <si>
    <t>INV0654</t>
  </si>
  <si>
    <t>INV0655</t>
  </si>
  <si>
    <t>INV0656</t>
  </si>
  <si>
    <t>INV0657</t>
  </si>
  <si>
    <t>INV0658</t>
  </si>
  <si>
    <t>INV0659</t>
  </si>
  <si>
    <t>INV0660</t>
  </si>
  <si>
    <t>INV0661</t>
  </si>
  <si>
    <t>INV0662</t>
  </si>
  <si>
    <t>INV0663</t>
  </si>
  <si>
    <t>INV0664</t>
  </si>
  <si>
    <t>INV0665</t>
  </si>
  <si>
    <t>INV0666</t>
  </si>
  <si>
    <t>INV0667</t>
  </si>
  <si>
    <t>INV0668</t>
  </si>
  <si>
    <t>INV0669</t>
  </si>
  <si>
    <t>INV0670</t>
  </si>
  <si>
    <t>INV0671</t>
  </si>
  <si>
    <t>INV0672</t>
  </si>
  <si>
    <t>INV0673</t>
  </si>
  <si>
    <t>INV0674</t>
  </si>
  <si>
    <t>INV0675</t>
  </si>
  <si>
    <t>INV0676</t>
  </si>
  <si>
    <t>INV0677</t>
  </si>
  <si>
    <t>INV0678</t>
  </si>
  <si>
    <t>INV0679</t>
  </si>
  <si>
    <t>INV0680</t>
  </si>
  <si>
    <t>INV0681</t>
  </si>
  <si>
    <t>INV0682</t>
  </si>
  <si>
    <t>INV0683</t>
  </si>
  <si>
    <t>INV0684</t>
  </si>
  <si>
    <t>INV0685</t>
  </si>
  <si>
    <t>INV0686</t>
  </si>
  <si>
    <t>INV0687</t>
  </si>
  <si>
    <t>INV0688</t>
  </si>
  <si>
    <t>INV0689</t>
  </si>
  <si>
    <t>INV0690</t>
  </si>
  <si>
    <t>INV0691</t>
  </si>
  <si>
    <t>INV0692</t>
  </si>
  <si>
    <t>INV0693</t>
  </si>
  <si>
    <t>INV0694</t>
  </si>
  <si>
    <t>INV0695</t>
  </si>
  <si>
    <t>INV0696</t>
  </si>
  <si>
    <t>INV0697</t>
  </si>
  <si>
    <t>INV0698</t>
  </si>
  <si>
    <t>INV0699</t>
  </si>
  <si>
    <t>INV0700</t>
  </si>
  <si>
    <t>INV0701</t>
  </si>
  <si>
    <t>INV0702</t>
  </si>
  <si>
    <t>INV0703</t>
  </si>
  <si>
    <t>INV0704</t>
  </si>
  <si>
    <t>INV0705</t>
  </si>
  <si>
    <t>INV0706</t>
  </si>
  <si>
    <t>INV0707</t>
  </si>
  <si>
    <t>INV0708</t>
  </si>
  <si>
    <t>INV0709</t>
  </si>
  <si>
    <t>INV0710</t>
  </si>
  <si>
    <t>INV0711</t>
  </si>
  <si>
    <t>INV0712</t>
  </si>
  <si>
    <t>INV0713</t>
  </si>
  <si>
    <t>INV0714</t>
  </si>
  <si>
    <t>INV0715</t>
  </si>
  <si>
    <t>INV0716</t>
  </si>
  <si>
    <t>INV0717</t>
  </si>
  <si>
    <t>INV0718</t>
  </si>
  <si>
    <t>INV0719</t>
  </si>
  <si>
    <t>INV0720</t>
  </si>
  <si>
    <t>INV0721</t>
  </si>
  <si>
    <t>INV0722</t>
  </si>
  <si>
    <t>INV0723</t>
  </si>
  <si>
    <t>INV0724</t>
  </si>
  <si>
    <t>INV0725</t>
  </si>
  <si>
    <t>INV0726</t>
  </si>
  <si>
    <t>INV0727</t>
  </si>
  <si>
    <t>INV0728</t>
  </si>
  <si>
    <t>INV0729</t>
  </si>
  <si>
    <t>INV0730</t>
  </si>
  <si>
    <t>INV0731</t>
  </si>
  <si>
    <t>INV0732</t>
  </si>
  <si>
    <t>INV0733</t>
  </si>
  <si>
    <t>INV0734</t>
  </si>
  <si>
    <t>INV0735</t>
  </si>
  <si>
    <t>INV0736</t>
  </si>
  <si>
    <t>INV0737</t>
  </si>
  <si>
    <t>INV0738</t>
  </si>
  <si>
    <t>INV0739</t>
  </si>
  <si>
    <t>INV0740</t>
  </si>
  <si>
    <t>INV0741</t>
  </si>
  <si>
    <t>INV0742</t>
  </si>
  <si>
    <t>INV0743</t>
  </si>
  <si>
    <t>INV0744</t>
  </si>
  <si>
    <t>INV0745</t>
  </si>
  <si>
    <t>INV0746</t>
  </si>
  <si>
    <t>INV0747</t>
  </si>
  <si>
    <t>INV0748</t>
  </si>
  <si>
    <t>INV0749</t>
  </si>
  <si>
    <t>INV0750</t>
  </si>
  <si>
    <t>INV0751</t>
  </si>
  <si>
    <t>INV0752</t>
  </si>
  <si>
    <t>INV0753</t>
  </si>
  <si>
    <t>INV0754</t>
  </si>
  <si>
    <t>INV0755</t>
  </si>
  <si>
    <t>INV0756</t>
  </si>
  <si>
    <t>INV0757</t>
  </si>
  <si>
    <t>INV0758</t>
  </si>
  <si>
    <t>INV0759</t>
  </si>
  <si>
    <t>INV0760</t>
  </si>
  <si>
    <t>INV0761</t>
  </si>
  <si>
    <t>INV0762</t>
  </si>
  <si>
    <t>INV0763</t>
  </si>
  <si>
    <t>INV0764</t>
  </si>
  <si>
    <t>INV0765</t>
  </si>
  <si>
    <t>INV0766</t>
  </si>
  <si>
    <t>INV0767</t>
  </si>
  <si>
    <t>INV0768</t>
  </si>
  <si>
    <t>INV0769</t>
  </si>
  <si>
    <t>INV0770</t>
  </si>
  <si>
    <t>INV0771</t>
  </si>
  <si>
    <t>INV0772</t>
  </si>
  <si>
    <t>INV0773</t>
  </si>
  <si>
    <t>INV0774</t>
  </si>
  <si>
    <t>INV0775</t>
  </si>
  <si>
    <t>INV0776</t>
  </si>
  <si>
    <t>INV0777</t>
  </si>
  <si>
    <t>INV0778</t>
  </si>
  <si>
    <t>INV0779</t>
  </si>
  <si>
    <t>INV0780</t>
  </si>
  <si>
    <t>INV0781</t>
  </si>
  <si>
    <t>INV0782</t>
  </si>
  <si>
    <t>INV0783</t>
  </si>
  <si>
    <t>INV0784</t>
  </si>
  <si>
    <t>INV0785</t>
  </si>
  <si>
    <t>INV0786</t>
  </si>
  <si>
    <t>INV0787</t>
  </si>
  <si>
    <t>INV0788</t>
  </si>
  <si>
    <t>INV0789</t>
  </si>
  <si>
    <t>INV0790</t>
  </si>
  <si>
    <t>INV0791</t>
  </si>
  <si>
    <t>INV0792</t>
  </si>
  <si>
    <t>INV0793</t>
  </si>
  <si>
    <t>INV0794</t>
  </si>
  <si>
    <t>INV0795</t>
  </si>
  <si>
    <t>INV0796</t>
  </si>
  <si>
    <t>INV0797</t>
  </si>
  <si>
    <t>INV0798</t>
  </si>
  <si>
    <t>INV0799</t>
  </si>
  <si>
    <t>INV0800</t>
  </si>
  <si>
    <t>INV0801</t>
  </si>
  <si>
    <t>INV0802</t>
  </si>
  <si>
    <t>INV0803</t>
  </si>
  <si>
    <t>INV0804</t>
  </si>
  <si>
    <t>INV0805</t>
  </si>
  <si>
    <t>INV0806</t>
  </si>
  <si>
    <t>INV0807</t>
  </si>
  <si>
    <t>INV0808</t>
  </si>
  <si>
    <t>INV0809</t>
  </si>
  <si>
    <t>INV0810</t>
  </si>
  <si>
    <t>INV0811</t>
  </si>
  <si>
    <t>INV0812</t>
  </si>
  <si>
    <t>INV0813</t>
  </si>
  <si>
    <t>INV0814</t>
  </si>
  <si>
    <t>INV0815</t>
  </si>
  <si>
    <t>INV0816</t>
  </si>
  <si>
    <t>INV0817</t>
  </si>
  <si>
    <t>INV0818</t>
  </si>
  <si>
    <t>INV0819</t>
  </si>
  <si>
    <t>INV0820</t>
  </si>
  <si>
    <t>INV0821</t>
  </si>
  <si>
    <t>INV0822</t>
  </si>
  <si>
    <t>INV0823</t>
  </si>
  <si>
    <t>INV0824</t>
  </si>
  <si>
    <t>INV0825</t>
  </si>
  <si>
    <t>INV0826</t>
  </si>
  <si>
    <t>INV0827</t>
  </si>
  <si>
    <t>INV0828</t>
  </si>
  <si>
    <t>INV0829</t>
  </si>
  <si>
    <t>INV0830</t>
  </si>
  <si>
    <t>INV0831</t>
  </si>
  <si>
    <t>INV0832</t>
  </si>
  <si>
    <t>INV0833</t>
  </si>
  <si>
    <t>INV0834</t>
  </si>
  <si>
    <t>INV0835</t>
  </si>
  <si>
    <t>INV0836</t>
  </si>
  <si>
    <t>INV0837</t>
  </si>
  <si>
    <t>INV0838</t>
  </si>
  <si>
    <t>INV0839</t>
  </si>
  <si>
    <t>INV0840</t>
  </si>
  <si>
    <t>INV0841</t>
  </si>
  <si>
    <t>INV0842</t>
  </si>
  <si>
    <t>INV0843</t>
  </si>
  <si>
    <t>INV0844</t>
  </si>
  <si>
    <t>INV0845</t>
  </si>
  <si>
    <t>INV0846</t>
  </si>
  <si>
    <t>INV0847</t>
  </si>
  <si>
    <t>INV0848</t>
  </si>
  <si>
    <t>INV0849</t>
  </si>
  <si>
    <t>INV0850</t>
  </si>
  <si>
    <t>INV0851</t>
  </si>
  <si>
    <t>INV0852</t>
  </si>
  <si>
    <t>INV0853</t>
  </si>
  <si>
    <t>INV0854</t>
  </si>
  <si>
    <t>INV0855</t>
  </si>
  <si>
    <t>INV0856</t>
  </si>
  <si>
    <t>INV0857</t>
  </si>
  <si>
    <t>INV0858</t>
  </si>
  <si>
    <t>INV0859</t>
  </si>
  <si>
    <t>INV0860</t>
  </si>
  <si>
    <t>INV0861</t>
  </si>
  <si>
    <t>INV0862</t>
  </si>
  <si>
    <t>INV0863</t>
  </si>
  <si>
    <t>INV0864</t>
  </si>
  <si>
    <t>INV0865</t>
  </si>
  <si>
    <t>INV0866</t>
  </si>
  <si>
    <t>INV0867</t>
  </si>
  <si>
    <t>INV0868</t>
  </si>
  <si>
    <t>INV0869</t>
  </si>
  <si>
    <t>INV0870</t>
  </si>
  <si>
    <t>INV0871</t>
  </si>
  <si>
    <t>INV0872</t>
  </si>
  <si>
    <t>INV0873</t>
  </si>
  <si>
    <t>INV0874</t>
  </si>
  <si>
    <t>INV0875</t>
  </si>
  <si>
    <t>INV0876</t>
  </si>
  <si>
    <t>INV0877</t>
  </si>
  <si>
    <t>INV0878</t>
  </si>
  <si>
    <t>INV0879</t>
  </si>
  <si>
    <t>INV0880</t>
  </si>
  <si>
    <t>INV0881</t>
  </si>
  <si>
    <t>INV0882</t>
  </si>
  <si>
    <t>INV0883</t>
  </si>
  <si>
    <t>INV0884</t>
  </si>
  <si>
    <t>INV0885</t>
  </si>
  <si>
    <t>INV0886</t>
  </si>
  <si>
    <t>INV0887</t>
  </si>
  <si>
    <t>INV0888</t>
  </si>
  <si>
    <t>INV0889</t>
  </si>
  <si>
    <t>INV0890</t>
  </si>
  <si>
    <t>INV0891</t>
  </si>
  <si>
    <t>INV0892</t>
  </si>
  <si>
    <t>INV0893</t>
  </si>
  <si>
    <t>INV0894</t>
  </si>
  <si>
    <t>INV0895</t>
  </si>
  <si>
    <t>INV0896</t>
  </si>
  <si>
    <t>INV0897</t>
  </si>
  <si>
    <t>INV0898</t>
  </si>
  <si>
    <t>INV0899</t>
  </si>
  <si>
    <t>INV0900</t>
  </si>
  <si>
    <t>INV0901</t>
  </si>
  <si>
    <t>INV0902</t>
  </si>
  <si>
    <t>INV0903</t>
  </si>
  <si>
    <t>INV0904</t>
  </si>
  <si>
    <t>INV0905</t>
  </si>
  <si>
    <t>INV0906</t>
  </si>
  <si>
    <t>INV0907</t>
  </si>
  <si>
    <t>INV0908</t>
  </si>
  <si>
    <t>INV0909</t>
  </si>
  <si>
    <t>INV0910</t>
  </si>
  <si>
    <t>INV0911</t>
  </si>
  <si>
    <t>INV0912</t>
  </si>
  <si>
    <t>INV0913</t>
  </si>
  <si>
    <t>INV0914</t>
  </si>
  <si>
    <t>INV0915</t>
  </si>
  <si>
    <t>INV0916</t>
  </si>
  <si>
    <t>INV0917</t>
  </si>
  <si>
    <t>INV0918</t>
  </si>
  <si>
    <t>INV0919</t>
  </si>
  <si>
    <t>INV0920</t>
  </si>
  <si>
    <t>INV0921</t>
  </si>
  <si>
    <t>INV0922</t>
  </si>
  <si>
    <t>INV0923</t>
  </si>
  <si>
    <t>INV0924</t>
  </si>
  <si>
    <t>INV0925</t>
  </si>
  <si>
    <t>INV0926</t>
  </si>
  <si>
    <t>INV0927</t>
  </si>
  <si>
    <t>INV0928</t>
  </si>
  <si>
    <t>INV0929</t>
  </si>
  <si>
    <t>INV0930</t>
  </si>
  <si>
    <t>INV0931</t>
  </si>
  <si>
    <t>INV0932</t>
  </si>
  <si>
    <t>INV0933</t>
  </si>
  <si>
    <t>INV0934</t>
  </si>
  <si>
    <t>INV0935</t>
  </si>
  <si>
    <t>INV0936</t>
  </si>
  <si>
    <t>INV0937</t>
  </si>
  <si>
    <t>INV0938</t>
  </si>
  <si>
    <t>INV0939</t>
  </si>
  <si>
    <t>INV0940</t>
  </si>
  <si>
    <t>INV0941</t>
  </si>
  <si>
    <t>INV0942</t>
  </si>
  <si>
    <t>INV0943</t>
  </si>
  <si>
    <t>INV0944</t>
  </si>
  <si>
    <t>INV0945</t>
  </si>
  <si>
    <t>INV0946</t>
  </si>
  <si>
    <t>INV0947</t>
  </si>
  <si>
    <t>INV0948</t>
  </si>
  <si>
    <t>INV0949</t>
  </si>
  <si>
    <t>INV0950</t>
  </si>
  <si>
    <t>INV0951</t>
  </si>
  <si>
    <t>INV0952</t>
  </si>
  <si>
    <t>INV0953</t>
  </si>
  <si>
    <t>INV0954</t>
  </si>
  <si>
    <t>INV0955</t>
  </si>
  <si>
    <t>INV0956</t>
  </si>
  <si>
    <t>INV0957</t>
  </si>
  <si>
    <t>INV0958</t>
  </si>
  <si>
    <t>INV0959</t>
  </si>
  <si>
    <t>INV0960</t>
  </si>
  <si>
    <t>INV0961</t>
  </si>
  <si>
    <t>INV0962</t>
  </si>
  <si>
    <t>INV0963</t>
  </si>
  <si>
    <t>INV0964</t>
  </si>
  <si>
    <t>INV0965</t>
  </si>
  <si>
    <t>INV0966</t>
  </si>
  <si>
    <t>INV0967</t>
  </si>
  <si>
    <t>INV0968</t>
  </si>
  <si>
    <t>INV0969</t>
  </si>
  <si>
    <t>INV0970</t>
  </si>
  <si>
    <t>INV0971</t>
  </si>
  <si>
    <t>INV0972</t>
  </si>
  <si>
    <t>INV0973</t>
  </si>
  <si>
    <t>INV0974</t>
  </si>
  <si>
    <t>INV0975</t>
  </si>
  <si>
    <t>INV0976</t>
  </si>
  <si>
    <t>INV0977</t>
  </si>
  <si>
    <t>INV0978</t>
  </si>
  <si>
    <t>INV0979</t>
  </si>
  <si>
    <t>INV0980</t>
  </si>
  <si>
    <t>INV0981</t>
  </si>
  <si>
    <t>INV0982</t>
  </si>
  <si>
    <t>INV0983</t>
  </si>
  <si>
    <t>INV0984</t>
  </si>
  <si>
    <t>INV0985</t>
  </si>
  <si>
    <t>INV0986</t>
  </si>
  <si>
    <t>INV0987</t>
  </si>
  <si>
    <t>INV0988</t>
  </si>
  <si>
    <t>INV0989</t>
  </si>
  <si>
    <t>INV0990</t>
  </si>
  <si>
    <t>INV0991</t>
  </si>
  <si>
    <t>INV0992</t>
  </si>
  <si>
    <t>INV0993</t>
  </si>
  <si>
    <t>INV0994</t>
  </si>
  <si>
    <t>INV0995</t>
  </si>
  <si>
    <t>INV0996</t>
  </si>
  <si>
    <t>INV0997</t>
  </si>
  <si>
    <t>INV0998</t>
  </si>
  <si>
    <t>INV0999</t>
  </si>
  <si>
    <t>INV1000</t>
  </si>
  <si>
    <t>INV1001</t>
  </si>
  <si>
    <t>INV1002</t>
  </si>
  <si>
    <t>INV1003</t>
  </si>
  <si>
    <t>INV1004</t>
  </si>
  <si>
    <t>INV1005</t>
  </si>
  <si>
    <t>INV1006</t>
  </si>
  <si>
    <t>INV1007</t>
  </si>
  <si>
    <t>INV1008</t>
  </si>
  <si>
    <t>INV1009</t>
  </si>
  <si>
    <t>INV1010</t>
  </si>
  <si>
    <t>INV1011</t>
  </si>
  <si>
    <t>INV1012</t>
  </si>
  <si>
    <t>INV1013</t>
  </si>
  <si>
    <t>INV1014</t>
  </si>
  <si>
    <t>INV1015</t>
  </si>
  <si>
    <t>INV1016</t>
  </si>
  <si>
    <t>INV1017</t>
  </si>
  <si>
    <t>INV1018</t>
  </si>
  <si>
    <t>INV1019</t>
  </si>
  <si>
    <t>INV1020</t>
  </si>
  <si>
    <t>INV1021</t>
  </si>
  <si>
    <t>INV1022</t>
  </si>
  <si>
    <t>INV1023</t>
  </si>
  <si>
    <t>INV1024</t>
  </si>
  <si>
    <t>INV1025</t>
  </si>
  <si>
    <t>INV1026</t>
  </si>
  <si>
    <t>INV1027</t>
  </si>
  <si>
    <t>INV1028</t>
  </si>
  <si>
    <t>INV1029</t>
  </si>
  <si>
    <t>INV1030</t>
  </si>
  <si>
    <t>INV1031</t>
  </si>
  <si>
    <t>INV1032</t>
  </si>
  <si>
    <t>INV1033</t>
  </si>
  <si>
    <t>INV1034</t>
  </si>
  <si>
    <t>INV1035</t>
  </si>
  <si>
    <t>INV1036</t>
  </si>
  <si>
    <t>INV1037</t>
  </si>
  <si>
    <t>INV1038</t>
  </si>
  <si>
    <t>INV1039</t>
  </si>
  <si>
    <t>INV1040</t>
  </si>
  <si>
    <t>INV1041</t>
  </si>
  <si>
    <t>INV1042</t>
  </si>
  <si>
    <t>INV1043</t>
  </si>
  <si>
    <t>INV1044</t>
  </si>
  <si>
    <t>INV1045</t>
  </si>
  <si>
    <t>INV1046</t>
  </si>
  <si>
    <t>INV1047</t>
  </si>
  <si>
    <t>INV1048</t>
  </si>
  <si>
    <t>INV1049</t>
  </si>
  <si>
    <t>INV1050</t>
  </si>
  <si>
    <t>INV1051</t>
  </si>
  <si>
    <t>INV1052</t>
  </si>
  <si>
    <t>INV1053</t>
  </si>
  <si>
    <t>INV1054</t>
  </si>
  <si>
    <t>INV1055</t>
  </si>
  <si>
    <t>INV1056</t>
  </si>
  <si>
    <t>INV1057</t>
  </si>
  <si>
    <t>INV1058</t>
  </si>
  <si>
    <t>INV1059</t>
  </si>
  <si>
    <t>INV1060</t>
  </si>
  <si>
    <t>INV1061</t>
  </si>
  <si>
    <t>INV1062</t>
  </si>
  <si>
    <t>INV1063</t>
  </si>
  <si>
    <t>INV1064</t>
  </si>
  <si>
    <t>INV1065</t>
  </si>
  <si>
    <t>INV1066</t>
  </si>
  <si>
    <t>INV1067</t>
  </si>
  <si>
    <t>INV1068</t>
  </si>
  <si>
    <t>INV1069</t>
  </si>
  <si>
    <t>INV1070</t>
  </si>
  <si>
    <t>INV1071</t>
  </si>
  <si>
    <t>INV1072</t>
  </si>
  <si>
    <t>INV1073</t>
  </si>
  <si>
    <t>INV1074</t>
  </si>
  <si>
    <t>INV1075</t>
  </si>
  <si>
    <t>INV1076</t>
  </si>
  <si>
    <t>INV1077</t>
  </si>
  <si>
    <t>INV1078</t>
  </si>
  <si>
    <t>INV1079</t>
  </si>
  <si>
    <t>INV1080</t>
  </si>
  <si>
    <t>INV1081</t>
  </si>
  <si>
    <t>INV1082</t>
  </si>
  <si>
    <t>INV1083</t>
  </si>
  <si>
    <t>INV1084</t>
  </si>
  <si>
    <t>INV1085</t>
  </si>
  <si>
    <t>INV1086</t>
  </si>
  <si>
    <t>INV1087</t>
  </si>
  <si>
    <t>INV1088</t>
  </si>
  <si>
    <t>INV1089</t>
  </si>
  <si>
    <t>INV1090</t>
  </si>
  <si>
    <t>INV1091</t>
  </si>
  <si>
    <t>INV1092</t>
  </si>
  <si>
    <t>INV1093</t>
  </si>
  <si>
    <t>INV1094</t>
  </si>
  <si>
    <t>INV1095</t>
  </si>
  <si>
    <t>INV1096</t>
  </si>
  <si>
    <t>INV1097</t>
  </si>
  <si>
    <t>INV1098</t>
  </si>
  <si>
    <t>INV1099</t>
  </si>
  <si>
    <t>INV1100</t>
  </si>
  <si>
    <t>INV1101</t>
  </si>
  <si>
    <t>INV1102</t>
  </si>
  <si>
    <t>INV1103</t>
  </si>
  <si>
    <t>INV1104</t>
  </si>
  <si>
    <t>INV1105</t>
  </si>
  <si>
    <t>INV1106</t>
  </si>
  <si>
    <t>INV1107</t>
  </si>
  <si>
    <t>INV1108</t>
  </si>
  <si>
    <t>INV1109</t>
  </si>
  <si>
    <t>INV1110</t>
  </si>
  <si>
    <t>INV1111</t>
  </si>
  <si>
    <t>INV1112</t>
  </si>
  <si>
    <t>INV1113</t>
  </si>
  <si>
    <t>INV1114</t>
  </si>
  <si>
    <t>INV1115</t>
  </si>
  <si>
    <t>INV1116</t>
  </si>
  <si>
    <t>INV1117</t>
  </si>
  <si>
    <t>INV1118</t>
  </si>
  <si>
    <t>INV1119</t>
  </si>
  <si>
    <t>INV1120</t>
  </si>
  <si>
    <t>INV1121</t>
  </si>
  <si>
    <t>INV1122</t>
  </si>
  <si>
    <t>INV1123</t>
  </si>
  <si>
    <t>INV1124</t>
  </si>
  <si>
    <t>INV1125</t>
  </si>
  <si>
    <t>INV1126</t>
  </si>
  <si>
    <t>INV1127</t>
  </si>
  <si>
    <t>INV1128</t>
  </si>
  <si>
    <t>INV1129</t>
  </si>
  <si>
    <t>INV1130</t>
  </si>
  <si>
    <t>INV1131</t>
  </si>
  <si>
    <t>INV1132</t>
  </si>
  <si>
    <t>INV1133</t>
  </si>
  <si>
    <t>INV1134</t>
  </si>
  <si>
    <t>INV1135</t>
  </si>
  <si>
    <t>INV1136</t>
  </si>
  <si>
    <t>INV1137</t>
  </si>
  <si>
    <t>INV1138</t>
  </si>
  <si>
    <t>INV1139</t>
  </si>
  <si>
    <t>INV1140</t>
  </si>
  <si>
    <t>INV1141</t>
  </si>
  <si>
    <t>INV1142</t>
  </si>
  <si>
    <t>INV1143</t>
  </si>
  <si>
    <t>INV1144</t>
  </si>
  <si>
    <t>INV1145</t>
  </si>
  <si>
    <t>INV1146</t>
  </si>
  <si>
    <t>INV1147</t>
  </si>
  <si>
    <t>INV1148</t>
  </si>
  <si>
    <t>INV1149</t>
  </si>
  <si>
    <t>INV1150</t>
  </si>
  <si>
    <t>INV1151</t>
  </si>
  <si>
    <t>INV1152</t>
  </si>
  <si>
    <t>INV1153</t>
  </si>
  <si>
    <t>INV1154</t>
  </si>
  <si>
    <t>INV1155</t>
  </si>
  <si>
    <t>INV1156</t>
  </si>
  <si>
    <t>INV1157</t>
  </si>
  <si>
    <t>INV1158</t>
  </si>
  <si>
    <t>INV1159</t>
  </si>
  <si>
    <t>INV1160</t>
  </si>
  <si>
    <t>INV1161</t>
  </si>
  <si>
    <t>INV1162</t>
  </si>
  <si>
    <t>INV1163</t>
  </si>
  <si>
    <t>INV1164</t>
  </si>
  <si>
    <t>INV1165</t>
  </si>
  <si>
    <t>INV1166</t>
  </si>
  <si>
    <t>INV1167</t>
  </si>
  <si>
    <t>INV1168</t>
  </si>
  <si>
    <t>INV1169</t>
  </si>
  <si>
    <t>INV1170</t>
  </si>
  <si>
    <t>INV1171</t>
  </si>
  <si>
    <t>INV1172</t>
  </si>
  <si>
    <t>INV1173</t>
  </si>
  <si>
    <t>INV1174</t>
  </si>
  <si>
    <t>INV1175</t>
  </si>
  <si>
    <t>INV1176</t>
  </si>
  <si>
    <t>INV1177</t>
  </si>
  <si>
    <t>INV1178</t>
  </si>
  <si>
    <t>INV1179</t>
  </si>
  <si>
    <t>INV1180</t>
  </si>
  <si>
    <t>INV1181</t>
  </si>
  <si>
    <t>INV1182</t>
  </si>
  <si>
    <t>INV1183</t>
  </si>
  <si>
    <t>INV1184</t>
  </si>
  <si>
    <t>INV1185</t>
  </si>
  <si>
    <t>INV1186</t>
  </si>
  <si>
    <t>INV1187</t>
  </si>
  <si>
    <t>INV1188</t>
  </si>
  <si>
    <t>INV1189</t>
  </si>
  <si>
    <t>INV1190</t>
  </si>
  <si>
    <t>INV1191</t>
  </si>
  <si>
    <t>INV1192</t>
  </si>
  <si>
    <t>INV1193</t>
  </si>
  <si>
    <t>INV1194</t>
  </si>
  <si>
    <t>INV1195</t>
  </si>
  <si>
    <t>INV1196</t>
  </si>
  <si>
    <t>INV1197</t>
  </si>
  <si>
    <t>INV1198</t>
  </si>
  <si>
    <t>INV1199</t>
  </si>
  <si>
    <t>INV1200</t>
  </si>
  <si>
    <t>INV1201</t>
  </si>
  <si>
    <t>INV1202</t>
  </si>
  <si>
    <t>INV1203</t>
  </si>
  <si>
    <t>INV1204</t>
  </si>
  <si>
    <t>INV1205</t>
  </si>
  <si>
    <t>INV1206</t>
  </si>
  <si>
    <t>INV1207</t>
  </si>
  <si>
    <t>INV1208</t>
  </si>
  <si>
    <t>INV1209</t>
  </si>
  <si>
    <t>INV1210</t>
  </si>
  <si>
    <t>INV1211</t>
  </si>
  <si>
    <t>INV1212</t>
  </si>
  <si>
    <t>INV1213</t>
  </si>
  <si>
    <t>INV1214</t>
  </si>
  <si>
    <t>INV1215</t>
  </si>
  <si>
    <t>INV1216</t>
  </si>
  <si>
    <t>INV1217</t>
  </si>
  <si>
    <t>INV1218</t>
  </si>
  <si>
    <t>INV1219</t>
  </si>
  <si>
    <t>INV1220</t>
  </si>
  <si>
    <t>INV1221</t>
  </si>
  <si>
    <t>INV1222</t>
  </si>
  <si>
    <t>INV1223</t>
  </si>
  <si>
    <t>INV1224</t>
  </si>
  <si>
    <t>INV1225</t>
  </si>
  <si>
    <t>INV1226</t>
  </si>
  <si>
    <t>INV1227</t>
  </si>
  <si>
    <t>INV1228</t>
  </si>
  <si>
    <t>INV1229</t>
  </si>
  <si>
    <t>INV1230</t>
  </si>
  <si>
    <t>INV1231</t>
  </si>
  <si>
    <t>INV1232</t>
  </si>
  <si>
    <t>INV1233</t>
  </si>
  <si>
    <t>INV1234</t>
  </si>
  <si>
    <t>INV1235</t>
  </si>
  <si>
    <t>INV1236</t>
  </si>
  <si>
    <t>INV1237</t>
  </si>
  <si>
    <t>INV1238</t>
  </si>
  <si>
    <t>INV1239</t>
  </si>
  <si>
    <t>INV1240</t>
  </si>
  <si>
    <t>INV1241</t>
  </si>
  <si>
    <t>INV1242</t>
  </si>
  <si>
    <t>INV1243</t>
  </si>
  <si>
    <t>INV1244</t>
  </si>
  <si>
    <t>INV1245</t>
  </si>
  <si>
    <t>INV1246</t>
  </si>
  <si>
    <t>INV1247</t>
  </si>
  <si>
    <t>INV1248</t>
  </si>
  <si>
    <t>INV1249</t>
  </si>
  <si>
    <t>INV1250</t>
  </si>
  <si>
    <t>INV1251</t>
  </si>
  <si>
    <t>INV1252</t>
  </si>
  <si>
    <t>INV1253</t>
  </si>
  <si>
    <t>INV1254</t>
  </si>
  <si>
    <t>INV1255</t>
  </si>
  <si>
    <t>INV1256</t>
  </si>
  <si>
    <t>INV1257</t>
  </si>
  <si>
    <t>INV1258</t>
  </si>
  <si>
    <t>INV1259</t>
  </si>
  <si>
    <t>INV1260</t>
  </si>
  <si>
    <t>INV1261</t>
  </si>
  <si>
    <t>INV1262</t>
  </si>
  <si>
    <t>INV1263</t>
  </si>
  <si>
    <t>INV1264</t>
  </si>
  <si>
    <t>INV1265</t>
  </si>
  <si>
    <t>INV1266</t>
  </si>
  <si>
    <t>INV1267</t>
  </si>
  <si>
    <t>INV1268</t>
  </si>
  <si>
    <t>INV1269</t>
  </si>
  <si>
    <t>INV1270</t>
  </si>
  <si>
    <t>INV1271</t>
  </si>
  <si>
    <t>INV1272</t>
  </si>
  <si>
    <t>INV1273</t>
  </si>
  <si>
    <t>INV1274</t>
  </si>
  <si>
    <t>INV1275</t>
  </si>
  <si>
    <t>INV1276</t>
  </si>
  <si>
    <t>INV1277</t>
  </si>
  <si>
    <t>INV1278</t>
  </si>
  <si>
    <t>INV1279</t>
  </si>
  <si>
    <t>INV1280</t>
  </si>
  <si>
    <t>INV1281</t>
  </si>
  <si>
    <t>INV1282</t>
  </si>
  <si>
    <t>INV1283</t>
  </si>
  <si>
    <t>INV1284</t>
  </si>
  <si>
    <t>INV1285</t>
  </si>
  <si>
    <t>INV1286</t>
  </si>
  <si>
    <t>INV1287</t>
  </si>
  <si>
    <t>INV1288</t>
  </si>
  <si>
    <t>INV1289</t>
  </si>
  <si>
    <t>INV1290</t>
  </si>
  <si>
    <t>INV1291</t>
  </si>
  <si>
    <t>INV1292</t>
  </si>
  <si>
    <t>INV1293</t>
  </si>
  <si>
    <t>INV1294</t>
  </si>
  <si>
    <t>INV1295</t>
  </si>
  <si>
    <t>INV1296</t>
  </si>
  <si>
    <t>INV1297</t>
  </si>
  <si>
    <t>INV1298</t>
  </si>
  <si>
    <t>INV1299</t>
  </si>
  <si>
    <t>INV1300</t>
  </si>
  <si>
    <t>INV1301</t>
  </si>
  <si>
    <t>INV1302</t>
  </si>
  <si>
    <t>INV1303</t>
  </si>
  <si>
    <t>INV1304</t>
  </si>
  <si>
    <t>INV1305</t>
  </si>
  <si>
    <t>INV1306</t>
  </si>
  <si>
    <t>INV1307</t>
  </si>
  <si>
    <t>INV1308</t>
  </si>
  <si>
    <t>INV1309</t>
  </si>
  <si>
    <t>INV1310</t>
  </si>
  <si>
    <t>INV1311</t>
  </si>
  <si>
    <t>INV1312</t>
  </si>
  <si>
    <t>INV1313</t>
  </si>
  <si>
    <t>INV1314</t>
  </si>
  <si>
    <t>INV1315</t>
  </si>
  <si>
    <t>INV1316</t>
  </si>
  <si>
    <t>INV1317</t>
  </si>
  <si>
    <t>INV1318</t>
  </si>
  <si>
    <t>INV1319</t>
  </si>
  <si>
    <t>INV1320</t>
  </si>
  <si>
    <t>INV1321</t>
  </si>
  <si>
    <t>INV1322</t>
  </si>
  <si>
    <t>INV1323</t>
  </si>
  <si>
    <t>INV1324</t>
  </si>
  <si>
    <t>INV1325</t>
  </si>
  <si>
    <t>INV1326</t>
  </si>
  <si>
    <t>INV1327</t>
  </si>
  <si>
    <t>INV1328</t>
  </si>
  <si>
    <t>INV1329</t>
  </si>
  <si>
    <t>INV1330</t>
  </si>
  <si>
    <t>INV1331</t>
  </si>
  <si>
    <t>INV1332</t>
  </si>
  <si>
    <t>INV1333</t>
  </si>
  <si>
    <t>INV1334</t>
  </si>
  <si>
    <t>INV1335</t>
  </si>
  <si>
    <t>INV1336</t>
  </si>
  <si>
    <t>INV1337</t>
  </si>
  <si>
    <t>INV1338</t>
  </si>
  <si>
    <t>INV1339</t>
  </si>
  <si>
    <t>INV1340</t>
  </si>
  <si>
    <t>INV1341</t>
  </si>
  <si>
    <t>INV1342</t>
  </si>
  <si>
    <t>INV1343</t>
  </si>
  <si>
    <t>INV1344</t>
  </si>
  <si>
    <t>INV1345</t>
  </si>
  <si>
    <t>INV1346</t>
  </si>
  <si>
    <t>INV1347</t>
  </si>
  <si>
    <t>INV1348</t>
  </si>
  <si>
    <t>INV1349</t>
  </si>
  <si>
    <t>INV1350</t>
  </si>
  <si>
    <t>INV1351</t>
  </si>
  <si>
    <t>INV1352</t>
  </si>
  <si>
    <t>INV1353</t>
  </si>
  <si>
    <t>INV1354</t>
  </si>
  <si>
    <t>INV1355</t>
  </si>
  <si>
    <t>INV1356</t>
  </si>
  <si>
    <t>INV1357</t>
  </si>
  <si>
    <t>INV1358</t>
  </si>
  <si>
    <t>INV1359</t>
  </si>
  <si>
    <t>INV1360</t>
  </si>
  <si>
    <t>INV1361</t>
  </si>
  <si>
    <t>INV1362</t>
  </si>
  <si>
    <t>INV1363</t>
  </si>
  <si>
    <t>INV1364</t>
  </si>
  <si>
    <t>INV1365</t>
  </si>
  <si>
    <t>INV1366</t>
  </si>
  <si>
    <t>INV1367</t>
  </si>
  <si>
    <t>INV1368</t>
  </si>
  <si>
    <t>INV1369</t>
  </si>
  <si>
    <t>INV1370</t>
  </si>
  <si>
    <t>INV1371</t>
  </si>
  <si>
    <t>INV1372</t>
  </si>
  <si>
    <t>INV1373</t>
  </si>
  <si>
    <t>INV1374</t>
  </si>
  <si>
    <t>INV1375</t>
  </si>
  <si>
    <t>INV1376</t>
  </si>
  <si>
    <t>INV1377</t>
  </si>
  <si>
    <t>INV1378</t>
  </si>
  <si>
    <t>INV1379</t>
  </si>
  <si>
    <t>INV1380</t>
  </si>
  <si>
    <t>INV1381</t>
  </si>
  <si>
    <t>INV1382</t>
  </si>
  <si>
    <t>INV1383</t>
  </si>
  <si>
    <t>INV1384</t>
  </si>
  <si>
    <t>INV1385</t>
  </si>
  <si>
    <t>INV1386</t>
  </si>
  <si>
    <t>INV1387</t>
  </si>
  <si>
    <t>INV1388</t>
  </si>
  <si>
    <t>INV1389</t>
  </si>
  <si>
    <t>INV1390</t>
  </si>
  <si>
    <t>INV1391</t>
  </si>
  <si>
    <t>INV1392</t>
  </si>
  <si>
    <t>INV1393</t>
  </si>
  <si>
    <t>INV1394</t>
  </si>
  <si>
    <t>INV1395</t>
  </si>
  <si>
    <t>INV1396</t>
  </si>
  <si>
    <t>INV1397</t>
  </si>
  <si>
    <t>INV1398</t>
  </si>
  <si>
    <t>INV1399</t>
  </si>
  <si>
    <t>INV1400</t>
  </si>
  <si>
    <t>INV1401</t>
  </si>
  <si>
    <t>INV1402</t>
  </si>
  <si>
    <t>INV1403</t>
  </si>
  <si>
    <t>INV1404</t>
  </si>
  <si>
    <t>INV1405</t>
  </si>
  <si>
    <t>INV1406</t>
  </si>
  <si>
    <t>INV1407</t>
  </si>
  <si>
    <t>INV1408</t>
  </si>
  <si>
    <t>INV1409</t>
  </si>
  <si>
    <t>INV1410</t>
  </si>
  <si>
    <t>INV1411</t>
  </si>
  <si>
    <t>INV1412</t>
  </si>
  <si>
    <t>INV1413</t>
  </si>
  <si>
    <t>INV1414</t>
  </si>
  <si>
    <t>INV1415</t>
  </si>
  <si>
    <t>INV1416</t>
  </si>
  <si>
    <t>INV1417</t>
  </si>
  <si>
    <t>INV1418</t>
  </si>
  <si>
    <t>INV1419</t>
  </si>
  <si>
    <t>INV1420</t>
  </si>
  <si>
    <t>INV1421</t>
  </si>
  <si>
    <t>INV1422</t>
  </si>
  <si>
    <t>INV1423</t>
  </si>
  <si>
    <t>INV1424</t>
  </si>
  <si>
    <t>INV1425</t>
  </si>
  <si>
    <t>INV1426</t>
  </si>
  <si>
    <t>INV1427</t>
  </si>
  <si>
    <t>INV1428</t>
  </si>
  <si>
    <t>INV1429</t>
  </si>
  <si>
    <t>INV1430</t>
  </si>
  <si>
    <t>INV1431</t>
  </si>
  <si>
    <t>INV1432</t>
  </si>
  <si>
    <t>INV1433</t>
  </si>
  <si>
    <t>INV1434</t>
  </si>
  <si>
    <t>INV1435</t>
  </si>
  <si>
    <t>INV1436</t>
  </si>
  <si>
    <t>INV1437</t>
  </si>
  <si>
    <t>INV1438</t>
  </si>
  <si>
    <t>INV1439</t>
  </si>
  <si>
    <t>INV1440</t>
  </si>
  <si>
    <t>INV1441</t>
  </si>
  <si>
    <t>INV1442</t>
  </si>
  <si>
    <t>INV1443</t>
  </si>
  <si>
    <t>INV1444</t>
  </si>
  <si>
    <t>INV1445</t>
  </si>
  <si>
    <t>INV1446</t>
  </si>
  <si>
    <t>INV1447</t>
  </si>
  <si>
    <t>INV1448</t>
  </si>
  <si>
    <t>INV1449</t>
  </si>
  <si>
    <t>INV1450</t>
  </si>
  <si>
    <t>INV1451</t>
  </si>
  <si>
    <t>INV1452</t>
  </si>
  <si>
    <t>INV1453</t>
  </si>
  <si>
    <t>INV1454</t>
  </si>
  <si>
    <t>INV1455</t>
  </si>
  <si>
    <t>INV1456</t>
  </si>
  <si>
    <t>INV1457</t>
  </si>
  <si>
    <t>INV1458</t>
  </si>
  <si>
    <t>INV1459</t>
  </si>
  <si>
    <t>INV1460</t>
  </si>
  <si>
    <t>INV1461</t>
  </si>
  <si>
    <t>INV1462</t>
  </si>
  <si>
    <t>INV1463</t>
  </si>
  <si>
    <t>INV1464</t>
  </si>
  <si>
    <t>INV1465</t>
  </si>
  <si>
    <t>INV1466</t>
  </si>
  <si>
    <t>INV1467</t>
  </si>
  <si>
    <t>INV1468</t>
  </si>
  <si>
    <t>INV1469</t>
  </si>
  <si>
    <t>INV1470</t>
  </si>
  <si>
    <t>INV1471</t>
  </si>
  <si>
    <t>INV1472</t>
  </si>
  <si>
    <t>INV1473</t>
  </si>
  <si>
    <t>INV1474</t>
  </si>
  <si>
    <t>INV1475</t>
  </si>
  <si>
    <t>INV1476</t>
  </si>
  <si>
    <t>INV1477</t>
  </si>
  <si>
    <t>INV1478</t>
  </si>
  <si>
    <t>INV1479</t>
  </si>
  <si>
    <t>INV1480</t>
  </si>
  <si>
    <t>INV1481</t>
  </si>
  <si>
    <t>INV1482</t>
  </si>
  <si>
    <t>INV1483</t>
  </si>
  <si>
    <t>INV1484</t>
  </si>
  <si>
    <t>INV1485</t>
  </si>
  <si>
    <t>INV1486</t>
  </si>
  <si>
    <t>INV1487</t>
  </si>
  <si>
    <t>INV1488</t>
  </si>
  <si>
    <t>INV1489</t>
  </si>
  <si>
    <t>INV1490</t>
  </si>
  <si>
    <t>INV1491</t>
  </si>
  <si>
    <t>INV1492</t>
  </si>
  <si>
    <t>INV1493</t>
  </si>
  <si>
    <t>INV1494</t>
  </si>
  <si>
    <t>INV1495</t>
  </si>
  <si>
    <t>INV1496</t>
  </si>
  <si>
    <t>INV1497</t>
  </si>
  <si>
    <t>INV1498</t>
  </si>
  <si>
    <t>INV1499</t>
  </si>
  <si>
    <t>INV1500</t>
  </si>
  <si>
    <t>INV1501</t>
  </si>
  <si>
    <t>INV1502</t>
  </si>
  <si>
    <t>INV1503</t>
  </si>
  <si>
    <t>INV1504</t>
  </si>
  <si>
    <t>INV1505</t>
  </si>
  <si>
    <t>INV1506</t>
  </si>
  <si>
    <t>INV1507</t>
  </si>
  <si>
    <t>INV1508</t>
  </si>
  <si>
    <t>INV1509</t>
  </si>
  <si>
    <t>INV1510</t>
  </si>
  <si>
    <t>INV1511</t>
  </si>
  <si>
    <t>INV1512</t>
  </si>
  <si>
    <t>INV1513</t>
  </si>
  <si>
    <t>INV1514</t>
  </si>
  <si>
    <t>INV1515</t>
  </si>
  <si>
    <t>INV1516</t>
  </si>
  <si>
    <t>INV1517</t>
  </si>
  <si>
    <t>INV1518</t>
  </si>
  <si>
    <t>INV1519</t>
  </si>
  <si>
    <t>INV1520</t>
  </si>
  <si>
    <t>INV1521</t>
  </si>
  <si>
    <t>INV1522</t>
  </si>
  <si>
    <t>INV1523</t>
  </si>
  <si>
    <t>INV1524</t>
  </si>
  <si>
    <t>INV1525</t>
  </si>
  <si>
    <t>INV1526</t>
  </si>
  <si>
    <t>INV1527</t>
  </si>
  <si>
    <t>INV1528</t>
  </si>
  <si>
    <t>INV1529</t>
  </si>
  <si>
    <t>INV1530</t>
  </si>
  <si>
    <t>INV1531</t>
  </si>
  <si>
    <t>INV1532</t>
  </si>
  <si>
    <t>INV1533</t>
  </si>
  <si>
    <t>INV1534</t>
  </si>
  <si>
    <t>INV1535</t>
  </si>
  <si>
    <t>INV1536</t>
  </si>
  <si>
    <t>INV1537</t>
  </si>
  <si>
    <t>INV1538</t>
  </si>
  <si>
    <t>INV1539</t>
  </si>
  <si>
    <t>INV1540</t>
  </si>
  <si>
    <t>INV1541</t>
  </si>
  <si>
    <t>INV1542</t>
  </si>
  <si>
    <t>INV1543</t>
  </si>
  <si>
    <t>INV1544</t>
  </si>
  <si>
    <t>INV1545</t>
  </si>
  <si>
    <t>INV1546</t>
  </si>
  <si>
    <t>INV1547</t>
  </si>
  <si>
    <t>INV1548</t>
  </si>
  <si>
    <t>INV1549</t>
  </si>
  <si>
    <t>INV1550</t>
  </si>
  <si>
    <t>INV1551</t>
  </si>
  <si>
    <t>INV1552</t>
  </si>
  <si>
    <t>INV1553</t>
  </si>
  <si>
    <t>INV1554</t>
  </si>
  <si>
    <t>INV1555</t>
  </si>
  <si>
    <t>INV1556</t>
  </si>
  <si>
    <t>INV1557</t>
  </si>
  <si>
    <t>INV1558</t>
  </si>
  <si>
    <t>INV1559</t>
  </si>
  <si>
    <t>INV1560</t>
  </si>
  <si>
    <t>INV1561</t>
  </si>
  <si>
    <t>INV1562</t>
  </si>
  <si>
    <t>INV1563</t>
  </si>
  <si>
    <t>INV1564</t>
  </si>
  <si>
    <t>INV1565</t>
  </si>
  <si>
    <t>INV1566</t>
  </si>
  <si>
    <t>INV1567</t>
  </si>
  <si>
    <t>INV1568</t>
  </si>
  <si>
    <t>INV1569</t>
  </si>
  <si>
    <t>INV1570</t>
  </si>
  <si>
    <t>INV1571</t>
  </si>
  <si>
    <t>INV1572</t>
  </si>
  <si>
    <t>INV1573</t>
  </si>
  <si>
    <t>INV1574</t>
  </si>
  <si>
    <t>INV1575</t>
  </si>
  <si>
    <t>INV1576</t>
  </si>
  <si>
    <t>INV1577</t>
  </si>
  <si>
    <t>INV1578</t>
  </si>
  <si>
    <t>INV1579</t>
  </si>
  <si>
    <t>INV1580</t>
  </si>
  <si>
    <t>INV1581</t>
  </si>
  <si>
    <t>INV1582</t>
  </si>
  <si>
    <t>INV1583</t>
  </si>
  <si>
    <t>INV1584</t>
  </si>
  <si>
    <t>INV1585</t>
  </si>
  <si>
    <t>INV1586</t>
  </si>
  <si>
    <t>INV1587</t>
  </si>
  <si>
    <t>INV1588</t>
  </si>
  <si>
    <t>INV1589</t>
  </si>
  <si>
    <t>INV1590</t>
  </si>
  <si>
    <t>INV1591</t>
  </si>
  <si>
    <t>INV1592</t>
  </si>
  <si>
    <t>INV1593</t>
  </si>
  <si>
    <t>INV1594</t>
  </si>
  <si>
    <t>INV1595</t>
  </si>
  <si>
    <t>INV1596</t>
  </si>
  <si>
    <t>INV1597</t>
  </si>
  <si>
    <t>INV1598</t>
  </si>
  <si>
    <t>INV1599</t>
  </si>
  <si>
    <t>INV1600</t>
  </si>
  <si>
    <t>INV1601</t>
  </si>
  <si>
    <t>INV1602</t>
  </si>
  <si>
    <t>INV1603</t>
  </si>
  <si>
    <t>INV1604</t>
  </si>
  <si>
    <t>INV1605</t>
  </si>
  <si>
    <t>INV1606</t>
  </si>
  <si>
    <t>INV1607</t>
  </si>
  <si>
    <t>INV1608</t>
  </si>
  <si>
    <t>INV1609</t>
  </si>
  <si>
    <t>INV1610</t>
  </si>
  <si>
    <t>INV1611</t>
  </si>
  <si>
    <t>INV1612</t>
  </si>
  <si>
    <t>INV1613</t>
  </si>
  <si>
    <t>INV1614</t>
  </si>
  <si>
    <t>INV1615</t>
  </si>
  <si>
    <t>INV1616</t>
  </si>
  <si>
    <t>INV1617</t>
  </si>
  <si>
    <t>INV1618</t>
  </si>
  <si>
    <t>INV1619</t>
  </si>
  <si>
    <t>INV1620</t>
  </si>
  <si>
    <t>INV1621</t>
  </si>
  <si>
    <t>INV1622</t>
  </si>
  <si>
    <t>INV1623</t>
  </si>
  <si>
    <t>INV1624</t>
  </si>
  <si>
    <t>INV1625</t>
  </si>
  <si>
    <t>INV1626</t>
  </si>
  <si>
    <t>INV1627</t>
  </si>
  <si>
    <t>INV1628</t>
  </si>
  <si>
    <t>INV1629</t>
  </si>
  <si>
    <t>INV1630</t>
  </si>
  <si>
    <t>INV1631</t>
  </si>
  <si>
    <t>INV1632</t>
  </si>
  <si>
    <t>INV1633</t>
  </si>
  <si>
    <t>INV1634</t>
  </si>
  <si>
    <t>INV1635</t>
  </si>
  <si>
    <t>INV1636</t>
  </si>
  <si>
    <t>INV1637</t>
  </si>
  <si>
    <t>INV1638</t>
  </si>
  <si>
    <t>INV1639</t>
  </si>
  <si>
    <t>INV1640</t>
  </si>
  <si>
    <t>INV1641</t>
  </si>
  <si>
    <t>INV1642</t>
  </si>
  <si>
    <t>INV1643</t>
  </si>
  <si>
    <t>INV1644</t>
  </si>
  <si>
    <t>INV1645</t>
  </si>
  <si>
    <t>INV1646</t>
  </si>
  <si>
    <t>INV1647</t>
  </si>
  <si>
    <t>INV1648</t>
  </si>
  <si>
    <t>INV1649</t>
  </si>
  <si>
    <t>INV1650</t>
  </si>
  <si>
    <t>INV1651</t>
  </si>
  <si>
    <t>INV1652</t>
  </si>
  <si>
    <t>INV1653</t>
  </si>
  <si>
    <t>INV1654</t>
  </si>
  <si>
    <t>INV1655</t>
  </si>
  <si>
    <t>INV1656</t>
  </si>
  <si>
    <t>INV1657</t>
  </si>
  <si>
    <t>INV1658</t>
  </si>
  <si>
    <t>INV1659</t>
  </si>
  <si>
    <t>INV1660</t>
  </si>
  <si>
    <t>INV1661</t>
  </si>
  <si>
    <t>INV1662</t>
  </si>
  <si>
    <t>INV1663</t>
  </si>
  <si>
    <t>INV1664</t>
  </si>
  <si>
    <t>INV1665</t>
  </si>
  <si>
    <t>INV1666</t>
  </si>
  <si>
    <t>INV1667</t>
  </si>
  <si>
    <t>INV1668</t>
  </si>
  <si>
    <t>INV1669</t>
  </si>
  <si>
    <t>INV1670</t>
  </si>
  <si>
    <t>INV1671</t>
  </si>
  <si>
    <t>INV1672</t>
  </si>
  <si>
    <t>INV1673</t>
  </si>
  <si>
    <t>INV1674</t>
  </si>
  <si>
    <t>INV1675</t>
  </si>
  <si>
    <t>INV1676</t>
  </si>
  <si>
    <t>INV1677</t>
  </si>
  <si>
    <t>INV1678</t>
  </si>
  <si>
    <t>INV1679</t>
  </si>
  <si>
    <t>INV1680</t>
  </si>
  <si>
    <t>INV1681</t>
  </si>
  <si>
    <t>INV1682</t>
  </si>
  <si>
    <t>INV1683</t>
  </si>
  <si>
    <t>INV1684</t>
  </si>
  <si>
    <t>INV1685</t>
  </si>
  <si>
    <t>INV1686</t>
  </si>
  <si>
    <t>INV1687</t>
  </si>
  <si>
    <t>INV1688</t>
  </si>
  <si>
    <t>INV1689</t>
  </si>
  <si>
    <t>INV1690</t>
  </si>
  <si>
    <t>INV1691</t>
  </si>
  <si>
    <t>INV1692</t>
  </si>
  <si>
    <t>INV1693</t>
  </si>
  <si>
    <t>INV1694</t>
  </si>
  <si>
    <t>INV1695</t>
  </si>
  <si>
    <t>INV1696</t>
  </si>
  <si>
    <t>INV1697</t>
  </si>
  <si>
    <t>INV1698</t>
  </si>
  <si>
    <t>INV1699</t>
  </si>
  <si>
    <t>INV1700</t>
  </si>
  <si>
    <t>INV1701</t>
  </si>
  <si>
    <t>INV1702</t>
  </si>
  <si>
    <t>INV1703</t>
  </si>
  <si>
    <t>INV1704</t>
  </si>
  <si>
    <t>INV1705</t>
  </si>
  <si>
    <t>INV1706</t>
  </si>
  <si>
    <t>INV1707</t>
  </si>
  <si>
    <t>INV1708</t>
  </si>
  <si>
    <t>INV1709</t>
  </si>
  <si>
    <t>INV1710</t>
  </si>
  <si>
    <t>INV1711</t>
  </si>
  <si>
    <t>INV1712</t>
  </si>
  <si>
    <t>INV1713</t>
  </si>
  <si>
    <t>INV1714</t>
  </si>
  <si>
    <t>INV1715</t>
  </si>
  <si>
    <t>INV1716</t>
  </si>
  <si>
    <t>INV1717</t>
  </si>
  <si>
    <t>INV1718</t>
  </si>
  <si>
    <t>INV1719</t>
  </si>
  <si>
    <t>INV1720</t>
  </si>
  <si>
    <t>INV1721</t>
  </si>
  <si>
    <t>INV1722</t>
  </si>
  <si>
    <t>INV1723</t>
  </si>
  <si>
    <t>INV1724</t>
  </si>
  <si>
    <t>INV1725</t>
  </si>
  <si>
    <t>INV1726</t>
  </si>
  <si>
    <t>INV1727</t>
  </si>
  <si>
    <t>INV1728</t>
  </si>
  <si>
    <t>INV1729</t>
  </si>
  <si>
    <t>INV1730</t>
  </si>
  <si>
    <t>INV1731</t>
  </si>
  <si>
    <t>INV1732</t>
  </si>
  <si>
    <t>INV1733</t>
  </si>
  <si>
    <t>INV1734</t>
  </si>
  <si>
    <t>INV1735</t>
  </si>
  <si>
    <t>INV1736</t>
  </si>
  <si>
    <t>INV1737</t>
  </si>
  <si>
    <t>INV1738</t>
  </si>
  <si>
    <t>INV1739</t>
  </si>
  <si>
    <t>INV1740</t>
  </si>
  <si>
    <t>INV1741</t>
  </si>
  <si>
    <t>INV1742</t>
  </si>
  <si>
    <t>INV1743</t>
  </si>
  <si>
    <t>INV1744</t>
  </si>
  <si>
    <t>INV1745</t>
  </si>
  <si>
    <t>INV1746</t>
  </si>
  <si>
    <t>INV1747</t>
  </si>
  <si>
    <t>INV1748</t>
  </si>
  <si>
    <t>INV1749</t>
  </si>
  <si>
    <t>INV1750</t>
  </si>
  <si>
    <t>INV1751</t>
  </si>
  <si>
    <t>INV1752</t>
  </si>
  <si>
    <t>INV1753</t>
  </si>
  <si>
    <t>INV1754</t>
  </si>
  <si>
    <t>INV1755</t>
  </si>
  <si>
    <t>INV1756</t>
  </si>
  <si>
    <t>INV1757</t>
  </si>
  <si>
    <t>INV1758</t>
  </si>
  <si>
    <t>INV1759</t>
  </si>
  <si>
    <t>INV1760</t>
  </si>
  <si>
    <t>INV1761</t>
  </si>
  <si>
    <t>INV1762</t>
  </si>
  <si>
    <t>INV1763</t>
  </si>
  <si>
    <t>INV1764</t>
  </si>
  <si>
    <t>INV1765</t>
  </si>
  <si>
    <t>INV1766</t>
  </si>
  <si>
    <t>INV1767</t>
  </si>
  <si>
    <t>INV1768</t>
  </si>
  <si>
    <t>INV1769</t>
  </si>
  <si>
    <t>INV1770</t>
  </si>
  <si>
    <t>INV1771</t>
  </si>
  <si>
    <t>INV1772</t>
  </si>
  <si>
    <t>INV1773</t>
  </si>
  <si>
    <t>INV1774</t>
  </si>
  <si>
    <t>INV1775</t>
  </si>
  <si>
    <t>INV1776</t>
  </si>
  <si>
    <t>INV1777</t>
  </si>
  <si>
    <t>INV1778</t>
  </si>
  <si>
    <t>INV1779</t>
  </si>
  <si>
    <t>INV1780</t>
  </si>
  <si>
    <t>INV1781</t>
  </si>
  <si>
    <t>INV1782</t>
  </si>
  <si>
    <t>INV1783</t>
  </si>
  <si>
    <t>INV1784</t>
  </si>
  <si>
    <t>INV1785</t>
  </si>
  <si>
    <t>INV1786</t>
  </si>
  <si>
    <t>INV1787</t>
  </si>
  <si>
    <t>INV1788</t>
  </si>
  <si>
    <t>INV1789</t>
  </si>
  <si>
    <t>INV1790</t>
  </si>
  <si>
    <t>INV1791</t>
  </si>
  <si>
    <t>INV1792</t>
  </si>
  <si>
    <t>INV1793</t>
  </si>
  <si>
    <t>INV1794</t>
  </si>
  <si>
    <t>INV1795</t>
  </si>
  <si>
    <t>INV1796</t>
  </si>
  <si>
    <t>INV1797</t>
  </si>
  <si>
    <t>INV1798</t>
  </si>
  <si>
    <t>INV1799</t>
  </si>
  <si>
    <t>INV1800</t>
  </si>
  <si>
    <t>INV1801</t>
  </si>
  <si>
    <t>INV1802</t>
  </si>
  <si>
    <t>INV1803</t>
  </si>
  <si>
    <t>INV1804</t>
  </si>
  <si>
    <t>INV1805</t>
  </si>
  <si>
    <t>INV1806</t>
  </si>
  <si>
    <t>INV1807</t>
  </si>
  <si>
    <t>INV1808</t>
  </si>
  <si>
    <t>INV1809</t>
  </si>
  <si>
    <t>INV1810</t>
  </si>
  <si>
    <t>INV1811</t>
  </si>
  <si>
    <t>INV1812</t>
  </si>
  <si>
    <t>INV1813</t>
  </si>
  <si>
    <t>INV1814</t>
  </si>
  <si>
    <t>INV1815</t>
  </si>
  <si>
    <t>INV1816</t>
  </si>
  <si>
    <t>INV1817</t>
  </si>
  <si>
    <t>INV1818</t>
  </si>
  <si>
    <t>INV1819</t>
  </si>
  <si>
    <t>INV1820</t>
  </si>
  <si>
    <t>INV1821</t>
  </si>
  <si>
    <t>INV1822</t>
  </si>
  <si>
    <t>INV1823</t>
  </si>
  <si>
    <t>INV1824</t>
  </si>
  <si>
    <t>INV1825</t>
  </si>
  <si>
    <t>INV1826</t>
  </si>
  <si>
    <t>INV1827</t>
  </si>
  <si>
    <t>INV1828</t>
  </si>
  <si>
    <t>INV1829</t>
  </si>
  <si>
    <t>INV1830</t>
  </si>
  <si>
    <t>INV1831</t>
  </si>
  <si>
    <t>INV1832</t>
  </si>
  <si>
    <t>INV1833</t>
  </si>
  <si>
    <t>INV1834</t>
  </si>
  <si>
    <t>INV1835</t>
  </si>
  <si>
    <t>INV1836</t>
  </si>
  <si>
    <t>INV1837</t>
  </si>
  <si>
    <t>INV1838</t>
  </si>
  <si>
    <t>INV1839</t>
  </si>
  <si>
    <t>INV1840</t>
  </si>
  <si>
    <t>INV1841</t>
  </si>
  <si>
    <t>INV1842</t>
  </si>
  <si>
    <t>INV1843</t>
  </si>
  <si>
    <t>INV1844</t>
  </si>
  <si>
    <t>INV1845</t>
  </si>
  <si>
    <t>INV1846</t>
  </si>
  <si>
    <t>INV1847</t>
  </si>
  <si>
    <t>INV1848</t>
  </si>
  <si>
    <t>INV1849</t>
  </si>
  <si>
    <t>INV1850</t>
  </si>
  <si>
    <t>INV1851</t>
  </si>
  <si>
    <t>INV1852</t>
  </si>
  <si>
    <t>INV1853</t>
  </si>
  <si>
    <t>INV1854</t>
  </si>
  <si>
    <t>INV1855</t>
  </si>
  <si>
    <t>INV1856</t>
  </si>
  <si>
    <t>INV1857</t>
  </si>
  <si>
    <t>INV1858</t>
  </si>
  <si>
    <t>INV1859</t>
  </si>
  <si>
    <t>INV1860</t>
  </si>
  <si>
    <t>INV1861</t>
  </si>
  <si>
    <t>INV1862</t>
  </si>
  <si>
    <t>INV1863</t>
  </si>
  <si>
    <t>INV1864</t>
  </si>
  <si>
    <t>INV1865</t>
  </si>
  <si>
    <t>INV1866</t>
  </si>
  <si>
    <t>INV1867</t>
  </si>
  <si>
    <t>INV1868</t>
  </si>
  <si>
    <t>INV1869</t>
  </si>
  <si>
    <t>INV1870</t>
  </si>
  <si>
    <t>INV1871</t>
  </si>
  <si>
    <t>INV1872</t>
  </si>
  <si>
    <t>INV1873</t>
  </si>
  <si>
    <t>INV1874</t>
  </si>
  <si>
    <t>INV1875</t>
  </si>
  <si>
    <t>INV1876</t>
  </si>
  <si>
    <t>INV1877</t>
  </si>
  <si>
    <t>INV1878</t>
  </si>
  <si>
    <t>INV1879</t>
  </si>
  <si>
    <t>INV1880</t>
  </si>
  <si>
    <t>INV1881</t>
  </si>
  <si>
    <t>INV1882</t>
  </si>
  <si>
    <t>INV1883</t>
  </si>
  <si>
    <t>INV1884</t>
  </si>
  <si>
    <t>INV1885</t>
  </si>
  <si>
    <t>INV1886</t>
  </si>
  <si>
    <t>INV1887</t>
  </si>
  <si>
    <t>INV1888</t>
  </si>
  <si>
    <t>INV1889</t>
  </si>
  <si>
    <t>INV1890</t>
  </si>
  <si>
    <t>INV1891</t>
  </si>
  <si>
    <t>INV1892</t>
  </si>
  <si>
    <t>INV1893</t>
  </si>
  <si>
    <t>INV1894</t>
  </si>
  <si>
    <t>INV1895</t>
  </si>
  <si>
    <t>INV1896</t>
  </si>
  <si>
    <t>INV1897</t>
  </si>
  <si>
    <t>INV1898</t>
  </si>
  <si>
    <t>INV1899</t>
  </si>
  <si>
    <t>INV1900</t>
  </si>
  <si>
    <t>INV1901</t>
  </si>
  <si>
    <t>INV1902</t>
  </si>
  <si>
    <t>INV1903</t>
  </si>
  <si>
    <t>INV1904</t>
  </si>
  <si>
    <t>INV1905</t>
  </si>
  <si>
    <t>INV1906</t>
  </si>
  <si>
    <t>INV1907</t>
  </si>
  <si>
    <t>INV1908</t>
  </si>
  <si>
    <t>INV1909</t>
  </si>
  <si>
    <t>INV1910</t>
  </si>
  <si>
    <t>INV1911</t>
  </si>
  <si>
    <t>INV1912</t>
  </si>
  <si>
    <t>INV1913</t>
  </si>
  <si>
    <t>INV1914</t>
  </si>
  <si>
    <t>INV1915</t>
  </si>
  <si>
    <t>INV1916</t>
  </si>
  <si>
    <t>INV1917</t>
  </si>
  <si>
    <t>INV1918</t>
  </si>
  <si>
    <t>INV1919</t>
  </si>
  <si>
    <t>INV1920</t>
  </si>
  <si>
    <t>INV1921</t>
  </si>
  <si>
    <t>INV1922</t>
  </si>
  <si>
    <t>INV1923</t>
  </si>
  <si>
    <t>INV1924</t>
  </si>
  <si>
    <t>INV1925</t>
  </si>
  <si>
    <t>INV1926</t>
  </si>
  <si>
    <t>INV1927</t>
  </si>
  <si>
    <t>INV1928</t>
  </si>
  <si>
    <t>INV1929</t>
  </si>
  <si>
    <t>INV1930</t>
  </si>
  <si>
    <t>INV1931</t>
  </si>
  <si>
    <t>INV1932</t>
  </si>
  <si>
    <t>INV1933</t>
  </si>
  <si>
    <t>INV1934</t>
  </si>
  <si>
    <t>INV1935</t>
  </si>
  <si>
    <t>INV1936</t>
  </si>
  <si>
    <t>INV1937</t>
  </si>
  <si>
    <t>INV1938</t>
  </si>
  <si>
    <t>INV1939</t>
  </si>
  <si>
    <t>INV1940</t>
  </si>
  <si>
    <t>INV1941</t>
  </si>
  <si>
    <t>INV1942</t>
  </si>
  <si>
    <t>INV1943</t>
  </si>
  <si>
    <t>INV1944</t>
  </si>
  <si>
    <t>INV1945</t>
  </si>
  <si>
    <t>INV1946</t>
  </si>
  <si>
    <t>INV1947</t>
  </si>
  <si>
    <t>INV1948</t>
  </si>
  <si>
    <t>INV1949</t>
  </si>
  <si>
    <t>INV1950</t>
  </si>
  <si>
    <t>INV1951</t>
  </si>
  <si>
    <t>INV1952</t>
  </si>
  <si>
    <t>INV1953</t>
  </si>
  <si>
    <t>INV1954</t>
  </si>
  <si>
    <t>INV1955</t>
  </si>
  <si>
    <t>INV1956</t>
  </si>
  <si>
    <t>INV1957</t>
  </si>
  <si>
    <t>INV1958</t>
  </si>
  <si>
    <t>INV1959</t>
  </si>
  <si>
    <t>INV1960</t>
  </si>
  <si>
    <t>INV1961</t>
  </si>
  <si>
    <t>INV1962</t>
  </si>
  <si>
    <t>INV1963</t>
  </si>
  <si>
    <t>INV1964</t>
  </si>
  <si>
    <t>INV1965</t>
  </si>
  <si>
    <t>INV1966</t>
  </si>
  <si>
    <t>INV1967</t>
  </si>
  <si>
    <t>INV1968</t>
  </si>
  <si>
    <t>INV1969</t>
  </si>
  <si>
    <t>INV1970</t>
  </si>
  <si>
    <t>INV1971</t>
  </si>
  <si>
    <t>INV1972</t>
  </si>
  <si>
    <t>INV1973</t>
  </si>
  <si>
    <t>INV1974</t>
  </si>
  <si>
    <t>INV1975</t>
  </si>
  <si>
    <t>INV1976</t>
  </si>
  <si>
    <t>INV1977</t>
  </si>
  <si>
    <t>INV1978</t>
  </si>
  <si>
    <t>INV1979</t>
  </si>
  <si>
    <t>INV1980</t>
  </si>
  <si>
    <t>INV1981</t>
  </si>
  <si>
    <t>INV1982</t>
  </si>
  <si>
    <t>INV1983</t>
  </si>
  <si>
    <t>INV1984</t>
  </si>
  <si>
    <t>INV1985</t>
  </si>
  <si>
    <t>INV1986</t>
  </si>
  <si>
    <t>INV1987</t>
  </si>
  <si>
    <t>INV1988</t>
  </si>
  <si>
    <t>INV1989</t>
  </si>
  <si>
    <t>INV1990</t>
  </si>
  <si>
    <t>INV1991</t>
  </si>
  <si>
    <t>INV1992</t>
  </si>
  <si>
    <t>INV1993</t>
  </si>
  <si>
    <t>INV1994</t>
  </si>
  <si>
    <t>INV1995</t>
  </si>
  <si>
    <t>INV1996</t>
  </si>
  <si>
    <t>INV1997</t>
  </si>
  <si>
    <t>INV1998</t>
  </si>
  <si>
    <t>INV1999</t>
  </si>
  <si>
    <t>INV2000</t>
  </si>
  <si>
    <t>INV2001</t>
  </si>
  <si>
    <t>INV2002</t>
  </si>
  <si>
    <t>INV2003</t>
  </si>
  <si>
    <t>INV2004</t>
  </si>
  <si>
    <t>INV2005</t>
  </si>
  <si>
    <t>INV2006</t>
  </si>
  <si>
    <t>INV2007</t>
  </si>
  <si>
    <t>INV2008</t>
  </si>
  <si>
    <t>INV2009</t>
  </si>
  <si>
    <t>INV2010</t>
  </si>
  <si>
    <t>INV2011</t>
  </si>
  <si>
    <t>INV2012</t>
  </si>
  <si>
    <t>INV2013</t>
  </si>
  <si>
    <t>INV2014</t>
  </si>
  <si>
    <t>INV2015</t>
  </si>
  <si>
    <t>INV2016</t>
  </si>
  <si>
    <t>INV2017</t>
  </si>
  <si>
    <t>INV2018</t>
  </si>
  <si>
    <t>INV2019</t>
  </si>
  <si>
    <t>INV2020</t>
  </si>
  <si>
    <t>INV2021</t>
  </si>
  <si>
    <t>INV2022</t>
  </si>
  <si>
    <t>INV2023</t>
  </si>
  <si>
    <t>INV2024</t>
  </si>
  <si>
    <t>INV2025</t>
  </si>
  <si>
    <t>INV2026</t>
  </si>
  <si>
    <t>INV2027</t>
  </si>
  <si>
    <t>INV2028</t>
  </si>
  <si>
    <t>INV2029</t>
  </si>
  <si>
    <t>INV2030</t>
  </si>
  <si>
    <t>INV2031</t>
  </si>
  <si>
    <t>INV2032</t>
  </si>
  <si>
    <t>INV2033</t>
  </si>
  <si>
    <t>INV2034</t>
  </si>
  <si>
    <t>INV2035</t>
  </si>
  <si>
    <t>INV2036</t>
  </si>
  <si>
    <t>INV2037</t>
  </si>
  <si>
    <t>INV2038</t>
  </si>
  <si>
    <t>INV2039</t>
  </si>
  <si>
    <t>INV2040</t>
  </si>
  <si>
    <t>INV2041</t>
  </si>
  <si>
    <t>INV2042</t>
  </si>
  <si>
    <t>INV2043</t>
  </si>
  <si>
    <t>INV2044</t>
  </si>
  <si>
    <t>INV2045</t>
  </si>
  <si>
    <t>INV2046</t>
  </si>
  <si>
    <t>INV2047</t>
  </si>
  <si>
    <t>INV2048</t>
  </si>
  <si>
    <t>INV2049</t>
  </si>
  <si>
    <t>INV2050</t>
  </si>
  <si>
    <t>INV2051</t>
  </si>
  <si>
    <t>INV2052</t>
  </si>
  <si>
    <t>INV2053</t>
  </si>
  <si>
    <t>INV2054</t>
  </si>
  <si>
    <t>INV2055</t>
  </si>
  <si>
    <t>INV2056</t>
  </si>
  <si>
    <t>INV2057</t>
  </si>
  <si>
    <t>INV2058</t>
  </si>
  <si>
    <t>INV2059</t>
  </si>
  <si>
    <t>INV2060</t>
  </si>
  <si>
    <t>INV2061</t>
  </si>
  <si>
    <t>INV2062</t>
  </si>
  <si>
    <t>INV2063</t>
  </si>
  <si>
    <t>INV2064</t>
  </si>
  <si>
    <t>INV2065</t>
  </si>
  <si>
    <t>INV2066</t>
  </si>
  <si>
    <t>INV2067</t>
  </si>
  <si>
    <t>INV2068</t>
  </si>
  <si>
    <t>INV2069</t>
  </si>
  <si>
    <t>INV2070</t>
  </si>
  <si>
    <t>INV2071</t>
  </si>
  <si>
    <t>INV2072</t>
  </si>
  <si>
    <t>INV2073</t>
  </si>
  <si>
    <t>INV2074</t>
  </si>
  <si>
    <t>INV2075</t>
  </si>
  <si>
    <t>INV2076</t>
  </si>
  <si>
    <t>INV2077</t>
  </si>
  <si>
    <t>INV2078</t>
  </si>
  <si>
    <t>INV2079</t>
  </si>
  <si>
    <t>INV2080</t>
  </si>
  <si>
    <t>INV2081</t>
  </si>
  <si>
    <t>INV2082</t>
  </si>
  <si>
    <t>INV2083</t>
  </si>
  <si>
    <t>INV2084</t>
  </si>
  <si>
    <t>INV2085</t>
  </si>
  <si>
    <t>INV2086</t>
  </si>
  <si>
    <t>INV2087</t>
  </si>
  <si>
    <t>INV2088</t>
  </si>
  <si>
    <t>INV2089</t>
  </si>
  <si>
    <t>INV2090</t>
  </si>
  <si>
    <t>INV2091</t>
  </si>
  <si>
    <t>INV2092</t>
  </si>
  <si>
    <t>INV2093</t>
  </si>
  <si>
    <t>INV2094</t>
  </si>
  <si>
    <t>INV2095</t>
  </si>
  <si>
    <t>INV2096</t>
  </si>
  <si>
    <t>INV2097</t>
  </si>
  <si>
    <t>INV2098</t>
  </si>
  <si>
    <t>INV2099</t>
  </si>
  <si>
    <t>INV2100</t>
  </si>
  <si>
    <t>INV2101</t>
  </si>
  <si>
    <t>INV2102</t>
  </si>
  <si>
    <t>INV2103</t>
  </si>
  <si>
    <t>INV2104</t>
  </si>
  <si>
    <t>INV2105</t>
  </si>
  <si>
    <t>INV2106</t>
  </si>
  <si>
    <t>INV2107</t>
  </si>
  <si>
    <t>INV2108</t>
  </si>
  <si>
    <t>INV2109</t>
  </si>
  <si>
    <t>INV2110</t>
  </si>
  <si>
    <t>INV2111</t>
  </si>
  <si>
    <t>INV2112</t>
  </si>
  <si>
    <t>INV2113</t>
  </si>
  <si>
    <t>INV2114</t>
  </si>
  <si>
    <t>INV2115</t>
  </si>
  <si>
    <t>INV2116</t>
  </si>
  <si>
    <t>INV2117</t>
  </si>
  <si>
    <t>INV2118</t>
  </si>
  <si>
    <t>INV2119</t>
  </si>
  <si>
    <t>INV2120</t>
  </si>
  <si>
    <t>INV2121</t>
  </si>
  <si>
    <t>INV2122</t>
  </si>
  <si>
    <t>INV2123</t>
  </si>
  <si>
    <t>INV2124</t>
  </si>
  <si>
    <t>INV2125</t>
  </si>
  <si>
    <t>INV2126</t>
  </si>
  <si>
    <t>INV2127</t>
  </si>
  <si>
    <t>INV2128</t>
  </si>
  <si>
    <t>INV2129</t>
  </si>
  <si>
    <t>INV2130</t>
  </si>
  <si>
    <t>INV2131</t>
  </si>
  <si>
    <t>INV2132</t>
  </si>
  <si>
    <t>INV2133</t>
  </si>
  <si>
    <t>INV2134</t>
  </si>
  <si>
    <t>INV2135</t>
  </si>
  <si>
    <t>INV2136</t>
  </si>
  <si>
    <t>INV2137</t>
  </si>
  <si>
    <t>INV2138</t>
  </si>
  <si>
    <t>INV2139</t>
  </si>
  <si>
    <t>INV2140</t>
  </si>
  <si>
    <t>INV2141</t>
  </si>
  <si>
    <t>INV2142</t>
  </si>
  <si>
    <t>INV2143</t>
  </si>
  <si>
    <t>INV2144</t>
  </si>
  <si>
    <t>INV2145</t>
  </si>
  <si>
    <t>INV2146</t>
  </si>
  <si>
    <t>INV2147</t>
  </si>
  <si>
    <t>INV2148</t>
  </si>
  <si>
    <t>INV2149</t>
  </si>
  <si>
    <t>INV2150</t>
  </si>
  <si>
    <t>INV2151</t>
  </si>
  <si>
    <t>INV2152</t>
  </si>
  <si>
    <t>INV2153</t>
  </si>
  <si>
    <t>INV2154</t>
  </si>
  <si>
    <t>INV2155</t>
  </si>
  <si>
    <t>INV2156</t>
  </si>
  <si>
    <t>INV2157</t>
  </si>
  <si>
    <t>INV2158</t>
  </si>
  <si>
    <t>INV2159</t>
  </si>
  <si>
    <t>INV2160</t>
  </si>
  <si>
    <t>INV2161</t>
  </si>
  <si>
    <t>INV2162</t>
  </si>
  <si>
    <t>INV2163</t>
  </si>
  <si>
    <t>INV2164</t>
  </si>
  <si>
    <t>INV2165</t>
  </si>
  <si>
    <t>INV2166</t>
  </si>
  <si>
    <t>INV2167</t>
  </si>
  <si>
    <t>INV2168</t>
  </si>
  <si>
    <t>INV2169</t>
  </si>
  <si>
    <t>INV2170</t>
  </si>
  <si>
    <t>INV2171</t>
  </si>
  <si>
    <t>INV2172</t>
  </si>
  <si>
    <t>INV2173</t>
  </si>
  <si>
    <t>INV2174</t>
  </si>
  <si>
    <t>INV2175</t>
  </si>
  <si>
    <t>INV2176</t>
  </si>
  <si>
    <t>INV2177</t>
  </si>
  <si>
    <t>INV2178</t>
  </si>
  <si>
    <t>INV2179</t>
  </si>
  <si>
    <t>INV2180</t>
  </si>
  <si>
    <t>INV2181</t>
  </si>
  <si>
    <t>INV2182</t>
  </si>
  <si>
    <t>INV2183</t>
  </si>
  <si>
    <t>INV2184</t>
  </si>
  <si>
    <t>INV2185</t>
  </si>
  <si>
    <t>INV2186</t>
  </si>
  <si>
    <t>INV2187</t>
  </si>
  <si>
    <t>INV2188</t>
  </si>
  <si>
    <t>INV2189</t>
  </si>
  <si>
    <t>INV2190</t>
  </si>
  <si>
    <t>INV2191</t>
  </si>
  <si>
    <t>INV2192</t>
  </si>
  <si>
    <t>INV2193</t>
  </si>
  <si>
    <t>INV2194</t>
  </si>
  <si>
    <t>INV2195</t>
  </si>
  <si>
    <t>INV2196</t>
  </si>
  <si>
    <t>INV2197</t>
  </si>
  <si>
    <t>INV2198</t>
  </si>
  <si>
    <t>INV2199</t>
  </si>
  <si>
    <t>INV2200</t>
  </si>
  <si>
    <t>INV2201</t>
  </si>
  <si>
    <t>INV2202</t>
  </si>
  <si>
    <t>INV2203</t>
  </si>
  <si>
    <t>INV2204</t>
  </si>
  <si>
    <t>INV2205</t>
  </si>
  <si>
    <t>INV2206</t>
  </si>
  <si>
    <t>INV2207</t>
  </si>
  <si>
    <t>INV2208</t>
  </si>
  <si>
    <t>INV2209</t>
  </si>
  <si>
    <t>INV2210</t>
  </si>
  <si>
    <t>INV2211</t>
  </si>
  <si>
    <t>INV2212</t>
  </si>
  <si>
    <t>INV2213</t>
  </si>
  <si>
    <t>INV2214</t>
  </si>
  <si>
    <t>INV2215</t>
  </si>
  <si>
    <t>INV2216</t>
  </si>
  <si>
    <t>INV2217</t>
  </si>
  <si>
    <t>INV2218</t>
  </si>
  <si>
    <t>INV2219</t>
  </si>
  <si>
    <t>INV2220</t>
  </si>
  <si>
    <t>INV2221</t>
  </si>
  <si>
    <t>INV2222</t>
  </si>
  <si>
    <t>INV2223</t>
  </si>
  <si>
    <t>INV2224</t>
  </si>
  <si>
    <t>INV2225</t>
  </si>
  <si>
    <t>INV2226</t>
  </si>
  <si>
    <t>INV2227</t>
  </si>
  <si>
    <t>INV2228</t>
  </si>
  <si>
    <t>INV2229</t>
  </si>
  <si>
    <t>INV2230</t>
  </si>
  <si>
    <t>INV2231</t>
  </si>
  <si>
    <t>INV2232</t>
  </si>
  <si>
    <t>INV2233</t>
  </si>
  <si>
    <t>INV2234</t>
  </si>
  <si>
    <t>INV2235</t>
  </si>
  <si>
    <t>INV2236</t>
  </si>
  <si>
    <t>INV2237</t>
  </si>
  <si>
    <t>INV2238</t>
  </si>
  <si>
    <t>INV2239</t>
  </si>
  <si>
    <t>INV2240</t>
  </si>
  <si>
    <t>INV2241</t>
  </si>
  <si>
    <t>INV2242</t>
  </si>
  <si>
    <t>INV2243</t>
  </si>
  <si>
    <t>INV2244</t>
  </si>
  <si>
    <t>INV2245</t>
  </si>
  <si>
    <t>INV2246</t>
  </si>
  <si>
    <t>INV2247</t>
  </si>
  <si>
    <t>INV2248</t>
  </si>
  <si>
    <t>INV2249</t>
  </si>
  <si>
    <t>INV2250</t>
  </si>
  <si>
    <t>INV2251</t>
  </si>
  <si>
    <t>INV2252</t>
  </si>
  <si>
    <t>INV2253</t>
  </si>
  <si>
    <t>INV2254</t>
  </si>
  <si>
    <t>INV2255</t>
  </si>
  <si>
    <t>INV2256</t>
  </si>
  <si>
    <t>INV2257</t>
  </si>
  <si>
    <t>INV2258</t>
  </si>
  <si>
    <t>INV2259</t>
  </si>
  <si>
    <t>INV2260</t>
  </si>
  <si>
    <t>INV2261</t>
  </si>
  <si>
    <t>INV2262</t>
  </si>
  <si>
    <t>INV2263</t>
  </si>
  <si>
    <t>INV2264</t>
  </si>
  <si>
    <t>INV2265</t>
  </si>
  <si>
    <t>INV2266</t>
  </si>
  <si>
    <t>INV2267</t>
  </si>
  <si>
    <t>INV2268</t>
  </si>
  <si>
    <t>INV2269</t>
  </si>
  <si>
    <t>INV2270</t>
  </si>
  <si>
    <t>INV2271</t>
  </si>
  <si>
    <t>INV2272</t>
  </si>
  <si>
    <t>INV2273</t>
  </si>
  <si>
    <t>INV2274</t>
  </si>
  <si>
    <t>INV2275</t>
  </si>
  <si>
    <t>INV2276</t>
  </si>
  <si>
    <t>INV2277</t>
  </si>
  <si>
    <t>INV2278</t>
  </si>
  <si>
    <t>INV2279</t>
  </si>
  <si>
    <t>INV2280</t>
  </si>
  <si>
    <t>INV2281</t>
  </si>
  <si>
    <t>INV2282</t>
  </si>
  <si>
    <t>INV2283</t>
  </si>
  <si>
    <t>INV2284</t>
  </si>
  <si>
    <t>INV2285</t>
  </si>
  <si>
    <t>INV2286</t>
  </si>
  <si>
    <t>INV2287</t>
  </si>
  <si>
    <t>INV2288</t>
  </si>
  <si>
    <t>INV2289</t>
  </si>
  <si>
    <t>INV2290</t>
  </si>
  <si>
    <t>INV2291</t>
  </si>
  <si>
    <t>INV2292</t>
  </si>
  <si>
    <t>INV2293</t>
  </si>
  <si>
    <t>INV2294</t>
  </si>
  <si>
    <t>INV2295</t>
  </si>
  <si>
    <t>INV2296</t>
  </si>
  <si>
    <t>INV2297</t>
  </si>
  <si>
    <t>INV2298</t>
  </si>
  <si>
    <t>INV2299</t>
  </si>
  <si>
    <t>INV2300</t>
  </si>
  <si>
    <t>INV2301</t>
  </si>
  <si>
    <t>INV2302</t>
  </si>
  <si>
    <t>INV2303</t>
  </si>
  <si>
    <t>INV2304</t>
  </si>
  <si>
    <t>INV2305</t>
  </si>
  <si>
    <t>INV2306</t>
  </si>
  <si>
    <t>INV2307</t>
  </si>
  <si>
    <t>INV2308</t>
  </si>
  <si>
    <t>INV2309</t>
  </si>
  <si>
    <t>INV2310</t>
  </si>
  <si>
    <t>INV2311</t>
  </si>
  <si>
    <t>INV2312</t>
  </si>
  <si>
    <t>INV2313</t>
  </si>
  <si>
    <t>INV2314</t>
  </si>
  <si>
    <t>INV2315</t>
  </si>
  <si>
    <t>INV2316</t>
  </si>
  <si>
    <t>INV2317</t>
  </si>
  <si>
    <t>INV2318</t>
  </si>
  <si>
    <t>INV2319</t>
  </si>
  <si>
    <t>INV2320</t>
  </si>
  <si>
    <t>INV2321</t>
  </si>
  <si>
    <t>INV2322</t>
  </si>
  <si>
    <t>INV2323</t>
  </si>
  <si>
    <t>INV2324</t>
  </si>
  <si>
    <t>INV2325</t>
  </si>
  <si>
    <t>INV2326</t>
  </si>
  <si>
    <t>INV2327</t>
  </si>
  <si>
    <t>INV2328</t>
  </si>
  <si>
    <t>INV2329</t>
  </si>
  <si>
    <t>INV2330</t>
  </si>
  <si>
    <t>INV2331</t>
  </si>
  <si>
    <t>INV2332</t>
  </si>
  <si>
    <t>INV2333</t>
  </si>
  <si>
    <t>INV2334</t>
  </si>
  <si>
    <t>INV2335</t>
  </si>
  <si>
    <t>INV2336</t>
  </si>
  <si>
    <t>INV2337</t>
  </si>
  <si>
    <t>INV2338</t>
  </si>
  <si>
    <t>INV2339</t>
  </si>
  <si>
    <t>INV2340</t>
  </si>
  <si>
    <t>INV2341</t>
  </si>
  <si>
    <t>INV2342</t>
  </si>
  <si>
    <t>INV2343</t>
  </si>
  <si>
    <t>INV2344</t>
  </si>
  <si>
    <t>INV2345</t>
  </si>
  <si>
    <t>INV2346</t>
  </si>
  <si>
    <t>INV2347</t>
  </si>
  <si>
    <t>INV2348</t>
  </si>
  <si>
    <t>INV2349</t>
  </si>
  <si>
    <t>INV2350</t>
  </si>
  <si>
    <t>INV2351</t>
  </si>
  <si>
    <t>INV2352</t>
  </si>
  <si>
    <t>INV2353</t>
  </si>
  <si>
    <t>INV2354</t>
  </si>
  <si>
    <t>INV2355</t>
  </si>
  <si>
    <t>INV2356</t>
  </si>
  <si>
    <t>INV2357</t>
  </si>
  <si>
    <t>INV2358</t>
  </si>
  <si>
    <t>INV2359</t>
  </si>
  <si>
    <t>INV2360</t>
  </si>
  <si>
    <t>INV2361</t>
  </si>
  <si>
    <t>INV2362</t>
  </si>
  <si>
    <t>INV2363</t>
  </si>
  <si>
    <t>INV2364</t>
  </si>
  <si>
    <t>INV2365</t>
  </si>
  <si>
    <t>INV2366</t>
  </si>
  <si>
    <t>INV2367</t>
  </si>
  <si>
    <t>INV2368</t>
  </si>
  <si>
    <t>INV2369</t>
  </si>
  <si>
    <t>INV2370</t>
  </si>
  <si>
    <t>INV2371</t>
  </si>
  <si>
    <t>INV2372</t>
  </si>
  <si>
    <t>INV2373</t>
  </si>
  <si>
    <t>INV2374</t>
  </si>
  <si>
    <t>INV2375</t>
  </si>
  <si>
    <t>INV2376</t>
  </si>
  <si>
    <t>INV2377</t>
  </si>
  <si>
    <t>INV2378</t>
  </si>
  <si>
    <t>INV2379</t>
  </si>
  <si>
    <t>INV2380</t>
  </si>
  <si>
    <t>INV2381</t>
  </si>
  <si>
    <t>INV2382</t>
  </si>
  <si>
    <t>INV2383</t>
  </si>
  <si>
    <t>INV2384</t>
  </si>
  <si>
    <t>INV2385</t>
  </si>
  <si>
    <t>INV2386</t>
  </si>
  <si>
    <t>INV2387</t>
  </si>
  <si>
    <t>INV2388</t>
  </si>
  <si>
    <t>INV2389</t>
  </si>
  <si>
    <t>INV2390</t>
  </si>
  <si>
    <t>INV2391</t>
  </si>
  <si>
    <t>INV2392</t>
  </si>
  <si>
    <t>INV2393</t>
  </si>
  <si>
    <t>INV2394</t>
  </si>
  <si>
    <t>INV2395</t>
  </si>
  <si>
    <t>INV2396</t>
  </si>
  <si>
    <t>INV2397</t>
  </si>
  <si>
    <t>INV2398</t>
  </si>
  <si>
    <t>INV2399</t>
  </si>
  <si>
    <t>INV2400</t>
  </si>
  <si>
    <t>INV2401</t>
  </si>
  <si>
    <t>INV2402</t>
  </si>
  <si>
    <t>INV2403</t>
  </si>
  <si>
    <t>INV2404</t>
  </si>
  <si>
    <t>INV2405</t>
  </si>
  <si>
    <t>INV2406</t>
  </si>
  <si>
    <t>INV2407</t>
  </si>
  <si>
    <t>INV2408</t>
  </si>
  <si>
    <t>INV2409</t>
  </si>
  <si>
    <t>INV2410</t>
  </si>
  <si>
    <t>INV2411</t>
  </si>
  <si>
    <t>INV2412</t>
  </si>
  <si>
    <t>INV2413</t>
  </si>
  <si>
    <t>INV2414</t>
  </si>
  <si>
    <t>INV2415</t>
  </si>
  <si>
    <t>INV2416</t>
  </si>
  <si>
    <t>INV2417</t>
  </si>
  <si>
    <t>INV2418</t>
  </si>
  <si>
    <t>INV2419</t>
  </si>
  <si>
    <t>INV2420</t>
  </si>
  <si>
    <t>INV2421</t>
  </si>
  <si>
    <t>INV2422</t>
  </si>
  <si>
    <t>INV2423</t>
  </si>
  <si>
    <t>INV2424</t>
  </si>
  <si>
    <t>INV2425</t>
  </si>
  <si>
    <t>INV2426</t>
  </si>
  <si>
    <t>INV2427</t>
  </si>
  <si>
    <t>INV2428</t>
  </si>
  <si>
    <t>INV2429</t>
  </si>
  <si>
    <t>INV2430</t>
  </si>
  <si>
    <t>INV2431</t>
  </si>
  <si>
    <t>INV2432</t>
  </si>
  <si>
    <t>INV2433</t>
  </si>
  <si>
    <t>INV2434</t>
  </si>
  <si>
    <t>INV2435</t>
  </si>
  <si>
    <t>INV2436</t>
  </si>
  <si>
    <t>INV2437</t>
  </si>
  <si>
    <t>INV2438</t>
  </si>
  <si>
    <t>INV2439</t>
  </si>
  <si>
    <t>INV2440</t>
  </si>
  <si>
    <t>INV2441</t>
  </si>
  <si>
    <t>INV2442</t>
  </si>
  <si>
    <t>INV2443</t>
  </si>
  <si>
    <t>INV2444</t>
  </si>
  <si>
    <t>INV2445</t>
  </si>
  <si>
    <t>INV2446</t>
  </si>
  <si>
    <t>INV2447</t>
  </si>
  <si>
    <t>INV2448</t>
  </si>
  <si>
    <t>INV2449</t>
  </si>
  <si>
    <t>INV2450</t>
  </si>
  <si>
    <t>INV2451</t>
  </si>
  <si>
    <t>INV2452</t>
  </si>
  <si>
    <t>INV2453</t>
  </si>
  <si>
    <t>INV2454</t>
  </si>
  <si>
    <t>INV2455</t>
  </si>
  <si>
    <t>INV2456</t>
  </si>
  <si>
    <t>INV2457</t>
  </si>
  <si>
    <t>INV2458</t>
  </si>
  <si>
    <t>INV2459</t>
  </si>
  <si>
    <t>INV2460</t>
  </si>
  <si>
    <t>INV2461</t>
  </si>
  <si>
    <t>INV2462</t>
  </si>
  <si>
    <t>INV2463</t>
  </si>
  <si>
    <t>INV2464</t>
  </si>
  <si>
    <t>INV2465</t>
  </si>
  <si>
    <t>INV2466</t>
  </si>
  <si>
    <t>INV2467</t>
  </si>
  <si>
    <t>INV2468</t>
  </si>
  <si>
    <t>INV2469</t>
  </si>
  <si>
    <t>INV2470</t>
  </si>
  <si>
    <t>INV2471</t>
  </si>
  <si>
    <t>INV2472</t>
  </si>
  <si>
    <t>INV2473</t>
  </si>
  <si>
    <t>INV2474</t>
  </si>
  <si>
    <t>INV2475</t>
  </si>
  <si>
    <t>INV2476</t>
  </si>
  <si>
    <t>INV2477</t>
  </si>
  <si>
    <t>INV2478</t>
  </si>
  <si>
    <t>INV2479</t>
  </si>
  <si>
    <t>INV2480</t>
  </si>
  <si>
    <t>INV2481</t>
  </si>
  <si>
    <t>INV2482</t>
  </si>
  <si>
    <t>INV2483</t>
  </si>
  <si>
    <t>INV2484</t>
  </si>
  <si>
    <t>INV2485</t>
  </si>
  <si>
    <t>INV2486</t>
  </si>
  <si>
    <t>INV2487</t>
  </si>
  <si>
    <t>INV2488</t>
  </si>
  <si>
    <t>INV2489</t>
  </si>
  <si>
    <t>INV2490</t>
  </si>
  <si>
    <t>INV2491</t>
  </si>
  <si>
    <t>INV2492</t>
  </si>
  <si>
    <t>INV2493</t>
  </si>
  <si>
    <t>INV2494</t>
  </si>
  <si>
    <t>INV2495</t>
  </si>
  <si>
    <t>INV2496</t>
  </si>
  <si>
    <t>INV2497</t>
  </si>
  <si>
    <t>INV2498</t>
  </si>
  <si>
    <t>INV2499</t>
  </si>
  <si>
    <t>INV2500</t>
  </si>
  <si>
    <t>INV2501</t>
  </si>
  <si>
    <t>INV2502</t>
  </si>
  <si>
    <t>INV2503</t>
  </si>
  <si>
    <t>INV2504</t>
  </si>
  <si>
    <t>INV2505</t>
  </si>
  <si>
    <t>INV2506</t>
  </si>
  <si>
    <t>INV2507</t>
  </si>
  <si>
    <t>INV2508</t>
  </si>
  <si>
    <t>INV2509</t>
  </si>
  <si>
    <t>INV2510</t>
  </si>
  <si>
    <t>INV2511</t>
  </si>
  <si>
    <t>INV2512</t>
  </si>
  <si>
    <t>INV2513</t>
  </si>
  <si>
    <t>INV2514</t>
  </si>
  <si>
    <t>INV2515</t>
  </si>
  <si>
    <t>INV2516</t>
  </si>
  <si>
    <t>INV2517</t>
  </si>
  <si>
    <t>INV2518</t>
  </si>
  <si>
    <t>INV2519</t>
  </si>
  <si>
    <t>INV2520</t>
  </si>
  <si>
    <t>INV2521</t>
  </si>
  <si>
    <t>INV2522</t>
  </si>
  <si>
    <t>INV2523</t>
  </si>
  <si>
    <t>INV2524</t>
  </si>
  <si>
    <t>INV2525</t>
  </si>
  <si>
    <t>INV2526</t>
  </si>
  <si>
    <t>INV2527</t>
  </si>
  <si>
    <t>INV2528</t>
  </si>
  <si>
    <t>INV2529</t>
  </si>
  <si>
    <t>INV2530</t>
  </si>
  <si>
    <t>INV2531</t>
  </si>
  <si>
    <t>INV2532</t>
  </si>
  <si>
    <t>INV2533</t>
  </si>
  <si>
    <t>INV2534</t>
  </si>
  <si>
    <t>INV2535</t>
  </si>
  <si>
    <t>INV2536</t>
  </si>
  <si>
    <t>INV2537</t>
  </si>
  <si>
    <t>INV2538</t>
  </si>
  <si>
    <t>INV2539</t>
  </si>
  <si>
    <t>INV2540</t>
  </si>
  <si>
    <t>INV2541</t>
  </si>
  <si>
    <t>INV2542</t>
  </si>
  <si>
    <t>INV2543</t>
  </si>
  <si>
    <t>INV2544</t>
  </si>
  <si>
    <t>INV2545</t>
  </si>
  <si>
    <t>INV2546</t>
  </si>
  <si>
    <t>INV2547</t>
  </si>
  <si>
    <t>INV2548</t>
  </si>
  <si>
    <t>INV2549</t>
  </si>
  <si>
    <t>INV2550</t>
  </si>
  <si>
    <t>INV2551</t>
  </si>
  <si>
    <t>INV2552</t>
  </si>
  <si>
    <t>INV2553</t>
  </si>
  <si>
    <t>INV2554</t>
  </si>
  <si>
    <t>INV2555</t>
  </si>
  <si>
    <t>INV2556</t>
  </si>
  <si>
    <t>INV2557</t>
  </si>
  <si>
    <t>INV2558</t>
  </si>
  <si>
    <t>INV2559</t>
  </si>
  <si>
    <t>INV2560</t>
  </si>
  <si>
    <t>INV2561</t>
  </si>
  <si>
    <t>INV2562</t>
  </si>
  <si>
    <t>INV2563</t>
  </si>
  <si>
    <t>INV2564</t>
  </si>
  <si>
    <t>INV2565</t>
  </si>
  <si>
    <t>INV2566</t>
  </si>
  <si>
    <t>INV2567</t>
  </si>
  <si>
    <t>INV2568</t>
  </si>
  <si>
    <t>INV2569</t>
  </si>
  <si>
    <t>INV2570</t>
  </si>
  <si>
    <t>INV2571</t>
  </si>
  <si>
    <t>INV2572</t>
  </si>
  <si>
    <t>INV2573</t>
  </si>
  <si>
    <t>INV2574</t>
  </si>
  <si>
    <t>INV2575</t>
  </si>
  <si>
    <t>INV2576</t>
  </si>
  <si>
    <t>INV2577</t>
  </si>
  <si>
    <t>INV2578</t>
  </si>
  <si>
    <t>INV2579</t>
  </si>
  <si>
    <t>INV2580</t>
  </si>
  <si>
    <t>INV2581</t>
  </si>
  <si>
    <t>INV2582</t>
  </si>
  <si>
    <t>INV2583</t>
  </si>
  <si>
    <t>INV2584</t>
  </si>
  <si>
    <t>INV2585</t>
  </si>
  <si>
    <t>INV2586</t>
  </si>
  <si>
    <t>INV2587</t>
  </si>
  <si>
    <t>INV2588</t>
  </si>
  <si>
    <t>INV2589</t>
  </si>
  <si>
    <t>INV2590</t>
  </si>
  <si>
    <t>INV2591</t>
  </si>
  <si>
    <t>INV2592</t>
  </si>
  <si>
    <t>INV2593</t>
  </si>
  <si>
    <t>INV2594</t>
  </si>
  <si>
    <t>INV2595</t>
  </si>
  <si>
    <t>INV2596</t>
  </si>
  <si>
    <t>INV2597</t>
  </si>
  <si>
    <t>INV2598</t>
  </si>
  <si>
    <t>INV2599</t>
  </si>
  <si>
    <t>INV2600</t>
  </si>
  <si>
    <t>INV2601</t>
  </si>
  <si>
    <t>INV2602</t>
  </si>
  <si>
    <t>INV2603</t>
  </si>
  <si>
    <t>INV2604</t>
  </si>
  <si>
    <t>INV2605</t>
  </si>
  <si>
    <t>INV2606</t>
  </si>
  <si>
    <t>INV2607</t>
  </si>
  <si>
    <t>INV2608</t>
  </si>
  <si>
    <t>INV2609</t>
  </si>
  <si>
    <t>INV2610</t>
  </si>
  <si>
    <t>INV2611</t>
  </si>
  <si>
    <t>INV2612</t>
  </si>
  <si>
    <t>INV2613</t>
  </si>
  <si>
    <t>INV2614</t>
  </si>
  <si>
    <t>INV2615</t>
  </si>
  <si>
    <t>INV2616</t>
  </si>
  <si>
    <t>INV2617</t>
  </si>
  <si>
    <t>INV2618</t>
  </si>
  <si>
    <t>INV2619</t>
  </si>
  <si>
    <t>INV2620</t>
  </si>
  <si>
    <t>INV2621</t>
  </si>
  <si>
    <t>INV2622</t>
  </si>
  <si>
    <t>INV2623</t>
  </si>
  <si>
    <t>INV2624</t>
  </si>
  <si>
    <t>INV2625</t>
  </si>
  <si>
    <t>INV2626</t>
  </si>
  <si>
    <t>INV2627</t>
  </si>
  <si>
    <t>INV2628</t>
  </si>
  <si>
    <t>INV2629</t>
  </si>
  <si>
    <t>INV2630</t>
  </si>
  <si>
    <t>INV2631</t>
  </si>
  <si>
    <t>INV2632</t>
  </si>
  <si>
    <t>INV2633</t>
  </si>
  <si>
    <t>INV2634</t>
  </si>
  <si>
    <t>INV2635</t>
  </si>
  <si>
    <t>INV2636</t>
  </si>
  <si>
    <t>INV2637</t>
  </si>
  <si>
    <t>INV2638</t>
  </si>
  <si>
    <t>INV2639</t>
  </si>
  <si>
    <t>INV2640</t>
  </si>
  <si>
    <t>INV2641</t>
  </si>
  <si>
    <t>INV2642</t>
  </si>
  <si>
    <t>INV2643</t>
  </si>
  <si>
    <t>INV2644</t>
  </si>
  <si>
    <t>INV2645</t>
  </si>
  <si>
    <t>INV2646</t>
  </si>
  <si>
    <t>INV2647</t>
  </si>
  <si>
    <t>INV2648</t>
  </si>
  <si>
    <t>INV2649</t>
  </si>
  <si>
    <t>INV2650</t>
  </si>
  <si>
    <t>INV2651</t>
  </si>
  <si>
    <t>INV2652</t>
  </si>
  <si>
    <t>INV2653</t>
  </si>
  <si>
    <t>INV2654</t>
  </si>
  <si>
    <t>INV2655</t>
  </si>
  <si>
    <t>INV2656</t>
  </si>
  <si>
    <t>INV2657</t>
  </si>
  <si>
    <t>INV2658</t>
  </si>
  <si>
    <t>INV2659</t>
  </si>
  <si>
    <t>INV2660</t>
  </si>
  <si>
    <t>INV2661</t>
  </si>
  <si>
    <t>INV2662</t>
  </si>
  <si>
    <t>INV2663</t>
  </si>
  <si>
    <t>INV2664</t>
  </si>
  <si>
    <t>INV2665</t>
  </si>
  <si>
    <t>INV2666</t>
  </si>
  <si>
    <t>INV2667</t>
  </si>
  <si>
    <t>INV2668</t>
  </si>
  <si>
    <t>INV2669</t>
  </si>
  <si>
    <t>INV2670</t>
  </si>
  <si>
    <t>INV2671</t>
  </si>
  <si>
    <t>INV2672</t>
  </si>
  <si>
    <t>INV2673</t>
  </si>
  <si>
    <t>INV2674</t>
  </si>
  <si>
    <t>INV2675</t>
  </si>
  <si>
    <t>INV2676</t>
  </si>
  <si>
    <t>INV2677</t>
  </si>
  <si>
    <t>INV2678</t>
  </si>
  <si>
    <t>INV2679</t>
  </si>
  <si>
    <t>INV2680</t>
  </si>
  <si>
    <t>INV2681</t>
  </si>
  <si>
    <t>INV2682</t>
  </si>
  <si>
    <t>INV2683</t>
  </si>
  <si>
    <t>INV2684</t>
  </si>
  <si>
    <t>INV2685</t>
  </si>
  <si>
    <t>INV2686</t>
  </si>
  <si>
    <t>INV2687</t>
  </si>
  <si>
    <t>INV2688</t>
  </si>
  <si>
    <t>INV2689</t>
  </si>
  <si>
    <t>INV2690</t>
  </si>
  <si>
    <t>INV2691</t>
  </si>
  <si>
    <t>INV2692</t>
  </si>
  <si>
    <t>INV2693</t>
  </si>
  <si>
    <t>INV2694</t>
  </si>
  <si>
    <t>INV2695</t>
  </si>
  <si>
    <t>INV2696</t>
  </si>
  <si>
    <t>INV2697</t>
  </si>
  <si>
    <t>INV2698</t>
  </si>
  <si>
    <t>INV2699</t>
  </si>
  <si>
    <t>INV2700</t>
  </si>
  <si>
    <t>INV2701</t>
  </si>
  <si>
    <t>INV2702</t>
  </si>
  <si>
    <t>INV2703</t>
  </si>
  <si>
    <t>INV2704</t>
  </si>
  <si>
    <t>INV2705</t>
  </si>
  <si>
    <t>INV2706</t>
  </si>
  <si>
    <t>INV2707</t>
  </si>
  <si>
    <t>INV2708</t>
  </si>
  <si>
    <t>INV2709</t>
  </si>
  <si>
    <t>INV2710</t>
  </si>
  <si>
    <t>INV2711</t>
  </si>
  <si>
    <t>INV2712</t>
  </si>
  <si>
    <t>INV2713</t>
  </si>
  <si>
    <t>INV2714</t>
  </si>
  <si>
    <t>INV2715</t>
  </si>
  <si>
    <t>INV2716</t>
  </si>
  <si>
    <t>INV2717</t>
  </si>
  <si>
    <t>INV2718</t>
  </si>
  <si>
    <t>INV2719</t>
  </si>
  <si>
    <t>INV2720</t>
  </si>
  <si>
    <t>INV2721</t>
  </si>
  <si>
    <t>INV2722</t>
  </si>
  <si>
    <t>INV2723</t>
  </si>
  <si>
    <t>INV2724</t>
  </si>
  <si>
    <t>INV2725</t>
  </si>
  <si>
    <t>INV2726</t>
  </si>
  <si>
    <t>INV2727</t>
  </si>
  <si>
    <t>INV2728</t>
  </si>
  <si>
    <t>INV2729</t>
  </si>
  <si>
    <t>INV2730</t>
  </si>
  <si>
    <t>INV2731</t>
  </si>
  <si>
    <t>INV2732</t>
  </si>
  <si>
    <t>INV2733</t>
  </si>
  <si>
    <t>INV2734</t>
  </si>
  <si>
    <t>INV2735</t>
  </si>
  <si>
    <t>INV2736</t>
  </si>
  <si>
    <t>INV2737</t>
  </si>
  <si>
    <t>INV2738</t>
  </si>
  <si>
    <t>INV2739</t>
  </si>
  <si>
    <t>INV2740</t>
  </si>
  <si>
    <t>INV2741</t>
  </si>
  <si>
    <t>INV2742</t>
  </si>
  <si>
    <t>INV2743</t>
  </si>
  <si>
    <t>INV2744</t>
  </si>
  <si>
    <t>INV2745</t>
  </si>
  <si>
    <t>INV2746</t>
  </si>
  <si>
    <t>INV2747</t>
  </si>
  <si>
    <t>Stocked</t>
  </si>
  <si>
    <t>Current Stock</t>
  </si>
  <si>
    <t>Tea</t>
  </si>
  <si>
    <t>Butter</t>
  </si>
  <si>
    <t>Dairy</t>
  </si>
  <si>
    <t>Eggs</t>
  </si>
  <si>
    <t>Coffee</t>
  </si>
  <si>
    <t>Milk</t>
  </si>
  <si>
    <t>Sugar</t>
  </si>
  <si>
    <t>INV2748</t>
  </si>
  <si>
    <t>INV2749</t>
  </si>
  <si>
    <t>INV2750</t>
  </si>
  <si>
    <t>INV2751</t>
  </si>
  <si>
    <t>INV2752</t>
  </si>
  <si>
    <t>INV2753</t>
  </si>
  <si>
    <t>INV2754</t>
  </si>
  <si>
    <t>INV2755</t>
  </si>
  <si>
    <t>INV2756</t>
  </si>
  <si>
    <t>INV2757</t>
  </si>
  <si>
    <t>INV2758</t>
  </si>
  <si>
    <t>INV2759</t>
  </si>
  <si>
    <t>INV2760</t>
  </si>
  <si>
    <t>INV2761</t>
  </si>
  <si>
    <t>INV2762</t>
  </si>
  <si>
    <t>INV2763</t>
  </si>
  <si>
    <t>INV2764</t>
  </si>
  <si>
    <t>INV2765</t>
  </si>
  <si>
    <t>INV2766</t>
  </si>
  <si>
    <t>INV2767</t>
  </si>
  <si>
    <t>INV2768</t>
  </si>
  <si>
    <t>INV2769</t>
  </si>
  <si>
    <t>INV2770</t>
  </si>
  <si>
    <t>INV2771</t>
  </si>
  <si>
    <t>INV2772</t>
  </si>
  <si>
    <t>INV2773</t>
  </si>
  <si>
    <t>INV2774</t>
  </si>
  <si>
    <t>INV2775</t>
  </si>
  <si>
    <t>INV2776</t>
  </si>
  <si>
    <t>INV2777</t>
  </si>
  <si>
    <t>INV2778</t>
  </si>
  <si>
    <t>INV2779</t>
  </si>
  <si>
    <t>INV2780</t>
  </si>
  <si>
    <t>INV2781</t>
  </si>
  <si>
    <t>INV2782</t>
  </si>
  <si>
    <t>INV2783</t>
  </si>
  <si>
    <t>INV2784</t>
  </si>
  <si>
    <t>INV2785</t>
  </si>
  <si>
    <t>INV2786</t>
  </si>
  <si>
    <t>INV2787</t>
  </si>
  <si>
    <t>INV2788</t>
  </si>
  <si>
    <t>INV2789</t>
  </si>
  <si>
    <t>INV2790</t>
  </si>
  <si>
    <t>INV2791</t>
  </si>
  <si>
    <t>INV2792</t>
  </si>
  <si>
    <t>INV2793</t>
  </si>
  <si>
    <t>INV2794</t>
  </si>
  <si>
    <t>INV2795</t>
  </si>
  <si>
    <t>INV2796</t>
  </si>
  <si>
    <t>INV2797</t>
  </si>
  <si>
    <t>INV2798</t>
  </si>
  <si>
    <t>INV2799</t>
  </si>
  <si>
    <t>INV2800</t>
  </si>
  <si>
    <t>INV2801</t>
  </si>
  <si>
    <t>INV2802</t>
  </si>
  <si>
    <t>INV2803</t>
  </si>
  <si>
    <t>INV2804</t>
  </si>
  <si>
    <t>INV2805</t>
  </si>
  <si>
    <t>INV2806</t>
  </si>
  <si>
    <t>INV2807</t>
  </si>
  <si>
    <t>INV2808</t>
  </si>
  <si>
    <t>INV2809</t>
  </si>
  <si>
    <t>INV2810</t>
  </si>
  <si>
    <t>INV2811</t>
  </si>
  <si>
    <t>INV2812</t>
  </si>
  <si>
    <t>INV2813</t>
  </si>
  <si>
    <t>INV2814</t>
  </si>
  <si>
    <t>INV2815</t>
  </si>
  <si>
    <t>INV2816</t>
  </si>
  <si>
    <t>INV2817</t>
  </si>
  <si>
    <t>INV2818</t>
  </si>
  <si>
    <t>INV2819</t>
  </si>
  <si>
    <t>INV2820</t>
  </si>
  <si>
    <t>INV2821</t>
  </si>
  <si>
    <t>INV2822</t>
  </si>
  <si>
    <t>INV2823</t>
  </si>
  <si>
    <t>INV2824</t>
  </si>
  <si>
    <t>INV2825</t>
  </si>
  <si>
    <t>INV2826</t>
  </si>
  <si>
    <t>INV2827</t>
  </si>
  <si>
    <t>INV2828</t>
  </si>
  <si>
    <t>INV2829</t>
  </si>
  <si>
    <t>INV2830</t>
  </si>
  <si>
    <t>INV2831</t>
  </si>
  <si>
    <t>INV2832</t>
  </si>
  <si>
    <t>INV2833</t>
  </si>
  <si>
    <t>INV2834</t>
  </si>
  <si>
    <t>INV2835</t>
  </si>
  <si>
    <t>INV2836</t>
  </si>
  <si>
    <t>INV2837</t>
  </si>
  <si>
    <t>INV2838</t>
  </si>
  <si>
    <t>INV2839</t>
  </si>
  <si>
    <t>INV2840</t>
  </si>
  <si>
    <t>INV2841</t>
  </si>
  <si>
    <t>INV2842</t>
  </si>
  <si>
    <t>INV2843</t>
  </si>
  <si>
    <t>INV2844</t>
  </si>
  <si>
    <t>INV2845</t>
  </si>
  <si>
    <t>INV2846</t>
  </si>
  <si>
    <t>INV2847</t>
  </si>
  <si>
    <t>INV2848</t>
  </si>
  <si>
    <t>INV2849</t>
  </si>
  <si>
    <t>INV2850</t>
  </si>
  <si>
    <t>INV2851</t>
  </si>
  <si>
    <t>INV2852</t>
  </si>
  <si>
    <t>INV2853</t>
  </si>
  <si>
    <t>INV2854</t>
  </si>
  <si>
    <t>INV2855</t>
  </si>
  <si>
    <t>INV2856</t>
  </si>
  <si>
    <t>INV2857</t>
  </si>
  <si>
    <t>INV2858</t>
  </si>
  <si>
    <t>INV2859</t>
  </si>
  <si>
    <t>INV2860</t>
  </si>
  <si>
    <t>INV2861</t>
  </si>
  <si>
    <t>INV2862</t>
  </si>
  <si>
    <t>INV2863</t>
  </si>
  <si>
    <t>INV2864</t>
  </si>
  <si>
    <t>INV2865</t>
  </si>
  <si>
    <t>INV2866</t>
  </si>
  <si>
    <t>INV2867</t>
  </si>
  <si>
    <t>INV2868</t>
  </si>
  <si>
    <t>INV2869</t>
  </si>
  <si>
    <t>INV2870</t>
  </si>
  <si>
    <t>INV2871</t>
  </si>
  <si>
    <t>INV2872</t>
  </si>
  <si>
    <t>INV2873</t>
  </si>
  <si>
    <t>INV2874</t>
  </si>
  <si>
    <t>INV2875</t>
  </si>
  <si>
    <t>INV2876</t>
  </si>
  <si>
    <t>INV2877</t>
  </si>
  <si>
    <t>INV2878</t>
  </si>
  <si>
    <t>INV2879</t>
  </si>
  <si>
    <t>INV2880</t>
  </si>
  <si>
    <t>INV2881</t>
  </si>
  <si>
    <t>INV2882</t>
  </si>
  <si>
    <t>INV2883</t>
  </si>
  <si>
    <t>INV2884</t>
  </si>
  <si>
    <t>INV2885</t>
  </si>
  <si>
    <t>INV2886</t>
  </si>
  <si>
    <t>INV2887</t>
  </si>
  <si>
    <t>INV2888</t>
  </si>
  <si>
    <t>INV2889</t>
  </si>
  <si>
    <t>INV2890</t>
  </si>
  <si>
    <t>INV2891</t>
  </si>
  <si>
    <t>INV2892</t>
  </si>
  <si>
    <t>INV2893</t>
  </si>
  <si>
    <t>INV2894</t>
  </si>
  <si>
    <t>INV2895</t>
  </si>
  <si>
    <t>INV2896</t>
  </si>
  <si>
    <t>INV2897</t>
  </si>
  <si>
    <t>INV2898</t>
  </si>
  <si>
    <t>INV2899</t>
  </si>
  <si>
    <t>INV2900</t>
  </si>
  <si>
    <t>INV2901</t>
  </si>
  <si>
    <t>INV2902</t>
  </si>
  <si>
    <t>INV2903</t>
  </si>
  <si>
    <t>INV2904</t>
  </si>
  <si>
    <t>INV2905</t>
  </si>
  <si>
    <t>INV2906</t>
  </si>
  <si>
    <t>INV2907</t>
  </si>
  <si>
    <t>INV2908</t>
  </si>
  <si>
    <t>INV2909</t>
  </si>
  <si>
    <t>INV2910</t>
  </si>
  <si>
    <t>INV2911</t>
  </si>
  <si>
    <t>INV2912</t>
  </si>
  <si>
    <t>INV2913</t>
  </si>
  <si>
    <t>INV2914</t>
  </si>
  <si>
    <t>INV2915</t>
  </si>
  <si>
    <t>INV2916</t>
  </si>
  <si>
    <t>INV2917</t>
  </si>
  <si>
    <t>INV2918</t>
  </si>
  <si>
    <t>INV2919</t>
  </si>
  <si>
    <t>INV2920</t>
  </si>
  <si>
    <t>INV2921</t>
  </si>
  <si>
    <t>INV2922</t>
  </si>
  <si>
    <t>INV2923</t>
  </si>
  <si>
    <t>INV2924</t>
  </si>
  <si>
    <t>INV2925</t>
  </si>
  <si>
    <t>INV2926</t>
  </si>
  <si>
    <t>INV2927</t>
  </si>
  <si>
    <t>INV2928</t>
  </si>
  <si>
    <t>INV2929</t>
  </si>
  <si>
    <t>INV2930</t>
  </si>
  <si>
    <t>INV2931</t>
  </si>
  <si>
    <t>INV2932</t>
  </si>
  <si>
    <t>INV2933</t>
  </si>
  <si>
    <t>INV2934</t>
  </si>
  <si>
    <t>INV2935</t>
  </si>
  <si>
    <t>INV2936</t>
  </si>
  <si>
    <t>INV2937</t>
  </si>
  <si>
    <t>INV2938</t>
  </si>
  <si>
    <t>INV2939</t>
  </si>
  <si>
    <t>INV2940</t>
  </si>
  <si>
    <t>INV2941</t>
  </si>
  <si>
    <t>INV2942</t>
  </si>
  <si>
    <t>INV2943</t>
  </si>
  <si>
    <t>INV2944</t>
  </si>
  <si>
    <t>INV2945</t>
  </si>
  <si>
    <t>INV2946</t>
  </si>
  <si>
    <t>INV2947</t>
  </si>
  <si>
    <t>INV2948</t>
  </si>
  <si>
    <t>INV2949</t>
  </si>
  <si>
    <t>INV2950</t>
  </si>
  <si>
    <t>INV2951</t>
  </si>
  <si>
    <t>INV2952</t>
  </si>
  <si>
    <t>INV2953</t>
  </si>
  <si>
    <t>INV2954</t>
  </si>
  <si>
    <t>INV2955</t>
  </si>
  <si>
    <t>INV2956</t>
  </si>
  <si>
    <t>INV2957</t>
  </si>
  <si>
    <t>INV2958</t>
  </si>
  <si>
    <t>INV2959</t>
  </si>
  <si>
    <t>INV2960</t>
  </si>
  <si>
    <t>INV2961</t>
  </si>
  <si>
    <t>INV2962</t>
  </si>
  <si>
    <t>INV2963</t>
  </si>
  <si>
    <t>INV2964</t>
  </si>
  <si>
    <t>INV2965</t>
  </si>
  <si>
    <t>INV2966</t>
  </si>
  <si>
    <t>INV2967</t>
  </si>
  <si>
    <t>INV2968</t>
  </si>
  <si>
    <t>INV2969</t>
  </si>
  <si>
    <t>INV2970</t>
  </si>
  <si>
    <t>INV2971</t>
  </si>
  <si>
    <t>INV2972</t>
  </si>
  <si>
    <t>INV2973</t>
  </si>
  <si>
    <t>INV2974</t>
  </si>
  <si>
    <t>INV2975</t>
  </si>
  <si>
    <t>INV2976</t>
  </si>
  <si>
    <t>INV2977</t>
  </si>
  <si>
    <t>INV2978</t>
  </si>
  <si>
    <t>INV2979</t>
  </si>
  <si>
    <t>INV2980</t>
  </si>
  <si>
    <t>INV2981</t>
  </si>
  <si>
    <t>INV2982</t>
  </si>
  <si>
    <t>INV2983</t>
  </si>
  <si>
    <t>INV2984</t>
  </si>
  <si>
    <t>INV2985</t>
  </si>
  <si>
    <t>INV2986</t>
  </si>
  <si>
    <t>INV2987</t>
  </si>
  <si>
    <t>INV2988</t>
  </si>
  <si>
    <t>INV2989</t>
  </si>
  <si>
    <t>INV2990</t>
  </si>
  <si>
    <t>INV2991</t>
  </si>
  <si>
    <t>INV2992</t>
  </si>
  <si>
    <t>INV2993</t>
  </si>
  <si>
    <t>INV2994</t>
  </si>
  <si>
    <t>INV2995</t>
  </si>
  <si>
    <t>INV2996</t>
  </si>
  <si>
    <t>INV2997</t>
  </si>
  <si>
    <t>INV2998</t>
  </si>
  <si>
    <t>INV2999</t>
  </si>
  <si>
    <t>INV3000</t>
  </si>
  <si>
    <t>INV3001</t>
  </si>
  <si>
    <t>INV3002</t>
  </si>
  <si>
    <t>INV3003</t>
  </si>
  <si>
    <t>INV3004</t>
  </si>
  <si>
    <t>INV3005</t>
  </si>
  <si>
    <t>INV3006</t>
  </si>
  <si>
    <t>INV3007</t>
  </si>
  <si>
    <t>INV3008</t>
  </si>
  <si>
    <t>INV3009</t>
  </si>
  <si>
    <t>INV3010</t>
  </si>
  <si>
    <t>INV3011</t>
  </si>
  <si>
    <t>INV3012</t>
  </si>
  <si>
    <t>INV3013</t>
  </si>
  <si>
    <t>INV3014</t>
  </si>
  <si>
    <t>INV3015</t>
  </si>
  <si>
    <t>INV3016</t>
  </si>
  <si>
    <t>INV3017</t>
  </si>
  <si>
    <t>INV3018</t>
  </si>
  <si>
    <t>INV3019</t>
  </si>
  <si>
    <t>INV3020</t>
  </si>
  <si>
    <t>INV3021</t>
  </si>
  <si>
    <t>INV3022</t>
  </si>
  <si>
    <t>INV3023</t>
  </si>
  <si>
    <t>INV3024</t>
  </si>
  <si>
    <t>INV3025</t>
  </si>
  <si>
    <t>INV3026</t>
  </si>
  <si>
    <t>INV3027</t>
  </si>
  <si>
    <t>INV3028</t>
  </si>
  <si>
    <t>INV3029</t>
  </si>
  <si>
    <t>INV3030</t>
  </si>
  <si>
    <t>INV3031</t>
  </si>
  <si>
    <t>INV3032</t>
  </si>
  <si>
    <t>INV3033</t>
  </si>
  <si>
    <t>INV3034</t>
  </si>
  <si>
    <t>INV3035</t>
  </si>
  <si>
    <t>INV3036</t>
  </si>
  <si>
    <t>INV3037</t>
  </si>
  <si>
    <t>INV3038</t>
  </si>
  <si>
    <t>INV3039</t>
  </si>
  <si>
    <t>INV3040</t>
  </si>
  <si>
    <t>INV3041</t>
  </si>
  <si>
    <t>INV3042</t>
  </si>
  <si>
    <t>INV3043</t>
  </si>
  <si>
    <t>INV3044</t>
  </si>
  <si>
    <t>INV3045</t>
  </si>
  <si>
    <t>INV3046</t>
  </si>
  <si>
    <t>INV3047</t>
  </si>
  <si>
    <t>INV3048</t>
  </si>
  <si>
    <t>INV3049</t>
  </si>
  <si>
    <t>INV3050</t>
  </si>
  <si>
    <t>INV3051</t>
  </si>
  <si>
    <t>INV3052</t>
  </si>
  <si>
    <t>INV3053</t>
  </si>
  <si>
    <t>INV3054</t>
  </si>
  <si>
    <t>INV3055</t>
  </si>
  <si>
    <t>INV3056</t>
  </si>
  <si>
    <t>INV3057</t>
  </si>
  <si>
    <t>INV3058</t>
  </si>
  <si>
    <t>INV3059</t>
  </si>
  <si>
    <t>INV3060</t>
  </si>
  <si>
    <t>INV3061</t>
  </si>
  <si>
    <t>INV3062</t>
  </si>
  <si>
    <t>INV3063</t>
  </si>
  <si>
    <t>INV3064</t>
  </si>
  <si>
    <t>INV3065</t>
  </si>
  <si>
    <t>INV3066</t>
  </si>
  <si>
    <t>INV3067</t>
  </si>
  <si>
    <t>INV3068</t>
  </si>
  <si>
    <t>INV3069</t>
  </si>
  <si>
    <t>INV3070</t>
  </si>
  <si>
    <t>INV3071</t>
  </si>
  <si>
    <t>INV3072</t>
  </si>
  <si>
    <t>INV3073</t>
  </si>
  <si>
    <t>INV3074</t>
  </si>
  <si>
    <t>INV3075</t>
  </si>
  <si>
    <t>INV3076</t>
  </si>
  <si>
    <t>INV3077</t>
  </si>
  <si>
    <t>INV3078</t>
  </si>
  <si>
    <t>INV3079</t>
  </si>
  <si>
    <t>INV3080</t>
  </si>
  <si>
    <t>INV3081</t>
  </si>
  <si>
    <t>INV3082</t>
  </si>
  <si>
    <t>INV3083</t>
  </si>
  <si>
    <t>INV3084</t>
  </si>
  <si>
    <t>INV3085</t>
  </si>
  <si>
    <t>INV3086</t>
  </si>
  <si>
    <t>INV3087</t>
  </si>
  <si>
    <t>INV3088</t>
  </si>
  <si>
    <t>INV3089</t>
  </si>
  <si>
    <t>INV3090</t>
  </si>
  <si>
    <t>INV3091</t>
  </si>
  <si>
    <t>INV3092</t>
  </si>
  <si>
    <t>INV3093</t>
  </si>
  <si>
    <t>INV3094</t>
  </si>
  <si>
    <t>INV3095</t>
  </si>
  <si>
    <t>INV3096</t>
  </si>
  <si>
    <t>INV3097</t>
  </si>
  <si>
    <t>INV3098</t>
  </si>
  <si>
    <t>INV3099</t>
  </si>
  <si>
    <t>INV3100</t>
  </si>
  <si>
    <t>INV3101</t>
  </si>
  <si>
    <t>INV3102</t>
  </si>
  <si>
    <t>INV3103</t>
  </si>
  <si>
    <t>INV3104</t>
  </si>
  <si>
    <t>INV3105</t>
  </si>
  <si>
    <t>INV3106</t>
  </si>
  <si>
    <t>INV3107</t>
  </si>
  <si>
    <t>INV3108</t>
  </si>
  <si>
    <t>INV3109</t>
  </si>
  <si>
    <t>INV3110</t>
  </si>
  <si>
    <t>INV3111</t>
  </si>
  <si>
    <t>INV3112</t>
  </si>
  <si>
    <t>INV3113</t>
  </si>
  <si>
    <t>INV3114</t>
  </si>
  <si>
    <t>INV3115</t>
  </si>
  <si>
    <t>INV3116</t>
  </si>
  <si>
    <t>INV3117</t>
  </si>
  <si>
    <t>INV3118</t>
  </si>
  <si>
    <t>INV3119</t>
  </si>
  <si>
    <t>INV3120</t>
  </si>
  <si>
    <t>INV3121</t>
  </si>
  <si>
    <t>INV3122</t>
  </si>
  <si>
    <t>INV3123</t>
  </si>
  <si>
    <t>INV3124</t>
  </si>
  <si>
    <t>INV3125</t>
  </si>
  <si>
    <t>INV3126</t>
  </si>
  <si>
    <t>INV3127</t>
  </si>
  <si>
    <t>INV3128</t>
  </si>
  <si>
    <t>INV3129</t>
  </si>
  <si>
    <t>INV3130</t>
  </si>
  <si>
    <t>INV3131</t>
  </si>
  <si>
    <t>INV3132</t>
  </si>
  <si>
    <t>INV3133</t>
  </si>
  <si>
    <t>INV3134</t>
  </si>
  <si>
    <t>INV3135</t>
  </si>
  <si>
    <t>INV3136</t>
  </si>
  <si>
    <t>INV3137</t>
  </si>
  <si>
    <t>INV3138</t>
  </si>
  <si>
    <t>INV3139</t>
  </si>
  <si>
    <t>INV3140</t>
  </si>
  <si>
    <t>INV3141</t>
  </si>
  <si>
    <t>INV3142</t>
  </si>
  <si>
    <t>INV3143</t>
  </si>
  <si>
    <t>INV3144</t>
  </si>
  <si>
    <t>INV3145</t>
  </si>
  <si>
    <t>INV3146</t>
  </si>
  <si>
    <t>INV3147</t>
  </si>
  <si>
    <t>INV3148</t>
  </si>
  <si>
    <t>INV3149</t>
  </si>
  <si>
    <t>INV3150</t>
  </si>
  <si>
    <t>INV3151</t>
  </si>
  <si>
    <t>INV3152</t>
  </si>
  <si>
    <t>INV3153</t>
  </si>
  <si>
    <t>INV3154</t>
  </si>
  <si>
    <t>INV3155</t>
  </si>
  <si>
    <t>INV3156</t>
  </si>
  <si>
    <t>INV3157</t>
  </si>
  <si>
    <t>INV3158</t>
  </si>
  <si>
    <t>INV3159</t>
  </si>
  <si>
    <t>INV3160</t>
  </si>
  <si>
    <t>INV3161</t>
  </si>
  <si>
    <t>INV3162</t>
  </si>
  <si>
    <t>INV3163</t>
  </si>
  <si>
    <t>INV3164</t>
  </si>
  <si>
    <t>INV3165</t>
  </si>
  <si>
    <t>INV3166</t>
  </si>
  <si>
    <t>INV3167</t>
  </si>
  <si>
    <t>INV3168</t>
  </si>
  <si>
    <t>INV3169</t>
  </si>
  <si>
    <t>INV3170</t>
  </si>
  <si>
    <t>INV3171</t>
  </si>
  <si>
    <t>INV3172</t>
  </si>
  <si>
    <t>INV3173</t>
  </si>
  <si>
    <t>INV3174</t>
  </si>
  <si>
    <t>INV3175</t>
  </si>
  <si>
    <t>INV3176</t>
  </si>
  <si>
    <t>INV3177</t>
  </si>
  <si>
    <t>INV3178</t>
  </si>
  <si>
    <t>INV3179</t>
  </si>
  <si>
    <t>INV3180</t>
  </si>
  <si>
    <t>INV3181</t>
  </si>
  <si>
    <t>INV3182</t>
  </si>
  <si>
    <t>INV3183</t>
  </si>
  <si>
    <t>INV3184</t>
  </si>
  <si>
    <t>INV3185</t>
  </si>
  <si>
    <t>INV3186</t>
  </si>
  <si>
    <t>INV3187</t>
  </si>
  <si>
    <t>INV3188</t>
  </si>
  <si>
    <t>INV3189</t>
  </si>
  <si>
    <t>INV3190</t>
  </si>
  <si>
    <t>INV3191</t>
  </si>
  <si>
    <t>INV3192</t>
  </si>
  <si>
    <t>INV3193</t>
  </si>
  <si>
    <t>INV3194</t>
  </si>
  <si>
    <t>INV3195</t>
  </si>
  <si>
    <t>INV3196</t>
  </si>
  <si>
    <t>INV3197</t>
  </si>
  <si>
    <t>INV3198</t>
  </si>
  <si>
    <t>INV3199</t>
  </si>
  <si>
    <t>INV3200</t>
  </si>
  <si>
    <t>INV3201</t>
  </si>
  <si>
    <t>INV3202</t>
  </si>
  <si>
    <t>INV3203</t>
  </si>
  <si>
    <t>INV3204</t>
  </si>
  <si>
    <t>INV3205</t>
  </si>
  <si>
    <t>INV3206</t>
  </si>
  <si>
    <t>INV3207</t>
  </si>
  <si>
    <t>INV3208</t>
  </si>
  <si>
    <t>INV3209</t>
  </si>
  <si>
    <t>INV3210</t>
  </si>
  <si>
    <t>INV3211</t>
  </si>
  <si>
    <t>INV3212</t>
  </si>
  <si>
    <t>INV3213</t>
  </si>
  <si>
    <t>INV3214</t>
  </si>
  <si>
    <t>INV3215</t>
  </si>
  <si>
    <t>INV3216</t>
  </si>
  <si>
    <t>INV3217</t>
  </si>
  <si>
    <t>INV3218</t>
  </si>
  <si>
    <t>INV3219</t>
  </si>
  <si>
    <t>INV3220</t>
  </si>
  <si>
    <t>INV3221</t>
  </si>
  <si>
    <t>INV3222</t>
  </si>
  <si>
    <t>INV3223</t>
  </si>
  <si>
    <t>INV3224</t>
  </si>
  <si>
    <t>INV3225</t>
  </si>
  <si>
    <t>INV3226</t>
  </si>
  <si>
    <t>INV3227</t>
  </si>
  <si>
    <t>INV3228</t>
  </si>
  <si>
    <t>INV3229</t>
  </si>
  <si>
    <t>INV3230</t>
  </si>
  <si>
    <t>INV3231</t>
  </si>
  <si>
    <t>INV3232</t>
  </si>
  <si>
    <t>INV3233</t>
  </si>
  <si>
    <t>INV3234</t>
  </si>
  <si>
    <t>INV3235</t>
  </si>
  <si>
    <t>INV3236</t>
  </si>
  <si>
    <t>INV3237</t>
  </si>
  <si>
    <t>INV3238</t>
  </si>
  <si>
    <t>INV3239</t>
  </si>
  <si>
    <t>INV3240</t>
  </si>
  <si>
    <t>INV3241</t>
  </si>
  <si>
    <t>INV3242</t>
  </si>
  <si>
    <t>INV3243</t>
  </si>
  <si>
    <t>INV3244</t>
  </si>
  <si>
    <t>INV3245</t>
  </si>
  <si>
    <t>INV3246</t>
  </si>
  <si>
    <t>INV3247</t>
  </si>
  <si>
    <t>INV3248</t>
  </si>
  <si>
    <t>INV3249</t>
  </si>
  <si>
    <t>INV3250</t>
  </si>
  <si>
    <t>INV3251</t>
  </si>
  <si>
    <t>INV3252</t>
  </si>
  <si>
    <t>INV3253</t>
  </si>
  <si>
    <t>INV3254</t>
  </si>
  <si>
    <t>INV3255</t>
  </si>
  <si>
    <t>INV3256</t>
  </si>
  <si>
    <t>INV3257</t>
  </si>
  <si>
    <t>INV3258</t>
  </si>
  <si>
    <t>INV3259</t>
  </si>
  <si>
    <t>INV3260</t>
  </si>
  <si>
    <t>INV3261</t>
  </si>
  <si>
    <t>INV3262</t>
  </si>
  <si>
    <t>INV3263</t>
  </si>
  <si>
    <t>INV3264</t>
  </si>
  <si>
    <t>INV3265</t>
  </si>
  <si>
    <t>INV3266</t>
  </si>
  <si>
    <t>INV3267</t>
  </si>
  <si>
    <t>INV3268</t>
  </si>
  <si>
    <t>INV3269</t>
  </si>
  <si>
    <t>INV3270</t>
  </si>
  <si>
    <t>INV3271</t>
  </si>
  <si>
    <t>INV3272</t>
  </si>
  <si>
    <t>INV3273</t>
  </si>
  <si>
    <t>INV3274</t>
  </si>
  <si>
    <t>INV3275</t>
  </si>
  <si>
    <t>INV3276</t>
  </si>
  <si>
    <t>INV3277</t>
  </si>
  <si>
    <t>INV3278</t>
  </si>
  <si>
    <t>INV3279</t>
  </si>
  <si>
    <t>INV3280</t>
  </si>
  <si>
    <t>INV3281</t>
  </si>
  <si>
    <t>INV3282</t>
  </si>
  <si>
    <t>INV3283</t>
  </si>
  <si>
    <t>INV3284</t>
  </si>
  <si>
    <t>INV3285</t>
  </si>
  <si>
    <t>INV3286</t>
  </si>
  <si>
    <t>INV3287</t>
  </si>
  <si>
    <t>INV3288</t>
  </si>
  <si>
    <t>INV3289</t>
  </si>
  <si>
    <t>INV3290</t>
  </si>
  <si>
    <t>INV3291</t>
  </si>
  <si>
    <t>INV3292</t>
  </si>
  <si>
    <t>INV3293</t>
  </si>
  <si>
    <t>INV3294</t>
  </si>
  <si>
    <t>INV3295</t>
  </si>
  <si>
    <t>INV3296</t>
  </si>
  <si>
    <t>INV3297</t>
  </si>
  <si>
    <t>INV3298</t>
  </si>
  <si>
    <t>INV3299</t>
  </si>
  <si>
    <t>INV3300</t>
  </si>
  <si>
    <t>INV3301</t>
  </si>
  <si>
    <t>INV3302</t>
  </si>
  <si>
    <t>INV3303</t>
  </si>
  <si>
    <t>INV3304</t>
  </si>
  <si>
    <t>INV3305</t>
  </si>
  <si>
    <t>INV3306</t>
  </si>
  <si>
    <t>INV3307</t>
  </si>
  <si>
    <t>INV3308</t>
  </si>
  <si>
    <t>INV3309</t>
  </si>
  <si>
    <t>INV3310</t>
  </si>
  <si>
    <t>INV3311</t>
  </si>
  <si>
    <t>INV3312</t>
  </si>
  <si>
    <t>INV3313</t>
  </si>
  <si>
    <t>INV3314</t>
  </si>
  <si>
    <t>INV3315</t>
  </si>
  <si>
    <t>INV3316</t>
  </si>
  <si>
    <t>INV3317</t>
  </si>
  <si>
    <t>INV3318</t>
  </si>
  <si>
    <t>INV3319</t>
  </si>
  <si>
    <t>INV3320</t>
  </si>
  <si>
    <t>INV3321</t>
  </si>
  <si>
    <t>INV3322</t>
  </si>
  <si>
    <t>INV3323</t>
  </si>
  <si>
    <t>INV3324</t>
  </si>
  <si>
    <t>INV3325</t>
  </si>
  <si>
    <t>INV3326</t>
  </si>
  <si>
    <t>INV3327</t>
  </si>
  <si>
    <t>INV3328</t>
  </si>
  <si>
    <t>INV3329</t>
  </si>
  <si>
    <t>INV3330</t>
  </si>
  <si>
    <t>INV3331</t>
  </si>
  <si>
    <t>INV3332</t>
  </si>
  <si>
    <t>INV3333</t>
  </si>
  <si>
    <t>INV3334</t>
  </si>
  <si>
    <t>INV3335</t>
  </si>
  <si>
    <t>INV3336</t>
  </si>
  <si>
    <t>INV3337</t>
  </si>
  <si>
    <t>INV3338</t>
  </si>
  <si>
    <t>INV3339</t>
  </si>
  <si>
    <t>INV3340</t>
  </si>
  <si>
    <t>INV3341</t>
  </si>
  <si>
    <t>INV3342</t>
  </si>
  <si>
    <t>INV3343</t>
  </si>
  <si>
    <t>INV3344</t>
  </si>
  <si>
    <t>INV3345</t>
  </si>
  <si>
    <t>INV3346</t>
  </si>
  <si>
    <t>INV3347</t>
  </si>
  <si>
    <t>INV3348</t>
  </si>
  <si>
    <t>INV3349</t>
  </si>
  <si>
    <t>INV3350</t>
  </si>
  <si>
    <t>INV3351</t>
  </si>
  <si>
    <t>INV3352</t>
  </si>
  <si>
    <t>INV3353</t>
  </si>
  <si>
    <t>INV3354</t>
  </si>
  <si>
    <t>INV3355</t>
  </si>
  <si>
    <t>INV3356</t>
  </si>
  <si>
    <t>INV3357</t>
  </si>
  <si>
    <t>INV3358</t>
  </si>
  <si>
    <t>INV3359</t>
  </si>
  <si>
    <t>INV3360</t>
  </si>
  <si>
    <t>INV3361</t>
  </si>
  <si>
    <t>INV3362</t>
  </si>
  <si>
    <t>INV3363</t>
  </si>
  <si>
    <t>INV3364</t>
  </si>
  <si>
    <t>INV3365</t>
  </si>
  <si>
    <t>INV3366</t>
  </si>
  <si>
    <t>INV3367</t>
  </si>
  <si>
    <t>INV3368</t>
  </si>
  <si>
    <t>INV3369</t>
  </si>
  <si>
    <t>INV3370</t>
  </si>
  <si>
    <t>INV3371</t>
  </si>
  <si>
    <t>INV3372</t>
  </si>
  <si>
    <t>INV3373</t>
  </si>
  <si>
    <t>INV3374</t>
  </si>
  <si>
    <t>INV3375</t>
  </si>
  <si>
    <t>INV3376</t>
  </si>
  <si>
    <t>INV3377</t>
  </si>
  <si>
    <t>INV3378</t>
  </si>
  <si>
    <t>INV3379</t>
  </si>
  <si>
    <t>INV3380</t>
  </si>
  <si>
    <t>INV3381</t>
  </si>
  <si>
    <t>INV3382</t>
  </si>
  <si>
    <t>INV3383</t>
  </si>
  <si>
    <t>INV3384</t>
  </si>
  <si>
    <t>INV3385</t>
  </si>
  <si>
    <t>INV3386</t>
  </si>
  <si>
    <t>INV3387</t>
  </si>
  <si>
    <t>INV3388</t>
  </si>
  <si>
    <t>INV3389</t>
  </si>
  <si>
    <t>INV3390</t>
  </si>
  <si>
    <t>INV3391</t>
  </si>
  <si>
    <t>INV3392</t>
  </si>
  <si>
    <t>INV3393</t>
  </si>
  <si>
    <t>INV3394</t>
  </si>
  <si>
    <t>INV3395</t>
  </si>
  <si>
    <t>INV3396</t>
  </si>
  <si>
    <t>INV3397</t>
  </si>
  <si>
    <t>INV3398</t>
  </si>
  <si>
    <t>INV3399</t>
  </si>
  <si>
    <t>INV3400</t>
  </si>
  <si>
    <t>INV3401</t>
  </si>
  <si>
    <t>INV3402</t>
  </si>
  <si>
    <t>INV3403</t>
  </si>
  <si>
    <t>INV3404</t>
  </si>
  <si>
    <t>INV3405</t>
  </si>
  <si>
    <t>INV3406</t>
  </si>
  <si>
    <t>INV3407</t>
  </si>
  <si>
    <t>INV3408</t>
  </si>
  <si>
    <t>INV3409</t>
  </si>
  <si>
    <t>INV3410</t>
  </si>
  <si>
    <t>INV3411</t>
  </si>
  <si>
    <t>INV3412</t>
  </si>
  <si>
    <t>INV3413</t>
  </si>
  <si>
    <t>INV3414</t>
  </si>
  <si>
    <t>INV3415</t>
  </si>
  <si>
    <t>INV3416</t>
  </si>
  <si>
    <t>INV3417</t>
  </si>
  <si>
    <t>INV3418</t>
  </si>
  <si>
    <t>INV3419</t>
  </si>
  <si>
    <t>INV3420</t>
  </si>
  <si>
    <t>INV3421</t>
  </si>
  <si>
    <t>INV3422</t>
  </si>
  <si>
    <t>INV3423</t>
  </si>
  <si>
    <t>INV3424</t>
  </si>
  <si>
    <t>INV3425</t>
  </si>
  <si>
    <t>INV3426</t>
  </si>
  <si>
    <t>INV3427</t>
  </si>
  <si>
    <t>INV3428</t>
  </si>
  <si>
    <t>INV3429</t>
  </si>
  <si>
    <t>INV3430</t>
  </si>
  <si>
    <t>INV3431</t>
  </si>
  <si>
    <t>INV3432</t>
  </si>
  <si>
    <t>INV3433</t>
  </si>
  <si>
    <t>INV3434</t>
  </si>
  <si>
    <t>INV3435</t>
  </si>
  <si>
    <t>INV3436</t>
  </si>
  <si>
    <t>INV3437</t>
  </si>
  <si>
    <t>INV3438</t>
  </si>
  <si>
    <t>INV3439</t>
  </si>
  <si>
    <t>INV3440</t>
  </si>
  <si>
    <t>INV3441</t>
  </si>
  <si>
    <t>INV3442</t>
  </si>
  <si>
    <t>INV3443</t>
  </si>
  <si>
    <t>INV3444</t>
  </si>
  <si>
    <t>INV3445</t>
  </si>
  <si>
    <t>INV3446</t>
  </si>
  <si>
    <t>INV3447</t>
  </si>
  <si>
    <t>INV3448</t>
  </si>
  <si>
    <t>INV3449</t>
  </si>
  <si>
    <t>INV3450</t>
  </si>
  <si>
    <t>INV3451</t>
  </si>
  <si>
    <t>INV3452</t>
  </si>
  <si>
    <t>INV3453</t>
  </si>
  <si>
    <t>INV3454</t>
  </si>
  <si>
    <t>INV3455</t>
  </si>
  <si>
    <t>INV3456</t>
  </si>
  <si>
    <t>INV3457</t>
  </si>
  <si>
    <t>INV3458</t>
  </si>
  <si>
    <t>INV3459</t>
  </si>
  <si>
    <t>INV3460</t>
  </si>
  <si>
    <t>INV3461</t>
  </si>
  <si>
    <t>INV3462</t>
  </si>
  <si>
    <t>INV3463</t>
  </si>
  <si>
    <t>INV3464</t>
  </si>
  <si>
    <t>INV3465</t>
  </si>
  <si>
    <t>INV3466</t>
  </si>
  <si>
    <t>INV3467</t>
  </si>
  <si>
    <t>INV3468</t>
  </si>
  <si>
    <t>INV3469</t>
  </si>
  <si>
    <t>INV3470</t>
  </si>
  <si>
    <t>INV3471</t>
  </si>
  <si>
    <t>INV3472</t>
  </si>
  <si>
    <t>INV3473</t>
  </si>
  <si>
    <t>INV3474</t>
  </si>
  <si>
    <t>INV3475</t>
  </si>
  <si>
    <t>INV3476</t>
  </si>
  <si>
    <t>INV3477</t>
  </si>
  <si>
    <t>INV3478</t>
  </si>
  <si>
    <t>INV3479</t>
  </si>
  <si>
    <t>INV3480</t>
  </si>
  <si>
    <t>INV3481</t>
  </si>
  <si>
    <t>INV3482</t>
  </si>
  <si>
    <t>INV3483</t>
  </si>
  <si>
    <t>INV3484</t>
  </si>
  <si>
    <t>INV3485</t>
  </si>
  <si>
    <t>INV3486</t>
  </si>
  <si>
    <t>INV3487</t>
  </si>
  <si>
    <t>INV3488</t>
  </si>
  <si>
    <t>INV3489</t>
  </si>
  <si>
    <t>INV3490</t>
  </si>
  <si>
    <t>INV3491</t>
  </si>
  <si>
    <t>INV3492</t>
  </si>
  <si>
    <t>INV3493</t>
  </si>
  <si>
    <t>INV3494</t>
  </si>
  <si>
    <t>INV3495</t>
  </si>
  <si>
    <t>INV3496</t>
  </si>
  <si>
    <t>INV3497</t>
  </si>
  <si>
    <t>INV3498</t>
  </si>
  <si>
    <t>INV3499</t>
  </si>
  <si>
    <t>INV3500</t>
  </si>
  <si>
    <t>INV3501</t>
  </si>
  <si>
    <t>INV3502</t>
  </si>
  <si>
    <t>INV3503</t>
  </si>
  <si>
    <t>INV3504</t>
  </si>
  <si>
    <t>INV3505</t>
  </si>
  <si>
    <t>INV3506</t>
  </si>
  <si>
    <t>INV3507</t>
  </si>
  <si>
    <t>INV3508</t>
  </si>
  <si>
    <t>INV3509</t>
  </si>
  <si>
    <t>INV3510</t>
  </si>
  <si>
    <t>INV3511</t>
  </si>
  <si>
    <t>INV3512</t>
  </si>
  <si>
    <t>INV3513</t>
  </si>
  <si>
    <t>INV3514</t>
  </si>
  <si>
    <t>INV3515</t>
  </si>
  <si>
    <t>INV3516</t>
  </si>
  <si>
    <t>INV3517</t>
  </si>
  <si>
    <t>INV3518</t>
  </si>
  <si>
    <t>INV3519</t>
  </si>
  <si>
    <t>INV3520</t>
  </si>
  <si>
    <t>INV3521</t>
  </si>
  <si>
    <t>INV3522</t>
  </si>
  <si>
    <t>INV3523</t>
  </si>
  <si>
    <t>INV3524</t>
  </si>
  <si>
    <t>INV3525</t>
  </si>
  <si>
    <t>INV3526</t>
  </si>
  <si>
    <t>INV3527</t>
  </si>
  <si>
    <t>INV3528</t>
  </si>
  <si>
    <t>INV3529</t>
  </si>
  <si>
    <t>INV3530</t>
  </si>
  <si>
    <t>INV3531</t>
  </si>
  <si>
    <t>INV3532</t>
  </si>
  <si>
    <t>INV3533</t>
  </si>
  <si>
    <t>INV3534</t>
  </si>
  <si>
    <t>INV3535</t>
  </si>
  <si>
    <t>INV3536</t>
  </si>
  <si>
    <t>INV3537</t>
  </si>
  <si>
    <t>INV3538</t>
  </si>
  <si>
    <t>INV3539</t>
  </si>
  <si>
    <t>INV3540</t>
  </si>
  <si>
    <t>INV3541</t>
  </si>
  <si>
    <t>INV3542</t>
  </si>
  <si>
    <t>INV3543</t>
  </si>
  <si>
    <t>INV3544</t>
  </si>
  <si>
    <t>INV3545</t>
  </si>
  <si>
    <t>INV3546</t>
  </si>
  <si>
    <t>INV3547</t>
  </si>
  <si>
    <t>INV3548</t>
  </si>
  <si>
    <t>INV3549</t>
  </si>
  <si>
    <t>INV3550</t>
  </si>
  <si>
    <t>INV3551</t>
  </si>
  <si>
    <t>INV3552</t>
  </si>
  <si>
    <t>INV3553</t>
  </si>
  <si>
    <t>INV3554</t>
  </si>
  <si>
    <t>INV3555</t>
  </si>
  <si>
    <t>INV3556</t>
  </si>
  <si>
    <t>INV3557</t>
  </si>
  <si>
    <t>INV3558</t>
  </si>
  <si>
    <t>INV3559</t>
  </si>
  <si>
    <t>INV3560</t>
  </si>
  <si>
    <t>INV3561</t>
  </si>
  <si>
    <t>INV3562</t>
  </si>
  <si>
    <t>INV3563</t>
  </si>
  <si>
    <t>INV3564</t>
  </si>
  <si>
    <t>INV3565</t>
  </si>
  <si>
    <t>INV3566</t>
  </si>
  <si>
    <t>INV3567</t>
  </si>
  <si>
    <t>INV3568</t>
  </si>
  <si>
    <t>INV3569</t>
  </si>
  <si>
    <t>INV3570</t>
  </si>
  <si>
    <t>INV3571</t>
  </si>
  <si>
    <t>INV3572</t>
  </si>
  <si>
    <t>INV3573</t>
  </si>
  <si>
    <t>INV3574</t>
  </si>
  <si>
    <t>INV3575</t>
  </si>
  <si>
    <t>INV3576</t>
  </si>
  <si>
    <t>INV3577</t>
  </si>
  <si>
    <t>INV3578</t>
  </si>
  <si>
    <t>INV3579</t>
  </si>
  <si>
    <t>INV3580</t>
  </si>
  <si>
    <t>INV3581</t>
  </si>
  <si>
    <t>INV3582</t>
  </si>
  <si>
    <t>INV3583</t>
  </si>
  <si>
    <t>INV3584</t>
  </si>
  <si>
    <t>INV3585</t>
  </si>
  <si>
    <t>INV3586</t>
  </si>
  <si>
    <t>INV3587</t>
  </si>
  <si>
    <t>INV3588</t>
  </si>
  <si>
    <t>INV3589</t>
  </si>
  <si>
    <t>INV3590</t>
  </si>
  <si>
    <t>INV3591</t>
  </si>
  <si>
    <t>INV3592</t>
  </si>
  <si>
    <t>INV3593</t>
  </si>
  <si>
    <t>INV3594</t>
  </si>
  <si>
    <t>INV3595</t>
  </si>
  <si>
    <t>INV3596</t>
  </si>
  <si>
    <t>INV3597</t>
  </si>
  <si>
    <t>INV3598</t>
  </si>
  <si>
    <t>INV3599</t>
  </si>
  <si>
    <t>INV3600</t>
  </si>
  <si>
    <t>INV3601</t>
  </si>
  <si>
    <t>INV3602</t>
  </si>
  <si>
    <t>INV3603</t>
  </si>
  <si>
    <t>INV3604</t>
  </si>
  <si>
    <t>INV3605</t>
  </si>
  <si>
    <t>INV3606</t>
  </si>
  <si>
    <t>INV3607</t>
  </si>
  <si>
    <t>INV3608</t>
  </si>
  <si>
    <t>INV3609</t>
  </si>
  <si>
    <t>INV3610</t>
  </si>
  <si>
    <t>INV3611</t>
  </si>
  <si>
    <t>INV3612</t>
  </si>
  <si>
    <t>INV3613</t>
  </si>
  <si>
    <t>INV3614</t>
  </si>
  <si>
    <t>INV3615</t>
  </si>
  <si>
    <t>INV3616</t>
  </si>
  <si>
    <t>INV3617</t>
  </si>
  <si>
    <t>INV3618</t>
  </si>
  <si>
    <t>INV3619</t>
  </si>
  <si>
    <t>INV3620</t>
  </si>
  <si>
    <t>INV3621</t>
  </si>
  <si>
    <t>INV3622</t>
  </si>
  <si>
    <t>INV3623</t>
  </si>
  <si>
    <t>INV3624</t>
  </si>
  <si>
    <t>INV3625</t>
  </si>
  <si>
    <t>INV3626</t>
  </si>
  <si>
    <t>INV3627</t>
  </si>
  <si>
    <t>INV3628</t>
  </si>
  <si>
    <t>INV3629</t>
  </si>
  <si>
    <t>INV3630</t>
  </si>
  <si>
    <t>INV3631</t>
  </si>
  <si>
    <t>INV3632</t>
  </si>
  <si>
    <t>INV3633</t>
  </si>
  <si>
    <t>INV3634</t>
  </si>
  <si>
    <t>INV3635</t>
  </si>
  <si>
    <t>INV3636</t>
  </si>
  <si>
    <t>INV3637</t>
  </si>
  <si>
    <t>INV3638</t>
  </si>
  <si>
    <t>INV3639</t>
  </si>
  <si>
    <t>INV3640</t>
  </si>
  <si>
    <t>INV3641</t>
  </si>
  <si>
    <t>INV3642</t>
  </si>
  <si>
    <t>INV3643</t>
  </si>
  <si>
    <t>INV3644</t>
  </si>
  <si>
    <t>INV3645</t>
  </si>
  <si>
    <t>INV3646</t>
  </si>
  <si>
    <t>INV3647</t>
  </si>
  <si>
    <t>INV3648</t>
  </si>
  <si>
    <t>INV3649</t>
  </si>
  <si>
    <t>INV3650</t>
  </si>
  <si>
    <t>INV3651</t>
  </si>
  <si>
    <t>INV3652</t>
  </si>
  <si>
    <t>INV3653</t>
  </si>
  <si>
    <t>INV3654</t>
  </si>
  <si>
    <t>INV3655</t>
  </si>
  <si>
    <t>INV3656</t>
  </si>
  <si>
    <t>INV3657</t>
  </si>
  <si>
    <t>INV3658</t>
  </si>
  <si>
    <t>INV3659</t>
  </si>
  <si>
    <t>INV3660</t>
  </si>
  <si>
    <t>INV3661</t>
  </si>
  <si>
    <t>INV3662</t>
  </si>
  <si>
    <t>INV3663</t>
  </si>
  <si>
    <t>INV3664</t>
  </si>
  <si>
    <t>INV3665</t>
  </si>
  <si>
    <t>INV3666</t>
  </si>
  <si>
    <t>INV3667</t>
  </si>
  <si>
    <t>INV3668</t>
  </si>
  <si>
    <t>INV3669</t>
  </si>
  <si>
    <t>INV3670</t>
  </si>
  <si>
    <t>INV3671</t>
  </si>
  <si>
    <t>INV3672</t>
  </si>
  <si>
    <t>INV3673</t>
  </si>
  <si>
    <t>INV3674</t>
  </si>
  <si>
    <t>INV3675</t>
  </si>
  <si>
    <t>INV3676</t>
  </si>
  <si>
    <t>INV3677</t>
  </si>
  <si>
    <t>INV3678</t>
  </si>
  <si>
    <t>INV3679</t>
  </si>
  <si>
    <t>INV3680</t>
  </si>
  <si>
    <t>INV3681</t>
  </si>
  <si>
    <t>INV3682</t>
  </si>
  <si>
    <t>INV3683</t>
  </si>
  <si>
    <t>INV3684</t>
  </si>
  <si>
    <t>INV3685</t>
  </si>
  <si>
    <t>INV3686</t>
  </si>
  <si>
    <t>INV3687</t>
  </si>
  <si>
    <t>INV3688</t>
  </si>
  <si>
    <t>INV3689</t>
  </si>
  <si>
    <t>INV3690</t>
  </si>
  <si>
    <t>INV3691</t>
  </si>
  <si>
    <t>INV3692</t>
  </si>
  <si>
    <t>INV3693</t>
  </si>
  <si>
    <t>INV3694</t>
  </si>
  <si>
    <t>INV3695</t>
  </si>
  <si>
    <t>INV3696</t>
  </si>
  <si>
    <t>INV3697</t>
  </si>
  <si>
    <t>INV3698</t>
  </si>
  <si>
    <t>INV3699</t>
  </si>
  <si>
    <t>INV3700</t>
  </si>
  <si>
    <t>INV3701</t>
  </si>
  <si>
    <t>INV3702</t>
  </si>
  <si>
    <t>INV3703</t>
  </si>
  <si>
    <t>INV3704</t>
  </si>
  <si>
    <t>INV3705</t>
  </si>
  <si>
    <t>INV3706</t>
  </si>
  <si>
    <t>INV3707</t>
  </si>
  <si>
    <t>INV3708</t>
  </si>
  <si>
    <t>INV3709</t>
  </si>
  <si>
    <t>INV3710</t>
  </si>
  <si>
    <t>INV3711</t>
  </si>
  <si>
    <t>INV3712</t>
  </si>
  <si>
    <t>INV3713</t>
  </si>
  <si>
    <t>INV3714</t>
  </si>
  <si>
    <t>INV3715</t>
  </si>
  <si>
    <t>INV3716</t>
  </si>
  <si>
    <t>INV3717</t>
  </si>
  <si>
    <t>INV3718</t>
  </si>
  <si>
    <t>INV3719</t>
  </si>
  <si>
    <t>INV3720</t>
  </si>
  <si>
    <t>INV3721</t>
  </si>
  <si>
    <t>INV3722</t>
  </si>
  <si>
    <t>INV3723</t>
  </si>
  <si>
    <t>INV3724</t>
  </si>
  <si>
    <t>INV3725</t>
  </si>
  <si>
    <t>INV3726</t>
  </si>
  <si>
    <t>INV3727</t>
  </si>
  <si>
    <t>INV3728</t>
  </si>
  <si>
    <t>INV3729</t>
  </si>
  <si>
    <t>INV3730</t>
  </si>
  <si>
    <t>INV3731</t>
  </si>
  <si>
    <t>INV3732</t>
  </si>
  <si>
    <t>INV3733</t>
  </si>
  <si>
    <t>INV3734</t>
  </si>
  <si>
    <t>INV3735</t>
  </si>
  <si>
    <t>INV3736</t>
  </si>
  <si>
    <t>INV3737</t>
  </si>
  <si>
    <t>INV3738</t>
  </si>
  <si>
    <t>INV3739</t>
  </si>
  <si>
    <t>INV3740</t>
  </si>
  <si>
    <t>INV3741</t>
  </si>
  <si>
    <t>INV3742</t>
  </si>
  <si>
    <t>INV3743</t>
  </si>
  <si>
    <t>INV3744</t>
  </si>
  <si>
    <t>INV3745</t>
  </si>
  <si>
    <t>INV3746</t>
  </si>
  <si>
    <t>INV3747</t>
  </si>
  <si>
    <t>INV3748</t>
  </si>
  <si>
    <t>INV3749</t>
  </si>
  <si>
    <t>INV3750</t>
  </si>
  <si>
    <t>INV3751</t>
  </si>
  <si>
    <t>INV3752</t>
  </si>
  <si>
    <t>INV3753</t>
  </si>
  <si>
    <t>INV3754</t>
  </si>
  <si>
    <t>INV3755</t>
  </si>
  <si>
    <t>INV3756</t>
  </si>
  <si>
    <t>INV3757</t>
  </si>
  <si>
    <t>INV3758</t>
  </si>
  <si>
    <t>INV3759</t>
  </si>
  <si>
    <t>INV3760</t>
  </si>
  <si>
    <t>INV3761</t>
  </si>
  <si>
    <t>INV3762</t>
  </si>
  <si>
    <t>INV3763</t>
  </si>
  <si>
    <t>INV3764</t>
  </si>
  <si>
    <t>INV3765</t>
  </si>
  <si>
    <t>INV3766</t>
  </si>
  <si>
    <t>INV3767</t>
  </si>
  <si>
    <t>INV3768</t>
  </si>
  <si>
    <t>INV3769</t>
  </si>
  <si>
    <t>INV3770</t>
  </si>
  <si>
    <t>INV3771</t>
  </si>
  <si>
    <t>INV3772</t>
  </si>
  <si>
    <t>INV3773</t>
  </si>
  <si>
    <t>INV3774</t>
  </si>
  <si>
    <t>INV3775</t>
  </si>
  <si>
    <t>INV3776</t>
  </si>
  <si>
    <t>INV3777</t>
  </si>
  <si>
    <t>INV3778</t>
  </si>
  <si>
    <t>INV3779</t>
  </si>
  <si>
    <t>INV3780</t>
  </si>
  <si>
    <t>INV3781</t>
  </si>
  <si>
    <t>INV3782</t>
  </si>
  <si>
    <t>INV3783</t>
  </si>
  <si>
    <t>INV3784</t>
  </si>
  <si>
    <t>INV3785</t>
  </si>
  <si>
    <t>INV3786</t>
  </si>
  <si>
    <t>INV3787</t>
  </si>
  <si>
    <t>INV3788</t>
  </si>
  <si>
    <t>INV3789</t>
  </si>
  <si>
    <t>INV3790</t>
  </si>
  <si>
    <t>INV3791</t>
  </si>
  <si>
    <t>INV3792</t>
  </si>
  <si>
    <t>INV3793</t>
  </si>
  <si>
    <t>INV3794</t>
  </si>
  <si>
    <t>INV3795</t>
  </si>
  <si>
    <t>INV3796</t>
  </si>
  <si>
    <t>INV3797</t>
  </si>
  <si>
    <t>INV3798</t>
  </si>
  <si>
    <t>INV3799</t>
  </si>
  <si>
    <t>INV3800</t>
  </si>
  <si>
    <t>INV3801</t>
  </si>
  <si>
    <t>INV3802</t>
  </si>
  <si>
    <t>INV3803</t>
  </si>
  <si>
    <t>INV3804</t>
  </si>
  <si>
    <t>INV3805</t>
  </si>
  <si>
    <t>INV3806</t>
  </si>
  <si>
    <t>INV3807</t>
  </si>
  <si>
    <t>INV3808</t>
  </si>
  <si>
    <t>INV3809</t>
  </si>
  <si>
    <t>INV3810</t>
  </si>
  <si>
    <t>INV3811</t>
  </si>
  <si>
    <t>INV3812</t>
  </si>
  <si>
    <t>INV3813</t>
  </si>
  <si>
    <t>INV3814</t>
  </si>
  <si>
    <t>INV3815</t>
  </si>
  <si>
    <t>INV3816</t>
  </si>
  <si>
    <t>INV3817</t>
  </si>
  <si>
    <t>INV3818</t>
  </si>
  <si>
    <t>INV3819</t>
  </si>
  <si>
    <t>INV3820</t>
  </si>
  <si>
    <t>INV3821</t>
  </si>
  <si>
    <t>INV3822</t>
  </si>
  <si>
    <t>INV3823</t>
  </si>
  <si>
    <t>INV3824</t>
  </si>
  <si>
    <t>INV3825</t>
  </si>
  <si>
    <t>INV3826</t>
  </si>
  <si>
    <t>INV3827</t>
  </si>
  <si>
    <t>INV3828</t>
  </si>
  <si>
    <t>INV3829</t>
  </si>
  <si>
    <t>INV3830</t>
  </si>
  <si>
    <t>INV3831</t>
  </si>
  <si>
    <t>INV3832</t>
  </si>
  <si>
    <t>INV3833</t>
  </si>
  <si>
    <t>INV3834</t>
  </si>
  <si>
    <t>INV3835</t>
  </si>
  <si>
    <t>INV3836</t>
  </si>
  <si>
    <t>INV3837</t>
  </si>
  <si>
    <t>INV3838</t>
  </si>
  <si>
    <t>INV3839</t>
  </si>
  <si>
    <t>INV3840</t>
  </si>
  <si>
    <t>INV3841</t>
  </si>
  <si>
    <t>INV3842</t>
  </si>
  <si>
    <t>INV3843</t>
  </si>
  <si>
    <t>INV3844</t>
  </si>
  <si>
    <t>INV3845</t>
  </si>
  <si>
    <t>INV3846</t>
  </si>
  <si>
    <t>INV3847</t>
  </si>
  <si>
    <t>INV3848</t>
  </si>
  <si>
    <t>INV3849</t>
  </si>
  <si>
    <t>INV3850</t>
  </si>
  <si>
    <t>INV3851</t>
  </si>
  <si>
    <t>INV3852</t>
  </si>
  <si>
    <t>INV3853</t>
  </si>
  <si>
    <t>INV3854</t>
  </si>
  <si>
    <t>INV3855</t>
  </si>
  <si>
    <t>INV3856</t>
  </si>
  <si>
    <t>INV3857</t>
  </si>
  <si>
    <t>INV3858</t>
  </si>
  <si>
    <t>INV3859</t>
  </si>
  <si>
    <t>INV3860</t>
  </si>
  <si>
    <t>INV3861</t>
  </si>
  <si>
    <t>INV3862</t>
  </si>
  <si>
    <t>INV3863</t>
  </si>
  <si>
    <t>INV3864</t>
  </si>
  <si>
    <t>INV3865</t>
  </si>
  <si>
    <t>INV3866</t>
  </si>
  <si>
    <t>INV3867</t>
  </si>
  <si>
    <t>INV3868</t>
  </si>
  <si>
    <t>INV3869</t>
  </si>
  <si>
    <t>INV3870</t>
  </si>
  <si>
    <t>INV3871</t>
  </si>
  <si>
    <t>INV3872</t>
  </si>
  <si>
    <t>INV3873</t>
  </si>
  <si>
    <t>INV3874</t>
  </si>
  <si>
    <t>INV3875</t>
  </si>
  <si>
    <t>INV3876</t>
  </si>
  <si>
    <t>INV3877</t>
  </si>
  <si>
    <t>INV3878</t>
  </si>
  <si>
    <t>INV3879</t>
  </si>
  <si>
    <t>INV3880</t>
  </si>
  <si>
    <t>INV3881</t>
  </si>
  <si>
    <t>INV3882</t>
  </si>
  <si>
    <t>INV3883</t>
  </si>
  <si>
    <t>INV3884</t>
  </si>
  <si>
    <t>INV3885</t>
  </si>
  <si>
    <t>INV3886</t>
  </si>
  <si>
    <t>INV3887</t>
  </si>
  <si>
    <t>INV3888</t>
  </si>
  <si>
    <t>INV3889</t>
  </si>
  <si>
    <t>INV3890</t>
  </si>
  <si>
    <t>INV3891</t>
  </si>
  <si>
    <t>INV3892</t>
  </si>
  <si>
    <t>INV3893</t>
  </si>
  <si>
    <t>INV3894</t>
  </si>
  <si>
    <t>INV3895</t>
  </si>
  <si>
    <t>INV3896</t>
  </si>
  <si>
    <t>INV3897</t>
  </si>
  <si>
    <t>INV3898</t>
  </si>
  <si>
    <t>INV3899</t>
  </si>
  <si>
    <t>INV3900</t>
  </si>
  <si>
    <t>INV3901</t>
  </si>
  <si>
    <t>INV3902</t>
  </si>
  <si>
    <t>INV3903</t>
  </si>
  <si>
    <t>INV3904</t>
  </si>
  <si>
    <t>INV3905</t>
  </si>
  <si>
    <t>INV3906</t>
  </si>
  <si>
    <t>INV3907</t>
  </si>
  <si>
    <t>INV3908</t>
  </si>
  <si>
    <t>INV3909</t>
  </si>
  <si>
    <t>INV3910</t>
  </si>
  <si>
    <t>INV3911</t>
  </si>
  <si>
    <t>INV3912</t>
  </si>
  <si>
    <t>INV3913</t>
  </si>
  <si>
    <t>INV3914</t>
  </si>
  <si>
    <t>INV3915</t>
  </si>
  <si>
    <t>INV3916</t>
  </si>
  <si>
    <t>INV3917</t>
  </si>
  <si>
    <t>INV3918</t>
  </si>
  <si>
    <t>INV3919</t>
  </si>
  <si>
    <t>INV3920</t>
  </si>
  <si>
    <t>INV3921</t>
  </si>
  <si>
    <t>INV3922</t>
  </si>
  <si>
    <t>INV3923</t>
  </si>
  <si>
    <t>INV3924</t>
  </si>
  <si>
    <t>INV3925</t>
  </si>
  <si>
    <t>INV3926</t>
  </si>
  <si>
    <t>INV3927</t>
  </si>
  <si>
    <t>INV3928</t>
  </si>
  <si>
    <t>INV3929</t>
  </si>
  <si>
    <t>INV3930</t>
  </si>
  <si>
    <t>INV3931</t>
  </si>
  <si>
    <t>INV3932</t>
  </si>
  <si>
    <t>INV3933</t>
  </si>
  <si>
    <t>INV3934</t>
  </si>
  <si>
    <t>INV3935</t>
  </si>
  <si>
    <t>INV3936</t>
  </si>
  <si>
    <t>INV3937</t>
  </si>
  <si>
    <t>INV3938</t>
  </si>
  <si>
    <t>INV3939</t>
  </si>
  <si>
    <t>INV3940</t>
  </si>
  <si>
    <t>INV3941</t>
  </si>
  <si>
    <t>INV3942</t>
  </si>
  <si>
    <t>INV3943</t>
  </si>
  <si>
    <t>INV3944</t>
  </si>
  <si>
    <t>INV3945</t>
  </si>
  <si>
    <t>INV3946</t>
  </si>
  <si>
    <t>INV3947</t>
  </si>
  <si>
    <t>Pharmaceuticals</t>
  </si>
  <si>
    <t>Antibiotics</t>
  </si>
  <si>
    <t>Electronics</t>
  </si>
  <si>
    <t>LED Bulb</t>
  </si>
  <si>
    <t>Toilet Paper</t>
  </si>
  <si>
    <t>Jersey</t>
  </si>
  <si>
    <t>Earphones</t>
  </si>
  <si>
    <t>Power Bank</t>
  </si>
  <si>
    <t>Cooking Gas</t>
  </si>
  <si>
    <t>Wristwatch</t>
  </si>
  <si>
    <t>Extension Box</t>
  </si>
  <si>
    <t>Garri</t>
  </si>
  <si>
    <t>Paracetamol</t>
  </si>
  <si>
    <t>Football</t>
  </si>
  <si>
    <t>Cough Syrup</t>
  </si>
  <si>
    <t>Dumbbells</t>
  </si>
  <si>
    <t>Vitamin C</t>
  </si>
  <si>
    <t>Bucket</t>
  </si>
  <si>
    <t>Shoes</t>
  </si>
  <si>
    <t>Cap</t>
  </si>
  <si>
    <t>Yam Flour</t>
  </si>
  <si>
    <t>T-shirt</t>
  </si>
  <si>
    <t>Palm Oil</t>
  </si>
  <si>
    <t>Skipping Rope</t>
  </si>
  <si>
    <t>Broom</t>
  </si>
  <si>
    <t>Pain Relief Balm</t>
  </si>
  <si>
    <t>Jeans</t>
  </si>
  <si>
    <t>Running Shoes</t>
  </si>
  <si>
    <t>Beans</t>
  </si>
  <si>
    <t>Phone Charger</t>
  </si>
  <si>
    <t>Food items</t>
  </si>
  <si>
    <t>INV3948</t>
  </si>
  <si>
    <t>INV3949</t>
  </si>
  <si>
    <t>INV3950</t>
  </si>
  <si>
    <t>INV3951</t>
  </si>
  <si>
    <t>INV3952</t>
  </si>
  <si>
    <t>INV3953</t>
  </si>
  <si>
    <t>INV3954</t>
  </si>
  <si>
    <t>INV3955</t>
  </si>
  <si>
    <t>INV3956</t>
  </si>
  <si>
    <t>INV3957</t>
  </si>
  <si>
    <t>INV3958</t>
  </si>
  <si>
    <t>INV3959</t>
  </si>
  <si>
    <t>INV3960</t>
  </si>
  <si>
    <t>INV3961</t>
  </si>
  <si>
    <t>INV3962</t>
  </si>
  <si>
    <t>INV3963</t>
  </si>
  <si>
    <t>INV3964</t>
  </si>
  <si>
    <t>INV3965</t>
  </si>
  <si>
    <t>INV3966</t>
  </si>
  <si>
    <t>INV3967</t>
  </si>
  <si>
    <t>INV3968</t>
  </si>
  <si>
    <t>INV3969</t>
  </si>
  <si>
    <t>INV3970</t>
  </si>
  <si>
    <t>INV3971</t>
  </si>
  <si>
    <t>INV3972</t>
  </si>
  <si>
    <t>INV3973</t>
  </si>
  <si>
    <t>INV3974</t>
  </si>
  <si>
    <t>INV3975</t>
  </si>
  <si>
    <t>INV3976</t>
  </si>
  <si>
    <t>INV3977</t>
  </si>
  <si>
    <t>INV3978</t>
  </si>
  <si>
    <t>INV3979</t>
  </si>
  <si>
    <t>INV3980</t>
  </si>
  <si>
    <t>INV3981</t>
  </si>
  <si>
    <t>INV3982</t>
  </si>
  <si>
    <t>INV3983</t>
  </si>
  <si>
    <t>INV3984</t>
  </si>
  <si>
    <t>INV3985</t>
  </si>
  <si>
    <t>INV3986</t>
  </si>
  <si>
    <t>INV3987</t>
  </si>
  <si>
    <t>INV3988</t>
  </si>
  <si>
    <t>INV3989</t>
  </si>
  <si>
    <t>INV3990</t>
  </si>
  <si>
    <t>INV3991</t>
  </si>
  <si>
    <t>INV3992</t>
  </si>
  <si>
    <t>INV3993</t>
  </si>
  <si>
    <t>INV3994</t>
  </si>
  <si>
    <t>INV3995</t>
  </si>
  <si>
    <t>INV3996</t>
  </si>
  <si>
    <t>INV3997</t>
  </si>
  <si>
    <t>INV3998</t>
  </si>
  <si>
    <t>INV3999</t>
  </si>
  <si>
    <t>INV4000</t>
  </si>
  <si>
    <t>INV4001</t>
  </si>
  <si>
    <t>INV4002</t>
  </si>
  <si>
    <t>INV4003</t>
  </si>
  <si>
    <t>INV4004</t>
  </si>
  <si>
    <t>INV4005</t>
  </si>
  <si>
    <t>INV4006</t>
  </si>
  <si>
    <t>INV4007</t>
  </si>
  <si>
    <t>INV4008</t>
  </si>
  <si>
    <t>INV4009</t>
  </si>
  <si>
    <t>INV4010</t>
  </si>
  <si>
    <t>INV4011</t>
  </si>
  <si>
    <t>INV4012</t>
  </si>
  <si>
    <t>INV4013</t>
  </si>
  <si>
    <t>INV4014</t>
  </si>
  <si>
    <t>INV4015</t>
  </si>
  <si>
    <t>INV4016</t>
  </si>
  <si>
    <t>INV4017</t>
  </si>
  <si>
    <t>INV4018</t>
  </si>
  <si>
    <t>INV4019</t>
  </si>
  <si>
    <t>INV4020</t>
  </si>
  <si>
    <t>INV4021</t>
  </si>
  <si>
    <t>INV4022</t>
  </si>
  <si>
    <t>INV4023</t>
  </si>
  <si>
    <t>INV4024</t>
  </si>
  <si>
    <t>INV4025</t>
  </si>
  <si>
    <t>INV4026</t>
  </si>
  <si>
    <t>INV4027</t>
  </si>
  <si>
    <t>INV4028</t>
  </si>
  <si>
    <t>INV4029</t>
  </si>
  <si>
    <t>INV4030</t>
  </si>
  <si>
    <t>INV4031</t>
  </si>
  <si>
    <t>INV4032</t>
  </si>
  <si>
    <t>INV4033</t>
  </si>
  <si>
    <t>INV4034</t>
  </si>
  <si>
    <t>INV4035</t>
  </si>
  <si>
    <t>INV4036</t>
  </si>
  <si>
    <t>INV4037</t>
  </si>
  <si>
    <t>INV4038</t>
  </si>
  <si>
    <t>INV4039</t>
  </si>
  <si>
    <t>INV4040</t>
  </si>
  <si>
    <t>INV4041</t>
  </si>
  <si>
    <t>INV4042</t>
  </si>
  <si>
    <t>INV4043</t>
  </si>
  <si>
    <t>INV4044</t>
  </si>
  <si>
    <t>INV4045</t>
  </si>
  <si>
    <t>INV4046</t>
  </si>
  <si>
    <t>INV4047</t>
  </si>
  <si>
    <t>INV4048</t>
  </si>
  <si>
    <t>INV4049</t>
  </si>
  <si>
    <t>INV4050</t>
  </si>
  <si>
    <t>INV4051</t>
  </si>
  <si>
    <t>INV4052</t>
  </si>
  <si>
    <t>INV4053</t>
  </si>
  <si>
    <t>INV4054</t>
  </si>
  <si>
    <t>INV4055</t>
  </si>
  <si>
    <t>INV4056</t>
  </si>
  <si>
    <t>INV4057</t>
  </si>
  <si>
    <t>INV4058</t>
  </si>
  <si>
    <t>INV4059</t>
  </si>
  <si>
    <t>INV4060</t>
  </si>
  <si>
    <t>INV4061</t>
  </si>
  <si>
    <t>INV4062</t>
  </si>
  <si>
    <t>INV4063</t>
  </si>
  <si>
    <t>INV4064</t>
  </si>
  <si>
    <t>INV4065</t>
  </si>
  <si>
    <t>INV4066</t>
  </si>
  <si>
    <t>INV4067</t>
  </si>
  <si>
    <t>INV4068</t>
  </si>
  <si>
    <t>INV4069</t>
  </si>
  <si>
    <t>INV4070</t>
  </si>
  <si>
    <t>INV4071</t>
  </si>
  <si>
    <t>INV4072</t>
  </si>
  <si>
    <t>INV4073</t>
  </si>
  <si>
    <t>INV4074</t>
  </si>
  <si>
    <t>INV4075</t>
  </si>
  <si>
    <t>INV4076</t>
  </si>
  <si>
    <t>INV4077</t>
  </si>
  <si>
    <t>INV4078</t>
  </si>
  <si>
    <t>INV4079</t>
  </si>
  <si>
    <t>INV4080</t>
  </si>
  <si>
    <t>INV4081</t>
  </si>
  <si>
    <t>INV4082</t>
  </si>
  <si>
    <t>INV4083</t>
  </si>
  <si>
    <t>INV4084</t>
  </si>
  <si>
    <t>INV4085</t>
  </si>
  <si>
    <t>INV4086</t>
  </si>
  <si>
    <t>INV4087</t>
  </si>
  <si>
    <t>INV4088</t>
  </si>
  <si>
    <t>INV4089</t>
  </si>
  <si>
    <t>INV4090</t>
  </si>
  <si>
    <t>INV4091</t>
  </si>
  <si>
    <t>INV4092</t>
  </si>
  <si>
    <t>INV4093</t>
  </si>
  <si>
    <t>INV4094</t>
  </si>
  <si>
    <t>INV4095</t>
  </si>
  <si>
    <t>INV4096</t>
  </si>
  <si>
    <t>INV4097</t>
  </si>
  <si>
    <t>INV4098</t>
  </si>
  <si>
    <t>INV4099</t>
  </si>
  <si>
    <t>INV4100</t>
  </si>
  <si>
    <t>INV4101</t>
  </si>
  <si>
    <t>INV4102</t>
  </si>
  <si>
    <t>INV4103</t>
  </si>
  <si>
    <t>INV4104</t>
  </si>
  <si>
    <t>INV4105</t>
  </si>
  <si>
    <t>INV4106</t>
  </si>
  <si>
    <t>INV4107</t>
  </si>
  <si>
    <t>INV4108</t>
  </si>
  <si>
    <t>INV4109</t>
  </si>
  <si>
    <t>INV4110</t>
  </si>
  <si>
    <t>INV4111</t>
  </si>
  <si>
    <t>INV4112</t>
  </si>
  <si>
    <t>INV4113</t>
  </si>
  <si>
    <t>INV4114</t>
  </si>
  <si>
    <t>INV4115</t>
  </si>
  <si>
    <t>INV4116</t>
  </si>
  <si>
    <t>INV4117</t>
  </si>
  <si>
    <t>INV4118</t>
  </si>
  <si>
    <t>INV4119</t>
  </si>
  <si>
    <t>INV4120</t>
  </si>
  <si>
    <t>INV4121</t>
  </si>
  <si>
    <t>INV4122</t>
  </si>
  <si>
    <t>INV4123</t>
  </si>
  <si>
    <t>INV4124</t>
  </si>
  <si>
    <t>INV4125</t>
  </si>
  <si>
    <t>INV4126</t>
  </si>
  <si>
    <t>INV4127</t>
  </si>
  <si>
    <t>INV4128</t>
  </si>
  <si>
    <t>INV4129</t>
  </si>
  <si>
    <t>INV4130</t>
  </si>
  <si>
    <t>INV4131</t>
  </si>
  <si>
    <t>INV4132</t>
  </si>
  <si>
    <t>INV4133</t>
  </si>
  <si>
    <t>INV4134</t>
  </si>
  <si>
    <t>INV4135</t>
  </si>
  <si>
    <t>INV4136</t>
  </si>
  <si>
    <t>INV4137</t>
  </si>
  <si>
    <t>INV4138</t>
  </si>
  <si>
    <t>INV4139</t>
  </si>
  <si>
    <t>INV4140</t>
  </si>
  <si>
    <t>INV4141</t>
  </si>
  <si>
    <t>INV4142</t>
  </si>
  <si>
    <t>INV4143</t>
  </si>
  <si>
    <t>INV4144</t>
  </si>
  <si>
    <t>INV4145</t>
  </si>
  <si>
    <t>INV4146</t>
  </si>
  <si>
    <t>INV4147</t>
  </si>
  <si>
    <t>INV4148</t>
  </si>
  <si>
    <t>INV4149</t>
  </si>
  <si>
    <t>INV4150</t>
  </si>
  <si>
    <t>INV4151</t>
  </si>
  <si>
    <t>INV4152</t>
  </si>
  <si>
    <t>INV4153</t>
  </si>
  <si>
    <t>INV4154</t>
  </si>
  <si>
    <t>INV4155</t>
  </si>
  <si>
    <t>INV4156</t>
  </si>
  <si>
    <t>INV4157</t>
  </si>
  <si>
    <t>INV4158</t>
  </si>
  <si>
    <t>INV4159</t>
  </si>
  <si>
    <t>INV4160</t>
  </si>
  <si>
    <t>INV4161</t>
  </si>
  <si>
    <t>INV4162</t>
  </si>
  <si>
    <t>INV4163</t>
  </si>
  <si>
    <t>INV4164</t>
  </si>
  <si>
    <t>INV4165</t>
  </si>
  <si>
    <t>INV4166</t>
  </si>
  <si>
    <t>INV4167</t>
  </si>
  <si>
    <t>INV4168</t>
  </si>
  <si>
    <t>INV4169</t>
  </si>
  <si>
    <t>INV4170</t>
  </si>
  <si>
    <t>INV4171</t>
  </si>
  <si>
    <t>INV4172</t>
  </si>
  <si>
    <t>INV4173</t>
  </si>
  <si>
    <t>INV4174</t>
  </si>
  <si>
    <t>INV4175</t>
  </si>
  <si>
    <t>INV4176</t>
  </si>
  <si>
    <t>INV4177</t>
  </si>
  <si>
    <t>INV4178</t>
  </si>
  <si>
    <t>INV4179</t>
  </si>
  <si>
    <t>INV4180</t>
  </si>
  <si>
    <t>INV4181</t>
  </si>
  <si>
    <t>INV4182</t>
  </si>
  <si>
    <t>INV4183</t>
  </si>
  <si>
    <t>INV4184</t>
  </si>
  <si>
    <t>INV4185</t>
  </si>
  <si>
    <t>INV4186</t>
  </si>
  <si>
    <t>INV4187</t>
  </si>
  <si>
    <t>INV4188</t>
  </si>
  <si>
    <t>INV4189</t>
  </si>
  <si>
    <t>INV4190</t>
  </si>
  <si>
    <t>INV4191</t>
  </si>
  <si>
    <t>INV4192</t>
  </si>
  <si>
    <t>INV4193</t>
  </si>
  <si>
    <t>INV4194</t>
  </si>
  <si>
    <t>INV4195</t>
  </si>
  <si>
    <t>INV4196</t>
  </si>
  <si>
    <t>INV4197</t>
  </si>
  <si>
    <t>INV4198</t>
  </si>
  <si>
    <t>INV4199</t>
  </si>
  <si>
    <t>INV4200</t>
  </si>
  <si>
    <t>INV4201</t>
  </si>
  <si>
    <t>INV4202</t>
  </si>
  <si>
    <t>INV4203</t>
  </si>
  <si>
    <t>INV4204</t>
  </si>
  <si>
    <t>INV4205</t>
  </si>
  <si>
    <t>INV4206</t>
  </si>
  <si>
    <t>INV4207</t>
  </si>
  <si>
    <t>INV4208</t>
  </si>
  <si>
    <t>INV4209</t>
  </si>
  <si>
    <t>INV4210</t>
  </si>
  <si>
    <t>INV4211</t>
  </si>
  <si>
    <t>INV4212</t>
  </si>
  <si>
    <t>INV4213</t>
  </si>
  <si>
    <t>INV4214</t>
  </si>
  <si>
    <t>INV4215</t>
  </si>
  <si>
    <t>INV4216</t>
  </si>
  <si>
    <t>INV4217</t>
  </si>
  <si>
    <t>INV4218</t>
  </si>
  <si>
    <t>INV4219</t>
  </si>
  <si>
    <t>INV4220</t>
  </si>
  <si>
    <t>INV4221</t>
  </si>
  <si>
    <t>INV4222</t>
  </si>
  <si>
    <t>INV4223</t>
  </si>
  <si>
    <t>INV4224</t>
  </si>
  <si>
    <t>INV4225</t>
  </si>
  <si>
    <t>INV4226</t>
  </si>
  <si>
    <t>INV4227</t>
  </si>
  <si>
    <t>INV4228</t>
  </si>
  <si>
    <t>INV4229</t>
  </si>
  <si>
    <t>INV4230</t>
  </si>
  <si>
    <t>INV4231</t>
  </si>
  <si>
    <t>INV4232</t>
  </si>
  <si>
    <t>INV4233</t>
  </si>
  <si>
    <t>INV4234</t>
  </si>
  <si>
    <t>INV4235</t>
  </si>
  <si>
    <t>INV4236</t>
  </si>
  <si>
    <t>INV4237</t>
  </si>
  <si>
    <t>INV4238</t>
  </si>
  <si>
    <t>INV4239</t>
  </si>
  <si>
    <t>INV4240</t>
  </si>
  <si>
    <t>INV4241</t>
  </si>
  <si>
    <t>INV4242</t>
  </si>
  <si>
    <t>INV4243</t>
  </si>
  <si>
    <t>INV4244</t>
  </si>
  <si>
    <t>INV4245</t>
  </si>
  <si>
    <t>INV4246</t>
  </si>
  <si>
    <t>INV4247</t>
  </si>
  <si>
    <t>INV4248</t>
  </si>
  <si>
    <t>INV4249</t>
  </si>
  <si>
    <t>INV4250</t>
  </si>
  <si>
    <t>INV4251</t>
  </si>
  <si>
    <t>INV4252</t>
  </si>
  <si>
    <t>INV4253</t>
  </si>
  <si>
    <t>INV4254</t>
  </si>
  <si>
    <t>INV4255</t>
  </si>
  <si>
    <t>INV4256</t>
  </si>
  <si>
    <t>INV4257</t>
  </si>
  <si>
    <t>INV4258</t>
  </si>
  <si>
    <t>INV4259</t>
  </si>
  <si>
    <t>INV4260</t>
  </si>
  <si>
    <t>INV4261</t>
  </si>
  <si>
    <t>INV4262</t>
  </si>
  <si>
    <t>INV4263</t>
  </si>
  <si>
    <t>INV4264</t>
  </si>
  <si>
    <t>INV4265</t>
  </si>
  <si>
    <t>INV4266</t>
  </si>
  <si>
    <t>INV4267</t>
  </si>
  <si>
    <t>INV4268</t>
  </si>
  <si>
    <t>INV4269</t>
  </si>
  <si>
    <t>INV4270</t>
  </si>
  <si>
    <t>INV4271</t>
  </si>
  <si>
    <t>INV4272</t>
  </si>
  <si>
    <t>INV4273</t>
  </si>
  <si>
    <t>INV4274</t>
  </si>
  <si>
    <t>INV4275</t>
  </si>
  <si>
    <t>INV4276</t>
  </si>
  <si>
    <t>INV4277</t>
  </si>
  <si>
    <t>INV4278</t>
  </si>
  <si>
    <t>INV4279</t>
  </si>
  <si>
    <t>INV4280</t>
  </si>
  <si>
    <t>INV4281</t>
  </si>
  <si>
    <t>INV4282</t>
  </si>
  <si>
    <t>INV4283</t>
  </si>
  <si>
    <t>INV4284</t>
  </si>
  <si>
    <t>INV4285</t>
  </si>
  <si>
    <t>INV4286</t>
  </si>
  <si>
    <t>INV4287</t>
  </si>
  <si>
    <t>INV4288</t>
  </si>
  <si>
    <t>INV4289</t>
  </si>
  <si>
    <t>INV4290</t>
  </si>
  <si>
    <t>INV4291</t>
  </si>
  <si>
    <t>INV4292</t>
  </si>
  <si>
    <t>INV4293</t>
  </si>
  <si>
    <t>INV4294</t>
  </si>
  <si>
    <t>INV4295</t>
  </si>
  <si>
    <t>INV4296</t>
  </si>
  <si>
    <t>INV4297</t>
  </si>
  <si>
    <t>INV4298</t>
  </si>
  <si>
    <t>INV4299</t>
  </si>
  <si>
    <t>INV4300</t>
  </si>
  <si>
    <t>INV4301</t>
  </si>
  <si>
    <t>INV4302</t>
  </si>
  <si>
    <t>INV4303</t>
  </si>
  <si>
    <t>INV4304</t>
  </si>
  <si>
    <t>INV4305</t>
  </si>
  <si>
    <t>INV4306</t>
  </si>
  <si>
    <t>INV4307</t>
  </si>
  <si>
    <t>INV4308</t>
  </si>
  <si>
    <t>INV4309</t>
  </si>
  <si>
    <t>INV4310</t>
  </si>
  <si>
    <t>INV4311</t>
  </si>
  <si>
    <t>INV4312</t>
  </si>
  <si>
    <t>INV4313</t>
  </si>
  <si>
    <t>INV4314</t>
  </si>
  <si>
    <t>INV4315</t>
  </si>
  <si>
    <t>INV4316</t>
  </si>
  <si>
    <t>INV4317</t>
  </si>
  <si>
    <t>INV4318</t>
  </si>
  <si>
    <t>INV4319</t>
  </si>
  <si>
    <t>INV4320</t>
  </si>
  <si>
    <t>INV4321</t>
  </si>
  <si>
    <t>INV4322</t>
  </si>
  <si>
    <t>INV4323</t>
  </si>
  <si>
    <t>INV4324</t>
  </si>
  <si>
    <t>INV4325</t>
  </si>
  <si>
    <t>INV4326</t>
  </si>
  <si>
    <t>INV4327</t>
  </si>
  <si>
    <t>INV4328</t>
  </si>
  <si>
    <t>INV4329</t>
  </si>
  <si>
    <t>INV4330</t>
  </si>
  <si>
    <t>INV4331</t>
  </si>
  <si>
    <t>INV4332</t>
  </si>
  <si>
    <t>INV4333</t>
  </si>
  <si>
    <t>INV4334</t>
  </si>
  <si>
    <t>INV4335</t>
  </si>
  <si>
    <t>INV4336</t>
  </si>
  <si>
    <t>INV4337</t>
  </si>
  <si>
    <t>INV4338</t>
  </si>
  <si>
    <t>INV4339</t>
  </si>
  <si>
    <t>INV4340</t>
  </si>
  <si>
    <t>INV4341</t>
  </si>
  <si>
    <t>INV4342</t>
  </si>
  <si>
    <t>INV4343</t>
  </si>
  <si>
    <t>INV4344</t>
  </si>
  <si>
    <t>INV4345</t>
  </si>
  <si>
    <t>INV4346</t>
  </si>
  <si>
    <t>INV4347</t>
  </si>
  <si>
    <t>INV4348</t>
  </si>
  <si>
    <t>INV4349</t>
  </si>
  <si>
    <t>INV4350</t>
  </si>
  <si>
    <t>INV4351</t>
  </si>
  <si>
    <t>INV4352</t>
  </si>
  <si>
    <t>INV4353</t>
  </si>
  <si>
    <t>INV4354</t>
  </si>
  <si>
    <t>INV4355</t>
  </si>
  <si>
    <t>INV4356</t>
  </si>
  <si>
    <t>INV4357</t>
  </si>
  <si>
    <t>INV4358</t>
  </si>
  <si>
    <t>INV4359</t>
  </si>
  <si>
    <t>INV4360</t>
  </si>
  <si>
    <t>INV4361</t>
  </si>
  <si>
    <t>INV4362</t>
  </si>
  <si>
    <t>INV4363</t>
  </si>
  <si>
    <t>INV4364</t>
  </si>
  <si>
    <t>INV4365</t>
  </si>
  <si>
    <t>INV4366</t>
  </si>
  <si>
    <t>INV4367</t>
  </si>
  <si>
    <t>INV4368</t>
  </si>
  <si>
    <t>INV4369</t>
  </si>
  <si>
    <t>INV4370</t>
  </si>
  <si>
    <t>INV4371</t>
  </si>
  <si>
    <t>INV4372</t>
  </si>
  <si>
    <t>INV4373</t>
  </si>
  <si>
    <t>INV4374</t>
  </si>
  <si>
    <t>INV4375</t>
  </si>
  <si>
    <t>INV4376</t>
  </si>
  <si>
    <t>INV4377</t>
  </si>
  <si>
    <t>INV4378</t>
  </si>
  <si>
    <t>INV4379</t>
  </si>
  <si>
    <t>INV4380</t>
  </si>
  <si>
    <t>INV4381</t>
  </si>
  <si>
    <t>INV4382</t>
  </si>
  <si>
    <t>INV4383</t>
  </si>
  <si>
    <t>INV4384</t>
  </si>
  <si>
    <t>INV4385</t>
  </si>
  <si>
    <t>INV4386</t>
  </si>
  <si>
    <t>INV4387</t>
  </si>
  <si>
    <t>INV4388</t>
  </si>
  <si>
    <t>INV4389</t>
  </si>
  <si>
    <t>INV4390</t>
  </si>
  <si>
    <t>INV4391</t>
  </si>
  <si>
    <t>INV4392</t>
  </si>
  <si>
    <t>INV4393</t>
  </si>
  <si>
    <t>INV4394</t>
  </si>
  <si>
    <t>INV4395</t>
  </si>
  <si>
    <t>INV4396</t>
  </si>
  <si>
    <t>INV4397</t>
  </si>
  <si>
    <t>INV4398</t>
  </si>
  <si>
    <t>INV4399</t>
  </si>
  <si>
    <t>INV4400</t>
  </si>
  <si>
    <t>INV4401</t>
  </si>
  <si>
    <t>INV4402</t>
  </si>
  <si>
    <t>INV4403</t>
  </si>
  <si>
    <t>INV4404</t>
  </si>
  <si>
    <t>INV4405</t>
  </si>
  <si>
    <t>INV4406</t>
  </si>
  <si>
    <t>INV4407</t>
  </si>
  <si>
    <t>INV4408</t>
  </si>
  <si>
    <t>INV4409</t>
  </si>
  <si>
    <t>INV4410</t>
  </si>
  <si>
    <t>INV4411</t>
  </si>
  <si>
    <t>INV4412</t>
  </si>
  <si>
    <t>INV4413</t>
  </si>
  <si>
    <t>INV4414</t>
  </si>
  <si>
    <t>INV4415</t>
  </si>
  <si>
    <t>INV4416</t>
  </si>
  <si>
    <t>INV4417</t>
  </si>
  <si>
    <t>INV4418</t>
  </si>
  <si>
    <t>INV4419</t>
  </si>
  <si>
    <t>INV4420</t>
  </si>
  <si>
    <t>INV4421</t>
  </si>
  <si>
    <t>INV4422</t>
  </si>
  <si>
    <t>INV4423</t>
  </si>
  <si>
    <t>INV4424</t>
  </si>
  <si>
    <t>INV4425</t>
  </si>
  <si>
    <t>INV4426</t>
  </si>
  <si>
    <t>INV4427</t>
  </si>
  <si>
    <t>INV4428</t>
  </si>
  <si>
    <t>INV4429</t>
  </si>
  <si>
    <t>INV4430</t>
  </si>
  <si>
    <t>INV4431</t>
  </si>
  <si>
    <t>INV4432</t>
  </si>
  <si>
    <t>INV4433</t>
  </si>
  <si>
    <t>INV4434</t>
  </si>
  <si>
    <t>INV4435</t>
  </si>
  <si>
    <t>INV4436</t>
  </si>
  <si>
    <t>INV4437</t>
  </si>
  <si>
    <t>INV4438</t>
  </si>
  <si>
    <t>INV4439</t>
  </si>
  <si>
    <t>INV4440</t>
  </si>
  <si>
    <t>INV4441</t>
  </si>
  <si>
    <t>INV4442</t>
  </si>
  <si>
    <t>INV4443</t>
  </si>
  <si>
    <t>INV4444</t>
  </si>
  <si>
    <t>INV4445</t>
  </si>
  <si>
    <t>INV4446</t>
  </si>
  <si>
    <t>INV4447</t>
  </si>
  <si>
    <t>INV4448</t>
  </si>
  <si>
    <t>INV4449</t>
  </si>
  <si>
    <t>INV4450</t>
  </si>
  <si>
    <t>INV4451</t>
  </si>
  <si>
    <t>INV4452</t>
  </si>
  <si>
    <t>INV4453</t>
  </si>
  <si>
    <t>INV4454</t>
  </si>
  <si>
    <t>INV4455</t>
  </si>
  <si>
    <t>INV4456</t>
  </si>
  <si>
    <t>INV4457</t>
  </si>
  <si>
    <t>INV4458</t>
  </si>
  <si>
    <t>INV4459</t>
  </si>
  <si>
    <t>INV4460</t>
  </si>
  <si>
    <t>INV4461</t>
  </si>
  <si>
    <t>INV4462</t>
  </si>
  <si>
    <t>INV4463</t>
  </si>
  <si>
    <t>INV4464</t>
  </si>
  <si>
    <t>INV4465</t>
  </si>
  <si>
    <t>INV4466</t>
  </si>
  <si>
    <t>INV4467</t>
  </si>
  <si>
    <t>INV4468</t>
  </si>
  <si>
    <t>INV4469</t>
  </si>
  <si>
    <t>INV4470</t>
  </si>
  <si>
    <t>INV4471</t>
  </si>
  <si>
    <t>INV4472</t>
  </si>
  <si>
    <t>INV4473</t>
  </si>
  <si>
    <t>INV4474</t>
  </si>
  <si>
    <t>INV4475</t>
  </si>
  <si>
    <t>INV4476</t>
  </si>
  <si>
    <t>INV4477</t>
  </si>
  <si>
    <t>INV4478</t>
  </si>
  <si>
    <t>INV4479</t>
  </si>
  <si>
    <t>INV4480</t>
  </si>
  <si>
    <t>INV4481</t>
  </si>
  <si>
    <t>INV4482</t>
  </si>
  <si>
    <t>INV4483</t>
  </si>
  <si>
    <t>INV4484</t>
  </si>
  <si>
    <t>INV4485</t>
  </si>
  <si>
    <t>INV4486</t>
  </si>
  <si>
    <t>INV4487</t>
  </si>
  <si>
    <t>INV4488</t>
  </si>
  <si>
    <t>INV4489</t>
  </si>
  <si>
    <t>INV4490</t>
  </si>
  <si>
    <t>INV4491</t>
  </si>
  <si>
    <t>INV4492</t>
  </si>
  <si>
    <t>INV4493</t>
  </si>
  <si>
    <t>INV4494</t>
  </si>
  <si>
    <t>INV4495</t>
  </si>
  <si>
    <t>INV4496</t>
  </si>
  <si>
    <t>INV4497</t>
  </si>
  <si>
    <t>INV4498</t>
  </si>
  <si>
    <t>INV4499</t>
  </si>
  <si>
    <t>INV4500</t>
  </si>
  <si>
    <t>INV4501</t>
  </si>
  <si>
    <t>INV4502</t>
  </si>
  <si>
    <t>INV4503</t>
  </si>
  <si>
    <t>INV4504</t>
  </si>
  <si>
    <t>INV4505</t>
  </si>
  <si>
    <t>INV4506</t>
  </si>
  <si>
    <t>INV4507</t>
  </si>
  <si>
    <t>INV4508</t>
  </si>
  <si>
    <t>INV4509</t>
  </si>
  <si>
    <t>INV4510</t>
  </si>
  <si>
    <t>INV4511</t>
  </si>
  <si>
    <t>INV4512</t>
  </si>
  <si>
    <t>INV4513</t>
  </si>
  <si>
    <t>INV4514</t>
  </si>
  <si>
    <t>INV4515</t>
  </si>
  <si>
    <t>INV4516</t>
  </si>
  <si>
    <t>INV4517</t>
  </si>
  <si>
    <t>INV4518</t>
  </si>
  <si>
    <t>INV4519</t>
  </si>
  <si>
    <t>INV4520</t>
  </si>
  <si>
    <t>INV4521</t>
  </si>
  <si>
    <t>INV4522</t>
  </si>
  <si>
    <t>INV4523</t>
  </si>
  <si>
    <t>INV4524</t>
  </si>
  <si>
    <t>INV4525</t>
  </si>
  <si>
    <t>INV4526</t>
  </si>
  <si>
    <t>INV4527</t>
  </si>
  <si>
    <t>INV4528</t>
  </si>
  <si>
    <t>INV4529</t>
  </si>
  <si>
    <t>INV4530</t>
  </si>
  <si>
    <t>INV4531</t>
  </si>
  <si>
    <t>INV4532</t>
  </si>
  <si>
    <t>INV4533</t>
  </si>
  <si>
    <t>INV4534</t>
  </si>
  <si>
    <t>INV4535</t>
  </si>
  <si>
    <t>INV4536</t>
  </si>
  <si>
    <t>INV4537</t>
  </si>
  <si>
    <t>INV4538</t>
  </si>
  <si>
    <t>INV4539</t>
  </si>
  <si>
    <t>INV4540</t>
  </si>
  <si>
    <t>INV4541</t>
  </si>
  <si>
    <t>INV4542</t>
  </si>
  <si>
    <t>INV4543</t>
  </si>
  <si>
    <t>INV4544</t>
  </si>
  <si>
    <t>INV4545</t>
  </si>
  <si>
    <t>INV4546</t>
  </si>
  <si>
    <t>INV4547</t>
  </si>
  <si>
    <t>INV4548</t>
  </si>
  <si>
    <t>INV4549</t>
  </si>
  <si>
    <t>INV4550</t>
  </si>
  <si>
    <t>INV4551</t>
  </si>
  <si>
    <t>INV4552</t>
  </si>
  <si>
    <t>INV4553</t>
  </si>
  <si>
    <t>INV4554</t>
  </si>
  <si>
    <t>INV4555</t>
  </si>
  <si>
    <t>INV4556</t>
  </si>
  <si>
    <t>INV4557</t>
  </si>
  <si>
    <t>INV4558</t>
  </si>
  <si>
    <t>INV4559</t>
  </si>
  <si>
    <t>INV4560</t>
  </si>
  <si>
    <t>INV4561</t>
  </si>
  <si>
    <t>INV4562</t>
  </si>
  <si>
    <t>INV4563</t>
  </si>
  <si>
    <t>INV4564</t>
  </si>
  <si>
    <t>INV4565</t>
  </si>
  <si>
    <t>INV4566</t>
  </si>
  <si>
    <t>INV4567</t>
  </si>
  <si>
    <t>INV4568</t>
  </si>
  <si>
    <t>INV4569</t>
  </si>
  <si>
    <t>INV4570</t>
  </si>
  <si>
    <t>INV4571</t>
  </si>
  <si>
    <t>INV4572</t>
  </si>
  <si>
    <t>INV4573</t>
  </si>
  <si>
    <t>INV4574</t>
  </si>
  <si>
    <t>INV4575</t>
  </si>
  <si>
    <t>INV4576</t>
  </si>
  <si>
    <t>INV4577</t>
  </si>
  <si>
    <t>INV4578</t>
  </si>
  <si>
    <t>INV4579</t>
  </si>
  <si>
    <t>INV4580</t>
  </si>
  <si>
    <t>INV4581</t>
  </si>
  <si>
    <t>INV4582</t>
  </si>
  <si>
    <t>INV4583</t>
  </si>
  <si>
    <t>INV4584</t>
  </si>
  <si>
    <t>INV4585</t>
  </si>
  <si>
    <t>INV4586</t>
  </si>
  <si>
    <t>INV4587</t>
  </si>
  <si>
    <t>INV4588</t>
  </si>
  <si>
    <t>INV4589</t>
  </si>
  <si>
    <t>INV4590</t>
  </si>
  <si>
    <t>INV4591</t>
  </si>
  <si>
    <t>INV4592</t>
  </si>
  <si>
    <t>INV4593</t>
  </si>
  <si>
    <t>INV4594</t>
  </si>
  <si>
    <t>INV4595</t>
  </si>
  <si>
    <t>INV4596</t>
  </si>
  <si>
    <t>INV4597</t>
  </si>
  <si>
    <t>INV4598</t>
  </si>
  <si>
    <t>INV4599</t>
  </si>
  <si>
    <t>INV4600</t>
  </si>
  <si>
    <t>INV4601</t>
  </si>
  <si>
    <t>INV4602</t>
  </si>
  <si>
    <t>INV4603</t>
  </si>
  <si>
    <t>INV4604</t>
  </si>
  <si>
    <t>INV4605</t>
  </si>
  <si>
    <t>INV4606</t>
  </si>
  <si>
    <t>INV4607</t>
  </si>
  <si>
    <t>INV4608</t>
  </si>
  <si>
    <t>INV4609</t>
  </si>
  <si>
    <t>INV4610</t>
  </si>
  <si>
    <t>INV4611</t>
  </si>
  <si>
    <t>INV4612</t>
  </si>
  <si>
    <t>INV4613</t>
  </si>
  <si>
    <t>INV4614</t>
  </si>
  <si>
    <t>INV4615</t>
  </si>
  <si>
    <t>INV4616</t>
  </si>
  <si>
    <t>INV4617</t>
  </si>
  <si>
    <t>INV4618</t>
  </si>
  <si>
    <t>INV4619</t>
  </si>
  <si>
    <t>INV4620</t>
  </si>
  <si>
    <t>INV4621</t>
  </si>
  <si>
    <t>INV4622</t>
  </si>
  <si>
    <t>INV4623</t>
  </si>
  <si>
    <t>INV4624</t>
  </si>
  <si>
    <t>INV4625</t>
  </si>
  <si>
    <t>INV4626</t>
  </si>
  <si>
    <t>INV4627</t>
  </si>
  <si>
    <t>INV4628</t>
  </si>
  <si>
    <t>INV4629</t>
  </si>
  <si>
    <t>INV4630</t>
  </si>
  <si>
    <t>INV4631</t>
  </si>
  <si>
    <t>INV4632</t>
  </si>
  <si>
    <t>INV4633</t>
  </si>
  <si>
    <t>INV4634</t>
  </si>
  <si>
    <t>INV4635</t>
  </si>
  <si>
    <t>INV4636</t>
  </si>
  <si>
    <t>INV4637</t>
  </si>
  <si>
    <t>INV4638</t>
  </si>
  <si>
    <t>INV4639</t>
  </si>
  <si>
    <t>INV4640</t>
  </si>
  <si>
    <t>INV4641</t>
  </si>
  <si>
    <t>INV4642</t>
  </si>
  <si>
    <t>INV4643</t>
  </si>
  <si>
    <t>INV4644</t>
  </si>
  <si>
    <t>INV4645</t>
  </si>
  <si>
    <t>INV4646</t>
  </si>
  <si>
    <t>INV4647</t>
  </si>
  <si>
    <t>INV4648</t>
  </si>
  <si>
    <t>INV4649</t>
  </si>
  <si>
    <t>INV4650</t>
  </si>
  <si>
    <t>INV4651</t>
  </si>
  <si>
    <t>INV4652</t>
  </si>
  <si>
    <t>INV4653</t>
  </si>
  <si>
    <t>INV4654</t>
  </si>
  <si>
    <t>INV4655</t>
  </si>
  <si>
    <t>INV4656</t>
  </si>
  <si>
    <t>INV4657</t>
  </si>
  <si>
    <t>INV4658</t>
  </si>
  <si>
    <t>INV4659</t>
  </si>
  <si>
    <t>INV4660</t>
  </si>
  <si>
    <t>INV4661</t>
  </si>
  <si>
    <t>INV4662</t>
  </si>
  <si>
    <t>INV4663</t>
  </si>
  <si>
    <t>INV4664</t>
  </si>
  <si>
    <t>INV4665</t>
  </si>
  <si>
    <t>INV4666</t>
  </si>
  <si>
    <t>INV4667</t>
  </si>
  <si>
    <t>INV4668</t>
  </si>
  <si>
    <t>INV4669</t>
  </si>
  <si>
    <t>INV4670</t>
  </si>
  <si>
    <t>INV4671</t>
  </si>
  <si>
    <t>INV4672</t>
  </si>
  <si>
    <t>INV4673</t>
  </si>
  <si>
    <t>INV4674</t>
  </si>
  <si>
    <t>INV4675</t>
  </si>
  <si>
    <t>INV4676</t>
  </si>
  <si>
    <t>INV4677</t>
  </si>
  <si>
    <t>INV4678</t>
  </si>
  <si>
    <t>INV4679</t>
  </si>
  <si>
    <t>INV4680</t>
  </si>
  <si>
    <t>INV4681</t>
  </si>
  <si>
    <t>INV4682</t>
  </si>
  <si>
    <t>INV4683</t>
  </si>
  <si>
    <t>INV4684</t>
  </si>
  <si>
    <t>INV4685</t>
  </si>
  <si>
    <t>INV4686</t>
  </si>
  <si>
    <t>INV4687</t>
  </si>
  <si>
    <t>INV4688</t>
  </si>
  <si>
    <t>INV4689</t>
  </si>
  <si>
    <t>INV4690</t>
  </si>
  <si>
    <t>INV4691</t>
  </si>
  <si>
    <t>INV4692</t>
  </si>
  <si>
    <t>INV4693</t>
  </si>
  <si>
    <t>INV4694</t>
  </si>
  <si>
    <t>INV4695</t>
  </si>
  <si>
    <t>INV4696</t>
  </si>
  <si>
    <t>INV4697</t>
  </si>
  <si>
    <t>INV4698</t>
  </si>
  <si>
    <t>INV4699</t>
  </si>
  <si>
    <t>INV4700</t>
  </si>
  <si>
    <t>INV4701</t>
  </si>
  <si>
    <t>INV4702</t>
  </si>
  <si>
    <t>INV4703</t>
  </si>
  <si>
    <t>INV4704</t>
  </si>
  <si>
    <t>INV4705</t>
  </si>
  <si>
    <t>INV4706</t>
  </si>
  <si>
    <t>INV4707</t>
  </si>
  <si>
    <t>INV4708</t>
  </si>
  <si>
    <t>INV4709</t>
  </si>
  <si>
    <t>INV4710</t>
  </si>
  <si>
    <t>INV4711</t>
  </si>
  <si>
    <t>INV4712</t>
  </si>
  <si>
    <t>INV4713</t>
  </si>
  <si>
    <t>INV4714</t>
  </si>
  <si>
    <t>INV4715</t>
  </si>
  <si>
    <t>INV4716</t>
  </si>
  <si>
    <t>INV4717</t>
  </si>
  <si>
    <t>INV4718</t>
  </si>
  <si>
    <t>INV4719</t>
  </si>
  <si>
    <t>INV4720</t>
  </si>
  <si>
    <t>INV4721</t>
  </si>
  <si>
    <t>INV4722</t>
  </si>
  <si>
    <t>INV4723</t>
  </si>
  <si>
    <t>INV4724</t>
  </si>
  <si>
    <t>INV4725</t>
  </si>
  <si>
    <t>INV4726</t>
  </si>
  <si>
    <t>INV4727</t>
  </si>
  <si>
    <t>INV4728</t>
  </si>
  <si>
    <t>INV4729</t>
  </si>
  <si>
    <t>INV4730</t>
  </si>
  <si>
    <t>INV4731</t>
  </si>
  <si>
    <t>INV4732</t>
  </si>
  <si>
    <t>INV4733</t>
  </si>
  <si>
    <t>INV4734</t>
  </si>
  <si>
    <t>INV4735</t>
  </si>
  <si>
    <t>INV4736</t>
  </si>
  <si>
    <t>INV4737</t>
  </si>
  <si>
    <t>INV4738</t>
  </si>
  <si>
    <t>INV4739</t>
  </si>
  <si>
    <t>INV4740</t>
  </si>
  <si>
    <t>INV4741</t>
  </si>
  <si>
    <t>INV4742</t>
  </si>
  <si>
    <t>INV4743</t>
  </si>
  <si>
    <t>INV4744</t>
  </si>
  <si>
    <t>INV4745</t>
  </si>
  <si>
    <t>INV4746</t>
  </si>
  <si>
    <t>INV4747</t>
  </si>
  <si>
    <t>INV4748</t>
  </si>
  <si>
    <t>INV4749</t>
  </si>
  <si>
    <t>INV4750</t>
  </si>
  <si>
    <t>INV4751</t>
  </si>
  <si>
    <t>INV4752</t>
  </si>
  <si>
    <t>INV4753</t>
  </si>
  <si>
    <t>INV4754</t>
  </si>
  <si>
    <t>INV4755</t>
  </si>
  <si>
    <t>INV4756</t>
  </si>
  <si>
    <t>INV4757</t>
  </si>
  <si>
    <t>INV4758</t>
  </si>
  <si>
    <t>INV4759</t>
  </si>
  <si>
    <t>INV4760</t>
  </si>
  <si>
    <t>INV4761</t>
  </si>
  <si>
    <t>INV4762</t>
  </si>
  <si>
    <t>INV4763</t>
  </si>
  <si>
    <t>INV4764</t>
  </si>
  <si>
    <t>INV4765</t>
  </si>
  <si>
    <t>INV4766</t>
  </si>
  <si>
    <t>INV4767</t>
  </si>
  <si>
    <t>INV4768</t>
  </si>
  <si>
    <t>INV4769</t>
  </si>
  <si>
    <t>INV4770</t>
  </si>
  <si>
    <t>INV4771</t>
  </si>
  <si>
    <t>INV4772</t>
  </si>
  <si>
    <t>INV4773</t>
  </si>
  <si>
    <t>INV4774</t>
  </si>
  <si>
    <t>INV4775</t>
  </si>
  <si>
    <t>INV4776</t>
  </si>
  <si>
    <t>INV4777</t>
  </si>
  <si>
    <t>INV4778</t>
  </si>
  <si>
    <t>INV4779</t>
  </si>
  <si>
    <t>INV4780</t>
  </si>
  <si>
    <t>INV4781</t>
  </si>
  <si>
    <t>INV4782</t>
  </si>
  <si>
    <t>INV4783</t>
  </si>
  <si>
    <t>INV4784</t>
  </si>
  <si>
    <t>INV4785</t>
  </si>
  <si>
    <t>INV4786</t>
  </si>
  <si>
    <t>INV4787</t>
  </si>
  <si>
    <t>INV4788</t>
  </si>
  <si>
    <t>INV4789</t>
  </si>
  <si>
    <t>INV4790</t>
  </si>
  <si>
    <t>INV4791</t>
  </si>
  <si>
    <t>INV4792</t>
  </si>
  <si>
    <t>INV4793</t>
  </si>
  <si>
    <t>INV4794</t>
  </si>
  <si>
    <t>INV4795</t>
  </si>
  <si>
    <t>INV4796</t>
  </si>
  <si>
    <t>INV4797</t>
  </si>
  <si>
    <t>INV4798</t>
  </si>
  <si>
    <t>INV4799</t>
  </si>
  <si>
    <t>INV4800</t>
  </si>
  <si>
    <t>INV4801</t>
  </si>
  <si>
    <t>INV4802</t>
  </si>
  <si>
    <t>INV4803</t>
  </si>
  <si>
    <t>INV4804</t>
  </si>
  <si>
    <t>INV4805</t>
  </si>
  <si>
    <t>INV4806</t>
  </si>
  <si>
    <t>INV4807</t>
  </si>
  <si>
    <t>INV4808</t>
  </si>
  <si>
    <t>INV4809</t>
  </si>
  <si>
    <t>INV4810</t>
  </si>
  <si>
    <t>INV4811</t>
  </si>
  <si>
    <t>INV4812</t>
  </si>
  <si>
    <t>INV4813</t>
  </si>
  <si>
    <t>INV4814</t>
  </si>
  <si>
    <t>INV4815</t>
  </si>
  <si>
    <t>INV4816</t>
  </si>
  <si>
    <t>INV4817</t>
  </si>
  <si>
    <t>INV4818</t>
  </si>
  <si>
    <t>INV4819</t>
  </si>
  <si>
    <t>INV4820</t>
  </si>
  <si>
    <t>INV4821</t>
  </si>
  <si>
    <t>INV4822</t>
  </si>
  <si>
    <t>INV4823</t>
  </si>
  <si>
    <t>INV4824</t>
  </si>
  <si>
    <t>INV4825</t>
  </si>
  <si>
    <t>INV4826</t>
  </si>
  <si>
    <t>INV4827</t>
  </si>
  <si>
    <t>INV4828</t>
  </si>
  <si>
    <t>INV4829</t>
  </si>
  <si>
    <t>INV4830</t>
  </si>
  <si>
    <t>INV4831</t>
  </si>
  <si>
    <t>INV4832</t>
  </si>
  <si>
    <t>INV4833</t>
  </si>
  <si>
    <t>INV4834</t>
  </si>
  <si>
    <t>INV4835</t>
  </si>
  <si>
    <t>INV4836</t>
  </si>
  <si>
    <t>INV4837</t>
  </si>
  <si>
    <t>INV4838</t>
  </si>
  <si>
    <t>INV4839</t>
  </si>
  <si>
    <t>INV4840</t>
  </si>
  <si>
    <t>INV4841</t>
  </si>
  <si>
    <t>INV4842</t>
  </si>
  <si>
    <t>INV4843</t>
  </si>
  <si>
    <t>INV4844</t>
  </si>
  <si>
    <t>INV4845</t>
  </si>
  <si>
    <t>INV4846</t>
  </si>
  <si>
    <t>INV4847</t>
  </si>
  <si>
    <t>INV4848</t>
  </si>
  <si>
    <t>INV4849</t>
  </si>
  <si>
    <t>INV4850</t>
  </si>
  <si>
    <t>INV4851</t>
  </si>
  <si>
    <t>INV4852</t>
  </si>
  <si>
    <t>INV4853</t>
  </si>
  <si>
    <t>INV4854</t>
  </si>
  <si>
    <t>INV4855</t>
  </si>
  <si>
    <t>INV4856</t>
  </si>
  <si>
    <t>INV4857</t>
  </si>
  <si>
    <t>INV4858</t>
  </si>
  <si>
    <t>INV4859</t>
  </si>
  <si>
    <t>INV4860</t>
  </si>
  <si>
    <t>INV4861</t>
  </si>
  <si>
    <t>INV4862</t>
  </si>
  <si>
    <t>INV4863</t>
  </si>
  <si>
    <t>INV4864</t>
  </si>
  <si>
    <t>INV4865</t>
  </si>
  <si>
    <t>INV4866</t>
  </si>
  <si>
    <t>INV4867</t>
  </si>
  <si>
    <t>INV4868</t>
  </si>
  <si>
    <t>INV4869</t>
  </si>
  <si>
    <t>INV4870</t>
  </si>
  <si>
    <t>INV4871</t>
  </si>
  <si>
    <t>INV4872</t>
  </si>
  <si>
    <t>INV4873</t>
  </si>
  <si>
    <t>INV4874</t>
  </si>
  <si>
    <t>INV4875</t>
  </si>
  <si>
    <t>INV4876</t>
  </si>
  <si>
    <t>INV4877</t>
  </si>
  <si>
    <t>INV4878</t>
  </si>
  <si>
    <t>INV4879</t>
  </si>
  <si>
    <t>INV4880</t>
  </si>
  <si>
    <t>INV4881</t>
  </si>
  <si>
    <t>INV4882</t>
  </si>
  <si>
    <t>INV4883</t>
  </si>
  <si>
    <t>INV4884</t>
  </si>
  <si>
    <t>INV4885</t>
  </si>
  <si>
    <t>INV4886</t>
  </si>
  <si>
    <t>INV4887</t>
  </si>
  <si>
    <t>INV4888</t>
  </si>
  <si>
    <t>INV4889</t>
  </si>
  <si>
    <t>INV4890</t>
  </si>
  <si>
    <t>INV4891</t>
  </si>
  <si>
    <t>INV4892</t>
  </si>
  <si>
    <t>INV4893</t>
  </si>
  <si>
    <t>INV4894</t>
  </si>
  <si>
    <t>INV4895</t>
  </si>
  <si>
    <t>INV4896</t>
  </si>
  <si>
    <t>INV4897</t>
  </si>
  <si>
    <t>INV4898</t>
  </si>
  <si>
    <t>INV4899</t>
  </si>
  <si>
    <t>INV4900</t>
  </si>
  <si>
    <t>INV4901</t>
  </si>
  <si>
    <t>INV4902</t>
  </si>
  <si>
    <t>INV4903</t>
  </si>
  <si>
    <t>INV4904</t>
  </si>
  <si>
    <t>INV4905</t>
  </si>
  <si>
    <t>INV4906</t>
  </si>
  <si>
    <t>INV4907</t>
  </si>
  <si>
    <t>INV4908</t>
  </si>
  <si>
    <t>INV4909</t>
  </si>
  <si>
    <t>INV4910</t>
  </si>
  <si>
    <t>INV4911</t>
  </si>
  <si>
    <t>INV4912</t>
  </si>
  <si>
    <t>INV4913</t>
  </si>
  <si>
    <t>INV4914</t>
  </si>
  <si>
    <t>INV4915</t>
  </si>
  <si>
    <t>INV4916</t>
  </si>
  <si>
    <t>INV4917</t>
  </si>
  <si>
    <t>INV4918</t>
  </si>
  <si>
    <t>INV4919</t>
  </si>
  <si>
    <t>INV4920</t>
  </si>
  <si>
    <t>INV4921</t>
  </si>
  <si>
    <t>INV4922</t>
  </si>
  <si>
    <t>INV4923</t>
  </si>
  <si>
    <t>INV4924</t>
  </si>
  <si>
    <t>INV4925</t>
  </si>
  <si>
    <t>INV4926</t>
  </si>
  <si>
    <t>INV4927</t>
  </si>
  <si>
    <t>INV4928</t>
  </si>
  <si>
    <t>INV4929</t>
  </si>
  <si>
    <t>INV4930</t>
  </si>
  <si>
    <t>INV4931</t>
  </si>
  <si>
    <t>INV4932</t>
  </si>
  <si>
    <t>INV4933</t>
  </si>
  <si>
    <t>INV4934</t>
  </si>
  <si>
    <t>INV4935</t>
  </si>
  <si>
    <t>INV4936</t>
  </si>
  <si>
    <t>INV4937</t>
  </si>
  <si>
    <t>INV4938</t>
  </si>
  <si>
    <t>INV4939</t>
  </si>
  <si>
    <t>INV4940</t>
  </si>
  <si>
    <t>INV4941</t>
  </si>
  <si>
    <t>INV4942</t>
  </si>
  <si>
    <t>INV4943</t>
  </si>
  <si>
    <t>INV4944</t>
  </si>
  <si>
    <t>INV4945</t>
  </si>
  <si>
    <t>INV4946</t>
  </si>
  <si>
    <t>INV4947</t>
  </si>
  <si>
    <t>Clothing</t>
  </si>
  <si>
    <t>Sport</t>
  </si>
  <si>
    <t>Unit Price (Naira)</t>
  </si>
  <si>
    <t>Sales (Naira)</t>
  </si>
  <si>
    <t>COGS (Naira)</t>
  </si>
  <si>
    <t>Gross Income(Naira)</t>
  </si>
  <si>
    <t>Palm oil</t>
  </si>
  <si>
    <t>Rice</t>
  </si>
  <si>
    <t>Yam flour</t>
  </si>
  <si>
    <t>Sports</t>
  </si>
  <si>
    <t>Re_order %</t>
  </si>
  <si>
    <t>Diary</t>
  </si>
  <si>
    <t>Fanta</t>
  </si>
  <si>
    <t>Pepsi</t>
  </si>
  <si>
    <t>Coke</t>
  </si>
  <si>
    <t>Water</t>
  </si>
  <si>
    <t>Sum of Sales (Naira)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</si>
  <si>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</si>
  <si>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</si>
  <si>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</si>
  <si>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</si>
  <si>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</si>
  <si>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</si>
  <si>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</si>
  <si>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</si>
  <si>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</si>
  <si>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</si>
  <si>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</si>
  <si>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</si>
  <si>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</si>
  <si>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</si>
  <si>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1-Jan</t>
  </si>
  <si>
    <t>2-Jan</t>
  </si>
  <si>
    <t>3-Jan</t>
  </si>
  <si>
    <t>4-Jan</t>
  </si>
  <si>
    <t>5-Jan</t>
  </si>
  <si>
    <t>6-Jan</t>
  </si>
  <si>
    <t>7-Jan</t>
  </si>
  <si>
    <t>8-Jan</t>
  </si>
  <si>
    <t>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</si>
  <si>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</si>
  <si>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</si>
  <si>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</si>
  <si>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</si>
  <si>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</si>
  <si>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</si>
  <si>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</si>
  <si>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</si>
  <si>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</si>
  <si>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</si>
  <si>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</si>
  <si>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</si>
  <si>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</si>
  <si>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</si>
  <si>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</si>
  <si>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</si>
  <si>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</si>
  <si>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</si>
  <si>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</si>
  <si>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</si>
  <si>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</si>
  <si>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</si>
  <si>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1-Feb</t>
  </si>
  <si>
    <t>2-Feb</t>
  </si>
  <si>
    <t>3-Feb</t>
  </si>
  <si>
    <t>4-Feb</t>
  </si>
  <si>
    <t>5-Feb</t>
  </si>
  <si>
    <t>6-Feb</t>
  </si>
  <si>
    <t>7-Feb</t>
  </si>
  <si>
    <t>8-Feb</t>
  </si>
  <si>
    <t>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</si>
  <si>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</si>
  <si>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</si>
  <si>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</si>
  <si>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</si>
  <si>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</si>
  <si>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</si>
  <si>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</si>
  <si>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</si>
  <si>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</si>
  <si>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</si>
  <si>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</si>
  <si>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</si>
  <si>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</si>
  <si>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</si>
  <si>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</si>
  <si>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</si>
  <si>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</si>
  <si>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</si>
  <si>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</si>
  <si>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1-Mar</t>
  </si>
  <si>
    <t>2-Mar</t>
  </si>
  <si>
    <t>3-Mar</t>
  </si>
  <si>
    <t>4-Mar</t>
  </si>
  <si>
    <t>5-Mar</t>
  </si>
  <si>
    <t>6-Mar</t>
  </si>
  <si>
    <t>7-Mar</t>
  </si>
  <si>
    <t>8-Mar</t>
  </si>
  <si>
    <t>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</si>
  <si>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</si>
  <si>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</si>
  <si>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</si>
  <si>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</si>
  <si>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</si>
  <si>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</si>
  <si>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</si>
  <si>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</si>
  <si>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</si>
  <si>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</si>
  <si>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</si>
  <si>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</si>
  <si>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</si>
  <si>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</si>
  <si>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</si>
  <si>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</si>
  <si>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</si>
  <si>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</si>
  <si>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</si>
  <si>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</si>
  <si>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</si>
  <si>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</si>
  <si>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1-Apr</t>
  </si>
  <si>
    <t>2-Apr</t>
  </si>
  <si>
    <t>3-Apr</t>
  </si>
  <si>
    <t>4-Apr</t>
  </si>
  <si>
    <t>5-Apr</t>
  </si>
  <si>
    <t>6-Apr</t>
  </si>
  <si>
    <t>7-Apr</t>
  </si>
  <si>
    <t>8-Apr</t>
  </si>
  <si>
    <t>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</si>
  <si>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</si>
  <si>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</si>
  <si>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</si>
  <si>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</si>
  <si>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</si>
  <si>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</si>
  <si>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</si>
  <si>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</si>
  <si>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</si>
  <si>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</si>
  <si>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</si>
  <si>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</si>
  <si>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</si>
  <si>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</si>
  <si>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</si>
  <si>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</si>
  <si>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</si>
  <si>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</si>
  <si>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</si>
  <si>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</si>
  <si>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</si>
  <si>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1-May</t>
  </si>
  <si>
    <t>2-May</t>
  </si>
  <si>
    <t>3-May</t>
  </si>
  <si>
    <t>4-May</t>
  </si>
  <si>
    <t>5-May</t>
  </si>
  <si>
    <t>6-May</t>
  </si>
  <si>
    <t>7-May</t>
  </si>
  <si>
    <t>8-May</t>
  </si>
  <si>
    <t>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</si>
  <si>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</si>
  <si>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</si>
  <si>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</si>
  <si>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</si>
  <si>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</si>
  <si>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</si>
  <si>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</si>
  <si>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</si>
  <si>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</si>
  <si>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</si>
  <si>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</si>
  <si>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</si>
  <si>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</si>
  <si>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</si>
  <si>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</si>
  <si>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</si>
  <si>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</si>
  <si>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</si>
  <si>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</si>
  <si>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</si>
  <si>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</si>
  <si>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</si>
  <si>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1-Jun</t>
  </si>
  <si>
    <t>2-Jun</t>
  </si>
  <si>
    <t>3-Jun</t>
  </si>
  <si>
    <t>4-Jun</t>
  </si>
  <si>
    <t>5-Jun</t>
  </si>
  <si>
    <t>6-Jun</t>
  </si>
  <si>
    <t>7-Jun</t>
  </si>
  <si>
    <t>8-Jun</t>
  </si>
  <si>
    <t>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</si>
  <si>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</si>
  <si>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</si>
  <si>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</si>
  <si>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</si>
  <si>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</si>
  <si>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</si>
  <si>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</si>
  <si>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</si>
  <si>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</si>
  <si>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</si>
  <si>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</si>
  <si>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</si>
  <si>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</si>
  <si>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</si>
  <si>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</si>
  <si>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</si>
  <si>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</si>
  <si>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</si>
  <si>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</si>
  <si>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</si>
  <si>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</si>
  <si>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1-Jul</t>
  </si>
  <si>
    <t>2-Jul</t>
  </si>
  <si>
    <t>3-Jul</t>
  </si>
  <si>
    <t>4-Jul</t>
  </si>
  <si>
    <t>5-Jul</t>
  </si>
  <si>
    <t>6-Jul</t>
  </si>
  <si>
    <t>7-Jul</t>
  </si>
  <si>
    <t>8-Jul</t>
  </si>
  <si>
    <t>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</si>
  <si>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</si>
  <si>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</si>
  <si>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</si>
  <si>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</si>
  <si>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</si>
  <si>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</si>
  <si>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</si>
  <si>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</si>
  <si>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</si>
  <si>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</si>
  <si>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</si>
  <si>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</si>
  <si>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</si>
  <si>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</si>
  <si>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</si>
  <si>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</si>
  <si>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</si>
  <si>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</si>
  <si>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</si>
  <si>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</si>
  <si>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</si>
  <si>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</si>
  <si>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1-Aug</t>
  </si>
  <si>
    <t>2-Aug</t>
  </si>
  <si>
    <t>3-Aug</t>
  </si>
  <si>
    <t>4-Aug</t>
  </si>
  <si>
    <t>5-Aug</t>
  </si>
  <si>
    <t>6-Aug</t>
  </si>
  <si>
    <t>7-Aug</t>
  </si>
  <si>
    <t>8-Aug</t>
  </si>
  <si>
    <t>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</si>
  <si>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</si>
  <si>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</si>
  <si>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</si>
  <si>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</si>
  <si>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</si>
  <si>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</si>
  <si>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</si>
  <si>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</si>
  <si>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</si>
  <si>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</si>
  <si>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</si>
  <si>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</si>
  <si>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</si>
  <si>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</si>
  <si>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</si>
  <si>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</si>
  <si>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</si>
  <si>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</si>
  <si>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</si>
  <si>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</si>
  <si>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</si>
  <si>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</si>
  <si>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1-Sep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</si>
  <si>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</si>
  <si>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</si>
  <si>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</si>
  <si>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</si>
  <si>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</si>
  <si>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</si>
  <si>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</si>
  <si>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</si>
  <si>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</si>
  <si>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</si>
  <si>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</si>
  <si>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</si>
  <si>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</si>
  <si>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</si>
  <si>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</si>
  <si>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</si>
  <si>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</si>
  <si>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</si>
  <si>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</si>
  <si>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</si>
  <si>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</si>
  <si>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</si>
  <si>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</si>
  <si>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</si>
  <si>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</si>
  <si>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</si>
  <si>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</si>
  <si>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</si>
  <si>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</si>
  <si>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1-Oct</t>
  </si>
  <si>
    <t>2-Oct</t>
  </si>
  <si>
    <t>3-Oct</t>
  </si>
  <si>
    <t>4-Oct</t>
  </si>
  <si>
    <t>5-Oct</t>
  </si>
  <si>
    <t>6-Oct</t>
  </si>
  <si>
    <t>7-Oct</t>
  </si>
  <si>
    <t>8-Oct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</si>
  <si>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</si>
  <si>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</si>
  <si>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</si>
  <si>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</si>
  <si>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</si>
  <si>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</si>
  <si>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</si>
  <si>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</si>
  <si>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</si>
  <si>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</si>
  <si>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</si>
  <si>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</si>
  <si>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</si>
  <si>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</si>
  <si>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</si>
  <si>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</si>
  <si>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</si>
  <si>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</si>
  <si>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</si>
  <si>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</si>
  <si>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</si>
  <si>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</si>
  <si>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</si>
  <si>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1-Nov</t>
  </si>
  <si>
    <t>2-Nov</t>
  </si>
  <si>
    <t>3-Nov</t>
  </si>
  <si>
    <t>4-Nov</t>
  </si>
  <si>
    <t>5-Nov</t>
  </si>
  <si>
    <t>6-Nov</t>
  </si>
  <si>
    <t>7-Nov</t>
  </si>
  <si>
    <t>8-Nov</t>
  </si>
  <si>
    <t>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</si>
  <si>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</si>
  <si>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</si>
  <si>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</si>
  <si>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</si>
  <si>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</si>
  <si>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</si>
  <si>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</si>
  <si>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</si>
  <si>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</si>
  <si>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</si>
  <si>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</si>
  <si>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</si>
  <si>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</si>
  <si>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</si>
  <si>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</si>
  <si>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</si>
  <si>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</si>
  <si>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</si>
  <si>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</si>
  <si>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</si>
  <si>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</si>
  <si>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1-Dec</t>
  </si>
  <si>
    <t>2-Dec</t>
  </si>
  <si>
    <t>3-Dec</t>
  </si>
  <si>
    <t>4-Dec</t>
  </si>
  <si>
    <t>5-Dec</t>
  </si>
  <si>
    <t>6-Dec</t>
  </si>
  <si>
    <t>7-Dec</t>
  </si>
  <si>
    <t>8-Dec</t>
  </si>
  <si>
    <t>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</si>
  <si>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</si>
  <si>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</si>
  <si>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</si>
  <si>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</si>
  <si>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</si>
  <si>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</si>
  <si>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</si>
  <si>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</si>
  <si>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</si>
  <si>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</si>
  <si>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</si>
  <si>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</si>
  <si>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</si>
  <si>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</si>
  <si>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</si>
  <si>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</si>
  <si>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</si>
  <si>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</si>
  <si>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</si>
  <si>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30-Dec</t>
  </si>
  <si>
    <t>31-Dec</t>
  </si>
  <si>
    <t>Restock_Alert</t>
  </si>
  <si>
    <t>Statistic</t>
  </si>
  <si>
    <t>Value</t>
  </si>
  <si>
    <t>Alpha</t>
  </si>
  <si>
    <t>Beta</t>
  </si>
  <si>
    <t>Gamma</t>
  </si>
  <si>
    <t>MASE</t>
  </si>
  <si>
    <t>SMAPE</t>
  </si>
  <si>
    <t>MAE</t>
  </si>
  <si>
    <t>RMSE</t>
  </si>
  <si>
    <t>Sum of Quantity</t>
  </si>
  <si>
    <t>ES Error</t>
  </si>
  <si>
    <t>Absolute Error</t>
  </si>
  <si>
    <t>Absolute Squared Error</t>
  </si>
  <si>
    <t>Absolute Percentage Error</t>
  </si>
  <si>
    <t>Total number of sales</t>
  </si>
  <si>
    <t>Average number of sale</t>
  </si>
  <si>
    <t>ETS Approach</t>
  </si>
  <si>
    <t>MSE</t>
  </si>
  <si>
    <t>MAPE</t>
  </si>
  <si>
    <t>Accuracy</t>
  </si>
  <si>
    <t>Forecast(Sum of Quantity)</t>
  </si>
  <si>
    <t>Lower Confidence Bound(Sum of Quantity)</t>
  </si>
  <si>
    <t>Upper Confidence Bound(Sum of Quantity)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</si>
</sst>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₦-468]\ * #,##0.00_-;\-[$₦-468]\ * #,##0.00_-;_-[$₦-468]\ * &quot;-&quot;??_-;_-@_-"/>
    <numFmt numFmtId="165" formatCode="0;[Red]0"/>
    <numFmt numFmtId="166" formatCode="[$₦-468]\ #,##0.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1" fontId="0" fillId="0" borderId="0" xfId="1" applyNumberFormat="1" applyFont="1"/>
    <xf numFmtId="0" fontId="0" fillId="0" borderId="0" xfId="0" applyNumberFormat="1"/>
    <xf numFmtId="2" fontId="0" fillId="0" borderId="0" xfId="0" applyNumberFormat="1"/>
    <xf numFmtId="4" fontId="0" fillId="0" borderId="0" xfId="0" applyNumberFormat="1"/>
    <xf numFmtId="0" fontId="4" fillId="0" borderId="0" xfId="0" applyFont="1"/>
    <xf numFmtId="0" fontId="5" fillId="0" borderId="0" xfId="0" applyFont="1"/>
    <xf numFmtId="9" fontId="0" fillId="0" borderId="0" xfId="1" applyFont="1"/>
    <xf numFmtId="0" fontId="4" fillId="0" borderId="3" xfId="0" applyFont="1" applyBorder="1"/>
    <xf numFmtId="2" fontId="0" fillId="0" borderId="0" xfId="1" applyNumberFormat="1" applyFont="1"/>
    <xf numFmtId="0" fontId="3" fillId="0" borderId="1" xfId="0" applyNumberFormat="1" applyFont="1" applyBorder="1"/>
    <xf numFmtId="0" fontId="3" fillId="2" borderId="2" xfId="0" applyNumberFormat="1" applyFont="1" applyFill="1" applyBorder="1"/>
    <xf numFmtId="14" fontId="0" fillId="0" borderId="0" xfId="0" applyNumberFormat="1" applyAlignment="1">
      <alignment horizontal="left"/>
    </xf>
    <xf numFmtId="0" fontId="3" fillId="2" borderId="1" xfId="0" applyNumberFormat="1" applyFont="1" applyFill="1" applyBorder="1"/>
  </cellXfs>
  <cellStyles count="2">
    <cellStyle name="Normal" xfId="0" builtinId="0"/>
    <cellStyle name="Percent" xfId="1" builtinId="5"/>
  </cellStyles>
  <dxfs count="6">
    <dxf>
      <numFmt numFmtId="4" formatCode="#,##0.00"/>
    </dxf>
    <dxf>
      <numFmt numFmtId="2" formatCode="0.00"/>
    </dxf>
    <dxf>
      <numFmt numFmtId="2" formatCode="0.00"/>
    </dxf>
    <dxf>
      <numFmt numFmtId="19" formatCode="m/d/yyyy"/>
    </dxf>
    <dxf>
      <numFmt numFmtId="164" formatCode="_-[$₦-468]\ * #,##0.00_-;\-[$₦-468]\ * #,##0.00_-;_-[$₦-468]\ * &quot;-&quot;??_-;_-@_-"/>
    </dxf>
    <dxf>
      <numFmt numFmtId="164" formatCode="_-[$₦-468]\ * #,##0.00_-;\-[$₦-468]\ * #,##0.00_-;_-[$₦-468]\ 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[Albarka Store.xlsx]Sale by Month!PivotTable1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 by Month'!$B$1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 by Month'!$A$2:$A$14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 by Month'!$B$2:$B$14</c:f>
              <c:numCache>
                <c:formatCode>[$₦-468]\ #,##0.00</c:formatCode>
                <c:ptCount val="12"/>
                <c:pt idx="0">
                  <c:v>43517380</c:v>
                </c:pt>
                <c:pt idx="1">
                  <c:v>39014420</c:v>
                </c:pt>
                <c:pt idx="2">
                  <c:v>38658540</c:v>
                </c:pt>
                <c:pt idx="3">
                  <c:v>16436940</c:v>
                </c:pt>
                <c:pt idx="4">
                  <c:v>16535680</c:v>
                </c:pt>
                <c:pt idx="5">
                  <c:v>12672720</c:v>
                </c:pt>
                <c:pt idx="6">
                  <c:v>15214970</c:v>
                </c:pt>
                <c:pt idx="7">
                  <c:v>15425050</c:v>
                </c:pt>
                <c:pt idx="8">
                  <c:v>16424350</c:v>
                </c:pt>
                <c:pt idx="9">
                  <c:v>19579100</c:v>
                </c:pt>
                <c:pt idx="10">
                  <c:v>16831380</c:v>
                </c:pt>
                <c:pt idx="11">
                  <c:v>18706050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2-4EE2-AEE8-6562D8DFAA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55087"/>
        <c:axId val="39460847"/>
      </c:barChart>
      <c:catAx>
        <c:axId val="3945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60847"/>
        <c:crosses val="autoZero"/>
        <c:auto val="1"/>
        <c:lblAlgn val="ctr"/>
        <c:lblOffset val="100"/>
        <c:noMultiLvlLbl val="0"/>
      </c:catAx>
      <c:valAx>
        <c:axId val="3946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8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55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[Albarka Store.xlsx]Sale by Month!PivotTable1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 by Month'!$B$1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4B5-4F6E-82C0-F9E680C0AEF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4B5-4F6E-82C0-F9E680C0AEF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4B5-4F6E-82C0-F9E680C0AEF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4B5-4F6E-82C0-F9E680C0AEF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4B5-4F6E-82C0-F9E680C0AEF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4B5-4F6E-82C0-F9E680C0AEF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4B5-4F6E-82C0-F9E680C0AEF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4B5-4F6E-82C0-F9E680C0AEF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4B5-4F6E-82C0-F9E680C0AEF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4B5-4F6E-82C0-F9E680C0AEF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4B5-4F6E-82C0-F9E680C0AEF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4B5-4F6E-82C0-F9E680C0AEFD}"/>
              </c:ext>
            </c:extLst>
          </c:dPt>
          <c:cat>
            <c:strRef>
              <c:f>'Sale by Month'!$A$2:$A$14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 by Month'!$B$2:$B$14</c:f>
              <c:numCache>
                <c:formatCode>[$₦-468]\ #,##0.00</c:formatCode>
                <c:ptCount val="12"/>
                <c:pt idx="0">
                  <c:v>43517380</c:v>
                </c:pt>
                <c:pt idx="1">
                  <c:v>39014420</c:v>
                </c:pt>
                <c:pt idx="2">
                  <c:v>38658540</c:v>
                </c:pt>
                <c:pt idx="3">
                  <c:v>16436940</c:v>
                </c:pt>
                <c:pt idx="4">
                  <c:v>16535680</c:v>
                </c:pt>
                <c:pt idx="5">
                  <c:v>12672720</c:v>
                </c:pt>
                <c:pt idx="6">
                  <c:v>15214970</c:v>
                </c:pt>
                <c:pt idx="7">
                  <c:v>15425050</c:v>
                </c:pt>
                <c:pt idx="8">
                  <c:v>16424350</c:v>
                </c:pt>
                <c:pt idx="9">
                  <c:v>19579100</c:v>
                </c:pt>
                <c:pt idx="10">
                  <c:v>16831380</c:v>
                </c:pt>
                <c:pt idx="11">
                  <c:v>18706050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71-4F78-B71C-7F9B281C3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[Albarka Store.xlsx]Sales by Product!PivotTable3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Product'!$B$1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'Sales by Product'!$A$2:$A$50</c:f>
              <c:strCache>
                <c:ptCount val="48"/>
                <c:pt idx="0">
                  <c:v>Antibiotics</c:v>
                </c:pt>
                <c:pt idx="1">
                  <c:v>Beans</c:v>
                </c:pt>
                <c:pt idx="2">
                  <c:v>Biscuits</c:v>
                </c:pt>
                <c:pt idx="3">
                  <c:v>Bread</c:v>
                </c:pt>
                <c:pt idx="4">
                  <c:v>Broom</c:v>
                </c:pt>
                <c:pt idx="5">
                  <c:v>Bucket</c:v>
                </c:pt>
                <c:pt idx="6">
                  <c:v>Butter</c:v>
                </c:pt>
                <c:pt idx="7">
                  <c:v>Cap</c:v>
                </c:pt>
                <c:pt idx="8">
                  <c:v>Chips</c:v>
                </c:pt>
                <c:pt idx="9">
                  <c:v>Chocolate</c:v>
                </c:pt>
                <c:pt idx="10">
                  <c:v>Coffee</c:v>
                </c:pt>
                <c:pt idx="11">
                  <c:v>Coke</c:v>
                </c:pt>
                <c:pt idx="12">
                  <c:v>Cooking Gas</c:v>
                </c:pt>
                <c:pt idx="13">
                  <c:v>Cough Syrup</c:v>
                </c:pt>
                <c:pt idx="14">
                  <c:v>Detergent</c:v>
                </c:pt>
                <c:pt idx="15">
                  <c:v>Dumbbells</c:v>
                </c:pt>
                <c:pt idx="16">
                  <c:v>Earphones</c:v>
                </c:pt>
                <c:pt idx="17">
                  <c:v>Eggs</c:v>
                </c:pt>
                <c:pt idx="18">
                  <c:v>Extension Box</c:v>
                </c:pt>
                <c:pt idx="19">
                  <c:v>Fanta</c:v>
                </c:pt>
                <c:pt idx="20">
                  <c:v>Football</c:v>
                </c:pt>
                <c:pt idx="21">
                  <c:v>Garri</c:v>
                </c:pt>
                <c:pt idx="22">
                  <c:v>Jeans</c:v>
                </c:pt>
                <c:pt idx="23">
                  <c:v>Jersey</c:v>
                </c:pt>
                <c:pt idx="24">
                  <c:v>LED Bulb</c:v>
                </c:pt>
                <c:pt idx="25">
                  <c:v>Milk</c:v>
                </c:pt>
                <c:pt idx="26">
                  <c:v>Pain Relief Balm</c:v>
                </c:pt>
                <c:pt idx="27">
                  <c:v>Palm Oil</c:v>
                </c:pt>
                <c:pt idx="28">
                  <c:v>Paracetamol</c:v>
                </c:pt>
                <c:pt idx="29">
                  <c:v>Pepsi</c:v>
                </c:pt>
                <c:pt idx="30">
                  <c:v>Phone Charger</c:v>
                </c:pt>
                <c:pt idx="31">
                  <c:v>Power Bank</c:v>
                </c:pt>
                <c:pt idx="32">
                  <c:v>Rice</c:v>
                </c:pt>
                <c:pt idx="33">
                  <c:v>Running Shoes</c:v>
                </c:pt>
                <c:pt idx="34">
                  <c:v>Shampoo</c:v>
                </c:pt>
                <c:pt idx="35">
                  <c:v>Shoes</c:v>
                </c:pt>
                <c:pt idx="36">
                  <c:v>Skipping Rope</c:v>
                </c:pt>
                <c:pt idx="37">
                  <c:v>Soap</c:v>
                </c:pt>
                <c:pt idx="38">
                  <c:v>Spaghetti</c:v>
                </c:pt>
                <c:pt idx="39">
                  <c:v>Sugar</c:v>
                </c:pt>
                <c:pt idx="40">
                  <c:v>Tea</c:v>
                </c:pt>
                <c:pt idx="41">
                  <c:v>Toilet Paper</c:v>
                </c:pt>
                <c:pt idx="42">
                  <c:v>Toothpaste</c:v>
                </c:pt>
                <c:pt idx="43">
                  <c:v>T-shirt</c:v>
                </c:pt>
                <c:pt idx="44">
                  <c:v>Vitamin C</c:v>
                </c:pt>
                <c:pt idx="45">
                  <c:v>Water</c:v>
                </c:pt>
                <c:pt idx="46">
                  <c:v>Wristwatch</c:v>
                </c:pt>
                <c:pt idx="47">
                  <c:v>Yam Flour</c:v>
                </c:pt>
              </c:strCache>
            </c:strRef>
          </c:cat>
          <c:val>
            <c:numRef>
              <c:f>'Sales by Product'!$B$2:$B$50</c:f>
              <c:numCache>
                <c:formatCode>[$₦-468]\ #,##0.00</c:formatCode>
                <c:ptCount val="48"/>
                <c:pt idx="0">
                  <c:v>324000</c:v>
                </c:pt>
                <c:pt idx="1">
                  <c:v>71040000</c:v>
                </c:pt>
                <c:pt idx="2">
                  <c:v>4570800</c:v>
                </c:pt>
                <c:pt idx="3">
                  <c:v>902000</c:v>
                </c:pt>
                <c:pt idx="4">
                  <c:v>95000</c:v>
                </c:pt>
                <c:pt idx="5">
                  <c:v>475000</c:v>
                </c:pt>
                <c:pt idx="6">
                  <c:v>81000</c:v>
                </c:pt>
                <c:pt idx="7">
                  <c:v>334000</c:v>
                </c:pt>
                <c:pt idx="8">
                  <c:v>387600</c:v>
                </c:pt>
                <c:pt idx="9">
                  <c:v>3000000</c:v>
                </c:pt>
                <c:pt idx="10">
                  <c:v>1495300</c:v>
                </c:pt>
                <c:pt idx="11">
                  <c:v>2986560</c:v>
                </c:pt>
                <c:pt idx="12">
                  <c:v>290550</c:v>
                </c:pt>
                <c:pt idx="13">
                  <c:v>318000</c:v>
                </c:pt>
                <c:pt idx="14">
                  <c:v>7755600</c:v>
                </c:pt>
                <c:pt idx="15">
                  <c:v>66400</c:v>
                </c:pt>
                <c:pt idx="16">
                  <c:v>153000</c:v>
                </c:pt>
                <c:pt idx="17">
                  <c:v>2072400</c:v>
                </c:pt>
                <c:pt idx="18">
                  <c:v>1384000</c:v>
                </c:pt>
                <c:pt idx="19">
                  <c:v>2551680</c:v>
                </c:pt>
                <c:pt idx="20">
                  <c:v>518000</c:v>
                </c:pt>
                <c:pt idx="21">
                  <c:v>5845000</c:v>
                </c:pt>
                <c:pt idx="22">
                  <c:v>2380000</c:v>
                </c:pt>
                <c:pt idx="23">
                  <c:v>2834000</c:v>
                </c:pt>
                <c:pt idx="24">
                  <c:v>144500</c:v>
                </c:pt>
                <c:pt idx="25">
                  <c:v>6269900</c:v>
                </c:pt>
                <c:pt idx="26">
                  <c:v>480000</c:v>
                </c:pt>
                <c:pt idx="27">
                  <c:v>10450000</c:v>
                </c:pt>
                <c:pt idx="28">
                  <c:v>194000</c:v>
                </c:pt>
                <c:pt idx="29">
                  <c:v>2773440</c:v>
                </c:pt>
                <c:pt idx="30">
                  <c:v>314000</c:v>
                </c:pt>
                <c:pt idx="31">
                  <c:v>2388000</c:v>
                </c:pt>
                <c:pt idx="32">
                  <c:v>92832000</c:v>
                </c:pt>
                <c:pt idx="33">
                  <c:v>3015000</c:v>
                </c:pt>
                <c:pt idx="34">
                  <c:v>1124400</c:v>
                </c:pt>
                <c:pt idx="35">
                  <c:v>2850000</c:v>
                </c:pt>
                <c:pt idx="36">
                  <c:v>450000</c:v>
                </c:pt>
                <c:pt idx="37">
                  <c:v>3043000</c:v>
                </c:pt>
                <c:pt idx="38">
                  <c:v>6414000</c:v>
                </c:pt>
                <c:pt idx="39">
                  <c:v>2228400</c:v>
                </c:pt>
                <c:pt idx="40">
                  <c:v>360600</c:v>
                </c:pt>
                <c:pt idx="41">
                  <c:v>808000</c:v>
                </c:pt>
                <c:pt idx="42">
                  <c:v>1339200</c:v>
                </c:pt>
                <c:pt idx="43">
                  <c:v>1016000</c:v>
                </c:pt>
                <c:pt idx="44">
                  <c:v>147000</c:v>
                </c:pt>
                <c:pt idx="45">
                  <c:v>1475250</c:v>
                </c:pt>
                <c:pt idx="46">
                  <c:v>2160000</c:v>
                </c:pt>
                <c:pt idx="47">
                  <c:v>14880000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6B-4F30-B442-B2E1710CF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18127"/>
        <c:axId val="39407087"/>
      </c:barChart>
      <c:catAx>
        <c:axId val="39418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07087"/>
        <c:crosses val="autoZero"/>
        <c:auto val="1"/>
        <c:lblAlgn val="ctr"/>
        <c:lblOffset val="100"/>
        <c:noMultiLvlLbl val="0"/>
      </c:catAx>
      <c:valAx>
        <c:axId val="39407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8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41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[Albarka Store.xlsx]Sales by Product!PivotTable3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'Sales by Product'!$B$1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619-49A2-97D7-E22870B3037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619-49A2-97D7-E22870B3037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619-49A2-97D7-E22870B3037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619-49A2-97D7-E22870B3037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619-49A2-97D7-E22870B3037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619-49A2-97D7-E22870B3037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619-49A2-97D7-E22870B3037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619-49A2-97D7-E22870B3037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619-49A2-97D7-E22870B3037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619-49A2-97D7-E22870B3037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619-49A2-97D7-E22870B3037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619-49A2-97D7-E22870B30375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F619-49A2-97D7-E22870B30375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F619-49A2-97D7-E22870B30375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F619-49A2-97D7-E22870B30375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F619-49A2-97D7-E22870B30375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F619-49A2-97D7-E22870B30375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F619-49A2-97D7-E22870B30375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F619-49A2-97D7-E22870B30375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7-F619-49A2-97D7-E22870B30375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F619-49A2-97D7-E22870B30375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B-F619-49A2-97D7-E22870B30375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D-F619-49A2-97D7-E22870B30375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F-F619-49A2-97D7-E22870B30375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F619-49A2-97D7-E22870B30375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3-F619-49A2-97D7-E22870B30375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5-F619-49A2-97D7-E22870B30375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7-F619-49A2-97D7-E22870B30375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9-F619-49A2-97D7-E22870B30375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B-F619-49A2-97D7-E22870B30375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D-F619-49A2-97D7-E22870B30375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F-F619-49A2-97D7-E22870B30375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1-F619-49A2-97D7-E22870B30375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3-F619-49A2-97D7-E22870B30375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5-F619-49A2-97D7-E22870B30375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7-F619-49A2-97D7-E22870B30375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9-F619-49A2-97D7-E22870B30375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B-F619-49A2-97D7-E22870B30375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D-F619-49A2-97D7-E22870B30375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4F-F619-49A2-97D7-E22870B30375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1-F619-49A2-97D7-E22870B30375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3-F619-49A2-97D7-E22870B30375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5-F619-49A2-97D7-E22870B30375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7-F619-49A2-97D7-E22870B30375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9-F619-49A2-97D7-E22870B30375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B-F619-49A2-97D7-E22870B30375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D-F619-49A2-97D7-E22870B30375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5F-F619-49A2-97D7-E22870B30375}"/>
              </c:ext>
            </c:extLst>
          </c:dPt>
          <c:cat>
            <c:strRef>
              <c:f>'Sales by Product'!$A$2:$A$50</c:f>
              <c:strCache>
                <c:ptCount val="48"/>
                <c:pt idx="0">
                  <c:v>Antibiotics</c:v>
                </c:pt>
                <c:pt idx="1">
                  <c:v>Beans</c:v>
                </c:pt>
                <c:pt idx="2">
                  <c:v>Biscuits</c:v>
                </c:pt>
                <c:pt idx="3">
                  <c:v>Bread</c:v>
                </c:pt>
                <c:pt idx="4">
                  <c:v>Broom</c:v>
                </c:pt>
                <c:pt idx="5">
                  <c:v>Bucket</c:v>
                </c:pt>
                <c:pt idx="6">
                  <c:v>Butter</c:v>
                </c:pt>
                <c:pt idx="7">
                  <c:v>Cap</c:v>
                </c:pt>
                <c:pt idx="8">
                  <c:v>Chips</c:v>
                </c:pt>
                <c:pt idx="9">
                  <c:v>Chocolate</c:v>
                </c:pt>
                <c:pt idx="10">
                  <c:v>Coffee</c:v>
                </c:pt>
                <c:pt idx="11">
                  <c:v>Coke</c:v>
                </c:pt>
                <c:pt idx="12">
                  <c:v>Cooking Gas</c:v>
                </c:pt>
                <c:pt idx="13">
                  <c:v>Cough Syrup</c:v>
                </c:pt>
                <c:pt idx="14">
                  <c:v>Detergent</c:v>
                </c:pt>
                <c:pt idx="15">
                  <c:v>Dumbbells</c:v>
                </c:pt>
                <c:pt idx="16">
                  <c:v>Earphones</c:v>
                </c:pt>
                <c:pt idx="17">
                  <c:v>Eggs</c:v>
                </c:pt>
                <c:pt idx="18">
                  <c:v>Extension Box</c:v>
                </c:pt>
                <c:pt idx="19">
                  <c:v>Fanta</c:v>
                </c:pt>
                <c:pt idx="20">
                  <c:v>Football</c:v>
                </c:pt>
                <c:pt idx="21">
                  <c:v>Garri</c:v>
                </c:pt>
                <c:pt idx="22">
                  <c:v>Jeans</c:v>
                </c:pt>
                <c:pt idx="23">
                  <c:v>Jersey</c:v>
                </c:pt>
                <c:pt idx="24">
                  <c:v>LED Bulb</c:v>
                </c:pt>
                <c:pt idx="25">
                  <c:v>Milk</c:v>
                </c:pt>
                <c:pt idx="26">
                  <c:v>Pain Relief Balm</c:v>
                </c:pt>
                <c:pt idx="27">
                  <c:v>Palm Oil</c:v>
                </c:pt>
                <c:pt idx="28">
                  <c:v>Paracetamol</c:v>
                </c:pt>
                <c:pt idx="29">
                  <c:v>Pepsi</c:v>
                </c:pt>
                <c:pt idx="30">
                  <c:v>Phone Charger</c:v>
                </c:pt>
                <c:pt idx="31">
                  <c:v>Power Bank</c:v>
                </c:pt>
                <c:pt idx="32">
                  <c:v>Rice</c:v>
                </c:pt>
                <c:pt idx="33">
                  <c:v>Running Shoes</c:v>
                </c:pt>
                <c:pt idx="34">
                  <c:v>Shampoo</c:v>
                </c:pt>
                <c:pt idx="35">
                  <c:v>Shoes</c:v>
                </c:pt>
                <c:pt idx="36">
                  <c:v>Skipping Rope</c:v>
                </c:pt>
                <c:pt idx="37">
                  <c:v>Soap</c:v>
                </c:pt>
                <c:pt idx="38">
                  <c:v>Spaghetti</c:v>
                </c:pt>
                <c:pt idx="39">
                  <c:v>Sugar</c:v>
                </c:pt>
                <c:pt idx="40">
                  <c:v>Tea</c:v>
                </c:pt>
                <c:pt idx="41">
                  <c:v>Toilet Paper</c:v>
                </c:pt>
                <c:pt idx="42">
                  <c:v>Toothpaste</c:v>
                </c:pt>
                <c:pt idx="43">
                  <c:v>T-shirt</c:v>
                </c:pt>
                <c:pt idx="44">
                  <c:v>Vitamin C</c:v>
                </c:pt>
                <c:pt idx="45">
                  <c:v>Water</c:v>
                </c:pt>
                <c:pt idx="46">
                  <c:v>Wristwatch</c:v>
                </c:pt>
                <c:pt idx="47">
                  <c:v>Yam Flour</c:v>
                </c:pt>
              </c:strCache>
            </c:strRef>
          </c:cat>
          <c:val>
            <c:numRef>
              <c:f>'Sales by Product'!$B$2:$B$50</c:f>
              <c:numCache>
                <c:formatCode>[$₦-468]\ #,##0.00</c:formatCode>
                <c:ptCount val="48"/>
                <c:pt idx="0">
                  <c:v>324000</c:v>
                </c:pt>
                <c:pt idx="1">
                  <c:v>71040000</c:v>
                </c:pt>
                <c:pt idx="2">
                  <c:v>4570800</c:v>
                </c:pt>
                <c:pt idx="3">
                  <c:v>902000</c:v>
                </c:pt>
                <c:pt idx="4">
                  <c:v>95000</c:v>
                </c:pt>
                <c:pt idx="5">
                  <c:v>475000</c:v>
                </c:pt>
                <c:pt idx="6">
                  <c:v>81000</c:v>
                </c:pt>
                <c:pt idx="7">
                  <c:v>334000</c:v>
                </c:pt>
                <c:pt idx="8">
                  <c:v>387600</c:v>
                </c:pt>
                <c:pt idx="9">
                  <c:v>3000000</c:v>
                </c:pt>
                <c:pt idx="10">
                  <c:v>1495300</c:v>
                </c:pt>
                <c:pt idx="11">
                  <c:v>2986560</c:v>
                </c:pt>
                <c:pt idx="12">
                  <c:v>290550</c:v>
                </c:pt>
                <c:pt idx="13">
                  <c:v>318000</c:v>
                </c:pt>
                <c:pt idx="14">
                  <c:v>7755600</c:v>
                </c:pt>
                <c:pt idx="15">
                  <c:v>66400</c:v>
                </c:pt>
                <c:pt idx="16">
                  <c:v>153000</c:v>
                </c:pt>
                <c:pt idx="17">
                  <c:v>2072400</c:v>
                </c:pt>
                <c:pt idx="18">
                  <c:v>1384000</c:v>
                </c:pt>
                <c:pt idx="19">
                  <c:v>2551680</c:v>
                </c:pt>
                <c:pt idx="20">
                  <c:v>518000</c:v>
                </c:pt>
                <c:pt idx="21">
                  <c:v>5845000</c:v>
                </c:pt>
                <c:pt idx="22">
                  <c:v>2380000</c:v>
                </c:pt>
                <c:pt idx="23">
                  <c:v>2834000</c:v>
                </c:pt>
                <c:pt idx="24">
                  <c:v>144500</c:v>
                </c:pt>
                <c:pt idx="25">
                  <c:v>6269900</c:v>
                </c:pt>
                <c:pt idx="26">
                  <c:v>480000</c:v>
                </c:pt>
                <c:pt idx="27">
                  <c:v>10450000</c:v>
                </c:pt>
                <c:pt idx="28">
                  <c:v>194000</c:v>
                </c:pt>
                <c:pt idx="29">
                  <c:v>2773440</c:v>
                </c:pt>
                <c:pt idx="30">
                  <c:v>314000</c:v>
                </c:pt>
                <c:pt idx="31">
                  <c:v>2388000</c:v>
                </c:pt>
                <c:pt idx="32">
                  <c:v>92832000</c:v>
                </c:pt>
                <c:pt idx="33">
                  <c:v>3015000</c:v>
                </c:pt>
                <c:pt idx="34">
                  <c:v>1124400</c:v>
                </c:pt>
                <c:pt idx="35">
                  <c:v>2850000</c:v>
                </c:pt>
                <c:pt idx="36">
                  <c:v>450000</c:v>
                </c:pt>
                <c:pt idx="37">
                  <c:v>3043000</c:v>
                </c:pt>
                <c:pt idx="38">
                  <c:v>6414000</c:v>
                </c:pt>
                <c:pt idx="39">
                  <c:v>2228400</c:v>
                </c:pt>
                <c:pt idx="40">
                  <c:v>360600</c:v>
                </c:pt>
                <c:pt idx="41">
                  <c:v>808000</c:v>
                </c:pt>
                <c:pt idx="42">
                  <c:v>1339200</c:v>
                </c:pt>
                <c:pt idx="43">
                  <c:v>1016000</c:v>
                </c:pt>
                <c:pt idx="44">
                  <c:v>147000</c:v>
                </c:pt>
                <c:pt idx="45">
                  <c:v>1475250</c:v>
                </c:pt>
                <c:pt idx="46">
                  <c:v>2160000</c:v>
                </c:pt>
                <c:pt idx="47">
                  <c:v>14880000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5-41CB-BB76-DDDF91D22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[Albarka Store.xlsx]Sales by Payment!PivotTable4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Payment'!$B$1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Payment'!$A$2:$A$5</c:f>
              <c:strCache>
                <c:ptCount val="3"/>
                <c:pt idx="0">
                  <c:v>Card</c:v>
                </c:pt>
                <c:pt idx="1">
                  <c:v>Cash</c:v>
                </c:pt>
                <c:pt idx="2">
                  <c:v>Transfer</c:v>
                </c:pt>
              </c:strCache>
            </c:strRef>
          </c:cat>
          <c:val>
            <c:numRef>
              <c:f>'Sales by Payment'!$B$2:$B$5</c:f>
              <c:numCache>
                <c:formatCode>[$₦-468]\ #,##0.00</c:formatCode>
                <c:ptCount val="3"/>
                <c:pt idx="0">
                  <c:v>86885270</c:v>
                </c:pt>
                <c:pt idx="1">
                  <c:v>87390950</c:v>
                </c:pt>
                <c:pt idx="2">
                  <c:v>94740360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FD-4824-A3E9-DD9A6F478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858047"/>
        <c:axId val="401862847"/>
      </c:barChart>
      <c:catAx>
        <c:axId val="40185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62847"/>
        <c:crosses val="autoZero"/>
        <c:auto val="1"/>
        <c:lblAlgn val="ctr"/>
        <c:lblOffset val="100"/>
        <c:noMultiLvlLbl val="0"/>
      </c:catAx>
      <c:valAx>
        <c:axId val="401862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₦-468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58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[Albarka Store.xlsx]Sales by day!PivotTable5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day'!$B$1</c:f>
              <c:strCache>
                <c:ptCount val="1"/>
                <c:pt idx="0">
                  <c:v>Sum of Sales (Naira)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day'!$A$2:$A$366</c:f>
              <c:strCache>
                <c:ptCount val="364"/>
                <c:pt idx="0">
                  <c:v>1-Jan</c:v>
                </c:pt>
                <c:pt idx="1">
                  <c:v>2-Jan</c:v>
                </c:pt>
                <c:pt idx="2">
                  <c:v>3-Jan</c:v>
                </c:pt>
                <c:pt idx="3">
                  <c:v>4-Jan</c:v>
                </c:pt>
                <c:pt idx="4">
                  <c:v>5-Jan</c:v>
                </c:pt>
                <c:pt idx="5">
                  <c:v>6-Jan</c:v>
                </c:pt>
                <c:pt idx="6">
                  <c:v>7-Jan</c:v>
                </c:pt>
                <c:pt idx="7">
                  <c:v>8-Jan</c:v>
                </c:pt>
                <c:pt idx="8">
                  <c:v>9-Jan</c:v>
                </c:pt>
                <c:pt idx="9">
                  <c:v>10-Jan</c:v>
                </c:pt>
                <c:pt idx="10">
                  <c:v>11-Jan</c:v>
                </c:pt>
                <c:pt idx="11">
                  <c:v>12-Jan</c:v>
                </c:pt>
                <c:pt idx="12">
                  <c:v>13-Jan</c:v>
                </c:pt>
                <c:pt idx="13">
                  <c:v>14-Jan</c:v>
                </c:pt>
                <c:pt idx="14">
                  <c:v>15-Jan</c:v>
                </c:pt>
                <c:pt idx="15">
                  <c:v>16-Jan</c:v>
                </c:pt>
                <c:pt idx="16">
                  <c:v>17-Jan</c:v>
                </c:pt>
                <c:pt idx="17">
                  <c:v>18-Jan</c:v>
                </c:pt>
                <c:pt idx="18">
                  <c:v>19-Jan</c:v>
                </c:pt>
                <c:pt idx="19">
                  <c:v>20-Jan</c:v>
                </c:pt>
                <c:pt idx="20">
                  <c:v>21-Jan</c:v>
                </c:pt>
                <c:pt idx="21">
                  <c:v>22-Jan</c:v>
                </c:pt>
                <c:pt idx="22">
                  <c:v>23-Jan</c:v>
                </c:pt>
                <c:pt idx="23">
                  <c:v>24-Jan</c:v>
                </c:pt>
                <c:pt idx="24">
                  <c:v>25-Jan</c:v>
                </c:pt>
                <c:pt idx="25">
                  <c:v>26-Jan</c:v>
                </c:pt>
                <c:pt idx="26">
                  <c:v>27-Jan</c:v>
                </c:pt>
                <c:pt idx="27">
                  <c:v>28-Jan</c:v>
                </c:pt>
                <c:pt idx="28">
                  <c:v>29-Jan</c:v>
                </c:pt>
                <c:pt idx="29">
                  <c:v>30-Jan</c:v>
                </c:pt>
                <c:pt idx="30">
                  <c:v>31-Jan</c:v>
                </c:pt>
                <c:pt idx="31">
                  <c:v>1-Feb</c:v>
                </c:pt>
                <c:pt idx="32">
                  <c:v>2-Feb</c:v>
                </c:pt>
                <c:pt idx="33">
                  <c:v>3-Feb</c:v>
                </c:pt>
                <c:pt idx="34">
                  <c:v>4-Feb</c:v>
                </c:pt>
                <c:pt idx="35">
                  <c:v>5-Feb</c:v>
                </c:pt>
                <c:pt idx="36">
                  <c:v>6-Feb</c:v>
                </c:pt>
                <c:pt idx="37">
                  <c:v>7-Feb</c:v>
                </c:pt>
                <c:pt idx="38">
                  <c:v>8-Feb</c:v>
                </c:pt>
                <c:pt idx="39">
                  <c:v>9-Feb</c:v>
                </c:pt>
                <c:pt idx="40">
                  <c:v>10-Feb</c:v>
                </c:pt>
                <c:pt idx="41">
                  <c:v>11-Feb</c:v>
                </c:pt>
                <c:pt idx="42">
                  <c:v>12-Feb</c:v>
                </c:pt>
                <c:pt idx="43">
                  <c:v>13-Feb</c:v>
                </c:pt>
                <c:pt idx="44">
                  <c:v>14-Feb</c:v>
                </c:pt>
                <c:pt idx="45">
                  <c:v>15-Feb</c:v>
                </c:pt>
                <c:pt idx="46">
                  <c:v>16-Feb</c:v>
                </c:pt>
                <c:pt idx="47">
                  <c:v>17-Feb</c:v>
                </c:pt>
                <c:pt idx="48">
                  <c:v>18-Feb</c:v>
                </c:pt>
                <c:pt idx="49">
                  <c:v>19-Feb</c:v>
                </c:pt>
                <c:pt idx="50">
                  <c:v>20-Feb</c:v>
                </c:pt>
                <c:pt idx="51">
                  <c:v>21-Feb</c:v>
                </c:pt>
                <c:pt idx="52">
                  <c:v>22-Feb</c:v>
                </c:pt>
                <c:pt idx="53">
                  <c:v>23-Feb</c:v>
                </c:pt>
                <c:pt idx="54">
                  <c:v>24-Feb</c:v>
                </c:pt>
                <c:pt idx="55">
                  <c:v>25-Feb</c:v>
                </c:pt>
                <c:pt idx="56">
                  <c:v>26-Feb</c:v>
                </c:pt>
                <c:pt idx="57">
                  <c:v>27-Feb</c:v>
                </c:pt>
                <c:pt idx="58">
                  <c:v>28-Feb</c:v>
                </c:pt>
                <c:pt idx="59">
                  <c:v>1-Mar</c:v>
                </c:pt>
                <c:pt idx="60">
                  <c:v>2-Mar</c:v>
                </c:pt>
                <c:pt idx="61">
                  <c:v>3-Mar</c:v>
                </c:pt>
                <c:pt idx="62">
                  <c:v>4-Mar</c:v>
                </c:pt>
                <c:pt idx="63">
                  <c:v>5-Mar</c:v>
                </c:pt>
                <c:pt idx="64">
                  <c:v>6-Mar</c:v>
                </c:pt>
                <c:pt idx="65">
                  <c:v>7-Mar</c:v>
                </c:pt>
                <c:pt idx="66">
                  <c:v>8-Mar</c:v>
                </c:pt>
                <c:pt idx="67">
                  <c:v>9-Mar</c:v>
                </c:pt>
                <c:pt idx="68">
                  <c:v>10-Mar</c:v>
                </c:pt>
                <c:pt idx="69">
                  <c:v>11-Mar</c:v>
                </c:pt>
                <c:pt idx="70">
                  <c:v>12-Mar</c:v>
                </c:pt>
                <c:pt idx="71">
                  <c:v>13-Mar</c:v>
                </c:pt>
                <c:pt idx="72">
                  <c:v>14-Mar</c:v>
                </c:pt>
                <c:pt idx="73">
                  <c:v>15-Mar</c:v>
                </c:pt>
                <c:pt idx="74">
                  <c:v>16-Mar</c:v>
                </c:pt>
                <c:pt idx="75">
                  <c:v>17-Mar</c:v>
                </c:pt>
                <c:pt idx="76">
                  <c:v>18-Mar</c:v>
                </c:pt>
                <c:pt idx="77">
                  <c:v>19-Mar</c:v>
                </c:pt>
                <c:pt idx="78">
                  <c:v>20-Mar</c:v>
                </c:pt>
                <c:pt idx="79">
                  <c:v>21-Mar</c:v>
                </c:pt>
                <c:pt idx="80">
                  <c:v>22-Mar</c:v>
                </c:pt>
                <c:pt idx="81">
                  <c:v>23-Mar</c:v>
                </c:pt>
                <c:pt idx="82">
                  <c:v>24-Mar</c:v>
                </c:pt>
                <c:pt idx="83">
                  <c:v>25-Mar</c:v>
                </c:pt>
                <c:pt idx="84">
                  <c:v>26-Mar</c:v>
                </c:pt>
                <c:pt idx="85">
                  <c:v>27-Mar</c:v>
                </c:pt>
                <c:pt idx="86">
                  <c:v>28-Mar</c:v>
                </c:pt>
                <c:pt idx="87">
                  <c:v>29-Mar</c:v>
                </c:pt>
                <c:pt idx="88">
                  <c:v>30-Mar</c:v>
                </c:pt>
                <c:pt idx="89">
                  <c:v>31-Mar</c:v>
                </c:pt>
                <c:pt idx="90">
                  <c:v>1-Apr</c:v>
                </c:pt>
                <c:pt idx="91">
                  <c:v>2-Apr</c:v>
                </c:pt>
                <c:pt idx="92">
                  <c:v>3-Apr</c:v>
                </c:pt>
                <c:pt idx="93">
                  <c:v>4-Apr</c:v>
                </c:pt>
                <c:pt idx="94">
                  <c:v>5-Apr</c:v>
                </c:pt>
                <c:pt idx="95">
                  <c:v>6-Apr</c:v>
                </c:pt>
                <c:pt idx="96">
                  <c:v>7-Apr</c:v>
                </c:pt>
                <c:pt idx="97">
                  <c:v>8-Apr</c:v>
                </c:pt>
                <c:pt idx="98">
                  <c:v>9-Apr</c:v>
                </c:pt>
                <c:pt idx="99">
                  <c:v>10-Apr</c:v>
                </c:pt>
                <c:pt idx="100">
                  <c:v>11-Apr</c:v>
                </c:pt>
                <c:pt idx="101">
                  <c:v>12-Apr</c:v>
                </c:pt>
                <c:pt idx="102">
                  <c:v>13-Apr</c:v>
                </c:pt>
                <c:pt idx="103">
                  <c:v>14-Apr</c:v>
                </c:pt>
                <c:pt idx="104">
                  <c:v>15-Apr</c:v>
                </c:pt>
                <c:pt idx="105">
                  <c:v>16-Apr</c:v>
                </c:pt>
                <c:pt idx="106">
                  <c:v>17-Apr</c:v>
                </c:pt>
                <c:pt idx="107">
                  <c:v>18-Apr</c:v>
                </c:pt>
                <c:pt idx="108">
                  <c:v>19-Apr</c:v>
                </c:pt>
                <c:pt idx="109">
                  <c:v>20-Apr</c:v>
                </c:pt>
                <c:pt idx="110">
                  <c:v>21-Apr</c:v>
                </c:pt>
                <c:pt idx="111">
                  <c:v>22-Apr</c:v>
                </c:pt>
                <c:pt idx="112">
                  <c:v>23-Apr</c:v>
                </c:pt>
                <c:pt idx="113">
                  <c:v>24-Apr</c:v>
                </c:pt>
                <c:pt idx="114">
                  <c:v>25-Apr</c:v>
                </c:pt>
                <c:pt idx="115">
                  <c:v>26-Apr</c:v>
                </c:pt>
                <c:pt idx="116">
                  <c:v>27-Apr</c:v>
                </c:pt>
                <c:pt idx="117">
                  <c:v>28-Apr</c:v>
                </c:pt>
                <c:pt idx="118">
                  <c:v>29-Apr</c:v>
                </c:pt>
                <c:pt idx="119">
                  <c:v>30-Apr</c:v>
                </c:pt>
                <c:pt idx="120">
                  <c:v>1-May</c:v>
                </c:pt>
                <c:pt idx="121">
                  <c:v>2-May</c:v>
                </c:pt>
                <c:pt idx="122">
                  <c:v>3-May</c:v>
                </c:pt>
                <c:pt idx="123">
                  <c:v>4-May</c:v>
                </c:pt>
                <c:pt idx="124">
                  <c:v>5-May</c:v>
                </c:pt>
                <c:pt idx="125">
                  <c:v>6-May</c:v>
                </c:pt>
                <c:pt idx="126">
                  <c:v>7-May</c:v>
                </c:pt>
                <c:pt idx="127">
                  <c:v>8-May</c:v>
                </c:pt>
                <c:pt idx="128">
                  <c:v>9-May</c:v>
                </c:pt>
                <c:pt idx="129">
                  <c:v>10-May</c:v>
                </c:pt>
                <c:pt idx="130">
                  <c:v>11-May</c:v>
                </c:pt>
                <c:pt idx="131">
                  <c:v>12-May</c:v>
                </c:pt>
                <c:pt idx="132">
                  <c:v>13-May</c:v>
                </c:pt>
                <c:pt idx="133">
                  <c:v>14-May</c:v>
                </c:pt>
                <c:pt idx="134">
                  <c:v>15-May</c:v>
                </c:pt>
                <c:pt idx="135">
                  <c:v>16-May</c:v>
                </c:pt>
                <c:pt idx="136">
                  <c:v>17-May</c:v>
                </c:pt>
                <c:pt idx="137">
                  <c:v>18-May</c:v>
                </c:pt>
                <c:pt idx="138">
                  <c:v>19-May</c:v>
                </c:pt>
                <c:pt idx="139">
                  <c:v>20-May</c:v>
                </c:pt>
                <c:pt idx="140">
                  <c:v>21-May</c:v>
                </c:pt>
                <c:pt idx="141">
                  <c:v>22-May</c:v>
                </c:pt>
                <c:pt idx="142">
                  <c:v>23-May</c:v>
                </c:pt>
                <c:pt idx="143">
                  <c:v>24-May</c:v>
                </c:pt>
                <c:pt idx="144">
                  <c:v>25-May</c:v>
                </c:pt>
                <c:pt idx="145">
                  <c:v>26-May</c:v>
                </c:pt>
                <c:pt idx="146">
                  <c:v>27-May</c:v>
                </c:pt>
                <c:pt idx="147">
                  <c:v>28-May</c:v>
                </c:pt>
                <c:pt idx="148">
                  <c:v>29-May</c:v>
                </c:pt>
                <c:pt idx="149">
                  <c:v>30-May</c:v>
                </c:pt>
                <c:pt idx="150">
                  <c:v>31-May</c:v>
                </c:pt>
                <c:pt idx="151">
                  <c:v>1-Jun</c:v>
                </c:pt>
                <c:pt idx="152">
                  <c:v>2-Jun</c:v>
                </c:pt>
                <c:pt idx="153">
                  <c:v>3-Jun</c:v>
                </c:pt>
                <c:pt idx="154">
                  <c:v>4-Jun</c:v>
                </c:pt>
                <c:pt idx="155">
                  <c:v>5-Jun</c:v>
                </c:pt>
                <c:pt idx="156">
                  <c:v>6-Jun</c:v>
                </c:pt>
                <c:pt idx="157">
                  <c:v>7-Jun</c:v>
                </c:pt>
                <c:pt idx="158">
                  <c:v>8-Jun</c:v>
                </c:pt>
                <c:pt idx="159">
                  <c:v>9-Jun</c:v>
                </c:pt>
                <c:pt idx="160">
                  <c:v>10-Jun</c:v>
                </c:pt>
                <c:pt idx="161">
                  <c:v>11-Jun</c:v>
                </c:pt>
                <c:pt idx="162">
                  <c:v>12-Jun</c:v>
                </c:pt>
                <c:pt idx="163">
                  <c:v>13-Jun</c:v>
                </c:pt>
                <c:pt idx="164">
                  <c:v>14-Jun</c:v>
                </c:pt>
                <c:pt idx="165">
                  <c:v>15-Jun</c:v>
                </c:pt>
                <c:pt idx="166">
                  <c:v>16-Jun</c:v>
                </c:pt>
                <c:pt idx="167">
                  <c:v>17-Jun</c:v>
                </c:pt>
                <c:pt idx="168">
                  <c:v>18-Jun</c:v>
                </c:pt>
                <c:pt idx="169">
                  <c:v>19-Jun</c:v>
                </c:pt>
                <c:pt idx="170">
                  <c:v>20-Jun</c:v>
                </c:pt>
                <c:pt idx="171">
                  <c:v>21-Jun</c:v>
                </c:pt>
                <c:pt idx="172">
                  <c:v>22-Jun</c:v>
                </c:pt>
                <c:pt idx="173">
                  <c:v>23-Jun</c:v>
                </c:pt>
                <c:pt idx="174">
                  <c:v>24-Jun</c:v>
                </c:pt>
                <c:pt idx="175">
                  <c:v>25-Jun</c:v>
                </c:pt>
                <c:pt idx="176">
                  <c:v>26-Jun</c:v>
                </c:pt>
                <c:pt idx="177">
                  <c:v>27-Jun</c:v>
                </c:pt>
                <c:pt idx="178">
                  <c:v>28-Jun</c:v>
                </c:pt>
                <c:pt idx="179">
                  <c:v>29-Jun</c:v>
                </c:pt>
                <c:pt idx="180">
                  <c:v>30-Jun</c:v>
                </c:pt>
                <c:pt idx="181">
                  <c:v>1-Jul</c:v>
                </c:pt>
                <c:pt idx="182">
                  <c:v>2-Jul</c:v>
                </c:pt>
                <c:pt idx="183">
                  <c:v>3-Jul</c:v>
                </c:pt>
                <c:pt idx="184">
                  <c:v>4-Jul</c:v>
                </c:pt>
                <c:pt idx="185">
                  <c:v>5-Jul</c:v>
                </c:pt>
                <c:pt idx="186">
                  <c:v>6-Jul</c:v>
                </c:pt>
                <c:pt idx="187">
                  <c:v>7-Jul</c:v>
                </c:pt>
                <c:pt idx="188">
                  <c:v>8-Jul</c:v>
                </c:pt>
                <c:pt idx="189">
                  <c:v>9-Jul</c:v>
                </c:pt>
                <c:pt idx="190">
                  <c:v>10-Jul</c:v>
                </c:pt>
                <c:pt idx="191">
                  <c:v>11-Jul</c:v>
                </c:pt>
                <c:pt idx="192">
                  <c:v>12-Jul</c:v>
                </c:pt>
                <c:pt idx="193">
                  <c:v>13-Jul</c:v>
                </c:pt>
                <c:pt idx="194">
                  <c:v>14-Jul</c:v>
                </c:pt>
                <c:pt idx="195">
                  <c:v>15-Jul</c:v>
                </c:pt>
                <c:pt idx="196">
                  <c:v>16-Jul</c:v>
                </c:pt>
                <c:pt idx="197">
                  <c:v>17-Jul</c:v>
                </c:pt>
                <c:pt idx="198">
                  <c:v>18-Jul</c:v>
                </c:pt>
                <c:pt idx="199">
                  <c:v>19-Jul</c:v>
                </c:pt>
                <c:pt idx="200">
                  <c:v>20-Jul</c:v>
                </c:pt>
                <c:pt idx="201">
                  <c:v>21-Jul</c:v>
                </c:pt>
                <c:pt idx="202">
                  <c:v>22-Jul</c:v>
                </c:pt>
                <c:pt idx="203">
                  <c:v>23-Jul</c:v>
                </c:pt>
                <c:pt idx="204">
                  <c:v>24-Jul</c:v>
                </c:pt>
                <c:pt idx="205">
                  <c:v>25-Jul</c:v>
                </c:pt>
                <c:pt idx="206">
                  <c:v>26-Jul</c:v>
                </c:pt>
                <c:pt idx="207">
                  <c:v>27-Jul</c:v>
                </c:pt>
                <c:pt idx="208">
                  <c:v>28-Jul</c:v>
                </c:pt>
                <c:pt idx="209">
                  <c:v>29-Jul</c:v>
                </c:pt>
                <c:pt idx="210">
                  <c:v>30-Jul</c:v>
                </c:pt>
                <c:pt idx="211">
                  <c:v>31-Jul</c:v>
                </c:pt>
                <c:pt idx="212">
                  <c:v>1-Aug</c:v>
                </c:pt>
                <c:pt idx="213">
                  <c:v>2-Aug</c:v>
                </c:pt>
                <c:pt idx="214">
                  <c:v>3-Aug</c:v>
                </c:pt>
                <c:pt idx="215">
                  <c:v>4-Aug</c:v>
                </c:pt>
                <c:pt idx="216">
                  <c:v>5-Aug</c:v>
                </c:pt>
                <c:pt idx="217">
                  <c:v>6-Aug</c:v>
                </c:pt>
                <c:pt idx="218">
                  <c:v>7-Aug</c:v>
                </c:pt>
                <c:pt idx="219">
                  <c:v>8-Aug</c:v>
                </c:pt>
                <c:pt idx="220">
                  <c:v>9-Aug</c:v>
                </c:pt>
                <c:pt idx="221">
                  <c:v>10-Aug</c:v>
                </c:pt>
                <c:pt idx="222">
                  <c:v>11-Aug</c:v>
                </c:pt>
                <c:pt idx="223">
                  <c:v>12-Aug</c:v>
                </c:pt>
                <c:pt idx="224">
                  <c:v>13-Aug</c:v>
                </c:pt>
                <c:pt idx="225">
                  <c:v>14-Aug</c:v>
                </c:pt>
                <c:pt idx="226">
                  <c:v>15-Aug</c:v>
                </c:pt>
                <c:pt idx="227">
                  <c:v>16-Aug</c:v>
                </c:pt>
                <c:pt idx="228">
                  <c:v>17-Aug</c:v>
                </c:pt>
                <c:pt idx="229">
                  <c:v>18-Aug</c:v>
                </c:pt>
                <c:pt idx="230">
                  <c:v>19-Aug</c:v>
                </c:pt>
                <c:pt idx="231">
                  <c:v>20-Aug</c:v>
                </c:pt>
                <c:pt idx="232">
                  <c:v>21-Aug</c:v>
                </c:pt>
                <c:pt idx="233">
                  <c:v>22-Aug</c:v>
                </c:pt>
                <c:pt idx="234">
                  <c:v>23-Aug</c:v>
                </c:pt>
                <c:pt idx="235">
                  <c:v>24-Aug</c:v>
                </c:pt>
                <c:pt idx="236">
                  <c:v>25-Aug</c:v>
                </c:pt>
                <c:pt idx="237">
                  <c:v>26-Aug</c:v>
                </c:pt>
                <c:pt idx="238">
                  <c:v>27-Aug</c:v>
                </c:pt>
                <c:pt idx="239">
                  <c:v>28-Aug</c:v>
                </c:pt>
                <c:pt idx="240">
                  <c:v>29-Aug</c:v>
                </c:pt>
                <c:pt idx="241">
                  <c:v>30-Aug</c:v>
                </c:pt>
                <c:pt idx="242">
                  <c:v>31-Aug</c:v>
                </c:pt>
                <c:pt idx="243">
                  <c:v>1-Sep</c:v>
                </c:pt>
                <c:pt idx="244">
                  <c:v>2-Sep</c:v>
                </c:pt>
                <c:pt idx="245">
                  <c:v>3-Sep</c:v>
                </c:pt>
                <c:pt idx="246">
                  <c:v>4-Sep</c:v>
                </c:pt>
                <c:pt idx="247">
                  <c:v>5-Sep</c:v>
                </c:pt>
                <c:pt idx="248">
                  <c:v>6-Sep</c:v>
                </c:pt>
                <c:pt idx="249">
                  <c:v>7-Sep</c:v>
                </c:pt>
                <c:pt idx="250">
                  <c:v>8-Sep</c:v>
                </c:pt>
                <c:pt idx="251">
                  <c:v>9-Sep</c:v>
                </c:pt>
                <c:pt idx="252">
                  <c:v>10-Sep</c:v>
                </c:pt>
                <c:pt idx="253">
                  <c:v>11-Sep</c:v>
                </c:pt>
                <c:pt idx="254">
                  <c:v>12-Sep</c:v>
                </c:pt>
                <c:pt idx="255">
                  <c:v>13-Sep</c:v>
                </c:pt>
                <c:pt idx="256">
                  <c:v>14-Sep</c:v>
                </c:pt>
                <c:pt idx="257">
                  <c:v>15-Sep</c:v>
                </c:pt>
                <c:pt idx="258">
                  <c:v>16-Sep</c:v>
                </c:pt>
                <c:pt idx="259">
                  <c:v>17-Sep</c:v>
                </c:pt>
                <c:pt idx="260">
                  <c:v>18-Sep</c:v>
                </c:pt>
                <c:pt idx="261">
                  <c:v>19-Sep</c:v>
                </c:pt>
                <c:pt idx="262">
                  <c:v>20-Sep</c:v>
                </c:pt>
                <c:pt idx="263">
                  <c:v>21-Sep</c:v>
                </c:pt>
                <c:pt idx="264">
                  <c:v>22-Sep</c:v>
                </c:pt>
                <c:pt idx="265">
                  <c:v>23-Sep</c:v>
                </c:pt>
                <c:pt idx="266">
                  <c:v>24-Sep</c:v>
                </c:pt>
                <c:pt idx="267">
                  <c:v>25-Sep</c:v>
                </c:pt>
                <c:pt idx="268">
                  <c:v>26-Sep</c:v>
                </c:pt>
                <c:pt idx="269">
                  <c:v>27-Sep</c:v>
                </c:pt>
                <c:pt idx="270">
                  <c:v>28-Sep</c:v>
                </c:pt>
                <c:pt idx="271">
                  <c:v>29-Sep</c:v>
                </c:pt>
                <c:pt idx="272">
                  <c:v>30-Sep</c:v>
                </c:pt>
                <c:pt idx="273">
                  <c:v>1-Oct</c:v>
                </c:pt>
                <c:pt idx="274">
                  <c:v>2-Oct</c:v>
                </c:pt>
                <c:pt idx="275">
                  <c:v>3-Oct</c:v>
                </c:pt>
                <c:pt idx="276">
                  <c:v>4-Oct</c:v>
                </c:pt>
                <c:pt idx="277">
                  <c:v>5-Oct</c:v>
                </c:pt>
                <c:pt idx="278">
                  <c:v>6-Oct</c:v>
                </c:pt>
                <c:pt idx="279">
                  <c:v>7-Oct</c:v>
                </c:pt>
                <c:pt idx="280">
                  <c:v>8-Oct</c:v>
                </c:pt>
                <c:pt idx="281">
                  <c:v>9-Oct</c:v>
                </c:pt>
                <c:pt idx="282">
                  <c:v>10-Oct</c:v>
                </c:pt>
                <c:pt idx="283">
                  <c:v>11-Oct</c:v>
                </c:pt>
                <c:pt idx="284">
                  <c:v>12-Oct</c:v>
                </c:pt>
                <c:pt idx="285">
                  <c:v>13-Oct</c:v>
                </c:pt>
                <c:pt idx="286">
                  <c:v>14-Oct</c:v>
                </c:pt>
                <c:pt idx="287">
                  <c:v>15-Oct</c:v>
                </c:pt>
                <c:pt idx="288">
                  <c:v>16-Oct</c:v>
                </c:pt>
                <c:pt idx="289">
                  <c:v>17-Oct</c:v>
                </c:pt>
                <c:pt idx="290">
                  <c:v>18-Oct</c:v>
                </c:pt>
                <c:pt idx="291">
                  <c:v>19-Oct</c:v>
                </c:pt>
                <c:pt idx="292">
                  <c:v>20-Oct</c:v>
                </c:pt>
                <c:pt idx="293">
                  <c:v>21-Oct</c:v>
                </c:pt>
                <c:pt idx="294">
                  <c:v>22-Oct</c:v>
                </c:pt>
                <c:pt idx="295">
                  <c:v>23-Oct</c:v>
                </c:pt>
                <c:pt idx="296">
                  <c:v>24-Oct</c:v>
                </c:pt>
                <c:pt idx="297">
                  <c:v>25-Oct</c:v>
                </c:pt>
                <c:pt idx="298">
                  <c:v>26-Oct</c:v>
                </c:pt>
                <c:pt idx="299">
                  <c:v>27-Oct</c:v>
                </c:pt>
                <c:pt idx="300">
                  <c:v>28-Oct</c:v>
                </c:pt>
                <c:pt idx="301">
                  <c:v>29-Oct</c:v>
                </c:pt>
                <c:pt idx="302">
                  <c:v>30-Oct</c:v>
                </c:pt>
                <c:pt idx="303">
                  <c:v>31-Oct</c:v>
                </c:pt>
                <c:pt idx="304">
                  <c:v>1-Nov</c:v>
                </c:pt>
                <c:pt idx="305">
                  <c:v>2-Nov</c:v>
                </c:pt>
                <c:pt idx="306">
                  <c:v>3-Nov</c:v>
                </c:pt>
                <c:pt idx="307">
                  <c:v>4-Nov</c:v>
                </c:pt>
                <c:pt idx="308">
                  <c:v>5-Nov</c:v>
                </c:pt>
                <c:pt idx="309">
                  <c:v>6-Nov</c:v>
                </c:pt>
                <c:pt idx="310">
                  <c:v>7-Nov</c:v>
                </c:pt>
                <c:pt idx="311">
                  <c:v>8-Nov</c:v>
                </c:pt>
                <c:pt idx="312">
                  <c:v>9-Nov</c:v>
                </c:pt>
                <c:pt idx="313">
                  <c:v>10-Nov</c:v>
                </c:pt>
                <c:pt idx="314">
                  <c:v>11-Nov</c:v>
                </c:pt>
                <c:pt idx="315">
                  <c:v>12-Nov</c:v>
                </c:pt>
                <c:pt idx="316">
                  <c:v>13-Nov</c:v>
                </c:pt>
                <c:pt idx="317">
                  <c:v>14-Nov</c:v>
                </c:pt>
                <c:pt idx="318">
                  <c:v>15-Nov</c:v>
                </c:pt>
                <c:pt idx="319">
                  <c:v>16-Nov</c:v>
                </c:pt>
                <c:pt idx="320">
                  <c:v>17-Nov</c:v>
                </c:pt>
                <c:pt idx="321">
                  <c:v>18-Nov</c:v>
                </c:pt>
                <c:pt idx="322">
                  <c:v>19-Nov</c:v>
                </c:pt>
                <c:pt idx="323">
                  <c:v>20-Nov</c:v>
                </c:pt>
                <c:pt idx="324">
                  <c:v>21-Nov</c:v>
                </c:pt>
                <c:pt idx="325">
                  <c:v>22-Nov</c:v>
                </c:pt>
                <c:pt idx="326">
                  <c:v>23-Nov</c:v>
                </c:pt>
                <c:pt idx="327">
                  <c:v>24-Nov</c:v>
                </c:pt>
                <c:pt idx="328">
                  <c:v>25-Nov</c:v>
                </c:pt>
                <c:pt idx="329">
                  <c:v>26-Nov</c:v>
                </c:pt>
                <c:pt idx="330">
                  <c:v>27-Nov</c:v>
                </c:pt>
                <c:pt idx="331">
                  <c:v>28-Nov</c:v>
                </c:pt>
                <c:pt idx="332">
                  <c:v>29-Nov</c:v>
                </c:pt>
                <c:pt idx="333">
                  <c:v>30-Nov</c:v>
                </c:pt>
                <c:pt idx="334">
                  <c:v>1-Dec</c:v>
                </c:pt>
                <c:pt idx="335">
                  <c:v>2-Dec</c:v>
                </c:pt>
                <c:pt idx="336">
                  <c:v>3-Dec</c:v>
                </c:pt>
                <c:pt idx="337">
                  <c:v>4-Dec</c:v>
                </c:pt>
                <c:pt idx="338">
                  <c:v>5-Dec</c:v>
                </c:pt>
                <c:pt idx="339">
                  <c:v>6-Dec</c:v>
                </c:pt>
                <c:pt idx="340">
                  <c:v>7-Dec</c:v>
                </c:pt>
                <c:pt idx="341">
                  <c:v>8-Dec</c:v>
                </c:pt>
                <c:pt idx="342">
                  <c:v>9-Dec</c:v>
                </c:pt>
                <c:pt idx="343">
                  <c:v>10-Dec</c:v>
                </c:pt>
                <c:pt idx="344">
                  <c:v>11-Dec</c:v>
                </c:pt>
                <c:pt idx="345">
                  <c:v>12-Dec</c:v>
                </c:pt>
                <c:pt idx="346">
                  <c:v>13-Dec</c:v>
                </c:pt>
                <c:pt idx="347">
                  <c:v>14-Dec</c:v>
                </c:pt>
                <c:pt idx="348">
                  <c:v>15-Dec</c:v>
                </c:pt>
                <c:pt idx="349">
                  <c:v>16-Dec</c:v>
                </c:pt>
                <c:pt idx="350">
                  <c:v>17-Dec</c:v>
                </c:pt>
                <c:pt idx="351">
                  <c:v>18-Dec</c:v>
                </c:pt>
                <c:pt idx="352">
                  <c:v>19-Dec</c:v>
                </c:pt>
                <c:pt idx="353">
                  <c:v>20-Dec</c:v>
                </c:pt>
                <c:pt idx="354">
                  <c:v>21-Dec</c:v>
                </c:pt>
                <c:pt idx="355">
                  <c:v>22-Dec</c:v>
                </c:pt>
                <c:pt idx="356">
                  <c:v>23-Dec</c:v>
                </c:pt>
                <c:pt idx="357">
                  <c:v>24-Dec</c:v>
                </c:pt>
                <c:pt idx="358">
                  <c:v>25-Dec</c:v>
                </c:pt>
                <c:pt idx="359">
                  <c:v>26-Dec</c:v>
                </c:pt>
                <c:pt idx="360">
                  <c:v>27-Dec</c:v>
                </c:pt>
                <c:pt idx="361">
                  <c:v>28-Dec</c:v>
                </c:pt>
                <c:pt idx="362">
                  <c:v>30-Dec</c:v>
                </c:pt>
                <c:pt idx="363">
                  <c:v>31-Dec</c:v>
                </c:pt>
              </c:strCache>
            </c:strRef>
          </c:cat>
          <c:val>
            <c:numRef>
              <c:f>'Sales by day'!$B$2:$B$366</c:f>
              <c:numCache>
                <c:formatCode>General</c:formatCode>
                <c:ptCount val="364"/>
                <c:pt idx="0">
                  <c:v>1433380</c:v>
                </c:pt>
                <c:pt idx="1">
                  <c:v>2077500</c:v>
                </c:pt>
                <c:pt idx="2">
                  <c:v>525820</c:v>
                </c:pt>
                <c:pt idx="3">
                  <c:v>1682080</c:v>
                </c:pt>
                <c:pt idx="4">
                  <c:v>881260</c:v>
                </c:pt>
                <c:pt idx="5">
                  <c:v>1497580</c:v>
                </c:pt>
                <c:pt idx="6">
                  <c:v>895600</c:v>
                </c:pt>
                <c:pt idx="7">
                  <c:v>3226720</c:v>
                </c:pt>
                <c:pt idx="8">
                  <c:v>1182410</c:v>
                </c:pt>
                <c:pt idx="9">
                  <c:v>1182830</c:v>
                </c:pt>
                <c:pt idx="10">
                  <c:v>2244180</c:v>
                </c:pt>
                <c:pt idx="11">
                  <c:v>1306700</c:v>
                </c:pt>
                <c:pt idx="12">
                  <c:v>813280</c:v>
                </c:pt>
                <c:pt idx="13">
                  <c:v>1463800</c:v>
                </c:pt>
                <c:pt idx="14">
                  <c:v>1492800</c:v>
                </c:pt>
                <c:pt idx="15">
                  <c:v>1250350</c:v>
                </c:pt>
                <c:pt idx="16">
                  <c:v>1703700</c:v>
                </c:pt>
                <c:pt idx="17">
                  <c:v>898180</c:v>
                </c:pt>
                <c:pt idx="18">
                  <c:v>2329080</c:v>
                </c:pt>
                <c:pt idx="19">
                  <c:v>888080</c:v>
                </c:pt>
                <c:pt idx="20">
                  <c:v>803630</c:v>
                </c:pt>
                <c:pt idx="21">
                  <c:v>652070</c:v>
                </c:pt>
                <c:pt idx="22">
                  <c:v>2954620</c:v>
                </c:pt>
                <c:pt idx="23">
                  <c:v>1229890</c:v>
                </c:pt>
                <c:pt idx="24">
                  <c:v>1674810</c:v>
                </c:pt>
                <c:pt idx="25">
                  <c:v>1161750</c:v>
                </c:pt>
                <c:pt idx="26">
                  <c:v>1090320</c:v>
                </c:pt>
                <c:pt idx="27">
                  <c:v>1774670</c:v>
                </c:pt>
                <c:pt idx="28">
                  <c:v>1385720</c:v>
                </c:pt>
                <c:pt idx="29">
                  <c:v>1043110</c:v>
                </c:pt>
                <c:pt idx="30">
                  <c:v>771460</c:v>
                </c:pt>
                <c:pt idx="31">
                  <c:v>660720</c:v>
                </c:pt>
                <c:pt idx="32">
                  <c:v>2925200</c:v>
                </c:pt>
                <c:pt idx="33">
                  <c:v>2020300</c:v>
                </c:pt>
                <c:pt idx="34">
                  <c:v>928880</c:v>
                </c:pt>
                <c:pt idx="35">
                  <c:v>1795840</c:v>
                </c:pt>
                <c:pt idx="36">
                  <c:v>1849460</c:v>
                </c:pt>
                <c:pt idx="37">
                  <c:v>2347060</c:v>
                </c:pt>
                <c:pt idx="38">
                  <c:v>1087660</c:v>
                </c:pt>
                <c:pt idx="39">
                  <c:v>1250460</c:v>
                </c:pt>
                <c:pt idx="40">
                  <c:v>808910</c:v>
                </c:pt>
                <c:pt idx="41">
                  <c:v>1736990</c:v>
                </c:pt>
                <c:pt idx="42">
                  <c:v>1388850</c:v>
                </c:pt>
                <c:pt idx="43">
                  <c:v>904460</c:v>
                </c:pt>
                <c:pt idx="44">
                  <c:v>1305150</c:v>
                </c:pt>
                <c:pt idx="45">
                  <c:v>1806540</c:v>
                </c:pt>
                <c:pt idx="46">
                  <c:v>1331420</c:v>
                </c:pt>
                <c:pt idx="47">
                  <c:v>1397520</c:v>
                </c:pt>
                <c:pt idx="48">
                  <c:v>746900</c:v>
                </c:pt>
                <c:pt idx="49">
                  <c:v>912630</c:v>
                </c:pt>
                <c:pt idx="50">
                  <c:v>1342760</c:v>
                </c:pt>
                <c:pt idx="51">
                  <c:v>606480</c:v>
                </c:pt>
                <c:pt idx="52">
                  <c:v>1226420</c:v>
                </c:pt>
                <c:pt idx="53">
                  <c:v>1008300</c:v>
                </c:pt>
                <c:pt idx="54">
                  <c:v>1406260</c:v>
                </c:pt>
                <c:pt idx="55">
                  <c:v>1046800</c:v>
                </c:pt>
                <c:pt idx="56">
                  <c:v>1587620</c:v>
                </c:pt>
                <c:pt idx="57">
                  <c:v>2620050</c:v>
                </c:pt>
                <c:pt idx="58">
                  <c:v>964780</c:v>
                </c:pt>
                <c:pt idx="59">
                  <c:v>1207260</c:v>
                </c:pt>
                <c:pt idx="60">
                  <c:v>1097290</c:v>
                </c:pt>
                <c:pt idx="61">
                  <c:v>1942550</c:v>
                </c:pt>
                <c:pt idx="62">
                  <c:v>1663640</c:v>
                </c:pt>
                <c:pt idx="63">
                  <c:v>1747280</c:v>
                </c:pt>
                <c:pt idx="64">
                  <c:v>1090540</c:v>
                </c:pt>
                <c:pt idx="65">
                  <c:v>613260</c:v>
                </c:pt>
                <c:pt idx="66">
                  <c:v>988540</c:v>
                </c:pt>
                <c:pt idx="67">
                  <c:v>1144940</c:v>
                </c:pt>
                <c:pt idx="68">
                  <c:v>1093840</c:v>
                </c:pt>
                <c:pt idx="69">
                  <c:v>881100</c:v>
                </c:pt>
                <c:pt idx="70">
                  <c:v>1069400</c:v>
                </c:pt>
                <c:pt idx="71">
                  <c:v>1015780</c:v>
                </c:pt>
                <c:pt idx="72">
                  <c:v>2178940</c:v>
                </c:pt>
                <c:pt idx="73">
                  <c:v>962440</c:v>
                </c:pt>
                <c:pt idx="74">
                  <c:v>1740780</c:v>
                </c:pt>
                <c:pt idx="75">
                  <c:v>786760</c:v>
                </c:pt>
                <c:pt idx="76">
                  <c:v>1624900</c:v>
                </c:pt>
                <c:pt idx="77">
                  <c:v>740250</c:v>
                </c:pt>
                <c:pt idx="78">
                  <c:v>2379180</c:v>
                </c:pt>
                <c:pt idx="79">
                  <c:v>1649180</c:v>
                </c:pt>
                <c:pt idx="80">
                  <c:v>1424670</c:v>
                </c:pt>
                <c:pt idx="81">
                  <c:v>1827980</c:v>
                </c:pt>
                <c:pt idx="82">
                  <c:v>1313350</c:v>
                </c:pt>
                <c:pt idx="83">
                  <c:v>842080</c:v>
                </c:pt>
                <c:pt idx="84">
                  <c:v>520800</c:v>
                </c:pt>
                <c:pt idx="85">
                  <c:v>1227620</c:v>
                </c:pt>
                <c:pt idx="86">
                  <c:v>1824580</c:v>
                </c:pt>
                <c:pt idx="87">
                  <c:v>386340</c:v>
                </c:pt>
                <c:pt idx="88">
                  <c:v>982420</c:v>
                </c:pt>
                <c:pt idx="89">
                  <c:v>690850</c:v>
                </c:pt>
                <c:pt idx="90">
                  <c:v>172590</c:v>
                </c:pt>
                <c:pt idx="91">
                  <c:v>720680</c:v>
                </c:pt>
                <c:pt idx="92">
                  <c:v>119650</c:v>
                </c:pt>
                <c:pt idx="93">
                  <c:v>172300</c:v>
                </c:pt>
                <c:pt idx="94">
                  <c:v>496700</c:v>
                </c:pt>
                <c:pt idx="95">
                  <c:v>991310</c:v>
                </c:pt>
                <c:pt idx="96">
                  <c:v>82340</c:v>
                </c:pt>
                <c:pt idx="97">
                  <c:v>686940</c:v>
                </c:pt>
                <c:pt idx="98">
                  <c:v>73800</c:v>
                </c:pt>
                <c:pt idx="99">
                  <c:v>689900</c:v>
                </c:pt>
                <c:pt idx="100">
                  <c:v>614220</c:v>
                </c:pt>
                <c:pt idx="101">
                  <c:v>259700</c:v>
                </c:pt>
                <c:pt idx="102">
                  <c:v>312550</c:v>
                </c:pt>
                <c:pt idx="103">
                  <c:v>170340</c:v>
                </c:pt>
                <c:pt idx="104">
                  <c:v>524420</c:v>
                </c:pt>
                <c:pt idx="105">
                  <c:v>394760</c:v>
                </c:pt>
                <c:pt idx="106">
                  <c:v>1127800</c:v>
                </c:pt>
                <c:pt idx="107">
                  <c:v>1260200</c:v>
                </c:pt>
                <c:pt idx="108">
                  <c:v>739710</c:v>
                </c:pt>
                <c:pt idx="109">
                  <c:v>538340</c:v>
                </c:pt>
                <c:pt idx="110">
                  <c:v>611200</c:v>
                </c:pt>
                <c:pt idx="111">
                  <c:v>894530</c:v>
                </c:pt>
                <c:pt idx="112">
                  <c:v>1351040</c:v>
                </c:pt>
                <c:pt idx="113">
                  <c:v>1145500</c:v>
                </c:pt>
                <c:pt idx="114">
                  <c:v>311100</c:v>
                </c:pt>
                <c:pt idx="115">
                  <c:v>435800</c:v>
                </c:pt>
                <c:pt idx="116">
                  <c:v>100360</c:v>
                </c:pt>
                <c:pt idx="117">
                  <c:v>187530</c:v>
                </c:pt>
                <c:pt idx="118">
                  <c:v>246990</c:v>
                </c:pt>
                <c:pt idx="119">
                  <c:v>1004640</c:v>
                </c:pt>
                <c:pt idx="120">
                  <c:v>1146540</c:v>
                </c:pt>
                <c:pt idx="121">
                  <c:v>288220</c:v>
                </c:pt>
                <c:pt idx="122">
                  <c:v>858480</c:v>
                </c:pt>
                <c:pt idx="123">
                  <c:v>784950</c:v>
                </c:pt>
                <c:pt idx="124">
                  <c:v>964150</c:v>
                </c:pt>
                <c:pt idx="125">
                  <c:v>401500</c:v>
                </c:pt>
                <c:pt idx="126">
                  <c:v>1191900</c:v>
                </c:pt>
                <c:pt idx="127">
                  <c:v>1260700</c:v>
                </c:pt>
                <c:pt idx="128">
                  <c:v>1293900</c:v>
                </c:pt>
                <c:pt idx="129">
                  <c:v>141300</c:v>
                </c:pt>
                <c:pt idx="130">
                  <c:v>158910</c:v>
                </c:pt>
                <c:pt idx="131">
                  <c:v>539220</c:v>
                </c:pt>
                <c:pt idx="132">
                  <c:v>148820</c:v>
                </c:pt>
                <c:pt idx="133">
                  <c:v>134280</c:v>
                </c:pt>
                <c:pt idx="134">
                  <c:v>514240</c:v>
                </c:pt>
                <c:pt idx="135">
                  <c:v>206950</c:v>
                </c:pt>
                <c:pt idx="136">
                  <c:v>295400</c:v>
                </c:pt>
                <c:pt idx="137">
                  <c:v>615260</c:v>
                </c:pt>
                <c:pt idx="138">
                  <c:v>683600</c:v>
                </c:pt>
                <c:pt idx="139">
                  <c:v>448000</c:v>
                </c:pt>
                <c:pt idx="140">
                  <c:v>171870</c:v>
                </c:pt>
                <c:pt idx="141">
                  <c:v>79220</c:v>
                </c:pt>
                <c:pt idx="142">
                  <c:v>326580</c:v>
                </c:pt>
                <c:pt idx="143">
                  <c:v>978980</c:v>
                </c:pt>
                <c:pt idx="144">
                  <c:v>591100</c:v>
                </c:pt>
                <c:pt idx="145">
                  <c:v>183820</c:v>
                </c:pt>
                <c:pt idx="146">
                  <c:v>917410</c:v>
                </c:pt>
                <c:pt idx="147">
                  <c:v>111690</c:v>
                </c:pt>
                <c:pt idx="148">
                  <c:v>393430</c:v>
                </c:pt>
                <c:pt idx="149">
                  <c:v>117700</c:v>
                </c:pt>
                <c:pt idx="150">
                  <c:v>587560</c:v>
                </c:pt>
                <c:pt idx="151">
                  <c:v>379540</c:v>
                </c:pt>
                <c:pt idx="152">
                  <c:v>49540</c:v>
                </c:pt>
                <c:pt idx="153">
                  <c:v>262120</c:v>
                </c:pt>
                <c:pt idx="154">
                  <c:v>139830</c:v>
                </c:pt>
                <c:pt idx="155">
                  <c:v>481300</c:v>
                </c:pt>
                <c:pt idx="156">
                  <c:v>530010</c:v>
                </c:pt>
                <c:pt idx="157">
                  <c:v>237040</c:v>
                </c:pt>
                <c:pt idx="158">
                  <c:v>603140</c:v>
                </c:pt>
                <c:pt idx="159">
                  <c:v>112100</c:v>
                </c:pt>
                <c:pt idx="160">
                  <c:v>275330</c:v>
                </c:pt>
                <c:pt idx="161">
                  <c:v>473880</c:v>
                </c:pt>
                <c:pt idx="162">
                  <c:v>338680</c:v>
                </c:pt>
                <c:pt idx="163">
                  <c:v>863840</c:v>
                </c:pt>
                <c:pt idx="164">
                  <c:v>470930</c:v>
                </c:pt>
                <c:pt idx="165">
                  <c:v>1247200</c:v>
                </c:pt>
                <c:pt idx="166">
                  <c:v>136020</c:v>
                </c:pt>
                <c:pt idx="167">
                  <c:v>864980</c:v>
                </c:pt>
                <c:pt idx="168">
                  <c:v>146700</c:v>
                </c:pt>
                <c:pt idx="169">
                  <c:v>1167390</c:v>
                </c:pt>
                <c:pt idx="170">
                  <c:v>254360</c:v>
                </c:pt>
                <c:pt idx="171">
                  <c:v>623280</c:v>
                </c:pt>
                <c:pt idx="172">
                  <c:v>169860</c:v>
                </c:pt>
                <c:pt idx="173">
                  <c:v>327330</c:v>
                </c:pt>
                <c:pt idx="174">
                  <c:v>94920</c:v>
                </c:pt>
                <c:pt idx="175">
                  <c:v>522000</c:v>
                </c:pt>
                <c:pt idx="176">
                  <c:v>160430</c:v>
                </c:pt>
                <c:pt idx="177">
                  <c:v>58220</c:v>
                </c:pt>
                <c:pt idx="178">
                  <c:v>399800</c:v>
                </c:pt>
                <c:pt idx="179">
                  <c:v>782650</c:v>
                </c:pt>
                <c:pt idx="180">
                  <c:v>500300</c:v>
                </c:pt>
                <c:pt idx="181">
                  <c:v>230880</c:v>
                </c:pt>
                <c:pt idx="182">
                  <c:v>719610</c:v>
                </c:pt>
                <c:pt idx="183">
                  <c:v>296630</c:v>
                </c:pt>
                <c:pt idx="184">
                  <c:v>547100</c:v>
                </c:pt>
                <c:pt idx="185">
                  <c:v>106060</c:v>
                </c:pt>
                <c:pt idx="186">
                  <c:v>229000</c:v>
                </c:pt>
                <c:pt idx="187">
                  <c:v>318820</c:v>
                </c:pt>
                <c:pt idx="188">
                  <c:v>204240</c:v>
                </c:pt>
                <c:pt idx="189">
                  <c:v>370900</c:v>
                </c:pt>
                <c:pt idx="190">
                  <c:v>149400</c:v>
                </c:pt>
                <c:pt idx="191">
                  <c:v>185020</c:v>
                </c:pt>
                <c:pt idx="192">
                  <c:v>691210</c:v>
                </c:pt>
                <c:pt idx="193">
                  <c:v>572880</c:v>
                </c:pt>
                <c:pt idx="194">
                  <c:v>1121400</c:v>
                </c:pt>
                <c:pt idx="195">
                  <c:v>776660</c:v>
                </c:pt>
                <c:pt idx="196">
                  <c:v>1217240</c:v>
                </c:pt>
                <c:pt idx="197">
                  <c:v>239760</c:v>
                </c:pt>
                <c:pt idx="198">
                  <c:v>591700</c:v>
                </c:pt>
                <c:pt idx="199">
                  <c:v>426200</c:v>
                </c:pt>
                <c:pt idx="200">
                  <c:v>150100</c:v>
                </c:pt>
                <c:pt idx="201">
                  <c:v>68730</c:v>
                </c:pt>
                <c:pt idx="202">
                  <c:v>919940</c:v>
                </c:pt>
                <c:pt idx="203">
                  <c:v>1889250</c:v>
                </c:pt>
                <c:pt idx="204">
                  <c:v>63760</c:v>
                </c:pt>
                <c:pt idx="205">
                  <c:v>128300</c:v>
                </c:pt>
                <c:pt idx="206">
                  <c:v>661940</c:v>
                </c:pt>
                <c:pt idx="207">
                  <c:v>875860</c:v>
                </c:pt>
                <c:pt idx="208">
                  <c:v>596070</c:v>
                </c:pt>
                <c:pt idx="209">
                  <c:v>291860</c:v>
                </c:pt>
                <c:pt idx="210">
                  <c:v>196950</c:v>
                </c:pt>
                <c:pt idx="211">
                  <c:v>377500</c:v>
                </c:pt>
                <c:pt idx="212">
                  <c:v>178760</c:v>
                </c:pt>
                <c:pt idx="213">
                  <c:v>136980</c:v>
                </c:pt>
                <c:pt idx="214">
                  <c:v>228120</c:v>
                </c:pt>
                <c:pt idx="215">
                  <c:v>787940</c:v>
                </c:pt>
                <c:pt idx="216">
                  <c:v>271400</c:v>
                </c:pt>
                <c:pt idx="217">
                  <c:v>176880</c:v>
                </c:pt>
                <c:pt idx="218">
                  <c:v>1342660</c:v>
                </c:pt>
                <c:pt idx="219">
                  <c:v>386830</c:v>
                </c:pt>
                <c:pt idx="220">
                  <c:v>416030</c:v>
                </c:pt>
                <c:pt idx="221">
                  <c:v>494500</c:v>
                </c:pt>
                <c:pt idx="222">
                  <c:v>541360</c:v>
                </c:pt>
                <c:pt idx="223">
                  <c:v>1145300</c:v>
                </c:pt>
                <c:pt idx="224">
                  <c:v>160260</c:v>
                </c:pt>
                <c:pt idx="225">
                  <c:v>911520</c:v>
                </c:pt>
                <c:pt idx="226">
                  <c:v>139300</c:v>
                </c:pt>
                <c:pt idx="227">
                  <c:v>207880</c:v>
                </c:pt>
                <c:pt idx="228">
                  <c:v>192180</c:v>
                </c:pt>
                <c:pt idx="229">
                  <c:v>267640</c:v>
                </c:pt>
                <c:pt idx="230">
                  <c:v>1093340</c:v>
                </c:pt>
                <c:pt idx="231">
                  <c:v>202650</c:v>
                </c:pt>
                <c:pt idx="232">
                  <c:v>410740</c:v>
                </c:pt>
                <c:pt idx="233">
                  <c:v>1165890</c:v>
                </c:pt>
                <c:pt idx="234">
                  <c:v>339940</c:v>
                </c:pt>
                <c:pt idx="235">
                  <c:v>876320</c:v>
                </c:pt>
                <c:pt idx="236">
                  <c:v>136060</c:v>
                </c:pt>
                <c:pt idx="237">
                  <c:v>361640</c:v>
                </c:pt>
                <c:pt idx="238">
                  <c:v>670440</c:v>
                </c:pt>
                <c:pt idx="239">
                  <c:v>122460</c:v>
                </c:pt>
                <c:pt idx="240">
                  <c:v>620450</c:v>
                </c:pt>
                <c:pt idx="241">
                  <c:v>603660</c:v>
                </c:pt>
                <c:pt idx="242">
                  <c:v>835920</c:v>
                </c:pt>
                <c:pt idx="243">
                  <c:v>218040</c:v>
                </c:pt>
                <c:pt idx="244">
                  <c:v>573300</c:v>
                </c:pt>
                <c:pt idx="245">
                  <c:v>121890</c:v>
                </c:pt>
                <c:pt idx="246">
                  <c:v>128890</c:v>
                </c:pt>
                <c:pt idx="247">
                  <c:v>459960</c:v>
                </c:pt>
                <c:pt idx="248">
                  <c:v>621900</c:v>
                </c:pt>
                <c:pt idx="249">
                  <c:v>157740</c:v>
                </c:pt>
                <c:pt idx="250">
                  <c:v>832120</c:v>
                </c:pt>
                <c:pt idx="251">
                  <c:v>702660</c:v>
                </c:pt>
                <c:pt idx="252">
                  <c:v>155940</c:v>
                </c:pt>
                <c:pt idx="253">
                  <c:v>120650</c:v>
                </c:pt>
                <c:pt idx="254">
                  <c:v>432800</c:v>
                </c:pt>
                <c:pt idx="255">
                  <c:v>245350</c:v>
                </c:pt>
                <c:pt idx="256">
                  <c:v>464280</c:v>
                </c:pt>
                <c:pt idx="257">
                  <c:v>1616160</c:v>
                </c:pt>
                <c:pt idx="258">
                  <c:v>844160</c:v>
                </c:pt>
                <c:pt idx="259">
                  <c:v>193080</c:v>
                </c:pt>
                <c:pt idx="260">
                  <c:v>632640</c:v>
                </c:pt>
                <c:pt idx="261">
                  <c:v>730940</c:v>
                </c:pt>
                <c:pt idx="262">
                  <c:v>1195900</c:v>
                </c:pt>
                <c:pt idx="263">
                  <c:v>126500</c:v>
                </c:pt>
                <c:pt idx="264">
                  <c:v>123850</c:v>
                </c:pt>
                <c:pt idx="265">
                  <c:v>1449520</c:v>
                </c:pt>
                <c:pt idx="266">
                  <c:v>240460</c:v>
                </c:pt>
                <c:pt idx="267">
                  <c:v>448040</c:v>
                </c:pt>
                <c:pt idx="268">
                  <c:v>753200</c:v>
                </c:pt>
                <c:pt idx="269">
                  <c:v>1096950</c:v>
                </c:pt>
                <c:pt idx="270">
                  <c:v>728520</c:v>
                </c:pt>
                <c:pt idx="271">
                  <c:v>725770</c:v>
                </c:pt>
                <c:pt idx="272">
                  <c:v>283140</c:v>
                </c:pt>
                <c:pt idx="273">
                  <c:v>647820</c:v>
                </c:pt>
                <c:pt idx="274">
                  <c:v>403300</c:v>
                </c:pt>
                <c:pt idx="275">
                  <c:v>1004960</c:v>
                </c:pt>
                <c:pt idx="276">
                  <c:v>231000</c:v>
                </c:pt>
                <c:pt idx="277">
                  <c:v>1173380</c:v>
                </c:pt>
                <c:pt idx="278">
                  <c:v>166360</c:v>
                </c:pt>
                <c:pt idx="279">
                  <c:v>565880</c:v>
                </c:pt>
                <c:pt idx="280">
                  <c:v>486510</c:v>
                </c:pt>
                <c:pt idx="281">
                  <c:v>454040</c:v>
                </c:pt>
                <c:pt idx="282">
                  <c:v>143800</c:v>
                </c:pt>
                <c:pt idx="283">
                  <c:v>864500</c:v>
                </c:pt>
                <c:pt idx="284">
                  <c:v>722600</c:v>
                </c:pt>
                <c:pt idx="285">
                  <c:v>821400</c:v>
                </c:pt>
                <c:pt idx="286">
                  <c:v>674500</c:v>
                </c:pt>
                <c:pt idx="287">
                  <c:v>180430</c:v>
                </c:pt>
                <c:pt idx="288">
                  <c:v>876160</c:v>
                </c:pt>
                <c:pt idx="289">
                  <c:v>758420</c:v>
                </c:pt>
                <c:pt idx="290">
                  <c:v>2429510</c:v>
                </c:pt>
                <c:pt idx="291">
                  <c:v>464600</c:v>
                </c:pt>
                <c:pt idx="292">
                  <c:v>719820</c:v>
                </c:pt>
                <c:pt idx="293">
                  <c:v>298940</c:v>
                </c:pt>
                <c:pt idx="294">
                  <c:v>859680</c:v>
                </c:pt>
                <c:pt idx="295">
                  <c:v>1297660</c:v>
                </c:pt>
                <c:pt idx="296">
                  <c:v>275950</c:v>
                </c:pt>
                <c:pt idx="297">
                  <c:v>551780</c:v>
                </c:pt>
                <c:pt idx="298">
                  <c:v>87340</c:v>
                </c:pt>
                <c:pt idx="299">
                  <c:v>916840</c:v>
                </c:pt>
                <c:pt idx="300">
                  <c:v>74460</c:v>
                </c:pt>
                <c:pt idx="301">
                  <c:v>213880</c:v>
                </c:pt>
                <c:pt idx="302">
                  <c:v>137180</c:v>
                </c:pt>
                <c:pt idx="303">
                  <c:v>1076400</c:v>
                </c:pt>
                <c:pt idx="304">
                  <c:v>875820</c:v>
                </c:pt>
                <c:pt idx="305">
                  <c:v>619850</c:v>
                </c:pt>
                <c:pt idx="306">
                  <c:v>1127040</c:v>
                </c:pt>
                <c:pt idx="307">
                  <c:v>426200</c:v>
                </c:pt>
                <c:pt idx="308">
                  <c:v>365760</c:v>
                </c:pt>
                <c:pt idx="309">
                  <c:v>415480</c:v>
                </c:pt>
                <c:pt idx="310">
                  <c:v>132600</c:v>
                </c:pt>
                <c:pt idx="311">
                  <c:v>488940</c:v>
                </c:pt>
                <c:pt idx="312">
                  <c:v>727980</c:v>
                </c:pt>
                <c:pt idx="313">
                  <c:v>229510</c:v>
                </c:pt>
                <c:pt idx="314">
                  <c:v>185500</c:v>
                </c:pt>
                <c:pt idx="315">
                  <c:v>466200</c:v>
                </c:pt>
                <c:pt idx="316">
                  <c:v>1419320</c:v>
                </c:pt>
                <c:pt idx="317">
                  <c:v>719950</c:v>
                </c:pt>
                <c:pt idx="318">
                  <c:v>484390</c:v>
                </c:pt>
                <c:pt idx="319">
                  <c:v>588400</c:v>
                </c:pt>
                <c:pt idx="320">
                  <c:v>645820</c:v>
                </c:pt>
                <c:pt idx="321">
                  <c:v>799080</c:v>
                </c:pt>
                <c:pt idx="322">
                  <c:v>311580</c:v>
                </c:pt>
                <c:pt idx="323">
                  <c:v>169420</c:v>
                </c:pt>
                <c:pt idx="324">
                  <c:v>1161240</c:v>
                </c:pt>
                <c:pt idx="325">
                  <c:v>422300</c:v>
                </c:pt>
                <c:pt idx="326">
                  <c:v>383880</c:v>
                </c:pt>
                <c:pt idx="327">
                  <c:v>1200980</c:v>
                </c:pt>
                <c:pt idx="328">
                  <c:v>57130</c:v>
                </c:pt>
                <c:pt idx="329">
                  <c:v>176470</c:v>
                </c:pt>
                <c:pt idx="330">
                  <c:v>557640</c:v>
                </c:pt>
                <c:pt idx="331">
                  <c:v>709950</c:v>
                </c:pt>
                <c:pt idx="332">
                  <c:v>761850</c:v>
                </c:pt>
                <c:pt idx="333">
                  <c:v>201100</c:v>
                </c:pt>
                <c:pt idx="334">
                  <c:v>238620</c:v>
                </c:pt>
                <c:pt idx="335">
                  <c:v>672380</c:v>
                </c:pt>
                <c:pt idx="336">
                  <c:v>258240</c:v>
                </c:pt>
                <c:pt idx="337">
                  <c:v>489400</c:v>
                </c:pt>
                <c:pt idx="338">
                  <c:v>140280</c:v>
                </c:pt>
                <c:pt idx="339">
                  <c:v>478900</c:v>
                </c:pt>
                <c:pt idx="340">
                  <c:v>1078940</c:v>
                </c:pt>
                <c:pt idx="341">
                  <c:v>1335520</c:v>
                </c:pt>
                <c:pt idx="342">
                  <c:v>277540</c:v>
                </c:pt>
                <c:pt idx="343">
                  <c:v>475260</c:v>
                </c:pt>
                <c:pt idx="344">
                  <c:v>961210</c:v>
                </c:pt>
                <c:pt idx="345">
                  <c:v>251620</c:v>
                </c:pt>
                <c:pt idx="346">
                  <c:v>478040</c:v>
                </c:pt>
                <c:pt idx="347">
                  <c:v>1170320</c:v>
                </c:pt>
                <c:pt idx="348">
                  <c:v>531700</c:v>
                </c:pt>
                <c:pt idx="349">
                  <c:v>627320</c:v>
                </c:pt>
                <c:pt idx="350">
                  <c:v>514720</c:v>
                </c:pt>
                <c:pt idx="351">
                  <c:v>245400</c:v>
                </c:pt>
                <c:pt idx="352">
                  <c:v>292000</c:v>
                </c:pt>
                <c:pt idx="353">
                  <c:v>490320</c:v>
                </c:pt>
                <c:pt idx="354">
                  <c:v>448680</c:v>
                </c:pt>
                <c:pt idx="355">
                  <c:v>509700</c:v>
                </c:pt>
                <c:pt idx="356">
                  <c:v>443460</c:v>
                </c:pt>
                <c:pt idx="357">
                  <c:v>348470</c:v>
                </c:pt>
                <c:pt idx="358">
                  <c:v>1048640</c:v>
                </c:pt>
                <c:pt idx="359">
                  <c:v>828720</c:v>
                </c:pt>
                <c:pt idx="360">
                  <c:v>1212900</c:v>
                </c:pt>
                <c:pt idx="361">
                  <c:v>1421530</c:v>
                </c:pt>
                <c:pt idx="362">
                  <c:v>1259500</c:v>
                </c:pt>
                <c:pt idx="363">
                  <c:v>176720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C5-4EB1-A21C-B3414E1B501A}"/>
            </c:ext>
          </c:extLst>
        </c:ser>
        <c:ser>
          <c:idx val="1"/>
          <c:order val="1"/>
          <c:tx>
            <c:strRef>
              <c:f>'Sales by day'!$C$1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'Sales by day'!$A$2:$A$366</c:f>
              <c:strCache>
                <c:ptCount val="364"/>
                <c:pt idx="0">
                  <c:v>1-Jan</c:v>
                </c:pt>
                <c:pt idx="1">
                  <c:v>2-Jan</c:v>
                </c:pt>
                <c:pt idx="2">
                  <c:v>3-Jan</c:v>
                </c:pt>
                <c:pt idx="3">
                  <c:v>4-Jan</c:v>
                </c:pt>
                <c:pt idx="4">
                  <c:v>5-Jan</c:v>
                </c:pt>
                <c:pt idx="5">
                  <c:v>6-Jan</c:v>
                </c:pt>
                <c:pt idx="6">
                  <c:v>7-Jan</c:v>
                </c:pt>
                <c:pt idx="7">
                  <c:v>8-Jan</c:v>
                </c:pt>
                <c:pt idx="8">
                  <c:v>9-Jan</c:v>
                </c:pt>
                <c:pt idx="9">
                  <c:v>10-Jan</c:v>
                </c:pt>
                <c:pt idx="10">
                  <c:v>11-Jan</c:v>
                </c:pt>
                <c:pt idx="11">
                  <c:v>12-Jan</c:v>
                </c:pt>
                <c:pt idx="12">
                  <c:v>13-Jan</c:v>
                </c:pt>
                <c:pt idx="13">
                  <c:v>14-Jan</c:v>
                </c:pt>
                <c:pt idx="14">
                  <c:v>15-Jan</c:v>
                </c:pt>
                <c:pt idx="15">
                  <c:v>16-Jan</c:v>
                </c:pt>
                <c:pt idx="16">
                  <c:v>17-Jan</c:v>
                </c:pt>
                <c:pt idx="17">
                  <c:v>18-Jan</c:v>
                </c:pt>
                <c:pt idx="18">
                  <c:v>19-Jan</c:v>
                </c:pt>
                <c:pt idx="19">
                  <c:v>20-Jan</c:v>
                </c:pt>
                <c:pt idx="20">
                  <c:v>21-Jan</c:v>
                </c:pt>
                <c:pt idx="21">
                  <c:v>22-Jan</c:v>
                </c:pt>
                <c:pt idx="22">
                  <c:v>23-Jan</c:v>
                </c:pt>
                <c:pt idx="23">
                  <c:v>24-Jan</c:v>
                </c:pt>
                <c:pt idx="24">
                  <c:v>25-Jan</c:v>
                </c:pt>
                <c:pt idx="25">
                  <c:v>26-Jan</c:v>
                </c:pt>
                <c:pt idx="26">
                  <c:v>27-Jan</c:v>
                </c:pt>
                <c:pt idx="27">
                  <c:v>28-Jan</c:v>
                </c:pt>
                <c:pt idx="28">
                  <c:v>29-Jan</c:v>
                </c:pt>
                <c:pt idx="29">
                  <c:v>30-Jan</c:v>
                </c:pt>
                <c:pt idx="30">
                  <c:v>31-Jan</c:v>
                </c:pt>
                <c:pt idx="31">
                  <c:v>1-Feb</c:v>
                </c:pt>
                <c:pt idx="32">
                  <c:v>2-Feb</c:v>
                </c:pt>
                <c:pt idx="33">
                  <c:v>3-Feb</c:v>
                </c:pt>
                <c:pt idx="34">
                  <c:v>4-Feb</c:v>
                </c:pt>
                <c:pt idx="35">
                  <c:v>5-Feb</c:v>
                </c:pt>
                <c:pt idx="36">
                  <c:v>6-Feb</c:v>
                </c:pt>
                <c:pt idx="37">
                  <c:v>7-Feb</c:v>
                </c:pt>
                <c:pt idx="38">
                  <c:v>8-Feb</c:v>
                </c:pt>
                <c:pt idx="39">
                  <c:v>9-Feb</c:v>
                </c:pt>
                <c:pt idx="40">
                  <c:v>10-Feb</c:v>
                </c:pt>
                <c:pt idx="41">
                  <c:v>11-Feb</c:v>
                </c:pt>
                <c:pt idx="42">
                  <c:v>12-Feb</c:v>
                </c:pt>
                <c:pt idx="43">
                  <c:v>13-Feb</c:v>
                </c:pt>
                <c:pt idx="44">
                  <c:v>14-Feb</c:v>
                </c:pt>
                <c:pt idx="45">
                  <c:v>15-Feb</c:v>
                </c:pt>
                <c:pt idx="46">
                  <c:v>16-Feb</c:v>
                </c:pt>
                <c:pt idx="47">
                  <c:v>17-Feb</c:v>
                </c:pt>
                <c:pt idx="48">
                  <c:v>18-Feb</c:v>
                </c:pt>
                <c:pt idx="49">
                  <c:v>19-Feb</c:v>
                </c:pt>
                <c:pt idx="50">
                  <c:v>20-Feb</c:v>
                </c:pt>
                <c:pt idx="51">
                  <c:v>21-Feb</c:v>
                </c:pt>
                <c:pt idx="52">
                  <c:v>22-Feb</c:v>
                </c:pt>
                <c:pt idx="53">
                  <c:v>23-Feb</c:v>
                </c:pt>
                <c:pt idx="54">
                  <c:v>24-Feb</c:v>
                </c:pt>
                <c:pt idx="55">
                  <c:v>25-Feb</c:v>
                </c:pt>
                <c:pt idx="56">
                  <c:v>26-Feb</c:v>
                </c:pt>
                <c:pt idx="57">
                  <c:v>27-Feb</c:v>
                </c:pt>
                <c:pt idx="58">
                  <c:v>28-Feb</c:v>
                </c:pt>
                <c:pt idx="59">
                  <c:v>1-Mar</c:v>
                </c:pt>
                <c:pt idx="60">
                  <c:v>2-Mar</c:v>
                </c:pt>
                <c:pt idx="61">
                  <c:v>3-Mar</c:v>
                </c:pt>
                <c:pt idx="62">
                  <c:v>4-Mar</c:v>
                </c:pt>
                <c:pt idx="63">
                  <c:v>5-Mar</c:v>
                </c:pt>
                <c:pt idx="64">
                  <c:v>6-Mar</c:v>
                </c:pt>
                <c:pt idx="65">
                  <c:v>7-Mar</c:v>
                </c:pt>
                <c:pt idx="66">
                  <c:v>8-Mar</c:v>
                </c:pt>
                <c:pt idx="67">
                  <c:v>9-Mar</c:v>
                </c:pt>
                <c:pt idx="68">
                  <c:v>10-Mar</c:v>
                </c:pt>
                <c:pt idx="69">
                  <c:v>11-Mar</c:v>
                </c:pt>
                <c:pt idx="70">
                  <c:v>12-Mar</c:v>
                </c:pt>
                <c:pt idx="71">
                  <c:v>13-Mar</c:v>
                </c:pt>
                <c:pt idx="72">
                  <c:v>14-Mar</c:v>
                </c:pt>
                <c:pt idx="73">
                  <c:v>15-Mar</c:v>
                </c:pt>
                <c:pt idx="74">
                  <c:v>16-Mar</c:v>
                </c:pt>
                <c:pt idx="75">
                  <c:v>17-Mar</c:v>
                </c:pt>
                <c:pt idx="76">
                  <c:v>18-Mar</c:v>
                </c:pt>
                <c:pt idx="77">
                  <c:v>19-Mar</c:v>
                </c:pt>
                <c:pt idx="78">
                  <c:v>20-Mar</c:v>
                </c:pt>
                <c:pt idx="79">
                  <c:v>21-Mar</c:v>
                </c:pt>
                <c:pt idx="80">
                  <c:v>22-Mar</c:v>
                </c:pt>
                <c:pt idx="81">
                  <c:v>23-Mar</c:v>
                </c:pt>
                <c:pt idx="82">
                  <c:v>24-Mar</c:v>
                </c:pt>
                <c:pt idx="83">
                  <c:v>25-Mar</c:v>
                </c:pt>
                <c:pt idx="84">
                  <c:v>26-Mar</c:v>
                </c:pt>
                <c:pt idx="85">
                  <c:v>27-Mar</c:v>
                </c:pt>
                <c:pt idx="86">
                  <c:v>28-Mar</c:v>
                </c:pt>
                <c:pt idx="87">
                  <c:v>29-Mar</c:v>
                </c:pt>
                <c:pt idx="88">
                  <c:v>30-Mar</c:v>
                </c:pt>
                <c:pt idx="89">
                  <c:v>31-Mar</c:v>
                </c:pt>
                <c:pt idx="90">
                  <c:v>1-Apr</c:v>
                </c:pt>
                <c:pt idx="91">
                  <c:v>2-Apr</c:v>
                </c:pt>
                <c:pt idx="92">
                  <c:v>3-Apr</c:v>
                </c:pt>
                <c:pt idx="93">
                  <c:v>4-Apr</c:v>
                </c:pt>
                <c:pt idx="94">
                  <c:v>5-Apr</c:v>
                </c:pt>
                <c:pt idx="95">
                  <c:v>6-Apr</c:v>
                </c:pt>
                <c:pt idx="96">
                  <c:v>7-Apr</c:v>
                </c:pt>
                <c:pt idx="97">
                  <c:v>8-Apr</c:v>
                </c:pt>
                <c:pt idx="98">
                  <c:v>9-Apr</c:v>
                </c:pt>
                <c:pt idx="99">
                  <c:v>10-Apr</c:v>
                </c:pt>
                <c:pt idx="100">
                  <c:v>11-Apr</c:v>
                </c:pt>
                <c:pt idx="101">
                  <c:v>12-Apr</c:v>
                </c:pt>
                <c:pt idx="102">
                  <c:v>13-Apr</c:v>
                </c:pt>
                <c:pt idx="103">
                  <c:v>14-Apr</c:v>
                </c:pt>
                <c:pt idx="104">
                  <c:v>15-Apr</c:v>
                </c:pt>
                <c:pt idx="105">
                  <c:v>16-Apr</c:v>
                </c:pt>
                <c:pt idx="106">
                  <c:v>17-Apr</c:v>
                </c:pt>
                <c:pt idx="107">
                  <c:v>18-Apr</c:v>
                </c:pt>
                <c:pt idx="108">
                  <c:v>19-Apr</c:v>
                </c:pt>
                <c:pt idx="109">
                  <c:v>20-Apr</c:v>
                </c:pt>
                <c:pt idx="110">
                  <c:v>21-Apr</c:v>
                </c:pt>
                <c:pt idx="111">
                  <c:v>22-Apr</c:v>
                </c:pt>
                <c:pt idx="112">
                  <c:v>23-Apr</c:v>
                </c:pt>
                <c:pt idx="113">
                  <c:v>24-Apr</c:v>
                </c:pt>
                <c:pt idx="114">
                  <c:v>25-Apr</c:v>
                </c:pt>
                <c:pt idx="115">
                  <c:v>26-Apr</c:v>
                </c:pt>
                <c:pt idx="116">
                  <c:v>27-Apr</c:v>
                </c:pt>
                <c:pt idx="117">
                  <c:v>28-Apr</c:v>
                </c:pt>
                <c:pt idx="118">
                  <c:v>29-Apr</c:v>
                </c:pt>
                <c:pt idx="119">
                  <c:v>30-Apr</c:v>
                </c:pt>
                <c:pt idx="120">
                  <c:v>1-May</c:v>
                </c:pt>
                <c:pt idx="121">
                  <c:v>2-May</c:v>
                </c:pt>
                <c:pt idx="122">
                  <c:v>3-May</c:v>
                </c:pt>
                <c:pt idx="123">
                  <c:v>4-May</c:v>
                </c:pt>
                <c:pt idx="124">
                  <c:v>5-May</c:v>
                </c:pt>
                <c:pt idx="125">
                  <c:v>6-May</c:v>
                </c:pt>
                <c:pt idx="126">
                  <c:v>7-May</c:v>
                </c:pt>
                <c:pt idx="127">
                  <c:v>8-May</c:v>
                </c:pt>
                <c:pt idx="128">
                  <c:v>9-May</c:v>
                </c:pt>
                <c:pt idx="129">
                  <c:v>10-May</c:v>
                </c:pt>
                <c:pt idx="130">
                  <c:v>11-May</c:v>
                </c:pt>
                <c:pt idx="131">
                  <c:v>12-May</c:v>
                </c:pt>
                <c:pt idx="132">
                  <c:v>13-May</c:v>
                </c:pt>
                <c:pt idx="133">
                  <c:v>14-May</c:v>
                </c:pt>
                <c:pt idx="134">
                  <c:v>15-May</c:v>
                </c:pt>
                <c:pt idx="135">
                  <c:v>16-May</c:v>
                </c:pt>
                <c:pt idx="136">
                  <c:v>17-May</c:v>
                </c:pt>
                <c:pt idx="137">
                  <c:v>18-May</c:v>
                </c:pt>
                <c:pt idx="138">
                  <c:v>19-May</c:v>
                </c:pt>
                <c:pt idx="139">
                  <c:v>20-May</c:v>
                </c:pt>
                <c:pt idx="140">
                  <c:v>21-May</c:v>
                </c:pt>
                <c:pt idx="141">
                  <c:v>22-May</c:v>
                </c:pt>
                <c:pt idx="142">
                  <c:v>23-May</c:v>
                </c:pt>
                <c:pt idx="143">
                  <c:v>24-May</c:v>
                </c:pt>
                <c:pt idx="144">
                  <c:v>25-May</c:v>
                </c:pt>
                <c:pt idx="145">
                  <c:v>26-May</c:v>
                </c:pt>
                <c:pt idx="146">
                  <c:v>27-May</c:v>
                </c:pt>
                <c:pt idx="147">
                  <c:v>28-May</c:v>
                </c:pt>
                <c:pt idx="148">
                  <c:v>29-May</c:v>
                </c:pt>
                <c:pt idx="149">
                  <c:v>30-May</c:v>
                </c:pt>
                <c:pt idx="150">
                  <c:v>31-May</c:v>
                </c:pt>
                <c:pt idx="151">
                  <c:v>1-Jun</c:v>
                </c:pt>
                <c:pt idx="152">
                  <c:v>2-Jun</c:v>
                </c:pt>
                <c:pt idx="153">
                  <c:v>3-Jun</c:v>
                </c:pt>
                <c:pt idx="154">
                  <c:v>4-Jun</c:v>
                </c:pt>
                <c:pt idx="155">
                  <c:v>5-Jun</c:v>
                </c:pt>
                <c:pt idx="156">
                  <c:v>6-Jun</c:v>
                </c:pt>
                <c:pt idx="157">
                  <c:v>7-Jun</c:v>
                </c:pt>
                <c:pt idx="158">
                  <c:v>8-Jun</c:v>
                </c:pt>
                <c:pt idx="159">
                  <c:v>9-Jun</c:v>
                </c:pt>
                <c:pt idx="160">
                  <c:v>10-Jun</c:v>
                </c:pt>
                <c:pt idx="161">
                  <c:v>11-Jun</c:v>
                </c:pt>
                <c:pt idx="162">
                  <c:v>12-Jun</c:v>
                </c:pt>
                <c:pt idx="163">
                  <c:v>13-Jun</c:v>
                </c:pt>
                <c:pt idx="164">
                  <c:v>14-Jun</c:v>
                </c:pt>
                <c:pt idx="165">
                  <c:v>15-Jun</c:v>
                </c:pt>
                <c:pt idx="166">
                  <c:v>16-Jun</c:v>
                </c:pt>
                <c:pt idx="167">
                  <c:v>17-Jun</c:v>
                </c:pt>
                <c:pt idx="168">
                  <c:v>18-Jun</c:v>
                </c:pt>
                <c:pt idx="169">
                  <c:v>19-Jun</c:v>
                </c:pt>
                <c:pt idx="170">
                  <c:v>20-Jun</c:v>
                </c:pt>
                <c:pt idx="171">
                  <c:v>21-Jun</c:v>
                </c:pt>
                <c:pt idx="172">
                  <c:v>22-Jun</c:v>
                </c:pt>
                <c:pt idx="173">
                  <c:v>23-Jun</c:v>
                </c:pt>
                <c:pt idx="174">
                  <c:v>24-Jun</c:v>
                </c:pt>
                <c:pt idx="175">
                  <c:v>25-Jun</c:v>
                </c:pt>
                <c:pt idx="176">
                  <c:v>26-Jun</c:v>
                </c:pt>
                <c:pt idx="177">
                  <c:v>27-Jun</c:v>
                </c:pt>
                <c:pt idx="178">
                  <c:v>28-Jun</c:v>
                </c:pt>
                <c:pt idx="179">
                  <c:v>29-Jun</c:v>
                </c:pt>
                <c:pt idx="180">
                  <c:v>30-Jun</c:v>
                </c:pt>
                <c:pt idx="181">
                  <c:v>1-Jul</c:v>
                </c:pt>
                <c:pt idx="182">
                  <c:v>2-Jul</c:v>
                </c:pt>
                <c:pt idx="183">
                  <c:v>3-Jul</c:v>
                </c:pt>
                <c:pt idx="184">
                  <c:v>4-Jul</c:v>
                </c:pt>
                <c:pt idx="185">
                  <c:v>5-Jul</c:v>
                </c:pt>
                <c:pt idx="186">
                  <c:v>6-Jul</c:v>
                </c:pt>
                <c:pt idx="187">
                  <c:v>7-Jul</c:v>
                </c:pt>
                <c:pt idx="188">
                  <c:v>8-Jul</c:v>
                </c:pt>
                <c:pt idx="189">
                  <c:v>9-Jul</c:v>
                </c:pt>
                <c:pt idx="190">
                  <c:v>10-Jul</c:v>
                </c:pt>
                <c:pt idx="191">
                  <c:v>11-Jul</c:v>
                </c:pt>
                <c:pt idx="192">
                  <c:v>12-Jul</c:v>
                </c:pt>
                <c:pt idx="193">
                  <c:v>13-Jul</c:v>
                </c:pt>
                <c:pt idx="194">
                  <c:v>14-Jul</c:v>
                </c:pt>
                <c:pt idx="195">
                  <c:v>15-Jul</c:v>
                </c:pt>
                <c:pt idx="196">
                  <c:v>16-Jul</c:v>
                </c:pt>
                <c:pt idx="197">
                  <c:v>17-Jul</c:v>
                </c:pt>
                <c:pt idx="198">
                  <c:v>18-Jul</c:v>
                </c:pt>
                <c:pt idx="199">
                  <c:v>19-Jul</c:v>
                </c:pt>
                <c:pt idx="200">
                  <c:v>20-Jul</c:v>
                </c:pt>
                <c:pt idx="201">
                  <c:v>21-Jul</c:v>
                </c:pt>
                <c:pt idx="202">
                  <c:v>22-Jul</c:v>
                </c:pt>
                <c:pt idx="203">
                  <c:v>23-Jul</c:v>
                </c:pt>
                <c:pt idx="204">
                  <c:v>24-Jul</c:v>
                </c:pt>
                <c:pt idx="205">
                  <c:v>25-Jul</c:v>
                </c:pt>
                <c:pt idx="206">
                  <c:v>26-Jul</c:v>
                </c:pt>
                <c:pt idx="207">
                  <c:v>27-Jul</c:v>
                </c:pt>
                <c:pt idx="208">
                  <c:v>28-Jul</c:v>
                </c:pt>
                <c:pt idx="209">
                  <c:v>29-Jul</c:v>
                </c:pt>
                <c:pt idx="210">
                  <c:v>30-Jul</c:v>
                </c:pt>
                <c:pt idx="211">
                  <c:v>31-Jul</c:v>
                </c:pt>
                <c:pt idx="212">
                  <c:v>1-Aug</c:v>
                </c:pt>
                <c:pt idx="213">
                  <c:v>2-Aug</c:v>
                </c:pt>
                <c:pt idx="214">
                  <c:v>3-Aug</c:v>
                </c:pt>
                <c:pt idx="215">
                  <c:v>4-Aug</c:v>
                </c:pt>
                <c:pt idx="216">
                  <c:v>5-Aug</c:v>
                </c:pt>
                <c:pt idx="217">
                  <c:v>6-Aug</c:v>
                </c:pt>
                <c:pt idx="218">
                  <c:v>7-Aug</c:v>
                </c:pt>
                <c:pt idx="219">
                  <c:v>8-Aug</c:v>
                </c:pt>
                <c:pt idx="220">
                  <c:v>9-Aug</c:v>
                </c:pt>
                <c:pt idx="221">
                  <c:v>10-Aug</c:v>
                </c:pt>
                <c:pt idx="222">
                  <c:v>11-Aug</c:v>
                </c:pt>
                <c:pt idx="223">
                  <c:v>12-Aug</c:v>
                </c:pt>
                <c:pt idx="224">
                  <c:v>13-Aug</c:v>
                </c:pt>
                <c:pt idx="225">
                  <c:v>14-Aug</c:v>
                </c:pt>
                <c:pt idx="226">
                  <c:v>15-Aug</c:v>
                </c:pt>
                <c:pt idx="227">
                  <c:v>16-Aug</c:v>
                </c:pt>
                <c:pt idx="228">
                  <c:v>17-Aug</c:v>
                </c:pt>
                <c:pt idx="229">
                  <c:v>18-Aug</c:v>
                </c:pt>
                <c:pt idx="230">
                  <c:v>19-Aug</c:v>
                </c:pt>
                <c:pt idx="231">
                  <c:v>20-Aug</c:v>
                </c:pt>
                <c:pt idx="232">
                  <c:v>21-Aug</c:v>
                </c:pt>
                <c:pt idx="233">
                  <c:v>22-Aug</c:v>
                </c:pt>
                <c:pt idx="234">
                  <c:v>23-Aug</c:v>
                </c:pt>
                <c:pt idx="235">
                  <c:v>24-Aug</c:v>
                </c:pt>
                <c:pt idx="236">
                  <c:v>25-Aug</c:v>
                </c:pt>
                <c:pt idx="237">
                  <c:v>26-Aug</c:v>
                </c:pt>
                <c:pt idx="238">
                  <c:v>27-Aug</c:v>
                </c:pt>
                <c:pt idx="239">
                  <c:v>28-Aug</c:v>
                </c:pt>
                <c:pt idx="240">
                  <c:v>29-Aug</c:v>
                </c:pt>
                <c:pt idx="241">
                  <c:v>30-Aug</c:v>
                </c:pt>
                <c:pt idx="242">
                  <c:v>31-Aug</c:v>
                </c:pt>
                <c:pt idx="243">
                  <c:v>1-Sep</c:v>
                </c:pt>
                <c:pt idx="244">
                  <c:v>2-Sep</c:v>
                </c:pt>
                <c:pt idx="245">
                  <c:v>3-Sep</c:v>
                </c:pt>
                <c:pt idx="246">
                  <c:v>4-Sep</c:v>
                </c:pt>
                <c:pt idx="247">
                  <c:v>5-Sep</c:v>
                </c:pt>
                <c:pt idx="248">
                  <c:v>6-Sep</c:v>
                </c:pt>
                <c:pt idx="249">
                  <c:v>7-Sep</c:v>
                </c:pt>
                <c:pt idx="250">
                  <c:v>8-Sep</c:v>
                </c:pt>
                <c:pt idx="251">
                  <c:v>9-Sep</c:v>
                </c:pt>
                <c:pt idx="252">
                  <c:v>10-Sep</c:v>
                </c:pt>
                <c:pt idx="253">
                  <c:v>11-Sep</c:v>
                </c:pt>
                <c:pt idx="254">
                  <c:v>12-Sep</c:v>
                </c:pt>
                <c:pt idx="255">
                  <c:v>13-Sep</c:v>
                </c:pt>
                <c:pt idx="256">
                  <c:v>14-Sep</c:v>
                </c:pt>
                <c:pt idx="257">
                  <c:v>15-Sep</c:v>
                </c:pt>
                <c:pt idx="258">
                  <c:v>16-Sep</c:v>
                </c:pt>
                <c:pt idx="259">
                  <c:v>17-Sep</c:v>
                </c:pt>
                <c:pt idx="260">
                  <c:v>18-Sep</c:v>
                </c:pt>
                <c:pt idx="261">
                  <c:v>19-Sep</c:v>
                </c:pt>
                <c:pt idx="262">
                  <c:v>20-Sep</c:v>
                </c:pt>
                <c:pt idx="263">
                  <c:v>21-Sep</c:v>
                </c:pt>
                <c:pt idx="264">
                  <c:v>22-Sep</c:v>
                </c:pt>
                <c:pt idx="265">
                  <c:v>23-Sep</c:v>
                </c:pt>
                <c:pt idx="266">
                  <c:v>24-Sep</c:v>
                </c:pt>
                <c:pt idx="267">
                  <c:v>25-Sep</c:v>
                </c:pt>
                <c:pt idx="268">
                  <c:v>26-Sep</c:v>
                </c:pt>
                <c:pt idx="269">
                  <c:v>27-Sep</c:v>
                </c:pt>
                <c:pt idx="270">
                  <c:v>28-Sep</c:v>
                </c:pt>
                <c:pt idx="271">
                  <c:v>29-Sep</c:v>
                </c:pt>
                <c:pt idx="272">
                  <c:v>30-Sep</c:v>
                </c:pt>
                <c:pt idx="273">
                  <c:v>1-Oct</c:v>
                </c:pt>
                <c:pt idx="274">
                  <c:v>2-Oct</c:v>
                </c:pt>
                <c:pt idx="275">
                  <c:v>3-Oct</c:v>
                </c:pt>
                <c:pt idx="276">
                  <c:v>4-Oct</c:v>
                </c:pt>
                <c:pt idx="277">
                  <c:v>5-Oct</c:v>
                </c:pt>
                <c:pt idx="278">
                  <c:v>6-Oct</c:v>
                </c:pt>
                <c:pt idx="279">
                  <c:v>7-Oct</c:v>
                </c:pt>
                <c:pt idx="280">
                  <c:v>8-Oct</c:v>
                </c:pt>
                <c:pt idx="281">
                  <c:v>9-Oct</c:v>
                </c:pt>
                <c:pt idx="282">
                  <c:v>10-Oct</c:v>
                </c:pt>
                <c:pt idx="283">
                  <c:v>11-Oct</c:v>
                </c:pt>
                <c:pt idx="284">
                  <c:v>12-Oct</c:v>
                </c:pt>
                <c:pt idx="285">
                  <c:v>13-Oct</c:v>
                </c:pt>
                <c:pt idx="286">
                  <c:v>14-Oct</c:v>
                </c:pt>
                <c:pt idx="287">
                  <c:v>15-Oct</c:v>
                </c:pt>
                <c:pt idx="288">
                  <c:v>16-Oct</c:v>
                </c:pt>
                <c:pt idx="289">
                  <c:v>17-Oct</c:v>
                </c:pt>
                <c:pt idx="290">
                  <c:v>18-Oct</c:v>
                </c:pt>
                <c:pt idx="291">
                  <c:v>19-Oct</c:v>
                </c:pt>
                <c:pt idx="292">
                  <c:v>20-Oct</c:v>
                </c:pt>
                <c:pt idx="293">
                  <c:v>21-Oct</c:v>
                </c:pt>
                <c:pt idx="294">
                  <c:v>22-Oct</c:v>
                </c:pt>
                <c:pt idx="295">
                  <c:v>23-Oct</c:v>
                </c:pt>
                <c:pt idx="296">
                  <c:v>24-Oct</c:v>
                </c:pt>
                <c:pt idx="297">
                  <c:v>25-Oct</c:v>
                </c:pt>
                <c:pt idx="298">
                  <c:v>26-Oct</c:v>
                </c:pt>
                <c:pt idx="299">
                  <c:v>27-Oct</c:v>
                </c:pt>
                <c:pt idx="300">
                  <c:v>28-Oct</c:v>
                </c:pt>
                <c:pt idx="301">
                  <c:v>29-Oct</c:v>
                </c:pt>
                <c:pt idx="302">
                  <c:v>30-Oct</c:v>
                </c:pt>
                <c:pt idx="303">
                  <c:v>31-Oct</c:v>
                </c:pt>
                <c:pt idx="304">
                  <c:v>1-Nov</c:v>
                </c:pt>
                <c:pt idx="305">
                  <c:v>2-Nov</c:v>
                </c:pt>
                <c:pt idx="306">
                  <c:v>3-Nov</c:v>
                </c:pt>
                <c:pt idx="307">
                  <c:v>4-Nov</c:v>
                </c:pt>
                <c:pt idx="308">
                  <c:v>5-Nov</c:v>
                </c:pt>
                <c:pt idx="309">
                  <c:v>6-Nov</c:v>
                </c:pt>
                <c:pt idx="310">
                  <c:v>7-Nov</c:v>
                </c:pt>
                <c:pt idx="311">
                  <c:v>8-Nov</c:v>
                </c:pt>
                <c:pt idx="312">
                  <c:v>9-Nov</c:v>
                </c:pt>
                <c:pt idx="313">
                  <c:v>10-Nov</c:v>
                </c:pt>
                <c:pt idx="314">
                  <c:v>11-Nov</c:v>
                </c:pt>
                <c:pt idx="315">
                  <c:v>12-Nov</c:v>
                </c:pt>
                <c:pt idx="316">
                  <c:v>13-Nov</c:v>
                </c:pt>
                <c:pt idx="317">
                  <c:v>14-Nov</c:v>
                </c:pt>
                <c:pt idx="318">
                  <c:v>15-Nov</c:v>
                </c:pt>
                <c:pt idx="319">
                  <c:v>16-Nov</c:v>
                </c:pt>
                <c:pt idx="320">
                  <c:v>17-Nov</c:v>
                </c:pt>
                <c:pt idx="321">
                  <c:v>18-Nov</c:v>
                </c:pt>
                <c:pt idx="322">
                  <c:v>19-Nov</c:v>
                </c:pt>
                <c:pt idx="323">
                  <c:v>20-Nov</c:v>
                </c:pt>
                <c:pt idx="324">
                  <c:v>21-Nov</c:v>
                </c:pt>
                <c:pt idx="325">
                  <c:v>22-Nov</c:v>
                </c:pt>
                <c:pt idx="326">
                  <c:v>23-Nov</c:v>
                </c:pt>
                <c:pt idx="327">
                  <c:v>24-Nov</c:v>
                </c:pt>
                <c:pt idx="328">
                  <c:v>25-Nov</c:v>
                </c:pt>
                <c:pt idx="329">
                  <c:v>26-Nov</c:v>
                </c:pt>
                <c:pt idx="330">
                  <c:v>27-Nov</c:v>
                </c:pt>
                <c:pt idx="331">
                  <c:v>28-Nov</c:v>
                </c:pt>
                <c:pt idx="332">
                  <c:v>29-Nov</c:v>
                </c:pt>
                <c:pt idx="333">
                  <c:v>30-Nov</c:v>
                </c:pt>
                <c:pt idx="334">
                  <c:v>1-Dec</c:v>
                </c:pt>
                <c:pt idx="335">
                  <c:v>2-Dec</c:v>
                </c:pt>
                <c:pt idx="336">
                  <c:v>3-Dec</c:v>
                </c:pt>
                <c:pt idx="337">
                  <c:v>4-Dec</c:v>
                </c:pt>
                <c:pt idx="338">
                  <c:v>5-Dec</c:v>
                </c:pt>
                <c:pt idx="339">
                  <c:v>6-Dec</c:v>
                </c:pt>
                <c:pt idx="340">
                  <c:v>7-Dec</c:v>
                </c:pt>
                <c:pt idx="341">
                  <c:v>8-Dec</c:v>
                </c:pt>
                <c:pt idx="342">
                  <c:v>9-Dec</c:v>
                </c:pt>
                <c:pt idx="343">
                  <c:v>10-Dec</c:v>
                </c:pt>
                <c:pt idx="344">
                  <c:v>11-Dec</c:v>
                </c:pt>
                <c:pt idx="345">
                  <c:v>12-Dec</c:v>
                </c:pt>
                <c:pt idx="346">
                  <c:v>13-Dec</c:v>
                </c:pt>
                <c:pt idx="347">
                  <c:v>14-Dec</c:v>
                </c:pt>
                <c:pt idx="348">
                  <c:v>15-Dec</c:v>
                </c:pt>
                <c:pt idx="349">
                  <c:v>16-Dec</c:v>
                </c:pt>
                <c:pt idx="350">
                  <c:v>17-Dec</c:v>
                </c:pt>
                <c:pt idx="351">
                  <c:v>18-Dec</c:v>
                </c:pt>
                <c:pt idx="352">
                  <c:v>19-Dec</c:v>
                </c:pt>
                <c:pt idx="353">
                  <c:v>20-Dec</c:v>
                </c:pt>
                <c:pt idx="354">
                  <c:v>21-Dec</c:v>
                </c:pt>
                <c:pt idx="355">
                  <c:v>22-Dec</c:v>
                </c:pt>
                <c:pt idx="356">
                  <c:v>23-Dec</c:v>
                </c:pt>
                <c:pt idx="357">
                  <c:v>24-Dec</c:v>
                </c:pt>
                <c:pt idx="358">
                  <c:v>25-Dec</c:v>
                </c:pt>
                <c:pt idx="359">
                  <c:v>26-Dec</c:v>
                </c:pt>
                <c:pt idx="360">
                  <c:v>27-Dec</c:v>
                </c:pt>
                <c:pt idx="361">
                  <c:v>28-Dec</c:v>
                </c:pt>
                <c:pt idx="362">
                  <c:v>30-Dec</c:v>
                </c:pt>
                <c:pt idx="363">
                  <c:v>31-Dec</c:v>
                </c:pt>
              </c:strCache>
            </c:strRef>
          </c:cat>
          <c:val>
            <c:numRef>
              <c:f>'Sales by day'!$C$2:$C$366</c:f>
              <c:numCache>
                <c:formatCode>General</c:formatCode>
                <c:ptCount val="364"/>
                <c:pt idx="0">
                  <c:v>134</c:v>
                </c:pt>
                <c:pt idx="1">
                  <c:v>136</c:v>
                </c:pt>
                <c:pt idx="2">
                  <c:v>103</c:v>
                </c:pt>
                <c:pt idx="3">
                  <c:v>83</c:v>
                </c:pt>
                <c:pt idx="4">
                  <c:v>94</c:v>
                </c:pt>
                <c:pt idx="5">
                  <c:v>101</c:v>
                </c:pt>
                <c:pt idx="6">
                  <c:v>148</c:v>
                </c:pt>
                <c:pt idx="7">
                  <c:v>190</c:v>
                </c:pt>
                <c:pt idx="8">
                  <c:v>115</c:v>
                </c:pt>
                <c:pt idx="9">
                  <c:v>132</c:v>
                </c:pt>
                <c:pt idx="10">
                  <c:v>104</c:v>
                </c:pt>
                <c:pt idx="11">
                  <c:v>114</c:v>
                </c:pt>
                <c:pt idx="12">
                  <c:v>127</c:v>
                </c:pt>
                <c:pt idx="13">
                  <c:v>107</c:v>
                </c:pt>
                <c:pt idx="14">
                  <c:v>141</c:v>
                </c:pt>
                <c:pt idx="15">
                  <c:v>134</c:v>
                </c:pt>
                <c:pt idx="16">
                  <c:v>130</c:v>
                </c:pt>
                <c:pt idx="17">
                  <c:v>116</c:v>
                </c:pt>
                <c:pt idx="18">
                  <c:v>137</c:v>
                </c:pt>
                <c:pt idx="19">
                  <c:v>123</c:v>
                </c:pt>
                <c:pt idx="20">
                  <c:v>100</c:v>
                </c:pt>
                <c:pt idx="21">
                  <c:v>89</c:v>
                </c:pt>
                <c:pt idx="22">
                  <c:v>157</c:v>
                </c:pt>
                <c:pt idx="23">
                  <c:v>133</c:v>
                </c:pt>
                <c:pt idx="24">
                  <c:v>161</c:v>
                </c:pt>
                <c:pt idx="25">
                  <c:v>125</c:v>
                </c:pt>
                <c:pt idx="26">
                  <c:v>126</c:v>
                </c:pt>
                <c:pt idx="27">
                  <c:v>158</c:v>
                </c:pt>
                <c:pt idx="28">
                  <c:v>148</c:v>
                </c:pt>
                <c:pt idx="29">
                  <c:v>98</c:v>
                </c:pt>
                <c:pt idx="30">
                  <c:v>126</c:v>
                </c:pt>
                <c:pt idx="31">
                  <c:v>64</c:v>
                </c:pt>
                <c:pt idx="32">
                  <c:v>165</c:v>
                </c:pt>
                <c:pt idx="33">
                  <c:v>128</c:v>
                </c:pt>
                <c:pt idx="34">
                  <c:v>87</c:v>
                </c:pt>
                <c:pt idx="35">
                  <c:v>139</c:v>
                </c:pt>
                <c:pt idx="36">
                  <c:v>119</c:v>
                </c:pt>
                <c:pt idx="37">
                  <c:v>203</c:v>
                </c:pt>
                <c:pt idx="38">
                  <c:v>123</c:v>
                </c:pt>
                <c:pt idx="39">
                  <c:v>123</c:v>
                </c:pt>
                <c:pt idx="40">
                  <c:v>100</c:v>
                </c:pt>
                <c:pt idx="41">
                  <c:v>97</c:v>
                </c:pt>
                <c:pt idx="42">
                  <c:v>83</c:v>
                </c:pt>
                <c:pt idx="43">
                  <c:v>87</c:v>
                </c:pt>
                <c:pt idx="44">
                  <c:v>67</c:v>
                </c:pt>
                <c:pt idx="45">
                  <c:v>184</c:v>
                </c:pt>
                <c:pt idx="46">
                  <c:v>134</c:v>
                </c:pt>
                <c:pt idx="47">
                  <c:v>130</c:v>
                </c:pt>
                <c:pt idx="48">
                  <c:v>85</c:v>
                </c:pt>
                <c:pt idx="49">
                  <c:v>111</c:v>
                </c:pt>
                <c:pt idx="50">
                  <c:v>89</c:v>
                </c:pt>
                <c:pt idx="51">
                  <c:v>87</c:v>
                </c:pt>
                <c:pt idx="52">
                  <c:v>145</c:v>
                </c:pt>
                <c:pt idx="53">
                  <c:v>84</c:v>
                </c:pt>
                <c:pt idx="54">
                  <c:v>128</c:v>
                </c:pt>
                <c:pt idx="55">
                  <c:v>112</c:v>
                </c:pt>
                <c:pt idx="56">
                  <c:v>110</c:v>
                </c:pt>
                <c:pt idx="57">
                  <c:v>156</c:v>
                </c:pt>
                <c:pt idx="58">
                  <c:v>162</c:v>
                </c:pt>
                <c:pt idx="59">
                  <c:v>112</c:v>
                </c:pt>
                <c:pt idx="60">
                  <c:v>193</c:v>
                </c:pt>
                <c:pt idx="61">
                  <c:v>159</c:v>
                </c:pt>
                <c:pt idx="62">
                  <c:v>135</c:v>
                </c:pt>
                <c:pt idx="63">
                  <c:v>167</c:v>
                </c:pt>
                <c:pt idx="64">
                  <c:v>131</c:v>
                </c:pt>
                <c:pt idx="65">
                  <c:v>75</c:v>
                </c:pt>
                <c:pt idx="66">
                  <c:v>106</c:v>
                </c:pt>
                <c:pt idx="67">
                  <c:v>162</c:v>
                </c:pt>
                <c:pt idx="68">
                  <c:v>98</c:v>
                </c:pt>
                <c:pt idx="69">
                  <c:v>128</c:v>
                </c:pt>
                <c:pt idx="70">
                  <c:v>131</c:v>
                </c:pt>
                <c:pt idx="71">
                  <c:v>120</c:v>
                </c:pt>
                <c:pt idx="72">
                  <c:v>178</c:v>
                </c:pt>
                <c:pt idx="73">
                  <c:v>136</c:v>
                </c:pt>
                <c:pt idx="74">
                  <c:v>98</c:v>
                </c:pt>
                <c:pt idx="75">
                  <c:v>101</c:v>
                </c:pt>
                <c:pt idx="76">
                  <c:v>115</c:v>
                </c:pt>
                <c:pt idx="77">
                  <c:v>139</c:v>
                </c:pt>
                <c:pt idx="78">
                  <c:v>156</c:v>
                </c:pt>
                <c:pt idx="79">
                  <c:v>113</c:v>
                </c:pt>
                <c:pt idx="80">
                  <c:v>96</c:v>
                </c:pt>
                <c:pt idx="81">
                  <c:v>114</c:v>
                </c:pt>
                <c:pt idx="82">
                  <c:v>96</c:v>
                </c:pt>
                <c:pt idx="83">
                  <c:v>110</c:v>
                </c:pt>
                <c:pt idx="84">
                  <c:v>77</c:v>
                </c:pt>
                <c:pt idx="85">
                  <c:v>102</c:v>
                </c:pt>
                <c:pt idx="86">
                  <c:v>119</c:v>
                </c:pt>
                <c:pt idx="87">
                  <c:v>138</c:v>
                </c:pt>
                <c:pt idx="88">
                  <c:v>132</c:v>
                </c:pt>
                <c:pt idx="89">
                  <c:v>46</c:v>
                </c:pt>
                <c:pt idx="90">
                  <c:v>69</c:v>
                </c:pt>
                <c:pt idx="91">
                  <c:v>80</c:v>
                </c:pt>
                <c:pt idx="92">
                  <c:v>37</c:v>
                </c:pt>
                <c:pt idx="93">
                  <c:v>55</c:v>
                </c:pt>
                <c:pt idx="94">
                  <c:v>51</c:v>
                </c:pt>
                <c:pt idx="95">
                  <c:v>72</c:v>
                </c:pt>
                <c:pt idx="96">
                  <c:v>50</c:v>
                </c:pt>
                <c:pt idx="97">
                  <c:v>55</c:v>
                </c:pt>
                <c:pt idx="98">
                  <c:v>33</c:v>
                </c:pt>
                <c:pt idx="99">
                  <c:v>38</c:v>
                </c:pt>
                <c:pt idx="100">
                  <c:v>80</c:v>
                </c:pt>
                <c:pt idx="101">
                  <c:v>59</c:v>
                </c:pt>
                <c:pt idx="102">
                  <c:v>79</c:v>
                </c:pt>
                <c:pt idx="103">
                  <c:v>60</c:v>
                </c:pt>
                <c:pt idx="104">
                  <c:v>53</c:v>
                </c:pt>
                <c:pt idx="105">
                  <c:v>60</c:v>
                </c:pt>
                <c:pt idx="106">
                  <c:v>77</c:v>
                </c:pt>
                <c:pt idx="107">
                  <c:v>72</c:v>
                </c:pt>
                <c:pt idx="108">
                  <c:v>75</c:v>
                </c:pt>
                <c:pt idx="109">
                  <c:v>40</c:v>
                </c:pt>
                <c:pt idx="110">
                  <c:v>82</c:v>
                </c:pt>
                <c:pt idx="111">
                  <c:v>62</c:v>
                </c:pt>
                <c:pt idx="112">
                  <c:v>87</c:v>
                </c:pt>
                <c:pt idx="113">
                  <c:v>81</c:v>
                </c:pt>
                <c:pt idx="114">
                  <c:v>56</c:v>
                </c:pt>
                <c:pt idx="115">
                  <c:v>41</c:v>
                </c:pt>
                <c:pt idx="116">
                  <c:v>53</c:v>
                </c:pt>
                <c:pt idx="117">
                  <c:v>83</c:v>
                </c:pt>
                <c:pt idx="118">
                  <c:v>67</c:v>
                </c:pt>
                <c:pt idx="119">
                  <c:v>50</c:v>
                </c:pt>
                <c:pt idx="120">
                  <c:v>56</c:v>
                </c:pt>
                <c:pt idx="121">
                  <c:v>40</c:v>
                </c:pt>
                <c:pt idx="122">
                  <c:v>51</c:v>
                </c:pt>
                <c:pt idx="123">
                  <c:v>44</c:v>
                </c:pt>
                <c:pt idx="124">
                  <c:v>50</c:v>
                </c:pt>
                <c:pt idx="125">
                  <c:v>84</c:v>
                </c:pt>
                <c:pt idx="126">
                  <c:v>72</c:v>
                </c:pt>
                <c:pt idx="127">
                  <c:v>66</c:v>
                </c:pt>
                <c:pt idx="128">
                  <c:v>80</c:v>
                </c:pt>
                <c:pt idx="129">
                  <c:v>35</c:v>
                </c:pt>
                <c:pt idx="130">
                  <c:v>51</c:v>
                </c:pt>
                <c:pt idx="131">
                  <c:v>69</c:v>
                </c:pt>
                <c:pt idx="132">
                  <c:v>66</c:v>
                </c:pt>
                <c:pt idx="133">
                  <c:v>53</c:v>
                </c:pt>
                <c:pt idx="134">
                  <c:v>25</c:v>
                </c:pt>
                <c:pt idx="135">
                  <c:v>71</c:v>
                </c:pt>
                <c:pt idx="136">
                  <c:v>62</c:v>
                </c:pt>
                <c:pt idx="137">
                  <c:v>65</c:v>
                </c:pt>
                <c:pt idx="138">
                  <c:v>51</c:v>
                </c:pt>
                <c:pt idx="139">
                  <c:v>51</c:v>
                </c:pt>
                <c:pt idx="140">
                  <c:v>89</c:v>
                </c:pt>
                <c:pt idx="141">
                  <c:v>47</c:v>
                </c:pt>
                <c:pt idx="142">
                  <c:v>54</c:v>
                </c:pt>
                <c:pt idx="143">
                  <c:v>64</c:v>
                </c:pt>
                <c:pt idx="144">
                  <c:v>61</c:v>
                </c:pt>
                <c:pt idx="145">
                  <c:v>75</c:v>
                </c:pt>
                <c:pt idx="146">
                  <c:v>80</c:v>
                </c:pt>
                <c:pt idx="147">
                  <c:v>58</c:v>
                </c:pt>
                <c:pt idx="148">
                  <c:v>33</c:v>
                </c:pt>
                <c:pt idx="149">
                  <c:v>61</c:v>
                </c:pt>
                <c:pt idx="150">
                  <c:v>47</c:v>
                </c:pt>
                <c:pt idx="151">
                  <c:v>37</c:v>
                </c:pt>
                <c:pt idx="152">
                  <c:v>26</c:v>
                </c:pt>
                <c:pt idx="153">
                  <c:v>58</c:v>
                </c:pt>
                <c:pt idx="154">
                  <c:v>78</c:v>
                </c:pt>
                <c:pt idx="155">
                  <c:v>68</c:v>
                </c:pt>
                <c:pt idx="156">
                  <c:v>82</c:v>
                </c:pt>
                <c:pt idx="157">
                  <c:v>34</c:v>
                </c:pt>
                <c:pt idx="158">
                  <c:v>59</c:v>
                </c:pt>
                <c:pt idx="159">
                  <c:v>44</c:v>
                </c:pt>
                <c:pt idx="160">
                  <c:v>81</c:v>
                </c:pt>
                <c:pt idx="161">
                  <c:v>40</c:v>
                </c:pt>
                <c:pt idx="162">
                  <c:v>40</c:v>
                </c:pt>
                <c:pt idx="163">
                  <c:v>67</c:v>
                </c:pt>
                <c:pt idx="164">
                  <c:v>55</c:v>
                </c:pt>
                <c:pt idx="165">
                  <c:v>70</c:v>
                </c:pt>
                <c:pt idx="166">
                  <c:v>71</c:v>
                </c:pt>
                <c:pt idx="167">
                  <c:v>92</c:v>
                </c:pt>
                <c:pt idx="168">
                  <c:v>52</c:v>
                </c:pt>
                <c:pt idx="169">
                  <c:v>71</c:v>
                </c:pt>
                <c:pt idx="170">
                  <c:v>56</c:v>
                </c:pt>
                <c:pt idx="171">
                  <c:v>59</c:v>
                </c:pt>
                <c:pt idx="172">
                  <c:v>76</c:v>
                </c:pt>
                <c:pt idx="173">
                  <c:v>75</c:v>
                </c:pt>
                <c:pt idx="174">
                  <c:v>62</c:v>
                </c:pt>
                <c:pt idx="175">
                  <c:v>70</c:v>
                </c:pt>
                <c:pt idx="176">
                  <c:v>46</c:v>
                </c:pt>
                <c:pt idx="177">
                  <c:v>34</c:v>
                </c:pt>
                <c:pt idx="178">
                  <c:v>46</c:v>
                </c:pt>
                <c:pt idx="179">
                  <c:v>60</c:v>
                </c:pt>
                <c:pt idx="180">
                  <c:v>58</c:v>
                </c:pt>
                <c:pt idx="181">
                  <c:v>71</c:v>
                </c:pt>
                <c:pt idx="182">
                  <c:v>57</c:v>
                </c:pt>
                <c:pt idx="183">
                  <c:v>94</c:v>
                </c:pt>
                <c:pt idx="184">
                  <c:v>47</c:v>
                </c:pt>
                <c:pt idx="185">
                  <c:v>19</c:v>
                </c:pt>
                <c:pt idx="186">
                  <c:v>58</c:v>
                </c:pt>
                <c:pt idx="187">
                  <c:v>76</c:v>
                </c:pt>
                <c:pt idx="188">
                  <c:v>53</c:v>
                </c:pt>
                <c:pt idx="189">
                  <c:v>42</c:v>
                </c:pt>
                <c:pt idx="190">
                  <c:v>57</c:v>
                </c:pt>
                <c:pt idx="191">
                  <c:v>46</c:v>
                </c:pt>
                <c:pt idx="192">
                  <c:v>58</c:v>
                </c:pt>
                <c:pt idx="193">
                  <c:v>45</c:v>
                </c:pt>
                <c:pt idx="194">
                  <c:v>81</c:v>
                </c:pt>
                <c:pt idx="195">
                  <c:v>52</c:v>
                </c:pt>
                <c:pt idx="196">
                  <c:v>84</c:v>
                </c:pt>
                <c:pt idx="197">
                  <c:v>42</c:v>
                </c:pt>
                <c:pt idx="198">
                  <c:v>58</c:v>
                </c:pt>
                <c:pt idx="199">
                  <c:v>64</c:v>
                </c:pt>
                <c:pt idx="200">
                  <c:v>62</c:v>
                </c:pt>
                <c:pt idx="201">
                  <c:v>38</c:v>
                </c:pt>
                <c:pt idx="202">
                  <c:v>67</c:v>
                </c:pt>
                <c:pt idx="203">
                  <c:v>66</c:v>
                </c:pt>
                <c:pt idx="204">
                  <c:v>28</c:v>
                </c:pt>
                <c:pt idx="205">
                  <c:v>47</c:v>
                </c:pt>
                <c:pt idx="206">
                  <c:v>90</c:v>
                </c:pt>
                <c:pt idx="207">
                  <c:v>42</c:v>
                </c:pt>
                <c:pt idx="208">
                  <c:v>64</c:v>
                </c:pt>
                <c:pt idx="209">
                  <c:v>47</c:v>
                </c:pt>
                <c:pt idx="210">
                  <c:v>53</c:v>
                </c:pt>
                <c:pt idx="211">
                  <c:v>48</c:v>
                </c:pt>
                <c:pt idx="212">
                  <c:v>48</c:v>
                </c:pt>
                <c:pt idx="213">
                  <c:v>40</c:v>
                </c:pt>
                <c:pt idx="214">
                  <c:v>58</c:v>
                </c:pt>
                <c:pt idx="215">
                  <c:v>47</c:v>
                </c:pt>
                <c:pt idx="216">
                  <c:v>43</c:v>
                </c:pt>
                <c:pt idx="217">
                  <c:v>36</c:v>
                </c:pt>
                <c:pt idx="218">
                  <c:v>86</c:v>
                </c:pt>
                <c:pt idx="219">
                  <c:v>48</c:v>
                </c:pt>
                <c:pt idx="220">
                  <c:v>27</c:v>
                </c:pt>
                <c:pt idx="221">
                  <c:v>50</c:v>
                </c:pt>
                <c:pt idx="222">
                  <c:v>67</c:v>
                </c:pt>
                <c:pt idx="223">
                  <c:v>45</c:v>
                </c:pt>
                <c:pt idx="224">
                  <c:v>55</c:v>
                </c:pt>
                <c:pt idx="225">
                  <c:v>76</c:v>
                </c:pt>
                <c:pt idx="226">
                  <c:v>55</c:v>
                </c:pt>
                <c:pt idx="227">
                  <c:v>57</c:v>
                </c:pt>
                <c:pt idx="228">
                  <c:v>45</c:v>
                </c:pt>
                <c:pt idx="229">
                  <c:v>62</c:v>
                </c:pt>
                <c:pt idx="230">
                  <c:v>82</c:v>
                </c:pt>
                <c:pt idx="231">
                  <c:v>47</c:v>
                </c:pt>
                <c:pt idx="232">
                  <c:v>57</c:v>
                </c:pt>
                <c:pt idx="233">
                  <c:v>85</c:v>
                </c:pt>
                <c:pt idx="234">
                  <c:v>58</c:v>
                </c:pt>
                <c:pt idx="235">
                  <c:v>66</c:v>
                </c:pt>
                <c:pt idx="236">
                  <c:v>69</c:v>
                </c:pt>
                <c:pt idx="237">
                  <c:v>59</c:v>
                </c:pt>
                <c:pt idx="238">
                  <c:v>39</c:v>
                </c:pt>
                <c:pt idx="239">
                  <c:v>56</c:v>
                </c:pt>
                <c:pt idx="240">
                  <c:v>47</c:v>
                </c:pt>
                <c:pt idx="241">
                  <c:v>76</c:v>
                </c:pt>
                <c:pt idx="242">
                  <c:v>65</c:v>
                </c:pt>
                <c:pt idx="243">
                  <c:v>51</c:v>
                </c:pt>
                <c:pt idx="244">
                  <c:v>64</c:v>
                </c:pt>
                <c:pt idx="245">
                  <c:v>63</c:v>
                </c:pt>
                <c:pt idx="246">
                  <c:v>40</c:v>
                </c:pt>
                <c:pt idx="247">
                  <c:v>64</c:v>
                </c:pt>
                <c:pt idx="248">
                  <c:v>65</c:v>
                </c:pt>
                <c:pt idx="249">
                  <c:v>38</c:v>
                </c:pt>
                <c:pt idx="250">
                  <c:v>53</c:v>
                </c:pt>
                <c:pt idx="251">
                  <c:v>51</c:v>
                </c:pt>
                <c:pt idx="252">
                  <c:v>61</c:v>
                </c:pt>
                <c:pt idx="253">
                  <c:v>29</c:v>
                </c:pt>
                <c:pt idx="254">
                  <c:v>51</c:v>
                </c:pt>
                <c:pt idx="255">
                  <c:v>66</c:v>
                </c:pt>
                <c:pt idx="256">
                  <c:v>81</c:v>
                </c:pt>
                <c:pt idx="257">
                  <c:v>97</c:v>
                </c:pt>
                <c:pt idx="258">
                  <c:v>67</c:v>
                </c:pt>
                <c:pt idx="259">
                  <c:v>60</c:v>
                </c:pt>
                <c:pt idx="260">
                  <c:v>62</c:v>
                </c:pt>
                <c:pt idx="261">
                  <c:v>56</c:v>
                </c:pt>
                <c:pt idx="262">
                  <c:v>65</c:v>
                </c:pt>
                <c:pt idx="263">
                  <c:v>45</c:v>
                </c:pt>
                <c:pt idx="264">
                  <c:v>67</c:v>
                </c:pt>
                <c:pt idx="265">
                  <c:v>69</c:v>
                </c:pt>
                <c:pt idx="266">
                  <c:v>30</c:v>
                </c:pt>
                <c:pt idx="267">
                  <c:v>49</c:v>
                </c:pt>
                <c:pt idx="268">
                  <c:v>50</c:v>
                </c:pt>
                <c:pt idx="269">
                  <c:v>65</c:v>
                </c:pt>
                <c:pt idx="270">
                  <c:v>58</c:v>
                </c:pt>
                <c:pt idx="271">
                  <c:v>67</c:v>
                </c:pt>
                <c:pt idx="272">
                  <c:v>54</c:v>
                </c:pt>
                <c:pt idx="273">
                  <c:v>79</c:v>
                </c:pt>
                <c:pt idx="274">
                  <c:v>46</c:v>
                </c:pt>
                <c:pt idx="275">
                  <c:v>64</c:v>
                </c:pt>
                <c:pt idx="276">
                  <c:v>75</c:v>
                </c:pt>
                <c:pt idx="277">
                  <c:v>119</c:v>
                </c:pt>
                <c:pt idx="278">
                  <c:v>46</c:v>
                </c:pt>
                <c:pt idx="279">
                  <c:v>58</c:v>
                </c:pt>
                <c:pt idx="280">
                  <c:v>49</c:v>
                </c:pt>
                <c:pt idx="281">
                  <c:v>32</c:v>
                </c:pt>
                <c:pt idx="282">
                  <c:v>59</c:v>
                </c:pt>
                <c:pt idx="283">
                  <c:v>54</c:v>
                </c:pt>
                <c:pt idx="284">
                  <c:v>63</c:v>
                </c:pt>
                <c:pt idx="285">
                  <c:v>79</c:v>
                </c:pt>
                <c:pt idx="286">
                  <c:v>36</c:v>
                </c:pt>
                <c:pt idx="287">
                  <c:v>45</c:v>
                </c:pt>
                <c:pt idx="288">
                  <c:v>67</c:v>
                </c:pt>
                <c:pt idx="289">
                  <c:v>42</c:v>
                </c:pt>
                <c:pt idx="290">
                  <c:v>115</c:v>
                </c:pt>
                <c:pt idx="291">
                  <c:v>40</c:v>
                </c:pt>
                <c:pt idx="292">
                  <c:v>79</c:v>
                </c:pt>
                <c:pt idx="293">
                  <c:v>55</c:v>
                </c:pt>
                <c:pt idx="294">
                  <c:v>61</c:v>
                </c:pt>
                <c:pt idx="295">
                  <c:v>68</c:v>
                </c:pt>
                <c:pt idx="296">
                  <c:v>47</c:v>
                </c:pt>
                <c:pt idx="297">
                  <c:v>41</c:v>
                </c:pt>
                <c:pt idx="298">
                  <c:v>27</c:v>
                </c:pt>
                <c:pt idx="299">
                  <c:v>73</c:v>
                </c:pt>
                <c:pt idx="300">
                  <c:v>42</c:v>
                </c:pt>
                <c:pt idx="301">
                  <c:v>93</c:v>
                </c:pt>
                <c:pt idx="302">
                  <c:v>56</c:v>
                </c:pt>
                <c:pt idx="303">
                  <c:v>54</c:v>
                </c:pt>
                <c:pt idx="304">
                  <c:v>50</c:v>
                </c:pt>
                <c:pt idx="305">
                  <c:v>95</c:v>
                </c:pt>
                <c:pt idx="306">
                  <c:v>69</c:v>
                </c:pt>
                <c:pt idx="307">
                  <c:v>44</c:v>
                </c:pt>
                <c:pt idx="308">
                  <c:v>67</c:v>
                </c:pt>
                <c:pt idx="309">
                  <c:v>41</c:v>
                </c:pt>
                <c:pt idx="310">
                  <c:v>74</c:v>
                </c:pt>
                <c:pt idx="311">
                  <c:v>63</c:v>
                </c:pt>
                <c:pt idx="312">
                  <c:v>53</c:v>
                </c:pt>
                <c:pt idx="313">
                  <c:v>26</c:v>
                </c:pt>
                <c:pt idx="314">
                  <c:v>92</c:v>
                </c:pt>
                <c:pt idx="315">
                  <c:v>68</c:v>
                </c:pt>
                <c:pt idx="316">
                  <c:v>97</c:v>
                </c:pt>
                <c:pt idx="317">
                  <c:v>78</c:v>
                </c:pt>
                <c:pt idx="318">
                  <c:v>40</c:v>
                </c:pt>
                <c:pt idx="319">
                  <c:v>53</c:v>
                </c:pt>
                <c:pt idx="320">
                  <c:v>54</c:v>
                </c:pt>
                <c:pt idx="321">
                  <c:v>72</c:v>
                </c:pt>
                <c:pt idx="322">
                  <c:v>45</c:v>
                </c:pt>
                <c:pt idx="323">
                  <c:v>55</c:v>
                </c:pt>
                <c:pt idx="324">
                  <c:v>70</c:v>
                </c:pt>
                <c:pt idx="325">
                  <c:v>27</c:v>
                </c:pt>
                <c:pt idx="326">
                  <c:v>54</c:v>
                </c:pt>
                <c:pt idx="327">
                  <c:v>60</c:v>
                </c:pt>
                <c:pt idx="328">
                  <c:v>48</c:v>
                </c:pt>
                <c:pt idx="329">
                  <c:v>82</c:v>
                </c:pt>
                <c:pt idx="330">
                  <c:v>44</c:v>
                </c:pt>
                <c:pt idx="331">
                  <c:v>59</c:v>
                </c:pt>
                <c:pt idx="332">
                  <c:v>44</c:v>
                </c:pt>
                <c:pt idx="333">
                  <c:v>42</c:v>
                </c:pt>
                <c:pt idx="334">
                  <c:v>46</c:v>
                </c:pt>
                <c:pt idx="335">
                  <c:v>43</c:v>
                </c:pt>
                <c:pt idx="336">
                  <c:v>39</c:v>
                </c:pt>
                <c:pt idx="337">
                  <c:v>52</c:v>
                </c:pt>
                <c:pt idx="338">
                  <c:v>56</c:v>
                </c:pt>
                <c:pt idx="339">
                  <c:v>44</c:v>
                </c:pt>
                <c:pt idx="340">
                  <c:v>58</c:v>
                </c:pt>
                <c:pt idx="341">
                  <c:v>60</c:v>
                </c:pt>
                <c:pt idx="342">
                  <c:v>45</c:v>
                </c:pt>
                <c:pt idx="343">
                  <c:v>61</c:v>
                </c:pt>
                <c:pt idx="344">
                  <c:v>64</c:v>
                </c:pt>
                <c:pt idx="345">
                  <c:v>56</c:v>
                </c:pt>
                <c:pt idx="346">
                  <c:v>75</c:v>
                </c:pt>
                <c:pt idx="347">
                  <c:v>63</c:v>
                </c:pt>
                <c:pt idx="348">
                  <c:v>73</c:v>
                </c:pt>
                <c:pt idx="349">
                  <c:v>54</c:v>
                </c:pt>
                <c:pt idx="350">
                  <c:v>51</c:v>
                </c:pt>
                <c:pt idx="351">
                  <c:v>63</c:v>
                </c:pt>
                <c:pt idx="352">
                  <c:v>55</c:v>
                </c:pt>
                <c:pt idx="353">
                  <c:v>72</c:v>
                </c:pt>
                <c:pt idx="354">
                  <c:v>48</c:v>
                </c:pt>
                <c:pt idx="355">
                  <c:v>59</c:v>
                </c:pt>
                <c:pt idx="356">
                  <c:v>57</c:v>
                </c:pt>
                <c:pt idx="357">
                  <c:v>51</c:v>
                </c:pt>
                <c:pt idx="358">
                  <c:v>63</c:v>
                </c:pt>
                <c:pt idx="359">
                  <c:v>56</c:v>
                </c:pt>
                <c:pt idx="360">
                  <c:v>48</c:v>
                </c:pt>
                <c:pt idx="361">
                  <c:v>134</c:v>
                </c:pt>
                <c:pt idx="362">
                  <c:v>97</c:v>
                </c:pt>
                <c:pt idx="363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1-41EA-958B-2D52DFEDF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1856607"/>
        <c:axId val="401862367"/>
      </c:barChart>
      <c:catAx>
        <c:axId val="40185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62367"/>
        <c:crosses val="autoZero"/>
        <c:auto val="1"/>
        <c:lblAlgn val="ctr"/>
        <c:lblOffset val="100"/>
        <c:noMultiLvlLbl val="0"/>
      </c:catAx>
      <c:valAx>
        <c:axId val="401862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5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[Albarka Store.xlsx]Sales by category!PivotTable2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category'!$A$4:$A$13</c:f>
              <c:strCache>
                <c:ptCount val="9"/>
                <c:pt idx="0">
                  <c:v>Beverages</c:v>
                </c:pt>
                <c:pt idx="1">
                  <c:v>Clothing</c:v>
                </c:pt>
                <c:pt idx="2">
                  <c:v>Dairy</c:v>
                </c:pt>
                <c:pt idx="3">
                  <c:v>Electronics</c:v>
                </c:pt>
                <c:pt idx="4">
                  <c:v>Food items</c:v>
                </c:pt>
                <c:pt idx="5">
                  <c:v>Household</c:v>
                </c:pt>
                <c:pt idx="6">
                  <c:v>Pharmaceuticals</c:v>
                </c:pt>
                <c:pt idx="7">
                  <c:v>Snacks</c:v>
                </c:pt>
                <c:pt idx="8">
                  <c:v>Sport</c:v>
                </c:pt>
              </c:strCache>
            </c:strRef>
          </c:cat>
          <c:val>
            <c:numRef>
              <c:f>'Sales by category'!$B$4:$B$13</c:f>
              <c:numCache>
                <c:formatCode>_-[$₦-468]\ * #,##0.00_-;\-[$₦-468]\ * #,##0.00_-;_-[$₦-468]\ * "-"??_-;_-@_-</c:formatCode>
                <c:ptCount val="9"/>
                <c:pt idx="0">
                  <c:v>9786930</c:v>
                </c:pt>
                <c:pt idx="1">
                  <c:v>8740000</c:v>
                </c:pt>
                <c:pt idx="2">
                  <c:v>6350900</c:v>
                </c:pt>
                <c:pt idx="3">
                  <c:v>4383500</c:v>
                </c:pt>
                <c:pt idx="4">
                  <c:v>208519700</c:v>
                </c:pt>
                <c:pt idx="5">
                  <c:v>14930750</c:v>
                </c:pt>
                <c:pt idx="6">
                  <c:v>1463000</c:v>
                </c:pt>
                <c:pt idx="7">
                  <c:v>7958400</c:v>
                </c:pt>
                <c:pt idx="8">
                  <c:v>6883400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C3-46F3-8B8F-243E1FF666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1648447"/>
        <c:axId val="1051663327"/>
      </c:barChart>
      <c:catAx>
        <c:axId val="105164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63327"/>
        <c:crosses val="autoZero"/>
        <c:auto val="1"/>
        <c:lblAlgn val="ctr"/>
        <c:lblOffset val="100"/>
        <c:noMultiLvlLbl val="0"/>
      </c:catAx>
      <c:valAx>
        <c:axId val="1051663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₦-468]\ * #,##0.00_-;\-[$₦-468]\ * #,##0.00_-;_-[$₦-468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4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4388395902731097E-2"/>
          <c:y val="8.3749766119676494E-2"/>
          <c:w val="0.93727400173426723"/>
          <c:h val="0.80714792550909575"/>
        </c:manualLayout>
      </c:layout>
      <c:lineChart>
        <c:grouping val="standard"/>
        <c:varyColors val="0"/>
        <c:ser>
          <c:idx val="0"/>
          <c:order val="0"/>
          <c:tx>
            <c:strRef>
              <c:f>Sheet9!$B$1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Sheet9!$B$2:$B$397</c:f>
              <c:numCache>
                <c:formatCode>General</c:formatCode>
                <c:ptCount val="396"/>
                <c:pt idx="0">
                  <c:v>134</c:v>
                </c:pt>
                <c:pt idx="1">
                  <c:v>136</c:v>
                </c:pt>
                <c:pt idx="2">
                  <c:v>103</c:v>
                </c:pt>
                <c:pt idx="3">
                  <c:v>83</c:v>
                </c:pt>
                <c:pt idx="4">
                  <c:v>94</c:v>
                </c:pt>
                <c:pt idx="5">
                  <c:v>101</c:v>
                </c:pt>
                <c:pt idx="6">
                  <c:v>148</c:v>
                </c:pt>
                <c:pt idx="7">
                  <c:v>190</c:v>
                </c:pt>
                <c:pt idx="8">
                  <c:v>114</c:v>
                </c:pt>
                <c:pt idx="9">
                  <c:v>132</c:v>
                </c:pt>
                <c:pt idx="10">
                  <c:v>104</c:v>
                </c:pt>
                <c:pt idx="11">
                  <c:v>114</c:v>
                </c:pt>
                <c:pt idx="12">
                  <c:v>127</c:v>
                </c:pt>
                <c:pt idx="13">
                  <c:v>107</c:v>
                </c:pt>
                <c:pt idx="14">
                  <c:v>141</c:v>
                </c:pt>
                <c:pt idx="15">
                  <c:v>134</c:v>
                </c:pt>
                <c:pt idx="16">
                  <c:v>130</c:v>
                </c:pt>
                <c:pt idx="17">
                  <c:v>116</c:v>
                </c:pt>
                <c:pt idx="18">
                  <c:v>137</c:v>
                </c:pt>
                <c:pt idx="19">
                  <c:v>123</c:v>
                </c:pt>
                <c:pt idx="20">
                  <c:v>100</c:v>
                </c:pt>
                <c:pt idx="21">
                  <c:v>89</c:v>
                </c:pt>
                <c:pt idx="22">
                  <c:v>157</c:v>
                </c:pt>
                <c:pt idx="23">
                  <c:v>133</c:v>
                </c:pt>
                <c:pt idx="24">
                  <c:v>161</c:v>
                </c:pt>
                <c:pt idx="25">
                  <c:v>125</c:v>
                </c:pt>
                <c:pt idx="26">
                  <c:v>126</c:v>
                </c:pt>
                <c:pt idx="27">
                  <c:v>158</c:v>
                </c:pt>
                <c:pt idx="28">
                  <c:v>148</c:v>
                </c:pt>
                <c:pt idx="29">
                  <c:v>98</c:v>
                </c:pt>
                <c:pt idx="30">
                  <c:v>126</c:v>
                </c:pt>
                <c:pt idx="31">
                  <c:v>64</c:v>
                </c:pt>
                <c:pt idx="32">
                  <c:v>165</c:v>
                </c:pt>
                <c:pt idx="33">
                  <c:v>128</c:v>
                </c:pt>
                <c:pt idx="34">
                  <c:v>87</c:v>
                </c:pt>
                <c:pt idx="35">
                  <c:v>139</c:v>
                </c:pt>
                <c:pt idx="36">
                  <c:v>119</c:v>
                </c:pt>
                <c:pt idx="37">
                  <c:v>203</c:v>
                </c:pt>
                <c:pt idx="38">
                  <c:v>123</c:v>
                </c:pt>
                <c:pt idx="39">
                  <c:v>123</c:v>
                </c:pt>
                <c:pt idx="40">
                  <c:v>100</c:v>
                </c:pt>
                <c:pt idx="41">
                  <c:v>97</c:v>
                </c:pt>
                <c:pt idx="42">
                  <c:v>83</c:v>
                </c:pt>
                <c:pt idx="43">
                  <c:v>87</c:v>
                </c:pt>
                <c:pt idx="44">
                  <c:v>67</c:v>
                </c:pt>
                <c:pt idx="45">
                  <c:v>184</c:v>
                </c:pt>
                <c:pt idx="46">
                  <c:v>134</c:v>
                </c:pt>
                <c:pt idx="47">
                  <c:v>130</c:v>
                </c:pt>
                <c:pt idx="48">
                  <c:v>85</c:v>
                </c:pt>
                <c:pt idx="49">
                  <c:v>111</c:v>
                </c:pt>
                <c:pt idx="50">
                  <c:v>89</c:v>
                </c:pt>
                <c:pt idx="51">
                  <c:v>87</c:v>
                </c:pt>
                <c:pt idx="52">
                  <c:v>145</c:v>
                </c:pt>
                <c:pt idx="53">
                  <c:v>84</c:v>
                </c:pt>
                <c:pt idx="54">
                  <c:v>128</c:v>
                </c:pt>
                <c:pt idx="55">
                  <c:v>112</c:v>
                </c:pt>
                <c:pt idx="56">
                  <c:v>110</c:v>
                </c:pt>
                <c:pt idx="57">
                  <c:v>156</c:v>
                </c:pt>
                <c:pt idx="58">
                  <c:v>162</c:v>
                </c:pt>
                <c:pt idx="59">
                  <c:v>112</c:v>
                </c:pt>
                <c:pt idx="60">
                  <c:v>193</c:v>
                </c:pt>
                <c:pt idx="61">
                  <c:v>159</c:v>
                </c:pt>
                <c:pt idx="62">
                  <c:v>135</c:v>
                </c:pt>
                <c:pt idx="63">
                  <c:v>167</c:v>
                </c:pt>
                <c:pt idx="64">
                  <c:v>131</c:v>
                </c:pt>
                <c:pt idx="65">
                  <c:v>75</c:v>
                </c:pt>
                <c:pt idx="66">
                  <c:v>106</c:v>
                </c:pt>
                <c:pt idx="67">
                  <c:v>162</c:v>
                </c:pt>
                <c:pt idx="68">
                  <c:v>98</c:v>
                </c:pt>
                <c:pt idx="69">
                  <c:v>128</c:v>
                </c:pt>
                <c:pt idx="70">
                  <c:v>131</c:v>
                </c:pt>
                <c:pt idx="71">
                  <c:v>120</c:v>
                </c:pt>
                <c:pt idx="72">
                  <c:v>178</c:v>
                </c:pt>
                <c:pt idx="73">
                  <c:v>136</c:v>
                </c:pt>
                <c:pt idx="74">
                  <c:v>98</c:v>
                </c:pt>
                <c:pt idx="75">
                  <c:v>101</c:v>
                </c:pt>
                <c:pt idx="76">
                  <c:v>115</c:v>
                </c:pt>
                <c:pt idx="77">
                  <c:v>139</c:v>
                </c:pt>
                <c:pt idx="78">
                  <c:v>156</c:v>
                </c:pt>
                <c:pt idx="79">
                  <c:v>113</c:v>
                </c:pt>
                <c:pt idx="80">
                  <c:v>96</c:v>
                </c:pt>
                <c:pt idx="81">
                  <c:v>114</c:v>
                </c:pt>
                <c:pt idx="82">
                  <c:v>96</c:v>
                </c:pt>
                <c:pt idx="83">
                  <c:v>110</c:v>
                </c:pt>
                <c:pt idx="84">
                  <c:v>77</c:v>
                </c:pt>
                <c:pt idx="85">
                  <c:v>102</c:v>
                </c:pt>
                <c:pt idx="86">
                  <c:v>119</c:v>
                </c:pt>
                <c:pt idx="87">
                  <c:v>138</c:v>
                </c:pt>
                <c:pt idx="88">
                  <c:v>132</c:v>
                </c:pt>
                <c:pt idx="89">
                  <c:v>46</c:v>
                </c:pt>
                <c:pt idx="90">
                  <c:v>69</c:v>
                </c:pt>
                <c:pt idx="91">
                  <c:v>80</c:v>
                </c:pt>
                <c:pt idx="92">
                  <c:v>37</c:v>
                </c:pt>
                <c:pt idx="93">
                  <c:v>55</c:v>
                </c:pt>
                <c:pt idx="94">
                  <c:v>51</c:v>
                </c:pt>
                <c:pt idx="95">
                  <c:v>72</c:v>
                </c:pt>
                <c:pt idx="96">
                  <c:v>50</c:v>
                </c:pt>
                <c:pt idx="97">
                  <c:v>55</c:v>
                </c:pt>
                <c:pt idx="98">
                  <c:v>33</c:v>
                </c:pt>
                <c:pt idx="99">
                  <c:v>38</c:v>
                </c:pt>
                <c:pt idx="100">
                  <c:v>80</c:v>
                </c:pt>
                <c:pt idx="101">
                  <c:v>59</c:v>
                </c:pt>
                <c:pt idx="102">
                  <c:v>79</c:v>
                </c:pt>
                <c:pt idx="103">
                  <c:v>60</c:v>
                </c:pt>
                <c:pt idx="104">
                  <c:v>53</c:v>
                </c:pt>
                <c:pt idx="105">
                  <c:v>60</c:v>
                </c:pt>
                <c:pt idx="106">
                  <c:v>77</c:v>
                </c:pt>
                <c:pt idx="107">
                  <c:v>72</c:v>
                </c:pt>
                <c:pt idx="108">
                  <c:v>75</c:v>
                </c:pt>
                <c:pt idx="109">
                  <c:v>40</c:v>
                </c:pt>
                <c:pt idx="110">
                  <c:v>82</c:v>
                </c:pt>
                <c:pt idx="111">
                  <c:v>62</c:v>
                </c:pt>
                <c:pt idx="112">
                  <c:v>87</c:v>
                </c:pt>
                <c:pt idx="113">
                  <c:v>81</c:v>
                </c:pt>
                <c:pt idx="114">
                  <c:v>56</c:v>
                </c:pt>
                <c:pt idx="115">
                  <c:v>41</c:v>
                </c:pt>
                <c:pt idx="116">
                  <c:v>53</c:v>
                </c:pt>
                <c:pt idx="117">
                  <c:v>83</c:v>
                </c:pt>
                <c:pt idx="118">
                  <c:v>67</c:v>
                </c:pt>
                <c:pt idx="119">
                  <c:v>50</c:v>
                </c:pt>
                <c:pt idx="120">
                  <c:v>56</c:v>
                </c:pt>
                <c:pt idx="121">
                  <c:v>40</c:v>
                </c:pt>
                <c:pt idx="122">
                  <c:v>51</c:v>
                </c:pt>
                <c:pt idx="123">
                  <c:v>44</c:v>
                </c:pt>
                <c:pt idx="124">
                  <c:v>50</c:v>
                </c:pt>
                <c:pt idx="125">
                  <c:v>84</c:v>
                </c:pt>
                <c:pt idx="126">
                  <c:v>72</c:v>
                </c:pt>
                <c:pt idx="127">
                  <c:v>66</c:v>
                </c:pt>
                <c:pt idx="128">
                  <c:v>80</c:v>
                </c:pt>
                <c:pt idx="129">
                  <c:v>35</c:v>
                </c:pt>
                <c:pt idx="130">
                  <c:v>51</c:v>
                </c:pt>
                <c:pt idx="131">
                  <c:v>69</c:v>
                </c:pt>
                <c:pt idx="132">
                  <c:v>66</c:v>
                </c:pt>
                <c:pt idx="133">
                  <c:v>53</c:v>
                </c:pt>
                <c:pt idx="134">
                  <c:v>25</c:v>
                </c:pt>
                <c:pt idx="135">
                  <c:v>71</c:v>
                </c:pt>
                <c:pt idx="136">
                  <c:v>62</c:v>
                </c:pt>
                <c:pt idx="137">
                  <c:v>65</c:v>
                </c:pt>
                <c:pt idx="138">
                  <c:v>51</c:v>
                </c:pt>
                <c:pt idx="139">
                  <c:v>51</c:v>
                </c:pt>
                <c:pt idx="140">
                  <c:v>89</c:v>
                </c:pt>
                <c:pt idx="141">
                  <c:v>47</c:v>
                </c:pt>
                <c:pt idx="142">
                  <c:v>54</c:v>
                </c:pt>
                <c:pt idx="143">
                  <c:v>64</c:v>
                </c:pt>
                <c:pt idx="144">
                  <c:v>61</c:v>
                </c:pt>
                <c:pt idx="145">
                  <c:v>75</c:v>
                </c:pt>
                <c:pt idx="146">
                  <c:v>80</c:v>
                </c:pt>
                <c:pt idx="147">
                  <c:v>58</c:v>
                </c:pt>
                <c:pt idx="148">
                  <c:v>33</c:v>
                </c:pt>
                <c:pt idx="149">
                  <c:v>61</c:v>
                </c:pt>
                <c:pt idx="150">
                  <c:v>47</c:v>
                </c:pt>
                <c:pt idx="151">
                  <c:v>37</c:v>
                </c:pt>
                <c:pt idx="152">
                  <c:v>26</c:v>
                </c:pt>
                <c:pt idx="153">
                  <c:v>58</c:v>
                </c:pt>
                <c:pt idx="154">
                  <c:v>78</c:v>
                </c:pt>
                <c:pt idx="155">
                  <c:v>68</c:v>
                </c:pt>
                <c:pt idx="156">
                  <c:v>82</c:v>
                </c:pt>
                <c:pt idx="157">
                  <c:v>34</c:v>
                </c:pt>
                <c:pt idx="158">
                  <c:v>59</c:v>
                </c:pt>
                <c:pt idx="159">
                  <c:v>44</c:v>
                </c:pt>
                <c:pt idx="160">
                  <c:v>81</c:v>
                </c:pt>
                <c:pt idx="161">
                  <c:v>40</c:v>
                </c:pt>
                <c:pt idx="162">
                  <c:v>40</c:v>
                </c:pt>
                <c:pt idx="163">
                  <c:v>67</c:v>
                </c:pt>
                <c:pt idx="164">
                  <c:v>55</c:v>
                </c:pt>
                <c:pt idx="165">
                  <c:v>70</c:v>
                </c:pt>
                <c:pt idx="166">
                  <c:v>71</c:v>
                </c:pt>
                <c:pt idx="167">
                  <c:v>92</c:v>
                </c:pt>
                <c:pt idx="168">
                  <c:v>52</c:v>
                </c:pt>
                <c:pt idx="169">
                  <c:v>71</c:v>
                </c:pt>
                <c:pt idx="170">
                  <c:v>56</c:v>
                </c:pt>
                <c:pt idx="171">
                  <c:v>59</c:v>
                </c:pt>
                <c:pt idx="172">
                  <c:v>76</c:v>
                </c:pt>
                <c:pt idx="173">
                  <c:v>75</c:v>
                </c:pt>
                <c:pt idx="174">
                  <c:v>62</c:v>
                </c:pt>
                <c:pt idx="175">
                  <c:v>70</c:v>
                </c:pt>
                <c:pt idx="176">
                  <c:v>46</c:v>
                </c:pt>
                <c:pt idx="177">
                  <c:v>34</c:v>
                </c:pt>
                <c:pt idx="178">
                  <c:v>46</c:v>
                </c:pt>
                <c:pt idx="179">
                  <c:v>60</c:v>
                </c:pt>
                <c:pt idx="180">
                  <c:v>58</c:v>
                </c:pt>
                <c:pt idx="181">
                  <c:v>71</c:v>
                </c:pt>
                <c:pt idx="182">
                  <c:v>57</c:v>
                </c:pt>
                <c:pt idx="183">
                  <c:v>94</c:v>
                </c:pt>
                <c:pt idx="184">
                  <c:v>47</c:v>
                </c:pt>
                <c:pt idx="185">
                  <c:v>19</c:v>
                </c:pt>
                <c:pt idx="186">
                  <c:v>58</c:v>
                </c:pt>
                <c:pt idx="187">
                  <c:v>76</c:v>
                </c:pt>
                <c:pt idx="188">
                  <c:v>53</c:v>
                </c:pt>
                <c:pt idx="189">
                  <c:v>42</c:v>
                </c:pt>
                <c:pt idx="190">
                  <c:v>57</c:v>
                </c:pt>
                <c:pt idx="191">
                  <c:v>46</c:v>
                </c:pt>
                <c:pt idx="192">
                  <c:v>58</c:v>
                </c:pt>
                <c:pt idx="193">
                  <c:v>45</c:v>
                </c:pt>
                <c:pt idx="194">
                  <c:v>81</c:v>
                </c:pt>
                <c:pt idx="195">
                  <c:v>52</c:v>
                </c:pt>
                <c:pt idx="196">
                  <c:v>84</c:v>
                </c:pt>
                <c:pt idx="197">
                  <c:v>42</c:v>
                </c:pt>
                <c:pt idx="198">
                  <c:v>58</c:v>
                </c:pt>
                <c:pt idx="199">
                  <c:v>64</c:v>
                </c:pt>
                <c:pt idx="200">
                  <c:v>62</c:v>
                </c:pt>
                <c:pt idx="201">
                  <c:v>38</c:v>
                </c:pt>
                <c:pt idx="202">
                  <c:v>67</c:v>
                </c:pt>
                <c:pt idx="203">
                  <c:v>66</c:v>
                </c:pt>
                <c:pt idx="204">
                  <c:v>28</c:v>
                </c:pt>
                <c:pt idx="205">
                  <c:v>47</c:v>
                </c:pt>
                <c:pt idx="206">
                  <c:v>90</c:v>
                </c:pt>
                <c:pt idx="207">
                  <c:v>42</c:v>
                </c:pt>
                <c:pt idx="208">
                  <c:v>64</c:v>
                </c:pt>
                <c:pt idx="209">
                  <c:v>47</c:v>
                </c:pt>
                <c:pt idx="210">
                  <c:v>53</c:v>
                </c:pt>
                <c:pt idx="211">
                  <c:v>48</c:v>
                </c:pt>
                <c:pt idx="212">
                  <c:v>48</c:v>
                </c:pt>
                <c:pt idx="213">
                  <c:v>40</c:v>
                </c:pt>
                <c:pt idx="214">
                  <c:v>58</c:v>
                </c:pt>
                <c:pt idx="215">
                  <c:v>47</c:v>
                </c:pt>
                <c:pt idx="216">
                  <c:v>43</c:v>
                </c:pt>
                <c:pt idx="217">
                  <c:v>36</c:v>
                </c:pt>
                <c:pt idx="218">
                  <c:v>86</c:v>
                </c:pt>
                <c:pt idx="219">
                  <c:v>48</c:v>
                </c:pt>
                <c:pt idx="220">
                  <c:v>27</c:v>
                </c:pt>
                <c:pt idx="221">
                  <c:v>50</c:v>
                </c:pt>
                <c:pt idx="222">
                  <c:v>67</c:v>
                </c:pt>
                <c:pt idx="223">
                  <c:v>45</c:v>
                </c:pt>
                <c:pt idx="224">
                  <c:v>55</c:v>
                </c:pt>
                <c:pt idx="225">
                  <c:v>76</c:v>
                </c:pt>
                <c:pt idx="226">
                  <c:v>55</c:v>
                </c:pt>
                <c:pt idx="227">
                  <c:v>57</c:v>
                </c:pt>
                <c:pt idx="228">
                  <c:v>45</c:v>
                </c:pt>
                <c:pt idx="229">
                  <c:v>62</c:v>
                </c:pt>
                <c:pt idx="230">
                  <c:v>82</c:v>
                </c:pt>
                <c:pt idx="231">
                  <c:v>47</c:v>
                </c:pt>
                <c:pt idx="232">
                  <c:v>57</c:v>
                </c:pt>
                <c:pt idx="233">
                  <c:v>85</c:v>
                </c:pt>
                <c:pt idx="234">
                  <c:v>58</c:v>
                </c:pt>
                <c:pt idx="235">
                  <c:v>66</c:v>
                </c:pt>
                <c:pt idx="236">
                  <c:v>69</c:v>
                </c:pt>
                <c:pt idx="237">
                  <c:v>59</c:v>
                </c:pt>
                <c:pt idx="238">
                  <c:v>39</c:v>
                </c:pt>
                <c:pt idx="239">
                  <c:v>56</c:v>
                </c:pt>
                <c:pt idx="240">
                  <c:v>47</c:v>
                </c:pt>
                <c:pt idx="241">
                  <c:v>76</c:v>
                </c:pt>
                <c:pt idx="242">
                  <c:v>65</c:v>
                </c:pt>
                <c:pt idx="243">
                  <c:v>51</c:v>
                </c:pt>
                <c:pt idx="244">
                  <c:v>64</c:v>
                </c:pt>
                <c:pt idx="245">
                  <c:v>63</c:v>
                </c:pt>
                <c:pt idx="246">
                  <c:v>40</c:v>
                </c:pt>
                <c:pt idx="247">
                  <c:v>64</c:v>
                </c:pt>
                <c:pt idx="248">
                  <c:v>65</c:v>
                </c:pt>
                <c:pt idx="249">
                  <c:v>38</c:v>
                </c:pt>
                <c:pt idx="250">
                  <c:v>53</c:v>
                </c:pt>
                <c:pt idx="251">
                  <c:v>51</c:v>
                </c:pt>
                <c:pt idx="252">
                  <c:v>61</c:v>
                </c:pt>
                <c:pt idx="253">
                  <c:v>29</c:v>
                </c:pt>
                <c:pt idx="254">
                  <c:v>51</c:v>
                </c:pt>
                <c:pt idx="255">
                  <c:v>66</c:v>
                </c:pt>
                <c:pt idx="256">
                  <c:v>81</c:v>
                </c:pt>
                <c:pt idx="257">
                  <c:v>97</c:v>
                </c:pt>
                <c:pt idx="258">
                  <c:v>67</c:v>
                </c:pt>
                <c:pt idx="259">
                  <c:v>60</c:v>
                </c:pt>
                <c:pt idx="260">
                  <c:v>62</c:v>
                </c:pt>
                <c:pt idx="261">
                  <c:v>56</c:v>
                </c:pt>
                <c:pt idx="262">
                  <c:v>65</c:v>
                </c:pt>
                <c:pt idx="263">
                  <c:v>45</c:v>
                </c:pt>
                <c:pt idx="264">
                  <c:v>67</c:v>
                </c:pt>
                <c:pt idx="265">
                  <c:v>69</c:v>
                </c:pt>
                <c:pt idx="266">
                  <c:v>30</c:v>
                </c:pt>
                <c:pt idx="267">
                  <c:v>49</c:v>
                </c:pt>
                <c:pt idx="268">
                  <c:v>50</c:v>
                </c:pt>
                <c:pt idx="269">
                  <c:v>65</c:v>
                </c:pt>
                <c:pt idx="270">
                  <c:v>58</c:v>
                </c:pt>
                <c:pt idx="271">
                  <c:v>67</c:v>
                </c:pt>
                <c:pt idx="272">
                  <c:v>54</c:v>
                </c:pt>
                <c:pt idx="273">
                  <c:v>79</c:v>
                </c:pt>
                <c:pt idx="274">
                  <c:v>46</c:v>
                </c:pt>
                <c:pt idx="275">
                  <c:v>64</c:v>
                </c:pt>
                <c:pt idx="276">
                  <c:v>75</c:v>
                </c:pt>
                <c:pt idx="277">
                  <c:v>119</c:v>
                </c:pt>
                <c:pt idx="278">
                  <c:v>46</c:v>
                </c:pt>
                <c:pt idx="279">
                  <c:v>58</c:v>
                </c:pt>
                <c:pt idx="280">
                  <c:v>49</c:v>
                </c:pt>
                <c:pt idx="281">
                  <c:v>32</c:v>
                </c:pt>
                <c:pt idx="282">
                  <c:v>59</c:v>
                </c:pt>
                <c:pt idx="283">
                  <c:v>54</c:v>
                </c:pt>
                <c:pt idx="284">
                  <c:v>63</c:v>
                </c:pt>
                <c:pt idx="285">
                  <c:v>79</c:v>
                </c:pt>
                <c:pt idx="286">
                  <c:v>36</c:v>
                </c:pt>
                <c:pt idx="287">
                  <c:v>45</c:v>
                </c:pt>
                <c:pt idx="288">
                  <c:v>67</c:v>
                </c:pt>
                <c:pt idx="289">
                  <c:v>42</c:v>
                </c:pt>
                <c:pt idx="290">
                  <c:v>115</c:v>
                </c:pt>
                <c:pt idx="291">
                  <c:v>40</c:v>
                </c:pt>
                <c:pt idx="292">
                  <c:v>79</c:v>
                </c:pt>
                <c:pt idx="293">
                  <c:v>55</c:v>
                </c:pt>
                <c:pt idx="294">
                  <c:v>61</c:v>
                </c:pt>
                <c:pt idx="295">
                  <c:v>68</c:v>
                </c:pt>
                <c:pt idx="296">
                  <c:v>47</c:v>
                </c:pt>
                <c:pt idx="297">
                  <c:v>41</c:v>
                </c:pt>
                <c:pt idx="298">
                  <c:v>27</c:v>
                </c:pt>
                <c:pt idx="299">
                  <c:v>73</c:v>
                </c:pt>
                <c:pt idx="300">
                  <c:v>42</c:v>
                </c:pt>
                <c:pt idx="301">
                  <c:v>93</c:v>
                </c:pt>
                <c:pt idx="302">
                  <c:v>56</c:v>
                </c:pt>
                <c:pt idx="303">
                  <c:v>54</c:v>
                </c:pt>
                <c:pt idx="304">
                  <c:v>50</c:v>
                </c:pt>
                <c:pt idx="305">
                  <c:v>95</c:v>
                </c:pt>
                <c:pt idx="306">
                  <c:v>69</c:v>
                </c:pt>
                <c:pt idx="307">
                  <c:v>44</c:v>
                </c:pt>
                <c:pt idx="308">
                  <c:v>67</c:v>
                </c:pt>
                <c:pt idx="309">
                  <c:v>41</c:v>
                </c:pt>
                <c:pt idx="310">
                  <c:v>74</c:v>
                </c:pt>
                <c:pt idx="311">
                  <c:v>63</c:v>
                </c:pt>
                <c:pt idx="312">
                  <c:v>53</c:v>
                </c:pt>
                <c:pt idx="313">
                  <c:v>26</c:v>
                </c:pt>
                <c:pt idx="314">
                  <c:v>92</c:v>
                </c:pt>
                <c:pt idx="315">
                  <c:v>68</c:v>
                </c:pt>
                <c:pt idx="316">
                  <c:v>97</c:v>
                </c:pt>
                <c:pt idx="317">
                  <c:v>78</c:v>
                </c:pt>
                <c:pt idx="318">
                  <c:v>40</c:v>
                </c:pt>
                <c:pt idx="319">
                  <c:v>53</c:v>
                </c:pt>
                <c:pt idx="320">
                  <c:v>54</c:v>
                </c:pt>
                <c:pt idx="321">
                  <c:v>72</c:v>
                </c:pt>
                <c:pt idx="322">
                  <c:v>45</c:v>
                </c:pt>
                <c:pt idx="323">
                  <c:v>55</c:v>
                </c:pt>
                <c:pt idx="324">
                  <c:v>70</c:v>
                </c:pt>
                <c:pt idx="325">
                  <c:v>27</c:v>
                </c:pt>
                <c:pt idx="326">
                  <c:v>54</c:v>
                </c:pt>
                <c:pt idx="327">
                  <c:v>60</c:v>
                </c:pt>
                <c:pt idx="328">
                  <c:v>48</c:v>
                </c:pt>
                <c:pt idx="329">
                  <c:v>82</c:v>
                </c:pt>
                <c:pt idx="330">
                  <c:v>44</c:v>
                </c:pt>
                <c:pt idx="331">
                  <c:v>59</c:v>
                </c:pt>
                <c:pt idx="332">
                  <c:v>44</c:v>
                </c:pt>
                <c:pt idx="333">
                  <c:v>42</c:v>
                </c:pt>
                <c:pt idx="334">
                  <c:v>46</c:v>
                </c:pt>
                <c:pt idx="335">
                  <c:v>43</c:v>
                </c:pt>
                <c:pt idx="336">
                  <c:v>39</c:v>
                </c:pt>
                <c:pt idx="337">
                  <c:v>52</c:v>
                </c:pt>
                <c:pt idx="338">
                  <c:v>56</c:v>
                </c:pt>
                <c:pt idx="339">
                  <c:v>44</c:v>
                </c:pt>
                <c:pt idx="340">
                  <c:v>58</c:v>
                </c:pt>
                <c:pt idx="341">
                  <c:v>60</c:v>
                </c:pt>
                <c:pt idx="342">
                  <c:v>45</c:v>
                </c:pt>
                <c:pt idx="343">
                  <c:v>61</c:v>
                </c:pt>
                <c:pt idx="344">
                  <c:v>64</c:v>
                </c:pt>
                <c:pt idx="345">
                  <c:v>56</c:v>
                </c:pt>
                <c:pt idx="346">
                  <c:v>75</c:v>
                </c:pt>
                <c:pt idx="347">
                  <c:v>63</c:v>
                </c:pt>
                <c:pt idx="348">
                  <c:v>73</c:v>
                </c:pt>
                <c:pt idx="349">
                  <c:v>54</c:v>
                </c:pt>
                <c:pt idx="350">
                  <c:v>51</c:v>
                </c:pt>
                <c:pt idx="351">
                  <c:v>63</c:v>
                </c:pt>
                <c:pt idx="352">
                  <c:v>55</c:v>
                </c:pt>
                <c:pt idx="353">
                  <c:v>72</c:v>
                </c:pt>
                <c:pt idx="354">
                  <c:v>48</c:v>
                </c:pt>
                <c:pt idx="355">
                  <c:v>59</c:v>
                </c:pt>
                <c:pt idx="356">
                  <c:v>57</c:v>
                </c:pt>
                <c:pt idx="357">
                  <c:v>51</c:v>
                </c:pt>
                <c:pt idx="358">
                  <c:v>63</c:v>
                </c:pt>
                <c:pt idx="359">
                  <c:v>56</c:v>
                </c:pt>
                <c:pt idx="360">
                  <c:v>48</c:v>
                </c:pt>
                <c:pt idx="361">
                  <c:v>134</c:v>
                </c:pt>
                <c:pt idx="362">
                  <c:v>97</c:v>
                </c:pt>
                <c:pt idx="36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9-46FA-9165-CBF26F5DF75F}"/>
            </c:ext>
          </c:extLst>
        </c:ser>
        <c:ser>
          <c:idx val="1"/>
          <c:order val="1"/>
          <c:tx>
            <c:strRef>
              <c:f>Sheet9!$C$1</c:f>
              <c:strCache>
                <c:ptCount val="1"/>
                <c:pt idx="0">
                  <c:v>Forecast(Sum of Quantity)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Sheet9!$A$2:$A$397</c:f>
              <c:numCache>
                <c:formatCode>m/d/yyyy</c:formatCode>
                <c:ptCount val="39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  <c:pt idx="386">
                  <c:v>46044</c:v>
                </c:pt>
                <c:pt idx="387">
                  <c:v>46045</c:v>
                </c:pt>
                <c:pt idx="388">
                  <c:v>46046</c:v>
                </c:pt>
                <c:pt idx="389">
                  <c:v>46047</c:v>
                </c:pt>
                <c:pt idx="390">
                  <c:v>46048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46053</c:v>
                </c:pt>
              </c:numCache>
            </c:numRef>
          </c:cat>
          <c:val>
            <c:numRef>
              <c:f>Sheet9!$C$2:$C$397</c:f>
              <c:numCache>
                <c:formatCode>General</c:formatCode>
                <c:ptCount val="396"/>
                <c:pt idx="363">
                  <c:v>58</c:v>
                </c:pt>
                <c:pt idx="364">
                  <c:v>68.223867789147249</c:v>
                </c:pt>
                <c:pt idx="365">
                  <c:v>68.235855637547374</c:v>
                </c:pt>
                <c:pt idx="366">
                  <c:v>68.247843485947541</c:v>
                </c:pt>
                <c:pt idx="367">
                  <c:v>68.259831334347652</c:v>
                </c:pt>
                <c:pt idx="368">
                  <c:v>68.271819182747819</c:v>
                </c:pt>
                <c:pt idx="369">
                  <c:v>68.283807031147944</c:v>
                </c:pt>
                <c:pt idx="370">
                  <c:v>68.295794879548112</c:v>
                </c:pt>
                <c:pt idx="371">
                  <c:v>68.307782727948222</c:v>
                </c:pt>
                <c:pt idx="372">
                  <c:v>68.319770576348404</c:v>
                </c:pt>
                <c:pt idx="373">
                  <c:v>68.331758424748514</c:v>
                </c:pt>
                <c:pt idx="374">
                  <c:v>68.343746273148682</c:v>
                </c:pt>
                <c:pt idx="375">
                  <c:v>68.355734121548792</c:v>
                </c:pt>
                <c:pt idx="376">
                  <c:v>68.367721969948974</c:v>
                </c:pt>
                <c:pt idx="377">
                  <c:v>68.379709818349085</c:v>
                </c:pt>
                <c:pt idx="378">
                  <c:v>68.391697666749252</c:v>
                </c:pt>
                <c:pt idx="379">
                  <c:v>68.403685515149377</c:v>
                </c:pt>
                <c:pt idx="380">
                  <c:v>68.415673363549544</c:v>
                </c:pt>
                <c:pt idx="381">
                  <c:v>68.427661211949655</c:v>
                </c:pt>
                <c:pt idx="382">
                  <c:v>68.439649060349822</c:v>
                </c:pt>
                <c:pt idx="383">
                  <c:v>68.451636908749947</c:v>
                </c:pt>
                <c:pt idx="384">
                  <c:v>68.463624757150114</c:v>
                </c:pt>
                <c:pt idx="385">
                  <c:v>68.475612605550225</c:v>
                </c:pt>
                <c:pt idx="386">
                  <c:v>68.487600453950407</c:v>
                </c:pt>
                <c:pt idx="387">
                  <c:v>68.499588302350517</c:v>
                </c:pt>
                <c:pt idx="388">
                  <c:v>68.511576150750685</c:v>
                </c:pt>
                <c:pt idx="389">
                  <c:v>68.523563999150795</c:v>
                </c:pt>
                <c:pt idx="390">
                  <c:v>68.535551847550977</c:v>
                </c:pt>
                <c:pt idx="391">
                  <c:v>68.547539695951087</c:v>
                </c:pt>
                <c:pt idx="392">
                  <c:v>68.559527544351255</c:v>
                </c:pt>
                <c:pt idx="393">
                  <c:v>68.57151539275138</c:v>
                </c:pt>
                <c:pt idx="394">
                  <c:v>68.583503241151547</c:v>
                </c:pt>
                <c:pt idx="395">
                  <c:v>68.595491089551658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89-46FA-9165-CBF26F5DF75F}"/>
            </c:ext>
          </c:extLst>
        </c:ser>
        <c:ser>
          <c:idx val="2"/>
          <c:order val="2"/>
          <c:tx>
            <c:strRef>
              <c:f>Sheet9!$D$1</c:f>
              <c:strCache>
                <c:ptCount val="1"/>
                <c:pt idx="0">
                  <c:v>Lower Confidence Bound(Sum of Quantity)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Sheet9!$A$2:$A$397</c:f>
              <c:numCache>
                <c:formatCode>m/d/yyyy</c:formatCode>
                <c:ptCount val="39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  <c:pt idx="386">
                  <c:v>46044</c:v>
                </c:pt>
                <c:pt idx="387">
                  <c:v>46045</c:v>
                </c:pt>
                <c:pt idx="388">
                  <c:v>46046</c:v>
                </c:pt>
                <c:pt idx="389">
                  <c:v>46047</c:v>
                </c:pt>
                <c:pt idx="390">
                  <c:v>46048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46053</c:v>
                </c:pt>
              </c:numCache>
            </c:numRef>
          </c:cat>
          <c:val>
            <c:numRef>
              <c:f>Sheet9!$D$2:$D$397</c:f>
              <c:numCache>
                <c:formatCode>General</c:formatCode>
                <c:ptCount val="396"/>
                <c:pt idx="363" formatCode="0.00">
                  <c:v>58</c:v>
                </c:pt>
                <c:pt idx="364" formatCode="0.00">
                  <c:v>39.838869827367859</c:v>
                </c:pt>
                <c:pt idx="365" formatCode="0.00">
                  <c:v>39.622862515803504</c:v>
                </c:pt>
                <c:pt idx="366" formatCode="0.00">
                  <c:v>39.405095748473343</c:v>
                </c:pt>
                <c:pt idx="367" formatCode="0.00">
                  <c:v>39.185583524743507</c:v>
                </c:pt>
                <c:pt idx="368" formatCode="0.00">
                  <c:v>38.964339715190796</c:v>
                </c:pt>
                <c:pt idx="369" formatCode="0.00">
                  <c:v>38.741378058485495</c:v>
                </c:pt>
                <c:pt idx="370" formatCode="0.00">
                  <c:v>38.516712158599859</c:v>
                </c:pt>
                <c:pt idx="371" formatCode="0.00">
                  <c:v>38.2903554823245</c:v>
                </c:pt>
                <c:pt idx="372" formatCode="0.00">
                  <c:v>38.062321357077977</c:v>
                </c:pt>
                <c:pt idx="373" formatCode="0.00">
                  <c:v>37.832622968992681</c:v>
                </c:pt>
                <c:pt idx="374" formatCode="0.00">
                  <c:v>37.601273361263821</c:v>
                </c:pt>
                <c:pt idx="375" formatCode="0.00">
                  <c:v>37.368285432745083</c:v>
                </c:pt>
                <c:pt idx="376" formatCode="0.00">
                  <c:v>37.133671936778995</c:v>
                </c:pt>
                <c:pt idx="377" formatCode="0.00">
                  <c:v>36.89744548024656</c:v>
                </c:pt>
                <c:pt idx="378" formatCode="0.00">
                  <c:v>36.659618522825347</c:v>
                </c:pt>
                <c:pt idx="379" formatCode="0.00">
                  <c:v>36.420203376441442</c:v>
                </c:pt>
                <c:pt idx="380" formatCode="0.00">
                  <c:v>36.179212204905326</c:v>
                </c:pt>
                <c:pt idx="381" formatCode="0.00">
                  <c:v>35.936657023718524</c:v>
                </c:pt>
                <c:pt idx="382" formatCode="0.00">
                  <c:v>35.69254970004166</c:v>
                </c:pt>
                <c:pt idx="383" formatCode="0.00">
                  <c:v>35.446901952811857</c:v>
                </c:pt>
                <c:pt idx="384" formatCode="0.00">
                  <c:v>35.199725353000993</c:v>
                </c:pt>
                <c:pt idx="385" formatCode="0.00">
                  <c:v>34.951031324003921</c:v>
                </c:pt>
                <c:pt idx="386" formatCode="0.00">
                  <c:v>34.700831142148814</c:v>
                </c:pt>
                <c:pt idx="387" formatCode="0.00">
                  <c:v>34.449135937319447</c:v>
                </c:pt>
                <c:pt idx="388" formatCode="0.00">
                  <c:v>34.19595669368303</c:v>
                </c:pt>
                <c:pt idx="389" formatCode="0.00">
                  <c:v>33.941304250513689</c:v>
                </c:pt>
                <c:pt idx="390" formatCode="0.00">
                  <c:v>33.685189303106078</c:v>
                </c:pt>
                <c:pt idx="391" formatCode="0.00">
                  <c:v>33.427622403770251</c:v>
                </c:pt>
                <c:pt idx="392" formatCode="0.00">
                  <c:v>33.168613962902846</c:v>
                </c:pt>
                <c:pt idx="393" formatCode="0.00">
                  <c:v>32.908174250126415</c:v>
                </c:pt>
                <c:pt idx="394" formatCode="0.00">
                  <c:v>32.646313395492584</c:v>
                </c:pt>
                <c:pt idx="395" formatCode="0.00">
                  <c:v>32.38304139074188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89-46FA-9165-CBF26F5DF75F}"/>
            </c:ext>
          </c:extLst>
        </c:ser>
        <c:ser>
          <c:idx val="3"/>
          <c:order val="3"/>
          <c:tx>
            <c:strRef>
              <c:f>Sheet9!$E$1</c:f>
              <c:strCache>
                <c:ptCount val="1"/>
                <c:pt idx="0">
                  <c:v>Upper Confidence Bound(Sum of Quantity)</c:v>
                </c:pt>
              </c:strCache>
            </c:strRef>
          </c:tx>
          <c:spPr>
            <a:ln w="12700" cap="rnd">
              <a:solidFill>
                <a:srgbClr val="C0504D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Sheet9!$A$2:$A$397</c:f>
              <c:numCache>
                <c:formatCode>m/d/yyyy</c:formatCode>
                <c:ptCount val="396"/>
                <c:pt idx="0">
                  <c:v>45658</c:v>
                </c:pt>
                <c:pt idx="1">
                  <c:v>45659</c:v>
                </c:pt>
                <c:pt idx="2">
                  <c:v>45660</c:v>
                </c:pt>
                <c:pt idx="3">
                  <c:v>45661</c:v>
                </c:pt>
                <c:pt idx="4">
                  <c:v>45662</c:v>
                </c:pt>
                <c:pt idx="5">
                  <c:v>45663</c:v>
                </c:pt>
                <c:pt idx="6">
                  <c:v>45664</c:v>
                </c:pt>
                <c:pt idx="7">
                  <c:v>45665</c:v>
                </c:pt>
                <c:pt idx="8">
                  <c:v>45666</c:v>
                </c:pt>
                <c:pt idx="9">
                  <c:v>45667</c:v>
                </c:pt>
                <c:pt idx="10">
                  <c:v>45668</c:v>
                </c:pt>
                <c:pt idx="11">
                  <c:v>45669</c:v>
                </c:pt>
                <c:pt idx="12">
                  <c:v>45670</c:v>
                </c:pt>
                <c:pt idx="13">
                  <c:v>45671</c:v>
                </c:pt>
                <c:pt idx="14">
                  <c:v>45672</c:v>
                </c:pt>
                <c:pt idx="15">
                  <c:v>45673</c:v>
                </c:pt>
                <c:pt idx="16">
                  <c:v>45674</c:v>
                </c:pt>
                <c:pt idx="17">
                  <c:v>45675</c:v>
                </c:pt>
                <c:pt idx="18">
                  <c:v>45676</c:v>
                </c:pt>
                <c:pt idx="19">
                  <c:v>45677</c:v>
                </c:pt>
                <c:pt idx="20">
                  <c:v>45678</c:v>
                </c:pt>
                <c:pt idx="21">
                  <c:v>45679</c:v>
                </c:pt>
                <c:pt idx="22">
                  <c:v>45680</c:v>
                </c:pt>
                <c:pt idx="23">
                  <c:v>45681</c:v>
                </c:pt>
                <c:pt idx="24">
                  <c:v>45682</c:v>
                </c:pt>
                <c:pt idx="25">
                  <c:v>45683</c:v>
                </c:pt>
                <c:pt idx="26">
                  <c:v>45684</c:v>
                </c:pt>
                <c:pt idx="27">
                  <c:v>45685</c:v>
                </c:pt>
                <c:pt idx="28">
                  <c:v>45686</c:v>
                </c:pt>
                <c:pt idx="29">
                  <c:v>45687</c:v>
                </c:pt>
                <c:pt idx="30">
                  <c:v>45688</c:v>
                </c:pt>
                <c:pt idx="31">
                  <c:v>45689</c:v>
                </c:pt>
                <c:pt idx="32">
                  <c:v>45690</c:v>
                </c:pt>
                <c:pt idx="33">
                  <c:v>45691</c:v>
                </c:pt>
                <c:pt idx="34">
                  <c:v>45692</c:v>
                </c:pt>
                <c:pt idx="35">
                  <c:v>45693</c:v>
                </c:pt>
                <c:pt idx="36">
                  <c:v>45694</c:v>
                </c:pt>
                <c:pt idx="37">
                  <c:v>45695</c:v>
                </c:pt>
                <c:pt idx="38">
                  <c:v>45696</c:v>
                </c:pt>
                <c:pt idx="39">
                  <c:v>45697</c:v>
                </c:pt>
                <c:pt idx="40">
                  <c:v>45698</c:v>
                </c:pt>
                <c:pt idx="41">
                  <c:v>45699</c:v>
                </c:pt>
                <c:pt idx="42">
                  <c:v>45700</c:v>
                </c:pt>
                <c:pt idx="43">
                  <c:v>45701</c:v>
                </c:pt>
                <c:pt idx="44">
                  <c:v>45702</c:v>
                </c:pt>
                <c:pt idx="45">
                  <c:v>45703</c:v>
                </c:pt>
                <c:pt idx="46">
                  <c:v>45704</c:v>
                </c:pt>
                <c:pt idx="47">
                  <c:v>45705</c:v>
                </c:pt>
                <c:pt idx="48">
                  <c:v>45706</c:v>
                </c:pt>
                <c:pt idx="49">
                  <c:v>45707</c:v>
                </c:pt>
                <c:pt idx="50">
                  <c:v>45708</c:v>
                </c:pt>
                <c:pt idx="51">
                  <c:v>45709</c:v>
                </c:pt>
                <c:pt idx="52">
                  <c:v>45710</c:v>
                </c:pt>
                <c:pt idx="53">
                  <c:v>45711</c:v>
                </c:pt>
                <c:pt idx="54">
                  <c:v>45712</c:v>
                </c:pt>
                <c:pt idx="55">
                  <c:v>45713</c:v>
                </c:pt>
                <c:pt idx="56">
                  <c:v>45714</c:v>
                </c:pt>
                <c:pt idx="57">
                  <c:v>45715</c:v>
                </c:pt>
                <c:pt idx="58">
                  <c:v>45716</c:v>
                </c:pt>
                <c:pt idx="59">
                  <c:v>45717</c:v>
                </c:pt>
                <c:pt idx="60">
                  <c:v>45718</c:v>
                </c:pt>
                <c:pt idx="61">
                  <c:v>45719</c:v>
                </c:pt>
                <c:pt idx="62">
                  <c:v>45720</c:v>
                </c:pt>
                <c:pt idx="63">
                  <c:v>45721</c:v>
                </c:pt>
                <c:pt idx="64">
                  <c:v>45722</c:v>
                </c:pt>
                <c:pt idx="65">
                  <c:v>45723</c:v>
                </c:pt>
                <c:pt idx="66">
                  <c:v>45724</c:v>
                </c:pt>
                <c:pt idx="67">
                  <c:v>45725</c:v>
                </c:pt>
                <c:pt idx="68">
                  <c:v>45726</c:v>
                </c:pt>
                <c:pt idx="69">
                  <c:v>45727</c:v>
                </c:pt>
                <c:pt idx="70">
                  <c:v>45728</c:v>
                </c:pt>
                <c:pt idx="71">
                  <c:v>45729</c:v>
                </c:pt>
                <c:pt idx="72">
                  <c:v>45730</c:v>
                </c:pt>
                <c:pt idx="73">
                  <c:v>45731</c:v>
                </c:pt>
                <c:pt idx="74">
                  <c:v>45732</c:v>
                </c:pt>
                <c:pt idx="75">
                  <c:v>45733</c:v>
                </c:pt>
                <c:pt idx="76">
                  <c:v>45734</c:v>
                </c:pt>
                <c:pt idx="77">
                  <c:v>45735</c:v>
                </c:pt>
                <c:pt idx="78">
                  <c:v>45736</c:v>
                </c:pt>
                <c:pt idx="79">
                  <c:v>45737</c:v>
                </c:pt>
                <c:pt idx="80">
                  <c:v>45738</c:v>
                </c:pt>
                <c:pt idx="81">
                  <c:v>45739</c:v>
                </c:pt>
                <c:pt idx="82">
                  <c:v>45740</c:v>
                </c:pt>
                <c:pt idx="83">
                  <c:v>45741</c:v>
                </c:pt>
                <c:pt idx="84">
                  <c:v>45742</c:v>
                </c:pt>
                <c:pt idx="85">
                  <c:v>45743</c:v>
                </c:pt>
                <c:pt idx="86">
                  <c:v>45744</c:v>
                </c:pt>
                <c:pt idx="87">
                  <c:v>45745</c:v>
                </c:pt>
                <c:pt idx="88">
                  <c:v>45746</c:v>
                </c:pt>
                <c:pt idx="89">
                  <c:v>45747</c:v>
                </c:pt>
                <c:pt idx="90">
                  <c:v>45748</c:v>
                </c:pt>
                <c:pt idx="91">
                  <c:v>45749</c:v>
                </c:pt>
                <c:pt idx="92">
                  <c:v>45750</c:v>
                </c:pt>
                <c:pt idx="93">
                  <c:v>45751</c:v>
                </c:pt>
                <c:pt idx="94">
                  <c:v>45752</c:v>
                </c:pt>
                <c:pt idx="95">
                  <c:v>45753</c:v>
                </c:pt>
                <c:pt idx="96">
                  <c:v>45754</c:v>
                </c:pt>
                <c:pt idx="97">
                  <c:v>45755</c:v>
                </c:pt>
                <c:pt idx="98">
                  <c:v>45756</c:v>
                </c:pt>
                <c:pt idx="99">
                  <c:v>45757</c:v>
                </c:pt>
                <c:pt idx="100">
                  <c:v>45758</c:v>
                </c:pt>
                <c:pt idx="101">
                  <c:v>45759</c:v>
                </c:pt>
                <c:pt idx="102">
                  <c:v>45760</c:v>
                </c:pt>
                <c:pt idx="103">
                  <c:v>45761</c:v>
                </c:pt>
                <c:pt idx="104">
                  <c:v>45762</c:v>
                </c:pt>
                <c:pt idx="105">
                  <c:v>45763</c:v>
                </c:pt>
                <c:pt idx="106">
                  <c:v>45764</c:v>
                </c:pt>
                <c:pt idx="107">
                  <c:v>45765</c:v>
                </c:pt>
                <c:pt idx="108">
                  <c:v>45766</c:v>
                </c:pt>
                <c:pt idx="109">
                  <c:v>45767</c:v>
                </c:pt>
                <c:pt idx="110">
                  <c:v>45768</c:v>
                </c:pt>
                <c:pt idx="111">
                  <c:v>45769</c:v>
                </c:pt>
                <c:pt idx="112">
                  <c:v>45770</c:v>
                </c:pt>
                <c:pt idx="113">
                  <c:v>45771</c:v>
                </c:pt>
                <c:pt idx="114">
                  <c:v>45772</c:v>
                </c:pt>
                <c:pt idx="115">
                  <c:v>45773</c:v>
                </c:pt>
                <c:pt idx="116">
                  <c:v>45774</c:v>
                </c:pt>
                <c:pt idx="117">
                  <c:v>45775</c:v>
                </c:pt>
                <c:pt idx="118">
                  <c:v>45776</c:v>
                </c:pt>
                <c:pt idx="119">
                  <c:v>45777</c:v>
                </c:pt>
                <c:pt idx="120">
                  <c:v>45778</c:v>
                </c:pt>
                <c:pt idx="121">
                  <c:v>45779</c:v>
                </c:pt>
                <c:pt idx="122">
                  <c:v>45780</c:v>
                </c:pt>
                <c:pt idx="123">
                  <c:v>45781</c:v>
                </c:pt>
                <c:pt idx="124">
                  <c:v>45782</c:v>
                </c:pt>
                <c:pt idx="125">
                  <c:v>45783</c:v>
                </c:pt>
                <c:pt idx="126">
                  <c:v>45784</c:v>
                </c:pt>
                <c:pt idx="127">
                  <c:v>45785</c:v>
                </c:pt>
                <c:pt idx="128">
                  <c:v>45786</c:v>
                </c:pt>
                <c:pt idx="129">
                  <c:v>45787</c:v>
                </c:pt>
                <c:pt idx="130">
                  <c:v>45788</c:v>
                </c:pt>
                <c:pt idx="131">
                  <c:v>45789</c:v>
                </c:pt>
                <c:pt idx="132">
                  <c:v>45790</c:v>
                </c:pt>
                <c:pt idx="133">
                  <c:v>45791</c:v>
                </c:pt>
                <c:pt idx="134">
                  <c:v>45792</c:v>
                </c:pt>
                <c:pt idx="135">
                  <c:v>45793</c:v>
                </c:pt>
                <c:pt idx="136">
                  <c:v>45794</c:v>
                </c:pt>
                <c:pt idx="137">
                  <c:v>45795</c:v>
                </c:pt>
                <c:pt idx="138">
                  <c:v>45796</c:v>
                </c:pt>
                <c:pt idx="139">
                  <c:v>45797</c:v>
                </c:pt>
                <c:pt idx="140">
                  <c:v>45798</c:v>
                </c:pt>
                <c:pt idx="141">
                  <c:v>45799</c:v>
                </c:pt>
                <c:pt idx="142">
                  <c:v>45800</c:v>
                </c:pt>
                <c:pt idx="143">
                  <c:v>45801</c:v>
                </c:pt>
                <c:pt idx="144">
                  <c:v>45802</c:v>
                </c:pt>
                <c:pt idx="145">
                  <c:v>45803</c:v>
                </c:pt>
                <c:pt idx="146">
                  <c:v>45804</c:v>
                </c:pt>
                <c:pt idx="147">
                  <c:v>45805</c:v>
                </c:pt>
                <c:pt idx="148">
                  <c:v>45806</c:v>
                </c:pt>
                <c:pt idx="149">
                  <c:v>45807</c:v>
                </c:pt>
                <c:pt idx="150">
                  <c:v>45808</c:v>
                </c:pt>
                <c:pt idx="151">
                  <c:v>45809</c:v>
                </c:pt>
                <c:pt idx="152">
                  <c:v>45810</c:v>
                </c:pt>
                <c:pt idx="153">
                  <c:v>45811</c:v>
                </c:pt>
                <c:pt idx="154">
                  <c:v>45812</c:v>
                </c:pt>
                <c:pt idx="155">
                  <c:v>45813</c:v>
                </c:pt>
                <c:pt idx="156">
                  <c:v>45814</c:v>
                </c:pt>
                <c:pt idx="157">
                  <c:v>45815</c:v>
                </c:pt>
                <c:pt idx="158">
                  <c:v>45816</c:v>
                </c:pt>
                <c:pt idx="159">
                  <c:v>45817</c:v>
                </c:pt>
                <c:pt idx="160">
                  <c:v>45818</c:v>
                </c:pt>
                <c:pt idx="161">
                  <c:v>45819</c:v>
                </c:pt>
                <c:pt idx="162">
                  <c:v>45820</c:v>
                </c:pt>
                <c:pt idx="163">
                  <c:v>45821</c:v>
                </c:pt>
                <c:pt idx="164">
                  <c:v>45822</c:v>
                </c:pt>
                <c:pt idx="165">
                  <c:v>45823</c:v>
                </c:pt>
                <c:pt idx="166">
                  <c:v>45824</c:v>
                </c:pt>
                <c:pt idx="167">
                  <c:v>45825</c:v>
                </c:pt>
                <c:pt idx="168">
                  <c:v>45826</c:v>
                </c:pt>
                <c:pt idx="169">
                  <c:v>45827</c:v>
                </c:pt>
                <c:pt idx="170">
                  <c:v>45828</c:v>
                </c:pt>
                <c:pt idx="171">
                  <c:v>45829</c:v>
                </c:pt>
                <c:pt idx="172">
                  <c:v>45830</c:v>
                </c:pt>
                <c:pt idx="173">
                  <c:v>45831</c:v>
                </c:pt>
                <c:pt idx="174">
                  <c:v>45832</c:v>
                </c:pt>
                <c:pt idx="175">
                  <c:v>45833</c:v>
                </c:pt>
                <c:pt idx="176">
                  <c:v>45834</c:v>
                </c:pt>
                <c:pt idx="177">
                  <c:v>45835</c:v>
                </c:pt>
                <c:pt idx="178">
                  <c:v>45836</c:v>
                </c:pt>
                <c:pt idx="179">
                  <c:v>45837</c:v>
                </c:pt>
                <c:pt idx="180">
                  <c:v>45838</c:v>
                </c:pt>
                <c:pt idx="181">
                  <c:v>45839</c:v>
                </c:pt>
                <c:pt idx="182">
                  <c:v>45840</c:v>
                </c:pt>
                <c:pt idx="183">
                  <c:v>45841</c:v>
                </c:pt>
                <c:pt idx="184">
                  <c:v>45842</c:v>
                </c:pt>
                <c:pt idx="185">
                  <c:v>45843</c:v>
                </c:pt>
                <c:pt idx="186">
                  <c:v>45844</c:v>
                </c:pt>
                <c:pt idx="187">
                  <c:v>45845</c:v>
                </c:pt>
                <c:pt idx="188">
                  <c:v>45846</c:v>
                </c:pt>
                <c:pt idx="189">
                  <c:v>45847</c:v>
                </c:pt>
                <c:pt idx="190">
                  <c:v>45848</c:v>
                </c:pt>
                <c:pt idx="191">
                  <c:v>45849</c:v>
                </c:pt>
                <c:pt idx="192">
                  <c:v>45850</c:v>
                </c:pt>
                <c:pt idx="193">
                  <c:v>45851</c:v>
                </c:pt>
                <c:pt idx="194">
                  <c:v>45852</c:v>
                </c:pt>
                <c:pt idx="195">
                  <c:v>45853</c:v>
                </c:pt>
                <c:pt idx="196">
                  <c:v>45854</c:v>
                </c:pt>
                <c:pt idx="197">
                  <c:v>45855</c:v>
                </c:pt>
                <c:pt idx="198">
                  <c:v>45856</c:v>
                </c:pt>
                <c:pt idx="199">
                  <c:v>45857</c:v>
                </c:pt>
                <c:pt idx="200">
                  <c:v>45858</c:v>
                </c:pt>
                <c:pt idx="201">
                  <c:v>45859</c:v>
                </c:pt>
                <c:pt idx="202">
                  <c:v>45860</c:v>
                </c:pt>
                <c:pt idx="203">
                  <c:v>45861</c:v>
                </c:pt>
                <c:pt idx="204">
                  <c:v>45862</c:v>
                </c:pt>
                <c:pt idx="205">
                  <c:v>45863</c:v>
                </c:pt>
                <c:pt idx="206">
                  <c:v>45864</c:v>
                </c:pt>
                <c:pt idx="207">
                  <c:v>45865</c:v>
                </c:pt>
                <c:pt idx="208">
                  <c:v>45866</c:v>
                </c:pt>
                <c:pt idx="209">
                  <c:v>45867</c:v>
                </c:pt>
                <c:pt idx="210">
                  <c:v>45868</c:v>
                </c:pt>
                <c:pt idx="211">
                  <c:v>45869</c:v>
                </c:pt>
                <c:pt idx="212">
                  <c:v>45870</c:v>
                </c:pt>
                <c:pt idx="213">
                  <c:v>45871</c:v>
                </c:pt>
                <c:pt idx="214">
                  <c:v>45872</c:v>
                </c:pt>
                <c:pt idx="215">
                  <c:v>45873</c:v>
                </c:pt>
                <c:pt idx="216">
                  <c:v>45874</c:v>
                </c:pt>
                <c:pt idx="217">
                  <c:v>45875</c:v>
                </c:pt>
                <c:pt idx="218">
                  <c:v>45876</c:v>
                </c:pt>
                <c:pt idx="219">
                  <c:v>45877</c:v>
                </c:pt>
                <c:pt idx="220">
                  <c:v>45878</c:v>
                </c:pt>
                <c:pt idx="221">
                  <c:v>45879</c:v>
                </c:pt>
                <c:pt idx="222">
                  <c:v>45880</c:v>
                </c:pt>
                <c:pt idx="223">
                  <c:v>45881</c:v>
                </c:pt>
                <c:pt idx="224">
                  <c:v>45882</c:v>
                </c:pt>
                <c:pt idx="225">
                  <c:v>45883</c:v>
                </c:pt>
                <c:pt idx="226">
                  <c:v>45884</c:v>
                </c:pt>
                <c:pt idx="227">
                  <c:v>45885</c:v>
                </c:pt>
                <c:pt idx="228">
                  <c:v>45886</c:v>
                </c:pt>
                <c:pt idx="229">
                  <c:v>45887</c:v>
                </c:pt>
                <c:pt idx="230">
                  <c:v>45888</c:v>
                </c:pt>
                <c:pt idx="231">
                  <c:v>45889</c:v>
                </c:pt>
                <c:pt idx="232">
                  <c:v>45890</c:v>
                </c:pt>
                <c:pt idx="233">
                  <c:v>45891</c:v>
                </c:pt>
                <c:pt idx="234">
                  <c:v>45892</c:v>
                </c:pt>
                <c:pt idx="235">
                  <c:v>45893</c:v>
                </c:pt>
                <c:pt idx="236">
                  <c:v>45894</c:v>
                </c:pt>
                <c:pt idx="237">
                  <c:v>45895</c:v>
                </c:pt>
                <c:pt idx="238">
                  <c:v>45896</c:v>
                </c:pt>
                <c:pt idx="239">
                  <c:v>45897</c:v>
                </c:pt>
                <c:pt idx="240">
                  <c:v>45898</c:v>
                </c:pt>
                <c:pt idx="241">
                  <c:v>45899</c:v>
                </c:pt>
                <c:pt idx="242">
                  <c:v>45900</c:v>
                </c:pt>
                <c:pt idx="243">
                  <c:v>45901</c:v>
                </c:pt>
                <c:pt idx="244">
                  <c:v>45902</c:v>
                </c:pt>
                <c:pt idx="245">
                  <c:v>45903</c:v>
                </c:pt>
                <c:pt idx="246">
                  <c:v>45904</c:v>
                </c:pt>
                <c:pt idx="247">
                  <c:v>45905</c:v>
                </c:pt>
                <c:pt idx="248">
                  <c:v>45906</c:v>
                </c:pt>
                <c:pt idx="249">
                  <c:v>45907</c:v>
                </c:pt>
                <c:pt idx="250">
                  <c:v>45908</c:v>
                </c:pt>
                <c:pt idx="251">
                  <c:v>45909</c:v>
                </c:pt>
                <c:pt idx="252">
                  <c:v>45910</c:v>
                </c:pt>
                <c:pt idx="253">
                  <c:v>45911</c:v>
                </c:pt>
                <c:pt idx="254">
                  <c:v>45912</c:v>
                </c:pt>
                <c:pt idx="255">
                  <c:v>45913</c:v>
                </c:pt>
                <c:pt idx="256">
                  <c:v>45914</c:v>
                </c:pt>
                <c:pt idx="257">
                  <c:v>45915</c:v>
                </c:pt>
                <c:pt idx="258">
                  <c:v>45916</c:v>
                </c:pt>
                <c:pt idx="259">
                  <c:v>45917</c:v>
                </c:pt>
                <c:pt idx="260">
                  <c:v>45918</c:v>
                </c:pt>
                <c:pt idx="261">
                  <c:v>45919</c:v>
                </c:pt>
                <c:pt idx="262">
                  <c:v>45920</c:v>
                </c:pt>
                <c:pt idx="263">
                  <c:v>45921</c:v>
                </c:pt>
                <c:pt idx="264">
                  <c:v>45922</c:v>
                </c:pt>
                <c:pt idx="265">
                  <c:v>45923</c:v>
                </c:pt>
                <c:pt idx="266">
                  <c:v>45924</c:v>
                </c:pt>
                <c:pt idx="267">
                  <c:v>45925</c:v>
                </c:pt>
                <c:pt idx="268">
                  <c:v>45926</c:v>
                </c:pt>
                <c:pt idx="269">
                  <c:v>45927</c:v>
                </c:pt>
                <c:pt idx="270">
                  <c:v>45928</c:v>
                </c:pt>
                <c:pt idx="271">
                  <c:v>45929</c:v>
                </c:pt>
                <c:pt idx="272">
                  <c:v>45930</c:v>
                </c:pt>
                <c:pt idx="273">
                  <c:v>45931</c:v>
                </c:pt>
                <c:pt idx="274">
                  <c:v>45932</c:v>
                </c:pt>
                <c:pt idx="275">
                  <c:v>45933</c:v>
                </c:pt>
                <c:pt idx="276">
                  <c:v>45934</c:v>
                </c:pt>
                <c:pt idx="277">
                  <c:v>45935</c:v>
                </c:pt>
                <c:pt idx="278">
                  <c:v>45936</c:v>
                </c:pt>
                <c:pt idx="279">
                  <c:v>45937</c:v>
                </c:pt>
                <c:pt idx="280">
                  <c:v>45938</c:v>
                </c:pt>
                <c:pt idx="281">
                  <c:v>45939</c:v>
                </c:pt>
                <c:pt idx="282">
                  <c:v>45940</c:v>
                </c:pt>
                <c:pt idx="283">
                  <c:v>45941</c:v>
                </c:pt>
                <c:pt idx="284">
                  <c:v>45942</c:v>
                </c:pt>
                <c:pt idx="285">
                  <c:v>45943</c:v>
                </c:pt>
                <c:pt idx="286">
                  <c:v>45944</c:v>
                </c:pt>
                <c:pt idx="287">
                  <c:v>45945</c:v>
                </c:pt>
                <c:pt idx="288">
                  <c:v>45946</c:v>
                </c:pt>
                <c:pt idx="289">
                  <c:v>45947</c:v>
                </c:pt>
                <c:pt idx="290">
                  <c:v>45948</c:v>
                </c:pt>
                <c:pt idx="291">
                  <c:v>45949</c:v>
                </c:pt>
                <c:pt idx="292">
                  <c:v>45950</c:v>
                </c:pt>
                <c:pt idx="293">
                  <c:v>45951</c:v>
                </c:pt>
                <c:pt idx="294">
                  <c:v>45952</c:v>
                </c:pt>
                <c:pt idx="295">
                  <c:v>45953</c:v>
                </c:pt>
                <c:pt idx="296">
                  <c:v>45954</c:v>
                </c:pt>
                <c:pt idx="297">
                  <c:v>45955</c:v>
                </c:pt>
                <c:pt idx="298">
                  <c:v>45956</c:v>
                </c:pt>
                <c:pt idx="299">
                  <c:v>45957</c:v>
                </c:pt>
                <c:pt idx="300">
                  <c:v>45958</c:v>
                </c:pt>
                <c:pt idx="301">
                  <c:v>45959</c:v>
                </c:pt>
                <c:pt idx="302">
                  <c:v>45960</c:v>
                </c:pt>
                <c:pt idx="303">
                  <c:v>45961</c:v>
                </c:pt>
                <c:pt idx="304">
                  <c:v>45962</c:v>
                </c:pt>
                <c:pt idx="305">
                  <c:v>45963</c:v>
                </c:pt>
                <c:pt idx="306">
                  <c:v>45964</c:v>
                </c:pt>
                <c:pt idx="307">
                  <c:v>45965</c:v>
                </c:pt>
                <c:pt idx="308">
                  <c:v>45966</c:v>
                </c:pt>
                <c:pt idx="309">
                  <c:v>45967</c:v>
                </c:pt>
                <c:pt idx="310">
                  <c:v>45968</c:v>
                </c:pt>
                <c:pt idx="311">
                  <c:v>45969</c:v>
                </c:pt>
                <c:pt idx="312">
                  <c:v>45970</c:v>
                </c:pt>
                <c:pt idx="313">
                  <c:v>45971</c:v>
                </c:pt>
                <c:pt idx="314">
                  <c:v>45972</c:v>
                </c:pt>
                <c:pt idx="315">
                  <c:v>45973</c:v>
                </c:pt>
                <c:pt idx="316">
                  <c:v>45974</c:v>
                </c:pt>
                <c:pt idx="317">
                  <c:v>45975</c:v>
                </c:pt>
                <c:pt idx="318">
                  <c:v>45976</c:v>
                </c:pt>
                <c:pt idx="319">
                  <c:v>45977</c:v>
                </c:pt>
                <c:pt idx="320">
                  <c:v>45978</c:v>
                </c:pt>
                <c:pt idx="321">
                  <c:v>45979</c:v>
                </c:pt>
                <c:pt idx="322">
                  <c:v>45980</c:v>
                </c:pt>
                <c:pt idx="323">
                  <c:v>45981</c:v>
                </c:pt>
                <c:pt idx="324">
                  <c:v>45982</c:v>
                </c:pt>
                <c:pt idx="325">
                  <c:v>45983</c:v>
                </c:pt>
                <c:pt idx="326">
                  <c:v>45984</c:v>
                </c:pt>
                <c:pt idx="327">
                  <c:v>45985</c:v>
                </c:pt>
                <c:pt idx="328">
                  <c:v>45986</c:v>
                </c:pt>
                <c:pt idx="329">
                  <c:v>45987</c:v>
                </c:pt>
                <c:pt idx="330">
                  <c:v>45988</c:v>
                </c:pt>
                <c:pt idx="331">
                  <c:v>45989</c:v>
                </c:pt>
                <c:pt idx="332">
                  <c:v>45990</c:v>
                </c:pt>
                <c:pt idx="333">
                  <c:v>45991</c:v>
                </c:pt>
                <c:pt idx="334">
                  <c:v>45992</c:v>
                </c:pt>
                <c:pt idx="335">
                  <c:v>45993</c:v>
                </c:pt>
                <c:pt idx="336">
                  <c:v>45994</c:v>
                </c:pt>
                <c:pt idx="337">
                  <c:v>45995</c:v>
                </c:pt>
                <c:pt idx="338">
                  <c:v>45996</c:v>
                </c:pt>
                <c:pt idx="339">
                  <c:v>45997</c:v>
                </c:pt>
                <c:pt idx="340">
                  <c:v>45998</c:v>
                </c:pt>
                <c:pt idx="341">
                  <c:v>45999</c:v>
                </c:pt>
                <c:pt idx="342">
                  <c:v>46000</c:v>
                </c:pt>
                <c:pt idx="343">
                  <c:v>46001</c:v>
                </c:pt>
                <c:pt idx="344">
                  <c:v>46002</c:v>
                </c:pt>
                <c:pt idx="345">
                  <c:v>46003</c:v>
                </c:pt>
                <c:pt idx="346">
                  <c:v>46004</c:v>
                </c:pt>
                <c:pt idx="347">
                  <c:v>46005</c:v>
                </c:pt>
                <c:pt idx="348">
                  <c:v>46006</c:v>
                </c:pt>
                <c:pt idx="349">
                  <c:v>46007</c:v>
                </c:pt>
                <c:pt idx="350">
                  <c:v>46008</c:v>
                </c:pt>
                <c:pt idx="351">
                  <c:v>46009</c:v>
                </c:pt>
                <c:pt idx="352">
                  <c:v>46010</c:v>
                </c:pt>
                <c:pt idx="353">
                  <c:v>46011</c:v>
                </c:pt>
                <c:pt idx="354">
                  <c:v>46012</c:v>
                </c:pt>
                <c:pt idx="355">
                  <c:v>46013</c:v>
                </c:pt>
                <c:pt idx="356">
                  <c:v>46014</c:v>
                </c:pt>
                <c:pt idx="357">
                  <c:v>46015</c:v>
                </c:pt>
                <c:pt idx="358">
                  <c:v>46016</c:v>
                </c:pt>
                <c:pt idx="359">
                  <c:v>46017</c:v>
                </c:pt>
                <c:pt idx="360">
                  <c:v>46018</c:v>
                </c:pt>
                <c:pt idx="361">
                  <c:v>46019</c:v>
                </c:pt>
                <c:pt idx="362">
                  <c:v>46020</c:v>
                </c:pt>
                <c:pt idx="363">
                  <c:v>46021</c:v>
                </c:pt>
                <c:pt idx="364">
                  <c:v>46022</c:v>
                </c:pt>
                <c:pt idx="365">
                  <c:v>46023</c:v>
                </c:pt>
                <c:pt idx="366">
                  <c:v>46024</c:v>
                </c:pt>
                <c:pt idx="367">
                  <c:v>46025</c:v>
                </c:pt>
                <c:pt idx="368">
                  <c:v>46026</c:v>
                </c:pt>
                <c:pt idx="369">
                  <c:v>46027</c:v>
                </c:pt>
                <c:pt idx="370">
                  <c:v>46028</c:v>
                </c:pt>
                <c:pt idx="371">
                  <c:v>46029</c:v>
                </c:pt>
                <c:pt idx="372">
                  <c:v>46030</c:v>
                </c:pt>
                <c:pt idx="373">
                  <c:v>46031</c:v>
                </c:pt>
                <c:pt idx="374">
                  <c:v>46032</c:v>
                </c:pt>
                <c:pt idx="375">
                  <c:v>46033</c:v>
                </c:pt>
                <c:pt idx="376">
                  <c:v>46034</c:v>
                </c:pt>
                <c:pt idx="377">
                  <c:v>46035</c:v>
                </c:pt>
                <c:pt idx="378">
                  <c:v>46036</c:v>
                </c:pt>
                <c:pt idx="379">
                  <c:v>46037</c:v>
                </c:pt>
                <c:pt idx="380">
                  <c:v>46038</c:v>
                </c:pt>
                <c:pt idx="381">
                  <c:v>46039</c:v>
                </c:pt>
                <c:pt idx="382">
                  <c:v>46040</c:v>
                </c:pt>
                <c:pt idx="383">
                  <c:v>46041</c:v>
                </c:pt>
                <c:pt idx="384">
                  <c:v>46042</c:v>
                </c:pt>
                <c:pt idx="385">
                  <c:v>46043</c:v>
                </c:pt>
                <c:pt idx="386">
                  <c:v>46044</c:v>
                </c:pt>
                <c:pt idx="387">
                  <c:v>46045</c:v>
                </c:pt>
                <c:pt idx="388">
                  <c:v>46046</c:v>
                </c:pt>
                <c:pt idx="389">
                  <c:v>46047</c:v>
                </c:pt>
                <c:pt idx="390">
                  <c:v>46048</c:v>
                </c:pt>
                <c:pt idx="391">
                  <c:v>46049</c:v>
                </c:pt>
                <c:pt idx="392">
                  <c:v>46050</c:v>
                </c:pt>
                <c:pt idx="393">
                  <c:v>46051</c:v>
                </c:pt>
                <c:pt idx="394">
                  <c:v>46052</c:v>
                </c:pt>
                <c:pt idx="395">
                  <c:v>46053</c:v>
                </c:pt>
              </c:numCache>
            </c:numRef>
          </c:cat>
          <c:val>
            <c:numRef>
              <c:f>Sheet9!$E$2:$E$397</c:f>
              <c:numCache>
                <c:formatCode>General</c:formatCode>
                <c:ptCount val="396"/>
                <c:pt idx="363" formatCode="0.00">
                  <c:v>58</c:v>
                </c:pt>
                <c:pt idx="364" formatCode="0.00">
                  <c:v>96.60886575092664</c:v>
                </c:pt>
                <c:pt idx="365" formatCode="0.00">
                  <c:v>96.848848759291243</c:v>
                </c:pt>
                <c:pt idx="366" formatCode="0.00">
                  <c:v>97.09059122342174</c:v>
                </c:pt>
                <c:pt idx="367" formatCode="0.00">
                  <c:v>97.334079143951797</c:v>
                </c:pt>
                <c:pt idx="368" formatCode="0.00">
                  <c:v>97.57929865030485</c:v>
                </c:pt>
                <c:pt idx="369" formatCode="0.00">
                  <c:v>97.826236003810394</c:v>
                </c:pt>
                <c:pt idx="370" formatCode="0.00">
                  <c:v>98.074877600496364</c:v>
                </c:pt>
                <c:pt idx="371" formatCode="0.00">
                  <c:v>98.325209973571944</c:v>
                </c:pt>
                <c:pt idx="372" formatCode="0.00">
                  <c:v>98.577219795618831</c:v>
                </c:pt>
                <c:pt idx="373" formatCode="0.00">
                  <c:v>98.830893880504348</c:v>
                </c:pt>
                <c:pt idx="374" formatCode="0.00">
                  <c:v>99.086219185033542</c:v>
                </c:pt>
                <c:pt idx="375" formatCode="0.00">
                  <c:v>99.343182810352502</c:v>
                </c:pt>
                <c:pt idx="376" formatCode="0.00">
                  <c:v>99.601772003118953</c:v>
                </c:pt>
                <c:pt idx="377" formatCode="0.00">
                  <c:v>99.861974156451609</c:v>
                </c:pt>
                <c:pt idx="378" formatCode="0.00">
                  <c:v>100.12377681067315</c:v>
                </c:pt>
                <c:pt idx="379" formatCode="0.00">
                  <c:v>100.38716765385732</c:v>
                </c:pt>
                <c:pt idx="380" formatCode="0.00">
                  <c:v>100.65213452219376</c:v>
                </c:pt>
                <c:pt idx="381" formatCode="0.00">
                  <c:v>100.91866540018079</c:v>
                </c:pt>
                <c:pt idx="382" formatCode="0.00">
                  <c:v>101.18674842065798</c:v>
                </c:pt>
                <c:pt idx="383" formatCode="0.00">
                  <c:v>101.45637186468804</c:v>
                </c:pt>
                <c:pt idx="384" formatCode="0.00">
                  <c:v>101.72752416129924</c:v>
                </c:pt>
                <c:pt idx="385" formatCode="0.00">
                  <c:v>102.00019388709653</c:v>
                </c:pt>
                <c:pt idx="386" formatCode="0.00">
                  <c:v>102.274369765752</c:v>
                </c:pt>
                <c:pt idx="387" formatCode="0.00">
                  <c:v>102.55004066738158</c:v>
                </c:pt>
                <c:pt idx="388" formatCode="0.00">
                  <c:v>102.82719560781834</c:v>
                </c:pt>
                <c:pt idx="389" formatCode="0.00">
                  <c:v>103.10582374778789</c:v>
                </c:pt>
                <c:pt idx="390" formatCode="0.00">
                  <c:v>103.38591439199587</c:v>
                </c:pt>
                <c:pt idx="391" formatCode="0.00">
                  <c:v>103.66745698813193</c:v>
                </c:pt>
                <c:pt idx="392" formatCode="0.00">
                  <c:v>103.95044112579967</c:v>
                </c:pt>
                <c:pt idx="393" formatCode="0.00">
                  <c:v>104.23485653537634</c:v>
                </c:pt>
                <c:pt idx="394" formatCode="0.00">
                  <c:v>104.52069308681051</c:v>
                </c:pt>
                <c:pt idx="395" formatCode="0.00">
                  <c:v>104.80794078836144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89-46FA-9165-CBF26F5DF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8597279"/>
        <c:axId val="988606399"/>
      </c:lineChart>
      <c:catAx>
        <c:axId val="988597279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606399"/>
        <c:crosses val="autoZero"/>
        <c:auto val="1"/>
        <c:lblAlgn val="ctr"/>
        <c:lblOffset val="100"/>
        <c:noMultiLvlLbl val="0"/>
      </c:catAx>
      <c:valAx>
        <c:axId val="988606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859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180974</xdr:rowOff>
    </xdr:from>
    <xdr:to>
      <xdr:col>10</xdr:col>
      <xdr:colOff>133350</xdr:colOff>
      <xdr:row>15</xdr:row>
      <xdr:rowOff>71438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82778D-1FAF-C52D-439C-4B12A2975C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407193</xdr:colOff>
      <xdr:row>0</xdr:row>
      <xdr:rowOff>133350</xdr:rowOff>
    </xdr:from>
    <xdr:to>
      <xdr:col>17</xdr:col>
      <xdr:colOff>445293</xdr:colOff>
      <xdr:row>15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4D0859-66B6-76E3-20E0-34870A80BA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390526</xdr:colOff>
      <xdr:row>1</xdr:row>
      <xdr:rowOff>0</xdr:rowOff>
    </xdr:from>
    <xdr:to>
      <xdr:col>16</xdr:col>
      <xdr:colOff>85726</xdr:colOff>
      <xdr:row>18</xdr:row>
      <xdr:rowOff>80963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0789FF-319D-952E-FEB8-C43DCDC57B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97630</xdr:colOff>
      <xdr:row>32</xdr:row>
      <xdr:rowOff>95250</xdr:rowOff>
    </xdr:from>
    <xdr:to>
      <xdr:col>11</xdr:col>
      <xdr:colOff>135730</xdr:colOff>
      <xdr:row>47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14E416-9EA7-989A-C7F7-D9FB2D79FF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38100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786BE7-781B-73A0-DDC0-77FA096084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38100</xdr:colOff>
      <xdr:row>16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F99990-04C0-1F67-FFF3-A6F54D781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92868</xdr:colOff>
      <xdr:row>2</xdr:row>
      <xdr:rowOff>95250</xdr:rowOff>
    </xdr:from>
    <xdr:to>
      <xdr:col>11</xdr:col>
      <xdr:colOff>130968</xdr:colOff>
      <xdr:row>17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D26949-2D64-704F-48F8-B007E0D96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25978</xdr:colOff>
      <xdr:row>9</xdr:row>
      <xdr:rowOff>43295</xdr:rowOff>
    </xdr:from>
    <xdr:to>
      <xdr:col>21</xdr:col>
      <xdr:colOff>236176</xdr:colOff>
      <xdr:row>41</xdr:row>
      <xdr:rowOff>119495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366FCB-882E-0A90-52BF-64A9055B8E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kTech" refreshedDate="46121.417003472219" createdVersion="8" refreshedVersion="8" minRefreshableVersion="3" recordCount="4947" xr:uid="{1932D0B1-9572-4648-A73F-451301A823A5}">
  <cacheSource type="worksheet">
    <worksheetSource ref="A1:J4948" sheet="Sales Data"/>
  </cacheSource>
  <cacheFields count="12">
    <cacheField name="Invoice ID" numFmtId="0">
      <sharedItems/>
    </cacheField>
    <cacheField name="Date" numFmtId="14">
      <sharedItems containsSemiMixedTypes="0" containsNonDate="0" containsDate="1" containsString="0" minDate="2025-01-01T00:00:00" maxDate="2026-01-01T00:00:00" count="364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30T00:00:00"/>
        <d v="2025-12-31T00:00:00"/>
      </sharedItems>
      <fieldGroup par="11"/>
    </cacheField>
    <cacheField name="Category" numFmtId="0">
      <sharedItems count="9">
        <s v="Food items"/>
        <s v="Snacks"/>
        <s v="Beverages"/>
        <s v="Household"/>
        <s v="Dairy"/>
        <s v="Sport"/>
        <s v="Electronics"/>
        <s v="Pharmaceuticals"/>
        <s v="Clothing"/>
      </sharedItems>
    </cacheField>
    <cacheField name="Product" numFmtId="0">
      <sharedItems count="48">
        <s v="Beans"/>
        <s v="Chips"/>
        <s v="Fanta"/>
        <s v="Toothpaste"/>
        <s v="Shampoo"/>
        <s v="Chocolate"/>
        <s v="Pepsi"/>
        <s v="Biscuits"/>
        <s v="Eggs"/>
        <s v="Bread"/>
        <s v="Milk"/>
        <s v="Dumbbells"/>
        <s v="Bucket"/>
        <s v="Extension Box"/>
        <s v="Football"/>
        <s v="LED Bulb"/>
        <s v="Paracetamol"/>
        <s v="Shoes"/>
        <s v="Running Shoes"/>
        <s v="Rice"/>
        <s v="Garri"/>
        <s v="Soap"/>
        <s v="Spaghetti"/>
        <s v="Tea"/>
        <s v="Coffee"/>
        <s v="Skipping Rope"/>
        <s v="T-shirt"/>
        <s v="Pain Relief Balm"/>
        <s v="Jeans"/>
        <s v="Detergent"/>
        <s v="Coke"/>
        <s v="Sugar"/>
        <s v="Vitamin C"/>
        <s v="Toilet Paper"/>
        <s v="Antibiotics"/>
        <s v="Phone Charger"/>
        <s v="Earphones"/>
        <s v="Cough Syrup"/>
        <s v="Cap"/>
        <s v="Water"/>
        <s v="Jersey"/>
        <s v="Palm Oil"/>
        <s v="Broom"/>
        <s v="Yam Flour"/>
        <s v="Wristwatch"/>
        <s v="Butter"/>
        <s v="Cooking Gas"/>
        <s v="Power Bank"/>
      </sharedItems>
    </cacheField>
    <cacheField name="Unit Price (Naira)" numFmtId="0">
      <sharedItems containsSemiMixedTypes="0" containsString="0" containsNumber="1" containsInteger="1" minValue="120" maxValue="62000"/>
    </cacheField>
    <cacheField name="Quantity" numFmtId="0">
      <sharedItems containsSemiMixedTypes="0" containsString="0" containsNumber="1" containsInteger="1" minValue="1" maxValue="10"/>
    </cacheField>
    <cacheField name="Sales (Naira)" numFmtId="0">
      <sharedItems containsSemiMixedTypes="0" containsString="0" containsNumber="1" containsInteger="1" minValue="120" maxValue="620000"/>
    </cacheField>
    <cacheField name="Payment" numFmtId="0">
      <sharedItems count="3">
        <s v="Cash"/>
        <s v="Card"/>
        <s v="Transfer"/>
      </sharedItems>
    </cacheField>
    <cacheField name="COGS (Naira)" numFmtId="0">
      <sharedItems containsSemiMixedTypes="0" containsString="0" containsNumber="1" containsInteger="1" minValue="144" maxValue="74400"/>
    </cacheField>
    <cacheField name="Gross Income(Naira)" numFmtId="0">
      <sharedItems containsSemiMixedTypes="0" containsString="0" containsNumber="1" containsInteger="1" minValue="144" maxValue="744000"/>
    </cacheField>
    <cacheField name="Days (Date)" numFmtId="0" databaseField="0">
      <fieldGroup base="1">
        <rangePr groupBy="days" startDate="2025-01-01T00:00:00" endDate="2026-01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Date)" numFmtId="0" databaseField="0">
      <fieldGroup base="1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7">
  <r>
    <s v="INV0001"/>
    <x v="0"/>
    <x v="0"/>
    <x v="0"/>
    <n v="60000"/>
    <n v="3"/>
    <n v="180000"/>
    <x v="0"/>
    <n v="72000"/>
    <n v="216000"/>
  </r>
  <r>
    <s v="INV0002"/>
    <x v="0"/>
    <x v="1"/>
    <x v="1"/>
    <n v="400"/>
    <n v="5"/>
    <n v="2000"/>
    <x v="0"/>
    <n v="480"/>
    <n v="2400"/>
  </r>
  <r>
    <s v="INV0003"/>
    <x v="0"/>
    <x v="2"/>
    <x v="2"/>
    <n v="2880"/>
    <n v="1"/>
    <n v="2880"/>
    <x v="0"/>
    <n v="3456"/>
    <n v="3456"/>
  </r>
  <r>
    <s v="INV0004"/>
    <x v="0"/>
    <x v="3"/>
    <x v="3"/>
    <n v="800"/>
    <n v="6"/>
    <n v="4800"/>
    <x v="0"/>
    <n v="960"/>
    <n v="5760"/>
  </r>
  <r>
    <s v="INV0005"/>
    <x v="0"/>
    <x v="3"/>
    <x v="4"/>
    <n v="1200"/>
    <n v="3"/>
    <n v="3600"/>
    <x v="1"/>
    <n v="1440"/>
    <n v="4320"/>
  </r>
  <r>
    <s v="INV0006"/>
    <x v="0"/>
    <x v="1"/>
    <x v="5"/>
    <n v="3000"/>
    <n v="6"/>
    <n v="18000"/>
    <x v="1"/>
    <n v="3600"/>
    <n v="21600"/>
  </r>
  <r>
    <s v="INV0007"/>
    <x v="0"/>
    <x v="2"/>
    <x v="6"/>
    <n v="2880"/>
    <n v="2"/>
    <n v="5760"/>
    <x v="2"/>
    <n v="3456"/>
    <n v="6912"/>
  </r>
  <r>
    <s v="INV0008"/>
    <x v="0"/>
    <x v="2"/>
    <x v="6"/>
    <n v="2880"/>
    <n v="3"/>
    <n v="8640"/>
    <x v="2"/>
    <n v="3456"/>
    <n v="10368"/>
  </r>
  <r>
    <s v="INV0009"/>
    <x v="0"/>
    <x v="3"/>
    <x v="4"/>
    <n v="1200"/>
    <n v="5"/>
    <n v="6000"/>
    <x v="0"/>
    <n v="1440"/>
    <n v="7200"/>
  </r>
  <r>
    <s v="INV0010"/>
    <x v="0"/>
    <x v="1"/>
    <x v="7"/>
    <n v="5200"/>
    <n v="2"/>
    <n v="10400"/>
    <x v="2"/>
    <n v="6240"/>
    <n v="12480"/>
  </r>
  <r>
    <s v="INV2878"/>
    <x v="0"/>
    <x v="0"/>
    <x v="8"/>
    <n v="3300"/>
    <n v="5"/>
    <n v="16500"/>
    <x v="2"/>
    <n v="3960"/>
    <n v="19800"/>
  </r>
  <r>
    <s v="INV3087"/>
    <x v="0"/>
    <x v="0"/>
    <x v="9"/>
    <n v="500"/>
    <n v="10"/>
    <n v="5000"/>
    <x v="1"/>
    <n v="600"/>
    <n v="6000"/>
  </r>
  <r>
    <s v="INV3930"/>
    <x v="0"/>
    <x v="4"/>
    <x v="10"/>
    <n v="9100"/>
    <n v="2"/>
    <n v="18200"/>
    <x v="1"/>
    <n v="10920"/>
    <n v="21840"/>
  </r>
  <r>
    <s v="INV3965"/>
    <x v="0"/>
    <x v="5"/>
    <x v="11"/>
    <n v="400"/>
    <n v="6"/>
    <n v="2400"/>
    <x v="1"/>
    <n v="480"/>
    <n v="2880"/>
  </r>
  <r>
    <s v="INV4193"/>
    <x v="0"/>
    <x v="3"/>
    <x v="12"/>
    <n v="2500"/>
    <n v="8"/>
    <n v="20000"/>
    <x v="2"/>
    <n v="3000"/>
    <n v="24000"/>
  </r>
  <r>
    <s v="INV4398"/>
    <x v="0"/>
    <x v="6"/>
    <x v="13"/>
    <n v="8000"/>
    <n v="6"/>
    <n v="48000"/>
    <x v="2"/>
    <n v="9600"/>
    <n v="57600"/>
  </r>
  <r>
    <s v="INV4432"/>
    <x v="0"/>
    <x v="5"/>
    <x v="14"/>
    <n v="2800"/>
    <n v="10"/>
    <n v="28000"/>
    <x v="2"/>
    <n v="3360"/>
    <n v="33600"/>
  </r>
  <r>
    <s v="INV4444"/>
    <x v="0"/>
    <x v="6"/>
    <x v="15"/>
    <n v="500"/>
    <n v="2"/>
    <n v="1000"/>
    <x v="0"/>
    <n v="600"/>
    <n v="1200"/>
  </r>
  <r>
    <s v="INV4471"/>
    <x v="0"/>
    <x v="7"/>
    <x v="16"/>
    <n v="1000"/>
    <n v="2"/>
    <n v="2000"/>
    <x v="2"/>
    <n v="1200"/>
    <n v="2400"/>
  </r>
  <r>
    <s v="INV4515"/>
    <x v="0"/>
    <x v="8"/>
    <x v="17"/>
    <n v="15000"/>
    <n v="9"/>
    <n v="135000"/>
    <x v="1"/>
    <n v="18000"/>
    <n v="162000"/>
  </r>
  <r>
    <s v="INV4644"/>
    <x v="0"/>
    <x v="5"/>
    <x v="14"/>
    <n v="2800"/>
    <n v="4"/>
    <n v="11200"/>
    <x v="1"/>
    <n v="3360"/>
    <n v="13440"/>
  </r>
  <r>
    <s v="INV4777"/>
    <x v="0"/>
    <x v="6"/>
    <x v="13"/>
    <n v="8000"/>
    <n v="10"/>
    <n v="80000"/>
    <x v="2"/>
    <n v="9600"/>
    <n v="96000"/>
  </r>
  <r>
    <s v="INV4787"/>
    <x v="0"/>
    <x v="5"/>
    <x v="18"/>
    <n v="15000"/>
    <n v="6"/>
    <n v="90000"/>
    <x v="2"/>
    <n v="18000"/>
    <n v="108000"/>
  </r>
  <r>
    <s v="INV4804"/>
    <x v="0"/>
    <x v="0"/>
    <x v="19"/>
    <n v="48000"/>
    <n v="8"/>
    <n v="384000"/>
    <x v="2"/>
    <n v="57600"/>
    <n v="460800"/>
  </r>
  <r>
    <s v="INV4918"/>
    <x v="0"/>
    <x v="0"/>
    <x v="20"/>
    <n v="35000"/>
    <n v="10"/>
    <n v="350000"/>
    <x v="1"/>
    <n v="42000"/>
    <n v="420000"/>
  </r>
  <r>
    <s v="INV0011"/>
    <x v="1"/>
    <x v="0"/>
    <x v="19"/>
    <n v="48000"/>
    <n v="4"/>
    <n v="192000"/>
    <x v="1"/>
    <n v="57600"/>
    <n v="230400"/>
  </r>
  <r>
    <s v="INV0012"/>
    <x v="1"/>
    <x v="0"/>
    <x v="9"/>
    <n v="500"/>
    <n v="4"/>
    <n v="2000"/>
    <x v="2"/>
    <n v="600"/>
    <n v="2400"/>
  </r>
  <r>
    <s v="INV0013"/>
    <x v="1"/>
    <x v="0"/>
    <x v="19"/>
    <n v="48000"/>
    <n v="8"/>
    <n v="384000"/>
    <x v="1"/>
    <n v="57600"/>
    <n v="460800"/>
  </r>
  <r>
    <s v="INV0014"/>
    <x v="1"/>
    <x v="1"/>
    <x v="1"/>
    <n v="400"/>
    <n v="4"/>
    <n v="1600"/>
    <x v="2"/>
    <n v="480"/>
    <n v="1920"/>
  </r>
  <r>
    <s v="INV0015"/>
    <x v="1"/>
    <x v="1"/>
    <x v="5"/>
    <n v="3000"/>
    <n v="3"/>
    <n v="9000"/>
    <x v="1"/>
    <n v="3600"/>
    <n v="10800"/>
  </r>
  <r>
    <s v="INV0016"/>
    <x v="1"/>
    <x v="3"/>
    <x v="21"/>
    <n v="1700"/>
    <n v="4"/>
    <n v="6800"/>
    <x v="1"/>
    <n v="2040"/>
    <n v="8160"/>
  </r>
  <r>
    <s v="INV0017"/>
    <x v="1"/>
    <x v="3"/>
    <x v="4"/>
    <n v="1200"/>
    <n v="9"/>
    <n v="10800"/>
    <x v="1"/>
    <n v="1440"/>
    <n v="12960"/>
  </r>
  <r>
    <s v="INV0018"/>
    <x v="1"/>
    <x v="3"/>
    <x v="3"/>
    <n v="800"/>
    <n v="7"/>
    <n v="5600"/>
    <x v="2"/>
    <n v="960"/>
    <n v="6720"/>
  </r>
  <r>
    <s v="INV0019"/>
    <x v="1"/>
    <x v="3"/>
    <x v="4"/>
    <n v="1200"/>
    <n v="3"/>
    <n v="3600"/>
    <x v="1"/>
    <n v="1440"/>
    <n v="4320"/>
  </r>
  <r>
    <s v="INV0020"/>
    <x v="1"/>
    <x v="0"/>
    <x v="22"/>
    <n v="6000"/>
    <n v="6"/>
    <n v="36000"/>
    <x v="1"/>
    <n v="7200"/>
    <n v="43200"/>
  </r>
  <r>
    <s v="INV2748"/>
    <x v="1"/>
    <x v="0"/>
    <x v="23"/>
    <n v="600"/>
    <n v="8"/>
    <n v="4800"/>
    <x v="0"/>
    <n v="720"/>
    <n v="5760"/>
  </r>
  <r>
    <s v="INV2849"/>
    <x v="1"/>
    <x v="3"/>
    <x v="21"/>
    <n v="1700"/>
    <n v="3"/>
    <n v="5100"/>
    <x v="0"/>
    <n v="2040"/>
    <n v="6120"/>
  </r>
  <r>
    <s v="INV3412"/>
    <x v="1"/>
    <x v="3"/>
    <x v="21"/>
    <n v="1700"/>
    <n v="2"/>
    <n v="3400"/>
    <x v="1"/>
    <n v="2040"/>
    <n v="4080"/>
  </r>
  <r>
    <s v="INV3763"/>
    <x v="1"/>
    <x v="0"/>
    <x v="19"/>
    <n v="48000"/>
    <n v="8"/>
    <n v="384000"/>
    <x v="0"/>
    <n v="57600"/>
    <n v="460800"/>
  </r>
  <r>
    <s v="INV3781"/>
    <x v="1"/>
    <x v="0"/>
    <x v="19"/>
    <n v="48000"/>
    <n v="7"/>
    <n v="336000"/>
    <x v="1"/>
    <n v="57600"/>
    <n v="403200"/>
  </r>
  <r>
    <s v="INV3791"/>
    <x v="1"/>
    <x v="0"/>
    <x v="24"/>
    <n v="1900"/>
    <n v="2"/>
    <n v="3800"/>
    <x v="2"/>
    <n v="2280"/>
    <n v="4560"/>
  </r>
  <r>
    <s v="INV3832"/>
    <x v="1"/>
    <x v="3"/>
    <x v="21"/>
    <n v="1700"/>
    <n v="6"/>
    <n v="10200"/>
    <x v="2"/>
    <n v="2040"/>
    <n v="12240"/>
  </r>
  <r>
    <s v="INV4036"/>
    <x v="1"/>
    <x v="5"/>
    <x v="25"/>
    <n v="3000"/>
    <n v="1"/>
    <n v="3000"/>
    <x v="0"/>
    <n v="3600"/>
    <n v="3600"/>
  </r>
  <r>
    <s v="INV4248"/>
    <x v="1"/>
    <x v="8"/>
    <x v="26"/>
    <n v="8000"/>
    <n v="2"/>
    <n v="16000"/>
    <x v="0"/>
    <n v="9600"/>
    <n v="19200"/>
  </r>
  <r>
    <s v="INV4358"/>
    <x v="1"/>
    <x v="7"/>
    <x v="27"/>
    <n v="2500"/>
    <n v="10"/>
    <n v="25000"/>
    <x v="0"/>
    <n v="3000"/>
    <n v="30000"/>
  </r>
  <r>
    <s v="INV4373"/>
    <x v="1"/>
    <x v="8"/>
    <x v="28"/>
    <n v="10000"/>
    <n v="9"/>
    <n v="90000"/>
    <x v="2"/>
    <n v="12000"/>
    <n v="108000"/>
  </r>
  <r>
    <s v="INV4399"/>
    <x v="1"/>
    <x v="6"/>
    <x v="13"/>
    <n v="8000"/>
    <n v="6"/>
    <n v="48000"/>
    <x v="0"/>
    <n v="9600"/>
    <n v="57600"/>
  </r>
  <r>
    <s v="INV4506"/>
    <x v="1"/>
    <x v="0"/>
    <x v="0"/>
    <n v="60000"/>
    <n v="6"/>
    <n v="360000"/>
    <x v="2"/>
    <n v="72000"/>
    <n v="432000"/>
  </r>
  <r>
    <s v="INV4692"/>
    <x v="1"/>
    <x v="5"/>
    <x v="18"/>
    <n v="15000"/>
    <n v="8"/>
    <n v="120000"/>
    <x v="2"/>
    <n v="18000"/>
    <n v="144000"/>
  </r>
  <r>
    <s v="INV4785"/>
    <x v="1"/>
    <x v="5"/>
    <x v="14"/>
    <n v="2800"/>
    <n v="6"/>
    <n v="16800"/>
    <x v="1"/>
    <n v="3360"/>
    <n v="20160"/>
  </r>
  <r>
    <s v="INV0021"/>
    <x v="2"/>
    <x v="0"/>
    <x v="22"/>
    <n v="6000"/>
    <n v="9"/>
    <n v="54000"/>
    <x v="2"/>
    <n v="7200"/>
    <n v="64800"/>
  </r>
  <r>
    <s v="INV0022"/>
    <x v="2"/>
    <x v="3"/>
    <x v="29"/>
    <n v="6900"/>
    <n v="1"/>
    <n v="6900"/>
    <x v="0"/>
    <n v="8280"/>
    <n v="8280"/>
  </r>
  <r>
    <s v="INV0023"/>
    <x v="2"/>
    <x v="1"/>
    <x v="1"/>
    <n v="400"/>
    <n v="8"/>
    <n v="3200"/>
    <x v="0"/>
    <n v="480"/>
    <n v="3840"/>
  </r>
  <r>
    <s v="INV0024"/>
    <x v="2"/>
    <x v="2"/>
    <x v="6"/>
    <n v="2880"/>
    <n v="7"/>
    <n v="20160"/>
    <x v="1"/>
    <n v="3456"/>
    <n v="24192"/>
  </r>
  <r>
    <s v="INV0025"/>
    <x v="2"/>
    <x v="2"/>
    <x v="2"/>
    <n v="2880"/>
    <n v="9"/>
    <n v="25920"/>
    <x v="2"/>
    <n v="3456"/>
    <n v="31104"/>
  </r>
  <r>
    <s v="INV0026"/>
    <x v="2"/>
    <x v="3"/>
    <x v="3"/>
    <n v="800"/>
    <n v="10"/>
    <n v="8000"/>
    <x v="1"/>
    <n v="960"/>
    <n v="9600"/>
  </r>
  <r>
    <s v="INV0027"/>
    <x v="2"/>
    <x v="2"/>
    <x v="30"/>
    <n v="2880"/>
    <n v="3"/>
    <n v="8640"/>
    <x v="0"/>
    <n v="3456"/>
    <n v="10368"/>
  </r>
  <r>
    <s v="INV0028"/>
    <x v="2"/>
    <x v="3"/>
    <x v="4"/>
    <n v="1200"/>
    <n v="3"/>
    <n v="3600"/>
    <x v="0"/>
    <n v="1440"/>
    <n v="4320"/>
  </r>
  <r>
    <s v="INV0029"/>
    <x v="2"/>
    <x v="3"/>
    <x v="29"/>
    <n v="6900"/>
    <n v="1"/>
    <n v="6900"/>
    <x v="0"/>
    <n v="8280"/>
    <n v="8280"/>
  </r>
  <r>
    <s v="INV3137"/>
    <x v="2"/>
    <x v="0"/>
    <x v="31"/>
    <n v="3600"/>
    <n v="5"/>
    <n v="18000"/>
    <x v="2"/>
    <n v="4320"/>
    <n v="21600"/>
  </r>
  <r>
    <s v="INV3256"/>
    <x v="2"/>
    <x v="4"/>
    <x v="10"/>
    <n v="9100"/>
    <n v="5"/>
    <n v="45500"/>
    <x v="0"/>
    <n v="10920"/>
    <n v="54600"/>
  </r>
  <r>
    <s v="INV3302"/>
    <x v="2"/>
    <x v="0"/>
    <x v="19"/>
    <n v="48000"/>
    <n v="5"/>
    <n v="240000"/>
    <x v="1"/>
    <n v="57600"/>
    <n v="288000"/>
  </r>
  <r>
    <s v="INV4118"/>
    <x v="2"/>
    <x v="7"/>
    <x v="16"/>
    <n v="1000"/>
    <n v="5"/>
    <n v="5000"/>
    <x v="1"/>
    <n v="1200"/>
    <n v="6000"/>
  </r>
  <r>
    <s v="INV4153"/>
    <x v="2"/>
    <x v="7"/>
    <x v="16"/>
    <n v="1000"/>
    <n v="9"/>
    <n v="9000"/>
    <x v="2"/>
    <n v="1200"/>
    <n v="10800"/>
  </r>
  <r>
    <s v="INV4219"/>
    <x v="2"/>
    <x v="7"/>
    <x v="32"/>
    <n v="1000"/>
    <n v="2"/>
    <n v="2000"/>
    <x v="0"/>
    <n v="1200"/>
    <n v="2400"/>
  </r>
  <r>
    <s v="INV4322"/>
    <x v="2"/>
    <x v="3"/>
    <x v="33"/>
    <n v="4000"/>
    <n v="5"/>
    <n v="20000"/>
    <x v="1"/>
    <n v="4800"/>
    <n v="24000"/>
  </r>
  <r>
    <s v="INV4489"/>
    <x v="2"/>
    <x v="7"/>
    <x v="34"/>
    <n v="2000"/>
    <n v="1"/>
    <n v="2000"/>
    <x v="0"/>
    <n v="2400"/>
    <n v="2400"/>
  </r>
  <r>
    <s v="INV4725"/>
    <x v="2"/>
    <x v="5"/>
    <x v="18"/>
    <n v="15000"/>
    <n v="1"/>
    <n v="15000"/>
    <x v="0"/>
    <n v="18000"/>
    <n v="18000"/>
  </r>
  <r>
    <s v="INV4882"/>
    <x v="2"/>
    <x v="3"/>
    <x v="33"/>
    <n v="4000"/>
    <n v="6"/>
    <n v="24000"/>
    <x v="1"/>
    <n v="4800"/>
    <n v="28800"/>
  </r>
  <r>
    <s v="INV4935"/>
    <x v="2"/>
    <x v="7"/>
    <x v="16"/>
    <n v="1000"/>
    <n v="8"/>
    <n v="8000"/>
    <x v="1"/>
    <n v="1200"/>
    <n v="9600"/>
  </r>
  <r>
    <s v="INV0030"/>
    <x v="3"/>
    <x v="0"/>
    <x v="19"/>
    <n v="48000"/>
    <n v="5"/>
    <n v="240000"/>
    <x v="0"/>
    <n v="57600"/>
    <n v="288000"/>
  </r>
  <r>
    <s v="INV0031"/>
    <x v="3"/>
    <x v="0"/>
    <x v="0"/>
    <n v="60000"/>
    <n v="10"/>
    <n v="600000"/>
    <x v="2"/>
    <n v="72000"/>
    <n v="720000"/>
  </r>
  <r>
    <s v="INV0032"/>
    <x v="3"/>
    <x v="0"/>
    <x v="9"/>
    <n v="500"/>
    <n v="3"/>
    <n v="1500"/>
    <x v="2"/>
    <n v="600"/>
    <n v="1800"/>
  </r>
  <r>
    <s v="INV0033"/>
    <x v="3"/>
    <x v="2"/>
    <x v="6"/>
    <n v="2880"/>
    <n v="2"/>
    <n v="5760"/>
    <x v="0"/>
    <n v="3456"/>
    <n v="6912"/>
  </r>
  <r>
    <s v="INV0034"/>
    <x v="3"/>
    <x v="2"/>
    <x v="6"/>
    <n v="2880"/>
    <n v="4"/>
    <n v="11520"/>
    <x v="0"/>
    <n v="3456"/>
    <n v="13824"/>
  </r>
  <r>
    <s v="INV0035"/>
    <x v="3"/>
    <x v="0"/>
    <x v="22"/>
    <n v="6000"/>
    <n v="5"/>
    <n v="30000"/>
    <x v="0"/>
    <n v="7200"/>
    <n v="36000"/>
  </r>
  <r>
    <s v="INV0036"/>
    <x v="3"/>
    <x v="3"/>
    <x v="3"/>
    <n v="800"/>
    <n v="6"/>
    <n v="4800"/>
    <x v="2"/>
    <n v="960"/>
    <n v="5760"/>
  </r>
  <r>
    <s v="INV0037"/>
    <x v="3"/>
    <x v="0"/>
    <x v="0"/>
    <n v="60000"/>
    <n v="10"/>
    <n v="600000"/>
    <x v="2"/>
    <n v="72000"/>
    <n v="720000"/>
  </r>
  <r>
    <s v="INV3268"/>
    <x v="3"/>
    <x v="0"/>
    <x v="24"/>
    <n v="1900"/>
    <n v="5"/>
    <n v="9500"/>
    <x v="1"/>
    <n v="2280"/>
    <n v="11400"/>
  </r>
  <r>
    <s v="INV3922"/>
    <x v="3"/>
    <x v="0"/>
    <x v="19"/>
    <n v="48000"/>
    <n v="1"/>
    <n v="48000"/>
    <x v="0"/>
    <n v="57600"/>
    <n v="57600"/>
  </r>
  <r>
    <s v="INV4104"/>
    <x v="3"/>
    <x v="6"/>
    <x v="35"/>
    <n v="2000"/>
    <n v="1"/>
    <n v="2000"/>
    <x v="1"/>
    <n v="2400"/>
    <n v="2400"/>
  </r>
  <r>
    <s v="INV4154"/>
    <x v="3"/>
    <x v="6"/>
    <x v="36"/>
    <n v="1000"/>
    <n v="9"/>
    <n v="9000"/>
    <x v="0"/>
    <n v="1200"/>
    <n v="10800"/>
  </r>
  <r>
    <s v="INV4161"/>
    <x v="3"/>
    <x v="5"/>
    <x v="25"/>
    <n v="3000"/>
    <n v="3"/>
    <n v="9000"/>
    <x v="0"/>
    <n v="3600"/>
    <n v="10800"/>
  </r>
  <r>
    <s v="INV4217"/>
    <x v="3"/>
    <x v="3"/>
    <x v="29"/>
    <n v="6900"/>
    <n v="10"/>
    <n v="69000"/>
    <x v="1"/>
    <n v="8280"/>
    <n v="82800"/>
  </r>
  <r>
    <s v="INV4355"/>
    <x v="3"/>
    <x v="8"/>
    <x v="26"/>
    <n v="8000"/>
    <n v="4"/>
    <n v="32000"/>
    <x v="1"/>
    <n v="9600"/>
    <n v="38400"/>
  </r>
  <r>
    <s v="INV4360"/>
    <x v="3"/>
    <x v="7"/>
    <x v="37"/>
    <n v="2000"/>
    <n v="5"/>
    <n v="10000"/>
    <x v="2"/>
    <n v="2400"/>
    <n v="12000"/>
  </r>
  <r>
    <s v="INV0038"/>
    <x v="4"/>
    <x v="2"/>
    <x v="6"/>
    <n v="2880"/>
    <n v="2"/>
    <n v="5760"/>
    <x v="0"/>
    <n v="3456"/>
    <n v="6912"/>
  </r>
  <r>
    <s v="INV0039"/>
    <x v="4"/>
    <x v="3"/>
    <x v="21"/>
    <n v="1700"/>
    <n v="2"/>
    <n v="3400"/>
    <x v="1"/>
    <n v="2040"/>
    <n v="4080"/>
  </r>
  <r>
    <s v="INV0040"/>
    <x v="4"/>
    <x v="1"/>
    <x v="5"/>
    <n v="3000"/>
    <n v="6"/>
    <n v="18000"/>
    <x v="2"/>
    <n v="3600"/>
    <n v="21600"/>
  </r>
  <r>
    <s v="INV0041"/>
    <x v="4"/>
    <x v="0"/>
    <x v="19"/>
    <n v="48000"/>
    <n v="4"/>
    <n v="192000"/>
    <x v="0"/>
    <n v="57600"/>
    <n v="230400"/>
  </r>
  <r>
    <s v="INV0042"/>
    <x v="4"/>
    <x v="1"/>
    <x v="7"/>
    <n v="5200"/>
    <n v="1"/>
    <n v="5200"/>
    <x v="2"/>
    <n v="6240"/>
    <n v="6240"/>
  </r>
  <r>
    <s v="INV0043"/>
    <x v="4"/>
    <x v="0"/>
    <x v="19"/>
    <n v="48000"/>
    <n v="7"/>
    <n v="336000"/>
    <x v="0"/>
    <n v="57600"/>
    <n v="403200"/>
  </r>
  <r>
    <s v="INV0044"/>
    <x v="4"/>
    <x v="1"/>
    <x v="7"/>
    <n v="5200"/>
    <n v="8"/>
    <n v="41600"/>
    <x v="0"/>
    <n v="6240"/>
    <n v="49920"/>
  </r>
  <r>
    <s v="INV0045"/>
    <x v="4"/>
    <x v="3"/>
    <x v="21"/>
    <n v="1700"/>
    <n v="4"/>
    <n v="6800"/>
    <x v="0"/>
    <n v="2040"/>
    <n v="8160"/>
  </r>
  <r>
    <s v="INV3183"/>
    <x v="4"/>
    <x v="0"/>
    <x v="9"/>
    <n v="500"/>
    <n v="2"/>
    <n v="1000"/>
    <x v="1"/>
    <n v="600"/>
    <n v="1200"/>
  </r>
  <r>
    <s v="INV3798"/>
    <x v="4"/>
    <x v="0"/>
    <x v="8"/>
    <n v="3300"/>
    <n v="3"/>
    <n v="9900"/>
    <x v="1"/>
    <n v="3960"/>
    <n v="11880"/>
  </r>
  <r>
    <s v="INV3948"/>
    <x v="4"/>
    <x v="7"/>
    <x v="34"/>
    <n v="2000"/>
    <n v="7"/>
    <n v="14000"/>
    <x v="2"/>
    <n v="2400"/>
    <n v="16800"/>
  </r>
  <r>
    <s v="INV4054"/>
    <x v="4"/>
    <x v="8"/>
    <x v="26"/>
    <n v="8000"/>
    <n v="6"/>
    <n v="48000"/>
    <x v="2"/>
    <n v="9600"/>
    <n v="57600"/>
  </r>
  <r>
    <s v="INV4191"/>
    <x v="4"/>
    <x v="3"/>
    <x v="29"/>
    <n v="6900"/>
    <n v="4"/>
    <n v="27600"/>
    <x v="1"/>
    <n v="8280"/>
    <n v="33120"/>
  </r>
  <r>
    <s v="INV4216"/>
    <x v="4"/>
    <x v="3"/>
    <x v="33"/>
    <n v="4000"/>
    <n v="4"/>
    <n v="16000"/>
    <x v="1"/>
    <n v="4800"/>
    <n v="19200"/>
  </r>
  <r>
    <s v="INV4324"/>
    <x v="4"/>
    <x v="3"/>
    <x v="33"/>
    <n v="4000"/>
    <n v="9"/>
    <n v="36000"/>
    <x v="2"/>
    <n v="4800"/>
    <n v="43200"/>
  </r>
  <r>
    <s v="INV4449"/>
    <x v="4"/>
    <x v="8"/>
    <x v="17"/>
    <n v="15000"/>
    <n v="1"/>
    <n v="15000"/>
    <x v="0"/>
    <n v="18000"/>
    <n v="18000"/>
  </r>
  <r>
    <s v="INV4459"/>
    <x v="4"/>
    <x v="3"/>
    <x v="12"/>
    <n v="2500"/>
    <n v="5"/>
    <n v="12500"/>
    <x v="2"/>
    <n v="3000"/>
    <n v="15000"/>
  </r>
  <r>
    <s v="INV4484"/>
    <x v="4"/>
    <x v="8"/>
    <x v="38"/>
    <n v="2000"/>
    <n v="1"/>
    <n v="2000"/>
    <x v="1"/>
    <n v="2400"/>
    <n v="2400"/>
  </r>
  <r>
    <s v="INV4492"/>
    <x v="4"/>
    <x v="0"/>
    <x v="20"/>
    <n v="35000"/>
    <n v="1"/>
    <n v="35000"/>
    <x v="2"/>
    <n v="42000"/>
    <n v="42000"/>
  </r>
  <r>
    <s v="INV4714"/>
    <x v="4"/>
    <x v="8"/>
    <x v="17"/>
    <n v="15000"/>
    <n v="3"/>
    <n v="45000"/>
    <x v="2"/>
    <n v="18000"/>
    <n v="54000"/>
  </r>
  <r>
    <s v="INV4884"/>
    <x v="4"/>
    <x v="7"/>
    <x v="32"/>
    <n v="1000"/>
    <n v="7"/>
    <n v="7000"/>
    <x v="2"/>
    <n v="1200"/>
    <n v="8400"/>
  </r>
  <r>
    <s v="INV4893"/>
    <x v="4"/>
    <x v="6"/>
    <x v="15"/>
    <n v="500"/>
    <n v="7"/>
    <n v="3500"/>
    <x v="2"/>
    <n v="600"/>
    <n v="4200"/>
  </r>
  <r>
    <s v="INV0046"/>
    <x v="5"/>
    <x v="2"/>
    <x v="30"/>
    <n v="2880"/>
    <n v="1"/>
    <n v="2880"/>
    <x v="2"/>
    <n v="3456"/>
    <n v="3456"/>
  </r>
  <r>
    <s v="INV0047"/>
    <x v="5"/>
    <x v="3"/>
    <x v="4"/>
    <n v="1200"/>
    <n v="4"/>
    <n v="4800"/>
    <x v="1"/>
    <n v="1440"/>
    <n v="5760"/>
  </r>
  <r>
    <s v="INV0048"/>
    <x v="5"/>
    <x v="2"/>
    <x v="39"/>
    <n v="1750"/>
    <n v="2"/>
    <n v="3500"/>
    <x v="0"/>
    <n v="2100"/>
    <n v="4200"/>
  </r>
  <r>
    <s v="INV0049"/>
    <x v="5"/>
    <x v="3"/>
    <x v="3"/>
    <n v="800"/>
    <n v="1"/>
    <n v="800"/>
    <x v="1"/>
    <n v="960"/>
    <n v="960"/>
  </r>
  <r>
    <s v="INV0050"/>
    <x v="5"/>
    <x v="0"/>
    <x v="0"/>
    <n v="60000"/>
    <n v="4"/>
    <n v="240000"/>
    <x v="0"/>
    <n v="72000"/>
    <n v="288000"/>
  </r>
  <r>
    <s v="INV0051"/>
    <x v="5"/>
    <x v="0"/>
    <x v="9"/>
    <n v="500"/>
    <n v="4"/>
    <n v="2000"/>
    <x v="2"/>
    <n v="600"/>
    <n v="2400"/>
  </r>
  <r>
    <s v="INV0052"/>
    <x v="5"/>
    <x v="0"/>
    <x v="19"/>
    <n v="48000"/>
    <n v="8"/>
    <n v="384000"/>
    <x v="1"/>
    <n v="57600"/>
    <n v="460800"/>
  </r>
  <r>
    <s v="INV0053"/>
    <x v="5"/>
    <x v="3"/>
    <x v="29"/>
    <n v="6900"/>
    <n v="4"/>
    <n v="27600"/>
    <x v="2"/>
    <n v="8280"/>
    <n v="33120"/>
  </r>
  <r>
    <s v="INV0054"/>
    <x v="5"/>
    <x v="1"/>
    <x v="1"/>
    <n v="400"/>
    <n v="6"/>
    <n v="2400"/>
    <x v="2"/>
    <n v="480"/>
    <n v="2880"/>
  </r>
  <r>
    <s v="INV2919"/>
    <x v="5"/>
    <x v="0"/>
    <x v="8"/>
    <n v="3300"/>
    <n v="3"/>
    <n v="9900"/>
    <x v="0"/>
    <n v="3960"/>
    <n v="11880"/>
  </r>
  <r>
    <s v="INV3147"/>
    <x v="5"/>
    <x v="0"/>
    <x v="31"/>
    <n v="3600"/>
    <n v="2"/>
    <n v="7200"/>
    <x v="0"/>
    <n v="4320"/>
    <n v="8640"/>
  </r>
  <r>
    <s v="INV3215"/>
    <x v="5"/>
    <x v="3"/>
    <x v="21"/>
    <n v="1700"/>
    <n v="10"/>
    <n v="17000"/>
    <x v="0"/>
    <n v="2040"/>
    <n v="20400"/>
  </r>
  <r>
    <s v="INV4018"/>
    <x v="5"/>
    <x v="0"/>
    <x v="20"/>
    <n v="35000"/>
    <n v="10"/>
    <n v="350000"/>
    <x v="0"/>
    <n v="42000"/>
    <n v="420000"/>
  </r>
  <r>
    <s v="INV4202"/>
    <x v="5"/>
    <x v="3"/>
    <x v="12"/>
    <n v="2500"/>
    <n v="8"/>
    <n v="20000"/>
    <x v="2"/>
    <n v="3000"/>
    <n v="24000"/>
  </r>
  <r>
    <s v="INV4230"/>
    <x v="5"/>
    <x v="5"/>
    <x v="40"/>
    <n v="13000"/>
    <n v="1"/>
    <n v="13000"/>
    <x v="2"/>
    <n v="15600"/>
    <n v="15600"/>
  </r>
  <r>
    <s v="INV4313"/>
    <x v="5"/>
    <x v="8"/>
    <x v="38"/>
    <n v="2000"/>
    <n v="4"/>
    <n v="8000"/>
    <x v="2"/>
    <n v="2400"/>
    <n v="9600"/>
  </r>
  <r>
    <s v="INV4332"/>
    <x v="5"/>
    <x v="0"/>
    <x v="41"/>
    <n v="50000"/>
    <n v="5"/>
    <n v="250000"/>
    <x v="1"/>
    <n v="60000"/>
    <n v="300000"/>
  </r>
  <r>
    <s v="INV4645"/>
    <x v="5"/>
    <x v="3"/>
    <x v="42"/>
    <n v="500"/>
    <n v="4"/>
    <n v="2000"/>
    <x v="2"/>
    <n v="600"/>
    <n v="2400"/>
  </r>
  <r>
    <s v="INV4651"/>
    <x v="5"/>
    <x v="7"/>
    <x v="27"/>
    <n v="2500"/>
    <n v="9"/>
    <n v="22500"/>
    <x v="1"/>
    <n v="3000"/>
    <n v="27000"/>
  </r>
  <r>
    <s v="INV4817"/>
    <x v="5"/>
    <x v="5"/>
    <x v="18"/>
    <n v="15000"/>
    <n v="4"/>
    <n v="60000"/>
    <x v="1"/>
    <n v="18000"/>
    <n v="72000"/>
  </r>
  <r>
    <s v="INV4903"/>
    <x v="5"/>
    <x v="8"/>
    <x v="28"/>
    <n v="10000"/>
    <n v="7"/>
    <n v="70000"/>
    <x v="0"/>
    <n v="12000"/>
    <n v="84000"/>
  </r>
  <r>
    <s v="INV0055"/>
    <x v="6"/>
    <x v="2"/>
    <x v="6"/>
    <n v="2880"/>
    <n v="4"/>
    <n v="11520"/>
    <x v="2"/>
    <n v="3456"/>
    <n v="13824"/>
  </r>
  <r>
    <s v="INV0056"/>
    <x v="6"/>
    <x v="3"/>
    <x v="21"/>
    <n v="1700"/>
    <n v="8"/>
    <n v="13600"/>
    <x v="2"/>
    <n v="2040"/>
    <n v="16320"/>
  </r>
  <r>
    <s v="INV0057"/>
    <x v="6"/>
    <x v="3"/>
    <x v="4"/>
    <n v="1200"/>
    <n v="10"/>
    <n v="12000"/>
    <x v="2"/>
    <n v="1440"/>
    <n v="14400"/>
  </r>
  <r>
    <s v="INV0058"/>
    <x v="6"/>
    <x v="1"/>
    <x v="7"/>
    <n v="5200"/>
    <n v="1"/>
    <n v="5200"/>
    <x v="1"/>
    <n v="6240"/>
    <n v="6240"/>
  </r>
  <r>
    <s v="INV0059"/>
    <x v="6"/>
    <x v="3"/>
    <x v="29"/>
    <n v="6900"/>
    <n v="10"/>
    <n v="69000"/>
    <x v="0"/>
    <n v="8280"/>
    <n v="82800"/>
  </r>
  <r>
    <s v="INV0060"/>
    <x v="6"/>
    <x v="2"/>
    <x v="2"/>
    <n v="2880"/>
    <n v="1"/>
    <n v="2880"/>
    <x v="1"/>
    <n v="3456"/>
    <n v="3456"/>
  </r>
  <r>
    <s v="INV0061"/>
    <x v="6"/>
    <x v="1"/>
    <x v="5"/>
    <n v="3000"/>
    <n v="8"/>
    <n v="24000"/>
    <x v="2"/>
    <n v="3600"/>
    <n v="28800"/>
  </r>
  <r>
    <s v="INV0062"/>
    <x v="6"/>
    <x v="1"/>
    <x v="5"/>
    <n v="3000"/>
    <n v="8"/>
    <n v="24000"/>
    <x v="0"/>
    <n v="3600"/>
    <n v="28800"/>
  </r>
  <r>
    <s v="INV0063"/>
    <x v="6"/>
    <x v="3"/>
    <x v="4"/>
    <n v="1200"/>
    <n v="4"/>
    <n v="4800"/>
    <x v="1"/>
    <n v="1440"/>
    <n v="5760"/>
  </r>
  <r>
    <s v="INV3010"/>
    <x v="6"/>
    <x v="0"/>
    <x v="8"/>
    <n v="3300"/>
    <n v="4"/>
    <n v="13200"/>
    <x v="1"/>
    <n v="3960"/>
    <n v="15840"/>
  </r>
  <r>
    <s v="INV3337"/>
    <x v="6"/>
    <x v="0"/>
    <x v="31"/>
    <n v="3600"/>
    <n v="9"/>
    <n v="32400"/>
    <x v="0"/>
    <n v="4320"/>
    <n v="38880"/>
  </r>
  <r>
    <s v="INV3377"/>
    <x v="6"/>
    <x v="3"/>
    <x v="3"/>
    <n v="800"/>
    <n v="10"/>
    <n v="8000"/>
    <x v="0"/>
    <n v="960"/>
    <n v="9600"/>
  </r>
  <r>
    <s v="INV3476"/>
    <x v="6"/>
    <x v="3"/>
    <x v="21"/>
    <n v="1700"/>
    <n v="3"/>
    <n v="5100"/>
    <x v="1"/>
    <n v="2040"/>
    <n v="6120"/>
  </r>
  <r>
    <s v="INV3584"/>
    <x v="6"/>
    <x v="3"/>
    <x v="3"/>
    <n v="800"/>
    <n v="5"/>
    <n v="4000"/>
    <x v="0"/>
    <n v="960"/>
    <n v="4800"/>
  </r>
  <r>
    <s v="INV3934"/>
    <x v="6"/>
    <x v="0"/>
    <x v="24"/>
    <n v="1900"/>
    <n v="10"/>
    <n v="19000"/>
    <x v="0"/>
    <n v="2280"/>
    <n v="22800"/>
  </r>
  <r>
    <s v="INV3983"/>
    <x v="6"/>
    <x v="5"/>
    <x v="11"/>
    <n v="400"/>
    <n v="1"/>
    <n v="400"/>
    <x v="0"/>
    <n v="480"/>
    <n v="480"/>
  </r>
  <r>
    <s v="INV4015"/>
    <x v="6"/>
    <x v="8"/>
    <x v="28"/>
    <n v="10000"/>
    <n v="6"/>
    <n v="60000"/>
    <x v="1"/>
    <n v="12000"/>
    <n v="72000"/>
  </r>
  <r>
    <s v="INV4196"/>
    <x v="6"/>
    <x v="6"/>
    <x v="15"/>
    <n v="500"/>
    <n v="4"/>
    <n v="2000"/>
    <x v="1"/>
    <n v="600"/>
    <n v="2400"/>
  </r>
  <r>
    <s v="INV4220"/>
    <x v="6"/>
    <x v="3"/>
    <x v="12"/>
    <n v="2500"/>
    <n v="9"/>
    <n v="22500"/>
    <x v="2"/>
    <n v="3000"/>
    <n v="27000"/>
  </r>
  <r>
    <s v="INV4223"/>
    <x v="6"/>
    <x v="8"/>
    <x v="28"/>
    <n v="10000"/>
    <n v="7"/>
    <n v="70000"/>
    <x v="2"/>
    <n v="12000"/>
    <n v="84000"/>
  </r>
  <r>
    <s v="INV4224"/>
    <x v="6"/>
    <x v="3"/>
    <x v="12"/>
    <n v="2500"/>
    <n v="10"/>
    <n v="25000"/>
    <x v="2"/>
    <n v="3000"/>
    <n v="30000"/>
  </r>
  <r>
    <s v="INV4303"/>
    <x v="6"/>
    <x v="0"/>
    <x v="41"/>
    <n v="50000"/>
    <n v="4"/>
    <n v="200000"/>
    <x v="0"/>
    <n v="60000"/>
    <n v="240000"/>
  </r>
  <r>
    <s v="INV4495"/>
    <x v="6"/>
    <x v="5"/>
    <x v="40"/>
    <n v="13000"/>
    <n v="9"/>
    <n v="117000"/>
    <x v="2"/>
    <n v="15600"/>
    <n v="140400"/>
  </r>
  <r>
    <s v="INV4528"/>
    <x v="6"/>
    <x v="0"/>
    <x v="41"/>
    <n v="50000"/>
    <n v="3"/>
    <n v="150000"/>
    <x v="0"/>
    <n v="60000"/>
    <n v="180000"/>
  </r>
  <r>
    <s v="INV0064"/>
    <x v="7"/>
    <x v="3"/>
    <x v="3"/>
    <n v="800"/>
    <n v="8"/>
    <n v="6400"/>
    <x v="2"/>
    <n v="960"/>
    <n v="7680"/>
  </r>
  <r>
    <s v="INV0065"/>
    <x v="7"/>
    <x v="3"/>
    <x v="29"/>
    <n v="6900"/>
    <n v="1"/>
    <n v="6900"/>
    <x v="0"/>
    <n v="8280"/>
    <n v="8280"/>
  </r>
  <r>
    <s v="INV0066"/>
    <x v="7"/>
    <x v="3"/>
    <x v="29"/>
    <n v="6900"/>
    <n v="10"/>
    <n v="69000"/>
    <x v="1"/>
    <n v="8280"/>
    <n v="82800"/>
  </r>
  <r>
    <s v="INV0067"/>
    <x v="7"/>
    <x v="3"/>
    <x v="3"/>
    <n v="800"/>
    <n v="9"/>
    <n v="7200"/>
    <x v="1"/>
    <n v="960"/>
    <n v="8640"/>
  </r>
  <r>
    <s v="INV0068"/>
    <x v="7"/>
    <x v="2"/>
    <x v="6"/>
    <n v="2880"/>
    <n v="9"/>
    <n v="25920"/>
    <x v="0"/>
    <n v="3456"/>
    <n v="31104"/>
  </r>
  <r>
    <s v="INV0069"/>
    <x v="7"/>
    <x v="3"/>
    <x v="29"/>
    <n v="6900"/>
    <n v="8"/>
    <n v="55200"/>
    <x v="2"/>
    <n v="8280"/>
    <n v="66240"/>
  </r>
  <r>
    <s v="INV0070"/>
    <x v="7"/>
    <x v="3"/>
    <x v="21"/>
    <n v="1700"/>
    <n v="5"/>
    <n v="8500"/>
    <x v="0"/>
    <n v="2040"/>
    <n v="10200"/>
  </r>
  <r>
    <s v="INV0071"/>
    <x v="7"/>
    <x v="1"/>
    <x v="5"/>
    <n v="3000"/>
    <n v="4"/>
    <n v="12000"/>
    <x v="1"/>
    <n v="3600"/>
    <n v="14400"/>
  </r>
  <r>
    <s v="INV0072"/>
    <x v="7"/>
    <x v="3"/>
    <x v="21"/>
    <n v="1700"/>
    <n v="1"/>
    <n v="1700"/>
    <x v="0"/>
    <n v="2040"/>
    <n v="2040"/>
  </r>
  <r>
    <s v="INV0073"/>
    <x v="7"/>
    <x v="1"/>
    <x v="1"/>
    <n v="400"/>
    <n v="3"/>
    <n v="1200"/>
    <x v="0"/>
    <n v="480"/>
    <n v="1440"/>
  </r>
  <r>
    <s v="INV2800"/>
    <x v="7"/>
    <x v="0"/>
    <x v="19"/>
    <n v="48000"/>
    <n v="5"/>
    <n v="240000"/>
    <x v="2"/>
    <n v="57600"/>
    <n v="288000"/>
  </r>
  <r>
    <s v="INV2818"/>
    <x v="7"/>
    <x v="3"/>
    <x v="21"/>
    <n v="1700"/>
    <n v="4"/>
    <n v="6800"/>
    <x v="1"/>
    <n v="2040"/>
    <n v="8160"/>
  </r>
  <r>
    <s v="INV3128"/>
    <x v="7"/>
    <x v="0"/>
    <x v="24"/>
    <n v="1900"/>
    <n v="8"/>
    <n v="15200"/>
    <x v="2"/>
    <n v="2280"/>
    <n v="18240"/>
  </r>
  <r>
    <s v="INV3315"/>
    <x v="7"/>
    <x v="3"/>
    <x v="21"/>
    <n v="1700"/>
    <n v="4"/>
    <n v="6800"/>
    <x v="1"/>
    <n v="2040"/>
    <n v="8160"/>
  </r>
  <r>
    <s v="INV3396"/>
    <x v="7"/>
    <x v="0"/>
    <x v="23"/>
    <n v="600"/>
    <n v="10"/>
    <n v="6000"/>
    <x v="1"/>
    <n v="720"/>
    <n v="7200"/>
  </r>
  <r>
    <s v="INV3674"/>
    <x v="7"/>
    <x v="0"/>
    <x v="24"/>
    <n v="1900"/>
    <n v="3"/>
    <n v="5700"/>
    <x v="0"/>
    <n v="2280"/>
    <n v="6840"/>
  </r>
  <r>
    <s v="INV3710"/>
    <x v="7"/>
    <x v="0"/>
    <x v="9"/>
    <n v="500"/>
    <n v="3"/>
    <n v="1500"/>
    <x v="0"/>
    <n v="600"/>
    <n v="1800"/>
  </r>
  <r>
    <s v="INV4075"/>
    <x v="7"/>
    <x v="8"/>
    <x v="17"/>
    <n v="15000"/>
    <n v="9"/>
    <n v="135000"/>
    <x v="0"/>
    <n v="18000"/>
    <n v="162000"/>
  </r>
  <r>
    <s v="INV4076"/>
    <x v="7"/>
    <x v="0"/>
    <x v="43"/>
    <n v="62000"/>
    <n v="8"/>
    <n v="496000"/>
    <x v="2"/>
    <n v="74400"/>
    <n v="595200"/>
  </r>
  <r>
    <s v="INV4215"/>
    <x v="7"/>
    <x v="0"/>
    <x v="41"/>
    <n v="50000"/>
    <n v="10"/>
    <n v="500000"/>
    <x v="1"/>
    <n v="60000"/>
    <n v="600000"/>
  </r>
  <r>
    <s v="INV4364"/>
    <x v="7"/>
    <x v="3"/>
    <x v="33"/>
    <n v="4000"/>
    <n v="4"/>
    <n v="16000"/>
    <x v="2"/>
    <n v="4800"/>
    <n v="19200"/>
  </r>
  <r>
    <s v="INV4391"/>
    <x v="7"/>
    <x v="8"/>
    <x v="38"/>
    <n v="2000"/>
    <n v="1"/>
    <n v="2000"/>
    <x v="2"/>
    <n v="2400"/>
    <n v="2400"/>
  </r>
  <r>
    <s v="INV4430"/>
    <x v="7"/>
    <x v="5"/>
    <x v="18"/>
    <n v="15000"/>
    <n v="5"/>
    <n v="75000"/>
    <x v="1"/>
    <n v="18000"/>
    <n v="90000"/>
  </r>
  <r>
    <s v="INV4454"/>
    <x v="7"/>
    <x v="5"/>
    <x v="14"/>
    <n v="2800"/>
    <n v="3"/>
    <n v="8400"/>
    <x v="1"/>
    <n v="3360"/>
    <n v="10080"/>
  </r>
  <r>
    <s v="INV4552"/>
    <x v="7"/>
    <x v="8"/>
    <x v="38"/>
    <n v="2000"/>
    <n v="7"/>
    <n v="14000"/>
    <x v="1"/>
    <n v="2400"/>
    <n v="16800"/>
  </r>
  <r>
    <s v="INV4633"/>
    <x v="7"/>
    <x v="3"/>
    <x v="12"/>
    <n v="2500"/>
    <n v="2"/>
    <n v="5000"/>
    <x v="1"/>
    <n v="3000"/>
    <n v="6000"/>
  </r>
  <r>
    <s v="INV4634"/>
    <x v="7"/>
    <x v="5"/>
    <x v="11"/>
    <n v="400"/>
    <n v="2"/>
    <n v="800"/>
    <x v="0"/>
    <n v="480"/>
    <n v="960"/>
  </r>
  <r>
    <s v="INV4674"/>
    <x v="7"/>
    <x v="3"/>
    <x v="12"/>
    <n v="2500"/>
    <n v="3"/>
    <n v="7500"/>
    <x v="2"/>
    <n v="3000"/>
    <n v="9000"/>
  </r>
  <r>
    <s v="INV4694"/>
    <x v="7"/>
    <x v="8"/>
    <x v="44"/>
    <n v="12000"/>
    <n v="10"/>
    <n v="120000"/>
    <x v="1"/>
    <n v="14400"/>
    <n v="144000"/>
  </r>
  <r>
    <s v="INV4755"/>
    <x v="7"/>
    <x v="6"/>
    <x v="13"/>
    <n v="8000"/>
    <n v="4"/>
    <n v="32000"/>
    <x v="0"/>
    <n v="9600"/>
    <n v="38400"/>
  </r>
  <r>
    <s v="INV4796"/>
    <x v="7"/>
    <x v="0"/>
    <x v="0"/>
    <n v="60000"/>
    <n v="9"/>
    <n v="540000"/>
    <x v="0"/>
    <n v="72000"/>
    <n v="648000"/>
  </r>
  <r>
    <s v="INV4809"/>
    <x v="7"/>
    <x v="5"/>
    <x v="40"/>
    <n v="13000"/>
    <n v="2"/>
    <n v="26000"/>
    <x v="2"/>
    <n v="15600"/>
    <n v="31200"/>
  </r>
  <r>
    <s v="INV4812"/>
    <x v="7"/>
    <x v="6"/>
    <x v="36"/>
    <n v="1000"/>
    <n v="3"/>
    <n v="3000"/>
    <x v="1"/>
    <n v="1200"/>
    <n v="3600"/>
  </r>
  <r>
    <s v="INV4816"/>
    <x v="7"/>
    <x v="0"/>
    <x v="41"/>
    <n v="50000"/>
    <n v="3"/>
    <n v="150000"/>
    <x v="1"/>
    <n v="60000"/>
    <n v="180000"/>
  </r>
  <r>
    <s v="INV4828"/>
    <x v="7"/>
    <x v="0"/>
    <x v="43"/>
    <n v="62000"/>
    <n v="10"/>
    <n v="620000"/>
    <x v="2"/>
    <n v="74400"/>
    <n v="744000"/>
  </r>
  <r>
    <s v="INV0074"/>
    <x v="8"/>
    <x v="3"/>
    <x v="21"/>
    <n v="1700"/>
    <n v="2"/>
    <n v="3400"/>
    <x v="0"/>
    <n v="2040"/>
    <n v="4080"/>
  </r>
  <r>
    <s v="INV0075"/>
    <x v="8"/>
    <x v="3"/>
    <x v="21"/>
    <n v="1700"/>
    <n v="3"/>
    <n v="5100"/>
    <x v="1"/>
    <n v="2040"/>
    <n v="6120"/>
  </r>
  <r>
    <s v="INV0076"/>
    <x v="8"/>
    <x v="0"/>
    <x v="9"/>
    <n v="500"/>
    <n v="10"/>
    <n v="5000"/>
    <x v="2"/>
    <n v="600"/>
    <n v="6000"/>
  </r>
  <r>
    <s v="INV0077"/>
    <x v="8"/>
    <x v="0"/>
    <x v="0"/>
    <n v="60000"/>
    <n v="10"/>
    <n v="600000"/>
    <x v="1"/>
    <n v="72000"/>
    <n v="720000"/>
  </r>
  <r>
    <s v="INV0078"/>
    <x v="8"/>
    <x v="1"/>
    <x v="1"/>
    <n v="400"/>
    <n v="6"/>
    <n v="2400"/>
    <x v="1"/>
    <n v="480"/>
    <n v="2880"/>
  </r>
  <r>
    <s v="INV0079"/>
    <x v="8"/>
    <x v="0"/>
    <x v="9"/>
    <n v="500"/>
    <n v="9"/>
    <n v="4500"/>
    <x v="1"/>
    <n v="600"/>
    <n v="5400"/>
  </r>
  <r>
    <s v="INV2763"/>
    <x v="8"/>
    <x v="4"/>
    <x v="45"/>
    <n v="120"/>
    <n v="8"/>
    <n v="960"/>
    <x v="1"/>
    <n v="144"/>
    <n v="1152"/>
  </r>
  <r>
    <s v="INV3750"/>
    <x v="8"/>
    <x v="0"/>
    <x v="8"/>
    <n v="3300"/>
    <n v="9"/>
    <n v="29700"/>
    <x v="1"/>
    <n v="3960"/>
    <n v="35640"/>
  </r>
  <r>
    <s v="INV4024"/>
    <x v="8"/>
    <x v="8"/>
    <x v="44"/>
    <n v="12000"/>
    <n v="9"/>
    <n v="108000"/>
    <x v="1"/>
    <n v="14400"/>
    <n v="129600"/>
  </r>
  <r>
    <s v="INV4305"/>
    <x v="8"/>
    <x v="5"/>
    <x v="18"/>
    <n v="15000"/>
    <n v="10"/>
    <n v="150000"/>
    <x v="1"/>
    <n v="18000"/>
    <n v="180000"/>
  </r>
  <r>
    <s v="INV4630"/>
    <x v="8"/>
    <x v="8"/>
    <x v="28"/>
    <n v="10000"/>
    <n v="6"/>
    <n v="60000"/>
    <x v="1"/>
    <n v="12000"/>
    <n v="72000"/>
  </r>
  <r>
    <s v="INV4780"/>
    <x v="8"/>
    <x v="5"/>
    <x v="40"/>
    <n v="13000"/>
    <n v="8"/>
    <n v="104000"/>
    <x v="2"/>
    <n v="15600"/>
    <n v="124800"/>
  </r>
  <r>
    <s v="INV4784"/>
    <x v="8"/>
    <x v="8"/>
    <x v="44"/>
    <n v="12000"/>
    <n v="5"/>
    <n v="60000"/>
    <x v="1"/>
    <n v="14400"/>
    <n v="72000"/>
  </r>
  <r>
    <s v="INV4899"/>
    <x v="8"/>
    <x v="3"/>
    <x v="46"/>
    <n v="1950"/>
    <n v="3"/>
    <n v="5850"/>
    <x v="2"/>
    <n v="2340"/>
    <n v="7020"/>
  </r>
  <r>
    <s v="INV4906"/>
    <x v="8"/>
    <x v="3"/>
    <x v="33"/>
    <n v="4000"/>
    <n v="10"/>
    <n v="40000"/>
    <x v="0"/>
    <n v="4800"/>
    <n v="48000"/>
  </r>
  <r>
    <s v="INV4932"/>
    <x v="8"/>
    <x v="6"/>
    <x v="15"/>
    <n v="500"/>
    <n v="7"/>
    <n v="3500"/>
    <x v="1"/>
    <n v="600"/>
    <n v="4200"/>
  </r>
  <r>
    <s v="INV0080"/>
    <x v="9"/>
    <x v="3"/>
    <x v="21"/>
    <n v="1700"/>
    <n v="1"/>
    <n v="1700"/>
    <x v="0"/>
    <n v="2040"/>
    <n v="2040"/>
  </r>
  <r>
    <s v="INV0081"/>
    <x v="9"/>
    <x v="1"/>
    <x v="1"/>
    <n v="400"/>
    <n v="9"/>
    <n v="3600"/>
    <x v="0"/>
    <n v="480"/>
    <n v="4320"/>
  </r>
  <r>
    <s v="INV0082"/>
    <x v="9"/>
    <x v="2"/>
    <x v="30"/>
    <n v="2880"/>
    <n v="7"/>
    <n v="20160"/>
    <x v="2"/>
    <n v="3456"/>
    <n v="24192"/>
  </r>
  <r>
    <s v="INV0083"/>
    <x v="9"/>
    <x v="2"/>
    <x v="39"/>
    <n v="1750"/>
    <n v="3"/>
    <n v="5250"/>
    <x v="1"/>
    <n v="2100"/>
    <n v="6300"/>
  </r>
  <r>
    <s v="INV0084"/>
    <x v="9"/>
    <x v="2"/>
    <x v="30"/>
    <n v="2880"/>
    <n v="8"/>
    <n v="23040"/>
    <x v="0"/>
    <n v="3456"/>
    <n v="27648"/>
  </r>
  <r>
    <s v="INV0085"/>
    <x v="9"/>
    <x v="2"/>
    <x v="6"/>
    <n v="2880"/>
    <n v="6"/>
    <n v="17280"/>
    <x v="0"/>
    <n v="3456"/>
    <n v="20736"/>
  </r>
  <r>
    <s v="INV0086"/>
    <x v="9"/>
    <x v="0"/>
    <x v="22"/>
    <n v="6000"/>
    <n v="3"/>
    <n v="18000"/>
    <x v="1"/>
    <n v="7200"/>
    <n v="21600"/>
  </r>
  <r>
    <s v="INV0087"/>
    <x v="9"/>
    <x v="3"/>
    <x v="3"/>
    <n v="800"/>
    <n v="1"/>
    <n v="800"/>
    <x v="1"/>
    <n v="960"/>
    <n v="960"/>
  </r>
  <r>
    <s v="INV2834"/>
    <x v="9"/>
    <x v="4"/>
    <x v="10"/>
    <n v="9100"/>
    <n v="6"/>
    <n v="54600"/>
    <x v="1"/>
    <n v="10920"/>
    <n v="65520"/>
  </r>
  <r>
    <s v="INV2902"/>
    <x v="9"/>
    <x v="0"/>
    <x v="24"/>
    <n v="1900"/>
    <n v="9"/>
    <n v="17100"/>
    <x v="2"/>
    <n v="2280"/>
    <n v="20520"/>
  </r>
  <r>
    <s v="INV2962"/>
    <x v="9"/>
    <x v="0"/>
    <x v="24"/>
    <n v="1900"/>
    <n v="5"/>
    <n v="9500"/>
    <x v="0"/>
    <n v="2280"/>
    <n v="11400"/>
  </r>
  <r>
    <s v="INV3113"/>
    <x v="9"/>
    <x v="0"/>
    <x v="31"/>
    <n v="3600"/>
    <n v="6"/>
    <n v="21600"/>
    <x v="1"/>
    <n v="4320"/>
    <n v="25920"/>
  </r>
  <r>
    <s v="INV3278"/>
    <x v="9"/>
    <x v="4"/>
    <x v="10"/>
    <n v="9100"/>
    <n v="9"/>
    <n v="81900"/>
    <x v="2"/>
    <n v="10920"/>
    <n v="98280"/>
  </r>
  <r>
    <s v="INV3433"/>
    <x v="9"/>
    <x v="0"/>
    <x v="8"/>
    <n v="3300"/>
    <n v="3"/>
    <n v="9900"/>
    <x v="0"/>
    <n v="3960"/>
    <n v="11880"/>
  </r>
  <r>
    <s v="INV3861"/>
    <x v="9"/>
    <x v="0"/>
    <x v="9"/>
    <n v="500"/>
    <n v="1"/>
    <n v="500"/>
    <x v="2"/>
    <n v="600"/>
    <n v="600"/>
  </r>
  <r>
    <s v="INV3956"/>
    <x v="9"/>
    <x v="7"/>
    <x v="34"/>
    <n v="2000"/>
    <n v="2"/>
    <n v="4000"/>
    <x v="0"/>
    <n v="2400"/>
    <n v="4800"/>
  </r>
  <r>
    <s v="INV3980"/>
    <x v="9"/>
    <x v="5"/>
    <x v="40"/>
    <n v="13000"/>
    <n v="8"/>
    <n v="104000"/>
    <x v="2"/>
    <n v="15600"/>
    <n v="124800"/>
  </r>
  <r>
    <s v="INV4040"/>
    <x v="9"/>
    <x v="5"/>
    <x v="18"/>
    <n v="15000"/>
    <n v="7"/>
    <n v="105000"/>
    <x v="2"/>
    <n v="18000"/>
    <n v="126000"/>
  </r>
  <r>
    <s v="INV4245"/>
    <x v="9"/>
    <x v="3"/>
    <x v="29"/>
    <n v="6900"/>
    <n v="6"/>
    <n v="41400"/>
    <x v="0"/>
    <n v="8280"/>
    <n v="49680"/>
  </r>
  <r>
    <s v="INV4265"/>
    <x v="9"/>
    <x v="6"/>
    <x v="15"/>
    <n v="500"/>
    <n v="5"/>
    <n v="2500"/>
    <x v="2"/>
    <n v="600"/>
    <n v="3000"/>
  </r>
  <r>
    <s v="INV4516"/>
    <x v="9"/>
    <x v="8"/>
    <x v="26"/>
    <n v="8000"/>
    <n v="7"/>
    <n v="56000"/>
    <x v="0"/>
    <n v="9600"/>
    <n v="67200"/>
  </r>
  <r>
    <s v="INV4871"/>
    <x v="9"/>
    <x v="5"/>
    <x v="18"/>
    <n v="15000"/>
    <n v="7"/>
    <n v="105000"/>
    <x v="2"/>
    <n v="18000"/>
    <n v="126000"/>
  </r>
  <r>
    <s v="INV4873"/>
    <x v="9"/>
    <x v="6"/>
    <x v="47"/>
    <n v="12000"/>
    <n v="4"/>
    <n v="48000"/>
    <x v="1"/>
    <n v="14400"/>
    <n v="57600"/>
  </r>
  <r>
    <s v="INV4904"/>
    <x v="9"/>
    <x v="0"/>
    <x v="19"/>
    <n v="48000"/>
    <n v="9"/>
    <n v="432000"/>
    <x v="1"/>
    <n v="57600"/>
    <n v="518400"/>
  </r>
  <r>
    <s v="INV0088"/>
    <x v="10"/>
    <x v="3"/>
    <x v="3"/>
    <n v="800"/>
    <n v="10"/>
    <n v="8000"/>
    <x v="2"/>
    <n v="960"/>
    <n v="9600"/>
  </r>
  <r>
    <s v="INV0089"/>
    <x v="10"/>
    <x v="2"/>
    <x v="39"/>
    <n v="1750"/>
    <n v="2"/>
    <n v="3500"/>
    <x v="1"/>
    <n v="2100"/>
    <n v="4200"/>
  </r>
  <r>
    <s v="INV0090"/>
    <x v="10"/>
    <x v="3"/>
    <x v="21"/>
    <n v="1700"/>
    <n v="4"/>
    <n v="6800"/>
    <x v="1"/>
    <n v="2040"/>
    <n v="8160"/>
  </r>
  <r>
    <s v="INV0091"/>
    <x v="10"/>
    <x v="2"/>
    <x v="30"/>
    <n v="2880"/>
    <n v="1"/>
    <n v="2880"/>
    <x v="1"/>
    <n v="3456"/>
    <n v="3456"/>
  </r>
  <r>
    <s v="INV0092"/>
    <x v="10"/>
    <x v="0"/>
    <x v="19"/>
    <n v="48000"/>
    <n v="9"/>
    <n v="432000"/>
    <x v="2"/>
    <n v="57600"/>
    <n v="518400"/>
  </r>
  <r>
    <s v="INV0093"/>
    <x v="10"/>
    <x v="3"/>
    <x v="29"/>
    <n v="6900"/>
    <n v="10"/>
    <n v="69000"/>
    <x v="0"/>
    <n v="8280"/>
    <n v="82800"/>
  </r>
  <r>
    <s v="INV0094"/>
    <x v="10"/>
    <x v="3"/>
    <x v="21"/>
    <n v="1700"/>
    <n v="5"/>
    <n v="8500"/>
    <x v="2"/>
    <n v="2040"/>
    <n v="10200"/>
  </r>
  <r>
    <s v="INV0095"/>
    <x v="10"/>
    <x v="1"/>
    <x v="1"/>
    <n v="400"/>
    <n v="5"/>
    <n v="2000"/>
    <x v="1"/>
    <n v="480"/>
    <n v="2400"/>
  </r>
  <r>
    <s v="INV0096"/>
    <x v="10"/>
    <x v="0"/>
    <x v="9"/>
    <n v="500"/>
    <n v="10"/>
    <n v="5000"/>
    <x v="1"/>
    <n v="600"/>
    <n v="6000"/>
  </r>
  <r>
    <s v="INV0097"/>
    <x v="10"/>
    <x v="0"/>
    <x v="0"/>
    <n v="60000"/>
    <n v="3"/>
    <n v="180000"/>
    <x v="1"/>
    <n v="72000"/>
    <n v="216000"/>
  </r>
  <r>
    <s v="INV3910"/>
    <x v="10"/>
    <x v="0"/>
    <x v="24"/>
    <n v="1900"/>
    <n v="5"/>
    <n v="9500"/>
    <x v="1"/>
    <n v="2280"/>
    <n v="11400"/>
  </r>
  <r>
    <s v="INV4173"/>
    <x v="10"/>
    <x v="5"/>
    <x v="18"/>
    <n v="15000"/>
    <n v="2"/>
    <n v="30000"/>
    <x v="2"/>
    <n v="18000"/>
    <n v="36000"/>
  </r>
  <r>
    <s v="INV4187"/>
    <x v="10"/>
    <x v="8"/>
    <x v="38"/>
    <n v="2000"/>
    <n v="1"/>
    <n v="2000"/>
    <x v="0"/>
    <n v="2400"/>
    <n v="2400"/>
  </r>
  <r>
    <s v="INV4188"/>
    <x v="10"/>
    <x v="0"/>
    <x v="41"/>
    <n v="50000"/>
    <n v="9"/>
    <n v="450000"/>
    <x v="2"/>
    <n v="60000"/>
    <n v="540000"/>
  </r>
  <r>
    <s v="INV4328"/>
    <x v="10"/>
    <x v="5"/>
    <x v="25"/>
    <n v="3000"/>
    <n v="4"/>
    <n v="12000"/>
    <x v="1"/>
    <n v="3600"/>
    <n v="14400"/>
  </r>
  <r>
    <s v="INV4354"/>
    <x v="10"/>
    <x v="0"/>
    <x v="43"/>
    <n v="62000"/>
    <n v="5"/>
    <n v="310000"/>
    <x v="2"/>
    <n v="74400"/>
    <n v="372000"/>
  </r>
  <r>
    <s v="INV4627"/>
    <x v="10"/>
    <x v="0"/>
    <x v="0"/>
    <n v="60000"/>
    <n v="6"/>
    <n v="360000"/>
    <x v="0"/>
    <n v="72000"/>
    <n v="432000"/>
  </r>
  <r>
    <s v="INV4671"/>
    <x v="10"/>
    <x v="0"/>
    <x v="41"/>
    <n v="50000"/>
    <n v="7"/>
    <n v="350000"/>
    <x v="1"/>
    <n v="60000"/>
    <n v="420000"/>
  </r>
  <r>
    <s v="INV4705"/>
    <x v="10"/>
    <x v="3"/>
    <x v="42"/>
    <n v="500"/>
    <n v="6"/>
    <n v="3000"/>
    <x v="1"/>
    <n v="600"/>
    <n v="3600"/>
  </r>
  <r>
    <s v="INV0098"/>
    <x v="11"/>
    <x v="0"/>
    <x v="19"/>
    <n v="48000"/>
    <n v="4"/>
    <n v="192000"/>
    <x v="1"/>
    <n v="57600"/>
    <n v="230400"/>
  </r>
  <r>
    <s v="INV0099"/>
    <x v="11"/>
    <x v="1"/>
    <x v="1"/>
    <n v="400"/>
    <n v="1"/>
    <n v="400"/>
    <x v="2"/>
    <n v="480"/>
    <n v="480"/>
  </r>
  <r>
    <s v="INV0100"/>
    <x v="11"/>
    <x v="0"/>
    <x v="0"/>
    <n v="60000"/>
    <n v="2"/>
    <n v="120000"/>
    <x v="2"/>
    <n v="72000"/>
    <n v="144000"/>
  </r>
  <r>
    <s v="INV0101"/>
    <x v="11"/>
    <x v="0"/>
    <x v="22"/>
    <n v="6000"/>
    <n v="7"/>
    <n v="42000"/>
    <x v="1"/>
    <n v="7200"/>
    <n v="50400"/>
  </r>
  <r>
    <s v="INV0102"/>
    <x v="11"/>
    <x v="3"/>
    <x v="29"/>
    <n v="6900"/>
    <n v="1"/>
    <n v="6900"/>
    <x v="0"/>
    <n v="8280"/>
    <n v="8280"/>
  </r>
  <r>
    <s v="INV3123"/>
    <x v="11"/>
    <x v="0"/>
    <x v="9"/>
    <n v="500"/>
    <n v="4"/>
    <n v="2000"/>
    <x v="1"/>
    <n v="600"/>
    <n v="2400"/>
  </r>
  <r>
    <s v="INV3341"/>
    <x v="11"/>
    <x v="3"/>
    <x v="21"/>
    <n v="1700"/>
    <n v="6"/>
    <n v="10200"/>
    <x v="2"/>
    <n v="2040"/>
    <n v="12240"/>
  </r>
  <r>
    <s v="INV3520"/>
    <x v="11"/>
    <x v="0"/>
    <x v="19"/>
    <n v="48000"/>
    <n v="9"/>
    <n v="432000"/>
    <x v="1"/>
    <n v="57600"/>
    <n v="518400"/>
  </r>
  <r>
    <s v="INV4025"/>
    <x v="11"/>
    <x v="8"/>
    <x v="38"/>
    <n v="2000"/>
    <n v="9"/>
    <n v="18000"/>
    <x v="2"/>
    <n v="2400"/>
    <n v="21600"/>
  </r>
  <r>
    <s v="INV4053"/>
    <x v="11"/>
    <x v="6"/>
    <x v="47"/>
    <n v="12000"/>
    <n v="10"/>
    <n v="120000"/>
    <x v="0"/>
    <n v="14400"/>
    <n v="144000"/>
  </r>
  <r>
    <s v="INV4069"/>
    <x v="11"/>
    <x v="5"/>
    <x v="40"/>
    <n v="13000"/>
    <n v="7"/>
    <n v="91000"/>
    <x v="2"/>
    <n v="15600"/>
    <n v="109200"/>
  </r>
  <r>
    <s v="INV4366"/>
    <x v="11"/>
    <x v="7"/>
    <x v="37"/>
    <n v="2000"/>
    <n v="2"/>
    <n v="4000"/>
    <x v="0"/>
    <n v="2400"/>
    <n v="4800"/>
  </r>
  <r>
    <s v="INV4396"/>
    <x v="11"/>
    <x v="7"/>
    <x v="34"/>
    <n v="2000"/>
    <n v="1"/>
    <n v="2000"/>
    <x v="2"/>
    <n v="2400"/>
    <n v="2400"/>
  </r>
  <r>
    <s v="INV4494"/>
    <x v="11"/>
    <x v="8"/>
    <x v="26"/>
    <n v="8000"/>
    <n v="10"/>
    <n v="80000"/>
    <x v="2"/>
    <n v="9600"/>
    <n v="96000"/>
  </r>
  <r>
    <s v="INV4571"/>
    <x v="11"/>
    <x v="8"/>
    <x v="38"/>
    <n v="2000"/>
    <n v="10"/>
    <n v="20000"/>
    <x v="0"/>
    <n v="2400"/>
    <n v="24000"/>
  </r>
  <r>
    <s v="INV4647"/>
    <x v="11"/>
    <x v="3"/>
    <x v="46"/>
    <n v="1950"/>
    <n v="10"/>
    <n v="19500"/>
    <x v="0"/>
    <n v="2340"/>
    <n v="23400"/>
  </r>
  <r>
    <s v="INV4686"/>
    <x v="11"/>
    <x v="6"/>
    <x v="47"/>
    <n v="12000"/>
    <n v="8"/>
    <n v="96000"/>
    <x v="0"/>
    <n v="14400"/>
    <n v="115200"/>
  </r>
  <r>
    <s v="INV4748"/>
    <x v="11"/>
    <x v="5"/>
    <x v="11"/>
    <n v="400"/>
    <n v="6"/>
    <n v="2400"/>
    <x v="1"/>
    <n v="480"/>
    <n v="2880"/>
  </r>
  <r>
    <s v="INV4811"/>
    <x v="11"/>
    <x v="3"/>
    <x v="29"/>
    <n v="6900"/>
    <n v="7"/>
    <n v="48300"/>
    <x v="0"/>
    <n v="8280"/>
    <n v="57960"/>
  </r>
  <r>
    <s v="INV0103"/>
    <x v="12"/>
    <x v="0"/>
    <x v="0"/>
    <n v="60000"/>
    <n v="1"/>
    <n v="60000"/>
    <x v="1"/>
    <n v="72000"/>
    <n v="72000"/>
  </r>
  <r>
    <s v="INV0104"/>
    <x v="12"/>
    <x v="3"/>
    <x v="21"/>
    <n v="1700"/>
    <n v="8"/>
    <n v="13600"/>
    <x v="1"/>
    <n v="2040"/>
    <n v="16320"/>
  </r>
  <r>
    <s v="INV0105"/>
    <x v="12"/>
    <x v="3"/>
    <x v="4"/>
    <n v="1200"/>
    <n v="4"/>
    <n v="4800"/>
    <x v="1"/>
    <n v="1440"/>
    <n v="5760"/>
  </r>
  <r>
    <s v="INV0106"/>
    <x v="12"/>
    <x v="3"/>
    <x v="4"/>
    <n v="1200"/>
    <n v="6"/>
    <n v="7200"/>
    <x v="2"/>
    <n v="1440"/>
    <n v="8640"/>
  </r>
  <r>
    <s v="INV0107"/>
    <x v="12"/>
    <x v="1"/>
    <x v="1"/>
    <n v="400"/>
    <n v="9"/>
    <n v="3600"/>
    <x v="1"/>
    <n v="480"/>
    <n v="4320"/>
  </r>
  <r>
    <s v="INV0108"/>
    <x v="12"/>
    <x v="0"/>
    <x v="22"/>
    <n v="6000"/>
    <n v="1"/>
    <n v="6000"/>
    <x v="2"/>
    <n v="7200"/>
    <n v="7200"/>
  </r>
  <r>
    <s v="INV0109"/>
    <x v="12"/>
    <x v="3"/>
    <x v="29"/>
    <n v="6900"/>
    <n v="10"/>
    <n v="69000"/>
    <x v="0"/>
    <n v="8280"/>
    <n v="82800"/>
  </r>
  <r>
    <s v="INV0110"/>
    <x v="12"/>
    <x v="2"/>
    <x v="30"/>
    <n v="2880"/>
    <n v="10"/>
    <n v="28800"/>
    <x v="2"/>
    <n v="3456"/>
    <n v="34560"/>
  </r>
  <r>
    <s v="INV3352"/>
    <x v="12"/>
    <x v="4"/>
    <x v="10"/>
    <n v="9100"/>
    <n v="4"/>
    <n v="36400"/>
    <x v="1"/>
    <n v="10920"/>
    <n v="43680"/>
  </r>
  <r>
    <s v="INV3754"/>
    <x v="12"/>
    <x v="3"/>
    <x v="21"/>
    <n v="1700"/>
    <n v="7"/>
    <n v="11900"/>
    <x v="1"/>
    <n v="2040"/>
    <n v="14280"/>
  </r>
  <r>
    <s v="INV3816"/>
    <x v="12"/>
    <x v="0"/>
    <x v="23"/>
    <n v="600"/>
    <n v="8"/>
    <n v="4800"/>
    <x v="1"/>
    <n v="720"/>
    <n v="5760"/>
  </r>
  <r>
    <s v="INV3944"/>
    <x v="12"/>
    <x v="4"/>
    <x v="45"/>
    <n v="120"/>
    <n v="9"/>
    <n v="1080"/>
    <x v="0"/>
    <n v="144"/>
    <n v="1296"/>
  </r>
  <r>
    <s v="INV4023"/>
    <x v="12"/>
    <x v="6"/>
    <x v="15"/>
    <n v="500"/>
    <n v="10"/>
    <n v="5000"/>
    <x v="1"/>
    <n v="600"/>
    <n v="6000"/>
  </r>
  <r>
    <s v="INV4143"/>
    <x v="12"/>
    <x v="8"/>
    <x v="44"/>
    <n v="12000"/>
    <n v="1"/>
    <n v="12000"/>
    <x v="1"/>
    <n v="14400"/>
    <n v="14400"/>
  </r>
  <r>
    <s v="INV4380"/>
    <x v="12"/>
    <x v="6"/>
    <x v="47"/>
    <n v="12000"/>
    <n v="6"/>
    <n v="72000"/>
    <x v="2"/>
    <n v="14400"/>
    <n v="86400"/>
  </r>
  <r>
    <s v="INV4475"/>
    <x v="12"/>
    <x v="8"/>
    <x v="17"/>
    <n v="15000"/>
    <n v="2"/>
    <n v="30000"/>
    <x v="2"/>
    <n v="18000"/>
    <n v="36000"/>
  </r>
  <r>
    <s v="INV4521"/>
    <x v="12"/>
    <x v="0"/>
    <x v="0"/>
    <n v="60000"/>
    <n v="2"/>
    <n v="120000"/>
    <x v="1"/>
    <n v="72000"/>
    <n v="144000"/>
  </r>
  <r>
    <s v="INV4564"/>
    <x v="12"/>
    <x v="5"/>
    <x v="18"/>
    <n v="15000"/>
    <n v="6"/>
    <n v="90000"/>
    <x v="2"/>
    <n v="18000"/>
    <n v="108000"/>
  </r>
  <r>
    <s v="INV4833"/>
    <x v="12"/>
    <x v="5"/>
    <x v="14"/>
    <n v="2800"/>
    <n v="7"/>
    <n v="19600"/>
    <x v="1"/>
    <n v="3360"/>
    <n v="23520"/>
  </r>
  <r>
    <s v="INV4875"/>
    <x v="12"/>
    <x v="7"/>
    <x v="37"/>
    <n v="2000"/>
    <n v="9"/>
    <n v="18000"/>
    <x v="2"/>
    <n v="2400"/>
    <n v="21600"/>
  </r>
  <r>
    <s v="INV4901"/>
    <x v="12"/>
    <x v="0"/>
    <x v="19"/>
    <n v="48000"/>
    <n v="4"/>
    <n v="192000"/>
    <x v="1"/>
    <n v="57600"/>
    <n v="230400"/>
  </r>
  <r>
    <s v="INV4915"/>
    <x v="12"/>
    <x v="3"/>
    <x v="12"/>
    <n v="2500"/>
    <n v="3"/>
    <n v="7500"/>
    <x v="2"/>
    <n v="3000"/>
    <n v="9000"/>
  </r>
  <r>
    <s v="INV0111"/>
    <x v="13"/>
    <x v="0"/>
    <x v="0"/>
    <n v="60000"/>
    <n v="1"/>
    <n v="60000"/>
    <x v="1"/>
    <n v="72000"/>
    <n v="72000"/>
  </r>
  <r>
    <s v="INV0112"/>
    <x v="13"/>
    <x v="2"/>
    <x v="39"/>
    <n v="1750"/>
    <n v="8"/>
    <n v="14000"/>
    <x v="1"/>
    <n v="2100"/>
    <n v="16800"/>
  </r>
  <r>
    <s v="INV0113"/>
    <x v="13"/>
    <x v="1"/>
    <x v="7"/>
    <n v="5200"/>
    <n v="4"/>
    <n v="20800"/>
    <x v="0"/>
    <n v="6240"/>
    <n v="24960"/>
  </r>
  <r>
    <s v="INV0114"/>
    <x v="13"/>
    <x v="3"/>
    <x v="4"/>
    <n v="1200"/>
    <n v="2"/>
    <n v="2400"/>
    <x v="2"/>
    <n v="1440"/>
    <n v="2880"/>
  </r>
  <r>
    <s v="INV0115"/>
    <x v="13"/>
    <x v="0"/>
    <x v="9"/>
    <n v="500"/>
    <n v="3"/>
    <n v="1500"/>
    <x v="1"/>
    <n v="600"/>
    <n v="1800"/>
  </r>
  <r>
    <s v="INV2774"/>
    <x v="13"/>
    <x v="0"/>
    <x v="23"/>
    <n v="600"/>
    <n v="2"/>
    <n v="1200"/>
    <x v="0"/>
    <n v="720"/>
    <n v="1440"/>
  </r>
  <r>
    <s v="INV2862"/>
    <x v="13"/>
    <x v="0"/>
    <x v="9"/>
    <n v="500"/>
    <n v="2"/>
    <n v="1000"/>
    <x v="1"/>
    <n v="600"/>
    <n v="1200"/>
  </r>
  <r>
    <s v="INV2916"/>
    <x v="13"/>
    <x v="0"/>
    <x v="31"/>
    <n v="3600"/>
    <n v="9"/>
    <n v="32400"/>
    <x v="0"/>
    <n v="4320"/>
    <n v="38880"/>
  </r>
  <r>
    <s v="INV3085"/>
    <x v="13"/>
    <x v="0"/>
    <x v="24"/>
    <n v="1900"/>
    <n v="10"/>
    <n v="19000"/>
    <x v="2"/>
    <n v="2280"/>
    <n v="22800"/>
  </r>
  <r>
    <s v="INV3297"/>
    <x v="13"/>
    <x v="0"/>
    <x v="9"/>
    <n v="500"/>
    <n v="2"/>
    <n v="1000"/>
    <x v="1"/>
    <n v="600"/>
    <n v="1200"/>
  </r>
  <r>
    <s v="INV4150"/>
    <x v="13"/>
    <x v="6"/>
    <x v="15"/>
    <n v="500"/>
    <n v="7"/>
    <n v="3500"/>
    <x v="2"/>
    <n v="600"/>
    <n v="4200"/>
  </r>
  <r>
    <s v="INV4197"/>
    <x v="13"/>
    <x v="0"/>
    <x v="0"/>
    <n v="60000"/>
    <n v="7"/>
    <n v="420000"/>
    <x v="1"/>
    <n v="72000"/>
    <n v="504000"/>
  </r>
  <r>
    <s v="INV4323"/>
    <x v="13"/>
    <x v="8"/>
    <x v="17"/>
    <n v="15000"/>
    <n v="5"/>
    <n v="75000"/>
    <x v="2"/>
    <n v="18000"/>
    <n v="90000"/>
  </r>
  <r>
    <s v="INV4330"/>
    <x v="13"/>
    <x v="0"/>
    <x v="43"/>
    <n v="62000"/>
    <n v="5"/>
    <n v="310000"/>
    <x v="1"/>
    <n v="74400"/>
    <n v="372000"/>
  </r>
  <r>
    <s v="INV4525"/>
    <x v="13"/>
    <x v="0"/>
    <x v="41"/>
    <n v="50000"/>
    <n v="4"/>
    <n v="200000"/>
    <x v="2"/>
    <n v="60000"/>
    <n v="240000"/>
  </r>
  <r>
    <s v="INV4531"/>
    <x v="13"/>
    <x v="8"/>
    <x v="38"/>
    <n v="2000"/>
    <n v="4"/>
    <n v="8000"/>
    <x v="1"/>
    <n v="2400"/>
    <n v="9600"/>
  </r>
  <r>
    <s v="INV4618"/>
    <x v="13"/>
    <x v="8"/>
    <x v="28"/>
    <n v="10000"/>
    <n v="10"/>
    <n v="100000"/>
    <x v="1"/>
    <n v="12000"/>
    <n v="120000"/>
  </r>
  <r>
    <s v="INV4629"/>
    <x v="13"/>
    <x v="5"/>
    <x v="25"/>
    <n v="3000"/>
    <n v="1"/>
    <n v="3000"/>
    <x v="1"/>
    <n v="3600"/>
    <n v="3600"/>
  </r>
  <r>
    <s v="INV4689"/>
    <x v="13"/>
    <x v="0"/>
    <x v="43"/>
    <n v="62000"/>
    <n v="1"/>
    <n v="62000"/>
    <x v="2"/>
    <n v="74400"/>
    <n v="74400"/>
  </r>
  <r>
    <s v="INV4736"/>
    <x v="13"/>
    <x v="7"/>
    <x v="37"/>
    <n v="2000"/>
    <n v="3"/>
    <n v="6000"/>
    <x v="2"/>
    <n v="2400"/>
    <n v="7200"/>
  </r>
  <r>
    <s v="INV4756"/>
    <x v="13"/>
    <x v="7"/>
    <x v="32"/>
    <n v="1000"/>
    <n v="1"/>
    <n v="1000"/>
    <x v="1"/>
    <n v="1200"/>
    <n v="1200"/>
  </r>
  <r>
    <s v="INV4800"/>
    <x v="13"/>
    <x v="7"/>
    <x v="34"/>
    <n v="2000"/>
    <n v="7"/>
    <n v="14000"/>
    <x v="0"/>
    <n v="2400"/>
    <n v="16800"/>
  </r>
  <r>
    <s v="INV4848"/>
    <x v="13"/>
    <x v="6"/>
    <x v="47"/>
    <n v="12000"/>
    <n v="9"/>
    <n v="108000"/>
    <x v="2"/>
    <n v="14400"/>
    <n v="129600"/>
  </r>
  <r>
    <s v="INV0116"/>
    <x v="14"/>
    <x v="3"/>
    <x v="21"/>
    <n v="1700"/>
    <n v="6"/>
    <n v="10200"/>
    <x v="2"/>
    <n v="2040"/>
    <n v="12240"/>
  </r>
  <r>
    <s v="INV0117"/>
    <x v="14"/>
    <x v="0"/>
    <x v="19"/>
    <n v="48000"/>
    <n v="8"/>
    <n v="384000"/>
    <x v="2"/>
    <n v="57600"/>
    <n v="460800"/>
  </r>
  <r>
    <s v="INV0118"/>
    <x v="14"/>
    <x v="3"/>
    <x v="4"/>
    <n v="1200"/>
    <n v="8"/>
    <n v="9600"/>
    <x v="0"/>
    <n v="1440"/>
    <n v="11520"/>
  </r>
  <r>
    <s v="INV0119"/>
    <x v="14"/>
    <x v="1"/>
    <x v="1"/>
    <n v="400"/>
    <n v="2"/>
    <n v="800"/>
    <x v="0"/>
    <n v="480"/>
    <n v="960"/>
  </r>
  <r>
    <s v="INV0120"/>
    <x v="14"/>
    <x v="2"/>
    <x v="39"/>
    <n v="1750"/>
    <n v="2"/>
    <n v="3500"/>
    <x v="2"/>
    <n v="2100"/>
    <n v="4200"/>
  </r>
  <r>
    <s v="INV0121"/>
    <x v="14"/>
    <x v="0"/>
    <x v="9"/>
    <n v="500"/>
    <n v="3"/>
    <n v="1500"/>
    <x v="0"/>
    <n v="600"/>
    <n v="1800"/>
  </r>
  <r>
    <s v="INV0122"/>
    <x v="14"/>
    <x v="3"/>
    <x v="21"/>
    <n v="1700"/>
    <n v="7"/>
    <n v="11900"/>
    <x v="0"/>
    <n v="2040"/>
    <n v="14280"/>
  </r>
  <r>
    <s v="INV3187"/>
    <x v="14"/>
    <x v="3"/>
    <x v="3"/>
    <n v="800"/>
    <n v="6"/>
    <n v="4800"/>
    <x v="0"/>
    <n v="960"/>
    <n v="5760"/>
  </r>
  <r>
    <s v="INV3441"/>
    <x v="14"/>
    <x v="0"/>
    <x v="19"/>
    <n v="48000"/>
    <n v="8"/>
    <n v="384000"/>
    <x v="2"/>
    <n v="57600"/>
    <n v="460800"/>
  </r>
  <r>
    <s v="INV3538"/>
    <x v="14"/>
    <x v="3"/>
    <x v="21"/>
    <n v="1700"/>
    <n v="3"/>
    <n v="5100"/>
    <x v="2"/>
    <n v="2040"/>
    <n v="6120"/>
  </r>
  <r>
    <s v="INV3963"/>
    <x v="14"/>
    <x v="5"/>
    <x v="14"/>
    <n v="2800"/>
    <n v="6"/>
    <n v="16800"/>
    <x v="2"/>
    <n v="3360"/>
    <n v="20160"/>
  </r>
  <r>
    <s v="INV3985"/>
    <x v="14"/>
    <x v="6"/>
    <x v="36"/>
    <n v="1000"/>
    <n v="9"/>
    <n v="9000"/>
    <x v="2"/>
    <n v="1200"/>
    <n v="10800"/>
  </r>
  <r>
    <s v="INV4139"/>
    <x v="14"/>
    <x v="8"/>
    <x v="44"/>
    <n v="12000"/>
    <n v="2"/>
    <n v="24000"/>
    <x v="1"/>
    <n v="14400"/>
    <n v="28800"/>
  </r>
  <r>
    <s v="INV4388"/>
    <x v="14"/>
    <x v="0"/>
    <x v="43"/>
    <n v="62000"/>
    <n v="5"/>
    <n v="310000"/>
    <x v="2"/>
    <n v="74400"/>
    <n v="372000"/>
  </r>
  <r>
    <s v="INV4390"/>
    <x v="14"/>
    <x v="3"/>
    <x v="42"/>
    <n v="500"/>
    <n v="9"/>
    <n v="4500"/>
    <x v="2"/>
    <n v="600"/>
    <n v="5400"/>
  </r>
  <r>
    <s v="INV4392"/>
    <x v="14"/>
    <x v="5"/>
    <x v="14"/>
    <n v="2800"/>
    <n v="7"/>
    <n v="19600"/>
    <x v="1"/>
    <n v="3360"/>
    <n v="23520"/>
  </r>
  <r>
    <s v="INV4580"/>
    <x v="14"/>
    <x v="0"/>
    <x v="19"/>
    <n v="48000"/>
    <n v="2"/>
    <n v="96000"/>
    <x v="1"/>
    <n v="57600"/>
    <n v="115200"/>
  </r>
  <r>
    <s v="INV4583"/>
    <x v="14"/>
    <x v="7"/>
    <x v="34"/>
    <n v="2000"/>
    <n v="10"/>
    <n v="20000"/>
    <x v="1"/>
    <n v="2400"/>
    <n v="24000"/>
  </r>
  <r>
    <s v="INV4598"/>
    <x v="14"/>
    <x v="6"/>
    <x v="13"/>
    <n v="8000"/>
    <n v="5"/>
    <n v="40000"/>
    <x v="1"/>
    <n v="9600"/>
    <n v="48000"/>
  </r>
  <r>
    <s v="INV4697"/>
    <x v="14"/>
    <x v="7"/>
    <x v="37"/>
    <n v="2000"/>
    <n v="7"/>
    <n v="14000"/>
    <x v="2"/>
    <n v="2400"/>
    <n v="16800"/>
  </r>
  <r>
    <s v="INV4717"/>
    <x v="14"/>
    <x v="3"/>
    <x v="33"/>
    <n v="4000"/>
    <n v="6"/>
    <n v="24000"/>
    <x v="0"/>
    <n v="4800"/>
    <n v="28800"/>
  </r>
  <r>
    <s v="INV4740"/>
    <x v="14"/>
    <x v="3"/>
    <x v="46"/>
    <n v="1950"/>
    <n v="10"/>
    <n v="19500"/>
    <x v="0"/>
    <n v="2340"/>
    <n v="23400"/>
  </r>
  <r>
    <s v="INV4786"/>
    <x v="14"/>
    <x v="6"/>
    <x v="13"/>
    <n v="8000"/>
    <n v="10"/>
    <n v="80000"/>
    <x v="0"/>
    <n v="9600"/>
    <n v="96000"/>
  </r>
  <r>
    <s v="INV0123"/>
    <x v="15"/>
    <x v="3"/>
    <x v="21"/>
    <n v="1700"/>
    <n v="1"/>
    <n v="1700"/>
    <x v="0"/>
    <n v="2040"/>
    <n v="2040"/>
  </r>
  <r>
    <s v="INV0124"/>
    <x v="15"/>
    <x v="0"/>
    <x v="22"/>
    <n v="6000"/>
    <n v="7"/>
    <n v="42000"/>
    <x v="1"/>
    <n v="7200"/>
    <n v="50400"/>
  </r>
  <r>
    <s v="INV0125"/>
    <x v="15"/>
    <x v="2"/>
    <x v="2"/>
    <n v="2880"/>
    <n v="4"/>
    <n v="11520"/>
    <x v="0"/>
    <n v="3456"/>
    <n v="13824"/>
  </r>
  <r>
    <s v="INV0126"/>
    <x v="15"/>
    <x v="0"/>
    <x v="22"/>
    <n v="6000"/>
    <n v="7"/>
    <n v="42000"/>
    <x v="2"/>
    <n v="7200"/>
    <n v="50400"/>
  </r>
  <r>
    <s v="INV0127"/>
    <x v="15"/>
    <x v="3"/>
    <x v="4"/>
    <n v="1200"/>
    <n v="4"/>
    <n v="4800"/>
    <x v="2"/>
    <n v="1440"/>
    <n v="5760"/>
  </r>
  <r>
    <s v="INV0128"/>
    <x v="15"/>
    <x v="2"/>
    <x v="39"/>
    <n v="1750"/>
    <n v="7"/>
    <n v="12250"/>
    <x v="1"/>
    <n v="2100"/>
    <n v="14700"/>
  </r>
  <r>
    <s v="INV0129"/>
    <x v="15"/>
    <x v="1"/>
    <x v="7"/>
    <n v="5200"/>
    <n v="10"/>
    <n v="52000"/>
    <x v="2"/>
    <n v="6240"/>
    <n v="62400"/>
  </r>
  <r>
    <s v="INV2810"/>
    <x v="15"/>
    <x v="4"/>
    <x v="45"/>
    <n v="120"/>
    <n v="9"/>
    <n v="1080"/>
    <x v="1"/>
    <n v="144"/>
    <n v="1296"/>
  </r>
  <r>
    <s v="INV3276"/>
    <x v="15"/>
    <x v="0"/>
    <x v="9"/>
    <n v="500"/>
    <n v="8"/>
    <n v="4000"/>
    <x v="1"/>
    <n v="600"/>
    <n v="4800"/>
  </r>
  <r>
    <s v="INV3374"/>
    <x v="15"/>
    <x v="0"/>
    <x v="23"/>
    <n v="600"/>
    <n v="3"/>
    <n v="1800"/>
    <x v="1"/>
    <n v="720"/>
    <n v="2160"/>
  </r>
  <r>
    <s v="INV3444"/>
    <x v="15"/>
    <x v="3"/>
    <x v="3"/>
    <n v="800"/>
    <n v="7"/>
    <n v="5600"/>
    <x v="2"/>
    <n v="960"/>
    <n v="6720"/>
  </r>
  <r>
    <s v="INV3685"/>
    <x v="15"/>
    <x v="4"/>
    <x v="10"/>
    <n v="9100"/>
    <n v="6"/>
    <n v="54600"/>
    <x v="1"/>
    <n v="10920"/>
    <n v="65520"/>
  </r>
  <r>
    <s v="INV4065"/>
    <x v="15"/>
    <x v="8"/>
    <x v="17"/>
    <n v="15000"/>
    <n v="1"/>
    <n v="15000"/>
    <x v="2"/>
    <n v="18000"/>
    <n v="18000"/>
  </r>
  <r>
    <s v="INV4114"/>
    <x v="15"/>
    <x v="3"/>
    <x v="42"/>
    <n v="500"/>
    <n v="10"/>
    <n v="5000"/>
    <x v="0"/>
    <n v="600"/>
    <n v="6000"/>
  </r>
  <r>
    <s v="INV4159"/>
    <x v="15"/>
    <x v="0"/>
    <x v="20"/>
    <n v="35000"/>
    <n v="9"/>
    <n v="315000"/>
    <x v="0"/>
    <n v="42000"/>
    <n v="378000"/>
  </r>
  <r>
    <s v="INV4458"/>
    <x v="15"/>
    <x v="5"/>
    <x v="40"/>
    <n v="13000"/>
    <n v="7"/>
    <n v="91000"/>
    <x v="0"/>
    <n v="15600"/>
    <n v="109200"/>
  </r>
  <r>
    <s v="INV4474"/>
    <x v="15"/>
    <x v="8"/>
    <x v="17"/>
    <n v="15000"/>
    <n v="4"/>
    <n v="60000"/>
    <x v="0"/>
    <n v="18000"/>
    <n v="72000"/>
  </r>
  <r>
    <s v="INV4596"/>
    <x v="15"/>
    <x v="5"/>
    <x v="40"/>
    <n v="13000"/>
    <n v="2"/>
    <n v="26000"/>
    <x v="1"/>
    <n v="15600"/>
    <n v="31200"/>
  </r>
  <r>
    <s v="INV4609"/>
    <x v="15"/>
    <x v="5"/>
    <x v="40"/>
    <n v="13000"/>
    <n v="7"/>
    <n v="91000"/>
    <x v="1"/>
    <n v="15600"/>
    <n v="109200"/>
  </r>
  <r>
    <s v="INV4635"/>
    <x v="15"/>
    <x v="3"/>
    <x v="29"/>
    <n v="6900"/>
    <n v="10"/>
    <n v="69000"/>
    <x v="2"/>
    <n v="8280"/>
    <n v="82800"/>
  </r>
  <r>
    <s v="INV4642"/>
    <x v="15"/>
    <x v="0"/>
    <x v="20"/>
    <n v="35000"/>
    <n v="9"/>
    <n v="315000"/>
    <x v="1"/>
    <n v="42000"/>
    <n v="378000"/>
  </r>
  <r>
    <s v="INV4754"/>
    <x v="15"/>
    <x v="5"/>
    <x v="18"/>
    <n v="15000"/>
    <n v="2"/>
    <n v="30000"/>
    <x v="0"/>
    <n v="18000"/>
    <n v="36000"/>
  </r>
  <r>
    <s v="INV0130"/>
    <x v="16"/>
    <x v="2"/>
    <x v="6"/>
    <n v="2880"/>
    <n v="6"/>
    <n v="17280"/>
    <x v="2"/>
    <n v="3456"/>
    <n v="20736"/>
  </r>
  <r>
    <s v="INV0131"/>
    <x v="16"/>
    <x v="2"/>
    <x v="39"/>
    <n v="1750"/>
    <n v="8"/>
    <n v="14000"/>
    <x v="2"/>
    <n v="2100"/>
    <n v="16800"/>
  </r>
  <r>
    <s v="INV0132"/>
    <x v="16"/>
    <x v="0"/>
    <x v="9"/>
    <n v="500"/>
    <n v="1"/>
    <n v="500"/>
    <x v="0"/>
    <n v="600"/>
    <n v="600"/>
  </r>
  <r>
    <s v="INV0133"/>
    <x v="16"/>
    <x v="3"/>
    <x v="3"/>
    <n v="800"/>
    <n v="4"/>
    <n v="3200"/>
    <x v="2"/>
    <n v="960"/>
    <n v="3840"/>
  </r>
  <r>
    <s v="INV0134"/>
    <x v="16"/>
    <x v="0"/>
    <x v="22"/>
    <n v="6000"/>
    <n v="8"/>
    <n v="48000"/>
    <x v="2"/>
    <n v="7200"/>
    <n v="57600"/>
  </r>
  <r>
    <s v="INV0135"/>
    <x v="16"/>
    <x v="3"/>
    <x v="4"/>
    <n v="1200"/>
    <n v="3"/>
    <n v="3600"/>
    <x v="2"/>
    <n v="1440"/>
    <n v="4320"/>
  </r>
  <r>
    <s v="INV0136"/>
    <x v="16"/>
    <x v="2"/>
    <x v="2"/>
    <n v="2880"/>
    <n v="7"/>
    <n v="20160"/>
    <x v="2"/>
    <n v="3456"/>
    <n v="24192"/>
  </r>
  <r>
    <s v="INV0137"/>
    <x v="16"/>
    <x v="2"/>
    <x v="30"/>
    <n v="2880"/>
    <n v="7"/>
    <n v="20160"/>
    <x v="1"/>
    <n v="3456"/>
    <n v="24192"/>
  </r>
  <r>
    <s v="INV0138"/>
    <x v="16"/>
    <x v="2"/>
    <x v="30"/>
    <n v="2880"/>
    <n v="5"/>
    <n v="14400"/>
    <x v="1"/>
    <n v="3456"/>
    <n v="17280"/>
  </r>
  <r>
    <s v="INV2914"/>
    <x v="16"/>
    <x v="0"/>
    <x v="9"/>
    <n v="500"/>
    <n v="5"/>
    <n v="2500"/>
    <x v="2"/>
    <n v="600"/>
    <n v="3000"/>
  </r>
  <r>
    <s v="INV3038"/>
    <x v="16"/>
    <x v="3"/>
    <x v="21"/>
    <n v="1700"/>
    <n v="2"/>
    <n v="3400"/>
    <x v="0"/>
    <n v="2040"/>
    <n v="4080"/>
  </r>
  <r>
    <s v="INV3101"/>
    <x v="16"/>
    <x v="3"/>
    <x v="3"/>
    <n v="800"/>
    <n v="5"/>
    <n v="4000"/>
    <x v="0"/>
    <n v="960"/>
    <n v="4800"/>
  </r>
  <r>
    <s v="INV3270"/>
    <x v="16"/>
    <x v="0"/>
    <x v="24"/>
    <n v="1900"/>
    <n v="3"/>
    <n v="5700"/>
    <x v="0"/>
    <n v="2280"/>
    <n v="6840"/>
  </r>
  <r>
    <s v="INV3550"/>
    <x v="16"/>
    <x v="0"/>
    <x v="31"/>
    <n v="3600"/>
    <n v="9"/>
    <n v="32400"/>
    <x v="0"/>
    <n v="4320"/>
    <n v="38880"/>
  </r>
  <r>
    <s v="INV3739"/>
    <x v="16"/>
    <x v="0"/>
    <x v="19"/>
    <n v="48000"/>
    <n v="10"/>
    <n v="480000"/>
    <x v="2"/>
    <n v="57600"/>
    <n v="576000"/>
  </r>
  <r>
    <s v="INV3988"/>
    <x v="16"/>
    <x v="3"/>
    <x v="42"/>
    <n v="500"/>
    <n v="1"/>
    <n v="500"/>
    <x v="1"/>
    <n v="600"/>
    <n v="600"/>
  </r>
  <r>
    <s v="INV4272"/>
    <x v="16"/>
    <x v="3"/>
    <x v="46"/>
    <n v="1950"/>
    <n v="6"/>
    <n v="11700"/>
    <x v="0"/>
    <n v="2340"/>
    <n v="14040"/>
  </r>
  <r>
    <s v="INV4467"/>
    <x v="16"/>
    <x v="5"/>
    <x v="40"/>
    <n v="13000"/>
    <n v="5"/>
    <n v="65000"/>
    <x v="0"/>
    <n v="15600"/>
    <n v="78000"/>
  </r>
  <r>
    <s v="INV4513"/>
    <x v="16"/>
    <x v="0"/>
    <x v="43"/>
    <n v="62000"/>
    <n v="10"/>
    <n v="620000"/>
    <x v="1"/>
    <n v="74400"/>
    <n v="744000"/>
  </r>
  <r>
    <s v="INV4557"/>
    <x v="16"/>
    <x v="0"/>
    <x v="20"/>
    <n v="35000"/>
    <n v="2"/>
    <n v="70000"/>
    <x v="1"/>
    <n v="42000"/>
    <n v="84000"/>
  </r>
  <r>
    <s v="INV4570"/>
    <x v="16"/>
    <x v="3"/>
    <x v="33"/>
    <n v="4000"/>
    <n v="7"/>
    <n v="28000"/>
    <x v="0"/>
    <n v="4800"/>
    <n v="33600"/>
  </r>
  <r>
    <s v="INV4617"/>
    <x v="16"/>
    <x v="5"/>
    <x v="11"/>
    <n v="400"/>
    <n v="2"/>
    <n v="800"/>
    <x v="0"/>
    <n v="480"/>
    <n v="960"/>
  </r>
  <r>
    <s v="INV4657"/>
    <x v="16"/>
    <x v="5"/>
    <x v="14"/>
    <n v="2800"/>
    <n v="3"/>
    <n v="8400"/>
    <x v="0"/>
    <n v="3360"/>
    <n v="10080"/>
  </r>
  <r>
    <s v="INV4722"/>
    <x v="16"/>
    <x v="0"/>
    <x v="0"/>
    <n v="60000"/>
    <n v="2"/>
    <n v="120000"/>
    <x v="0"/>
    <n v="72000"/>
    <n v="144000"/>
  </r>
  <r>
    <s v="INV4737"/>
    <x v="16"/>
    <x v="5"/>
    <x v="18"/>
    <n v="15000"/>
    <n v="7"/>
    <n v="105000"/>
    <x v="0"/>
    <n v="18000"/>
    <n v="126000"/>
  </r>
  <r>
    <s v="INV4815"/>
    <x v="16"/>
    <x v="7"/>
    <x v="27"/>
    <n v="2500"/>
    <n v="2"/>
    <n v="5000"/>
    <x v="1"/>
    <n v="3000"/>
    <n v="6000"/>
  </r>
  <r>
    <s v="INV0139"/>
    <x v="17"/>
    <x v="1"/>
    <x v="7"/>
    <n v="5200"/>
    <n v="10"/>
    <n v="52000"/>
    <x v="1"/>
    <n v="6240"/>
    <n v="62400"/>
  </r>
  <r>
    <s v="INV0140"/>
    <x v="17"/>
    <x v="2"/>
    <x v="30"/>
    <n v="2880"/>
    <n v="2"/>
    <n v="5760"/>
    <x v="0"/>
    <n v="3456"/>
    <n v="6912"/>
  </r>
  <r>
    <s v="INV0141"/>
    <x v="17"/>
    <x v="1"/>
    <x v="7"/>
    <n v="5200"/>
    <n v="8"/>
    <n v="41600"/>
    <x v="1"/>
    <n v="6240"/>
    <n v="49920"/>
  </r>
  <r>
    <s v="INV0142"/>
    <x v="17"/>
    <x v="3"/>
    <x v="3"/>
    <n v="800"/>
    <n v="5"/>
    <n v="4000"/>
    <x v="1"/>
    <n v="960"/>
    <n v="4800"/>
  </r>
  <r>
    <s v="INV0143"/>
    <x v="17"/>
    <x v="2"/>
    <x v="6"/>
    <n v="2880"/>
    <n v="4"/>
    <n v="11520"/>
    <x v="1"/>
    <n v="3456"/>
    <n v="13824"/>
  </r>
  <r>
    <s v="INV0144"/>
    <x v="17"/>
    <x v="3"/>
    <x v="4"/>
    <n v="1200"/>
    <n v="4"/>
    <n v="4800"/>
    <x v="2"/>
    <n v="1440"/>
    <n v="5760"/>
  </r>
  <r>
    <s v="INV2776"/>
    <x v="17"/>
    <x v="3"/>
    <x v="21"/>
    <n v="1700"/>
    <n v="8"/>
    <n v="13600"/>
    <x v="0"/>
    <n v="2040"/>
    <n v="16320"/>
  </r>
  <r>
    <s v="INV2816"/>
    <x v="17"/>
    <x v="0"/>
    <x v="24"/>
    <n v="1900"/>
    <n v="2"/>
    <n v="3800"/>
    <x v="2"/>
    <n v="2280"/>
    <n v="4560"/>
  </r>
  <r>
    <s v="INV3068"/>
    <x v="17"/>
    <x v="3"/>
    <x v="21"/>
    <n v="1700"/>
    <n v="5"/>
    <n v="8500"/>
    <x v="0"/>
    <n v="2040"/>
    <n v="10200"/>
  </r>
  <r>
    <s v="INV3143"/>
    <x v="17"/>
    <x v="0"/>
    <x v="31"/>
    <n v="3600"/>
    <n v="6"/>
    <n v="21600"/>
    <x v="1"/>
    <n v="4320"/>
    <n v="25920"/>
  </r>
  <r>
    <s v="INV3928"/>
    <x v="17"/>
    <x v="0"/>
    <x v="31"/>
    <n v="3600"/>
    <n v="8"/>
    <n v="28800"/>
    <x v="0"/>
    <n v="4320"/>
    <n v="34560"/>
  </r>
  <r>
    <s v="INV4084"/>
    <x v="17"/>
    <x v="6"/>
    <x v="15"/>
    <n v="500"/>
    <n v="5"/>
    <n v="2500"/>
    <x v="0"/>
    <n v="600"/>
    <n v="3000"/>
  </r>
  <r>
    <s v="INV4122"/>
    <x v="17"/>
    <x v="0"/>
    <x v="19"/>
    <n v="48000"/>
    <n v="8"/>
    <n v="384000"/>
    <x v="1"/>
    <n v="57600"/>
    <n v="460800"/>
  </r>
  <r>
    <s v="INV4269"/>
    <x v="17"/>
    <x v="7"/>
    <x v="27"/>
    <n v="2500"/>
    <n v="1"/>
    <n v="2500"/>
    <x v="2"/>
    <n v="3000"/>
    <n v="3000"/>
  </r>
  <r>
    <s v="INV4593"/>
    <x v="17"/>
    <x v="3"/>
    <x v="33"/>
    <n v="4000"/>
    <n v="9"/>
    <n v="36000"/>
    <x v="1"/>
    <n v="4800"/>
    <n v="43200"/>
  </r>
  <r>
    <s v="INV4605"/>
    <x v="17"/>
    <x v="8"/>
    <x v="17"/>
    <n v="15000"/>
    <n v="3"/>
    <n v="45000"/>
    <x v="1"/>
    <n v="18000"/>
    <n v="54000"/>
  </r>
  <r>
    <s v="INV4667"/>
    <x v="17"/>
    <x v="8"/>
    <x v="38"/>
    <n v="2000"/>
    <n v="6"/>
    <n v="12000"/>
    <x v="1"/>
    <n v="2400"/>
    <n v="14400"/>
  </r>
  <r>
    <s v="INV4669"/>
    <x v="17"/>
    <x v="5"/>
    <x v="14"/>
    <n v="2800"/>
    <n v="9"/>
    <n v="25200"/>
    <x v="2"/>
    <n v="3360"/>
    <n v="30240"/>
  </r>
  <r>
    <s v="INV4821"/>
    <x v="17"/>
    <x v="5"/>
    <x v="18"/>
    <n v="15000"/>
    <n v="6"/>
    <n v="90000"/>
    <x v="2"/>
    <n v="18000"/>
    <n v="108000"/>
  </r>
  <r>
    <s v="INV4844"/>
    <x v="17"/>
    <x v="8"/>
    <x v="17"/>
    <n v="15000"/>
    <n v="7"/>
    <n v="105000"/>
    <x v="1"/>
    <n v="18000"/>
    <n v="126000"/>
  </r>
  <r>
    <s v="INV0145"/>
    <x v="18"/>
    <x v="0"/>
    <x v="22"/>
    <n v="6000"/>
    <n v="4"/>
    <n v="24000"/>
    <x v="1"/>
    <n v="7200"/>
    <n v="28800"/>
  </r>
  <r>
    <s v="INV0146"/>
    <x v="18"/>
    <x v="2"/>
    <x v="30"/>
    <n v="2880"/>
    <n v="4"/>
    <n v="11520"/>
    <x v="1"/>
    <n v="3456"/>
    <n v="13824"/>
  </r>
  <r>
    <s v="INV0147"/>
    <x v="18"/>
    <x v="0"/>
    <x v="9"/>
    <n v="500"/>
    <n v="8"/>
    <n v="4000"/>
    <x v="2"/>
    <n v="600"/>
    <n v="4800"/>
  </r>
  <r>
    <s v="INV0148"/>
    <x v="18"/>
    <x v="1"/>
    <x v="5"/>
    <n v="3000"/>
    <n v="1"/>
    <n v="3000"/>
    <x v="1"/>
    <n v="3600"/>
    <n v="3600"/>
  </r>
  <r>
    <s v="INV0149"/>
    <x v="18"/>
    <x v="0"/>
    <x v="0"/>
    <n v="60000"/>
    <n v="6"/>
    <n v="360000"/>
    <x v="1"/>
    <n v="72000"/>
    <n v="432000"/>
  </r>
  <r>
    <s v="INV2779"/>
    <x v="18"/>
    <x v="4"/>
    <x v="10"/>
    <n v="9100"/>
    <n v="8"/>
    <n v="72800"/>
    <x v="2"/>
    <n v="10920"/>
    <n v="87360"/>
  </r>
  <r>
    <s v="INV2850"/>
    <x v="18"/>
    <x v="4"/>
    <x v="45"/>
    <n v="120"/>
    <n v="3"/>
    <n v="360"/>
    <x v="1"/>
    <n v="144"/>
    <n v="432"/>
  </r>
  <r>
    <s v="INV3353"/>
    <x v="18"/>
    <x v="0"/>
    <x v="23"/>
    <n v="600"/>
    <n v="1"/>
    <n v="600"/>
    <x v="2"/>
    <n v="720"/>
    <n v="720"/>
  </r>
  <r>
    <s v="INV3359"/>
    <x v="18"/>
    <x v="0"/>
    <x v="19"/>
    <n v="48000"/>
    <n v="3"/>
    <n v="144000"/>
    <x v="2"/>
    <n v="57600"/>
    <n v="172800"/>
  </r>
  <r>
    <s v="INV3889"/>
    <x v="18"/>
    <x v="0"/>
    <x v="8"/>
    <n v="3300"/>
    <n v="8"/>
    <n v="26400"/>
    <x v="2"/>
    <n v="3960"/>
    <n v="31680"/>
  </r>
  <r>
    <s v="INV4061"/>
    <x v="18"/>
    <x v="3"/>
    <x v="29"/>
    <n v="6900"/>
    <n v="9"/>
    <n v="62100"/>
    <x v="0"/>
    <n v="8280"/>
    <n v="74520"/>
  </r>
  <r>
    <s v="INV4108"/>
    <x v="18"/>
    <x v="0"/>
    <x v="0"/>
    <n v="60000"/>
    <n v="8"/>
    <n v="480000"/>
    <x v="1"/>
    <n v="72000"/>
    <n v="576000"/>
  </r>
  <r>
    <s v="INV4116"/>
    <x v="18"/>
    <x v="0"/>
    <x v="20"/>
    <n v="35000"/>
    <n v="6"/>
    <n v="210000"/>
    <x v="1"/>
    <n v="42000"/>
    <n v="252000"/>
  </r>
  <r>
    <s v="INV4121"/>
    <x v="18"/>
    <x v="6"/>
    <x v="35"/>
    <n v="2000"/>
    <n v="6"/>
    <n v="12000"/>
    <x v="2"/>
    <n v="2400"/>
    <n v="14400"/>
  </r>
  <r>
    <s v="INV4247"/>
    <x v="18"/>
    <x v="3"/>
    <x v="29"/>
    <n v="6900"/>
    <n v="1"/>
    <n v="6900"/>
    <x v="1"/>
    <n v="8280"/>
    <n v="8280"/>
  </r>
  <r>
    <s v="INV4353"/>
    <x v="18"/>
    <x v="5"/>
    <x v="11"/>
    <n v="400"/>
    <n v="4"/>
    <n v="1600"/>
    <x v="2"/>
    <n v="480"/>
    <n v="1920"/>
  </r>
  <r>
    <s v="INV4532"/>
    <x v="18"/>
    <x v="5"/>
    <x v="25"/>
    <n v="3000"/>
    <n v="3"/>
    <n v="9000"/>
    <x v="2"/>
    <n v="3600"/>
    <n v="10800"/>
  </r>
  <r>
    <s v="INV4561"/>
    <x v="18"/>
    <x v="5"/>
    <x v="14"/>
    <n v="2800"/>
    <n v="1"/>
    <n v="2800"/>
    <x v="2"/>
    <n v="3360"/>
    <n v="3360"/>
  </r>
  <r>
    <s v="INV4578"/>
    <x v="18"/>
    <x v="5"/>
    <x v="25"/>
    <n v="3000"/>
    <n v="10"/>
    <n v="30000"/>
    <x v="1"/>
    <n v="3600"/>
    <n v="36000"/>
  </r>
  <r>
    <s v="INV4665"/>
    <x v="18"/>
    <x v="6"/>
    <x v="36"/>
    <n v="1000"/>
    <n v="3"/>
    <n v="3000"/>
    <x v="1"/>
    <n v="1200"/>
    <n v="3600"/>
  </r>
  <r>
    <s v="INV4765"/>
    <x v="18"/>
    <x v="0"/>
    <x v="43"/>
    <n v="62000"/>
    <n v="8"/>
    <n v="496000"/>
    <x v="2"/>
    <n v="74400"/>
    <n v="595200"/>
  </r>
  <r>
    <s v="INV4797"/>
    <x v="18"/>
    <x v="8"/>
    <x v="44"/>
    <n v="12000"/>
    <n v="6"/>
    <n v="72000"/>
    <x v="0"/>
    <n v="14400"/>
    <n v="86400"/>
  </r>
  <r>
    <s v="INV4827"/>
    <x v="18"/>
    <x v="6"/>
    <x v="15"/>
    <n v="500"/>
    <n v="8"/>
    <n v="4000"/>
    <x v="1"/>
    <n v="600"/>
    <n v="4800"/>
  </r>
  <r>
    <s v="INV4859"/>
    <x v="18"/>
    <x v="6"/>
    <x v="13"/>
    <n v="8000"/>
    <n v="4"/>
    <n v="32000"/>
    <x v="0"/>
    <n v="9600"/>
    <n v="38400"/>
  </r>
  <r>
    <s v="INV4890"/>
    <x v="18"/>
    <x v="3"/>
    <x v="29"/>
    <n v="6900"/>
    <n v="10"/>
    <n v="69000"/>
    <x v="1"/>
    <n v="8280"/>
    <n v="82800"/>
  </r>
  <r>
    <s v="INV4928"/>
    <x v="18"/>
    <x v="0"/>
    <x v="19"/>
    <n v="48000"/>
    <n v="4"/>
    <n v="192000"/>
    <x v="0"/>
    <n v="57600"/>
    <n v="230400"/>
  </r>
  <r>
    <s v="INV0150"/>
    <x v="19"/>
    <x v="0"/>
    <x v="9"/>
    <n v="500"/>
    <n v="4"/>
    <n v="2000"/>
    <x v="2"/>
    <n v="600"/>
    <n v="2400"/>
  </r>
  <r>
    <s v="INV0151"/>
    <x v="19"/>
    <x v="0"/>
    <x v="9"/>
    <n v="500"/>
    <n v="10"/>
    <n v="5000"/>
    <x v="1"/>
    <n v="600"/>
    <n v="6000"/>
  </r>
  <r>
    <s v="INV0152"/>
    <x v="19"/>
    <x v="3"/>
    <x v="3"/>
    <n v="800"/>
    <n v="10"/>
    <n v="8000"/>
    <x v="1"/>
    <n v="960"/>
    <n v="9600"/>
  </r>
  <r>
    <s v="INV0153"/>
    <x v="19"/>
    <x v="2"/>
    <x v="2"/>
    <n v="2880"/>
    <n v="8"/>
    <n v="23040"/>
    <x v="0"/>
    <n v="3456"/>
    <n v="27648"/>
  </r>
  <r>
    <s v="INV0154"/>
    <x v="19"/>
    <x v="3"/>
    <x v="21"/>
    <n v="1700"/>
    <n v="9"/>
    <n v="15300"/>
    <x v="1"/>
    <n v="2040"/>
    <n v="18360"/>
  </r>
  <r>
    <s v="INV0155"/>
    <x v="19"/>
    <x v="2"/>
    <x v="30"/>
    <n v="2880"/>
    <n v="3"/>
    <n v="8640"/>
    <x v="2"/>
    <n v="3456"/>
    <n v="10368"/>
  </r>
  <r>
    <s v="INV3446"/>
    <x v="19"/>
    <x v="0"/>
    <x v="19"/>
    <n v="48000"/>
    <n v="10"/>
    <n v="480000"/>
    <x v="1"/>
    <n v="57600"/>
    <n v="576000"/>
  </r>
  <r>
    <s v="INV3603"/>
    <x v="19"/>
    <x v="0"/>
    <x v="9"/>
    <n v="500"/>
    <n v="6"/>
    <n v="3000"/>
    <x v="1"/>
    <n v="600"/>
    <n v="3600"/>
  </r>
  <r>
    <s v="INV3643"/>
    <x v="19"/>
    <x v="0"/>
    <x v="19"/>
    <n v="48000"/>
    <n v="1"/>
    <n v="48000"/>
    <x v="1"/>
    <n v="57600"/>
    <n v="57600"/>
  </r>
  <r>
    <s v="INV3708"/>
    <x v="19"/>
    <x v="0"/>
    <x v="24"/>
    <n v="1900"/>
    <n v="6"/>
    <n v="11400"/>
    <x v="1"/>
    <n v="2280"/>
    <n v="13680"/>
  </r>
  <r>
    <s v="INV4006"/>
    <x v="19"/>
    <x v="3"/>
    <x v="12"/>
    <n v="2500"/>
    <n v="10"/>
    <n v="25000"/>
    <x v="0"/>
    <n v="3000"/>
    <n v="30000"/>
  </r>
  <r>
    <s v="INV4067"/>
    <x v="19"/>
    <x v="3"/>
    <x v="33"/>
    <n v="4000"/>
    <n v="2"/>
    <n v="8000"/>
    <x v="0"/>
    <n v="4800"/>
    <n v="9600"/>
  </r>
  <r>
    <s v="INV4183"/>
    <x v="19"/>
    <x v="5"/>
    <x v="14"/>
    <n v="2800"/>
    <n v="2"/>
    <n v="5600"/>
    <x v="0"/>
    <n v="3360"/>
    <n v="6720"/>
  </r>
  <r>
    <s v="INV4295"/>
    <x v="19"/>
    <x v="3"/>
    <x v="46"/>
    <n v="1950"/>
    <n v="8"/>
    <n v="15600"/>
    <x v="2"/>
    <n v="2340"/>
    <n v="18720"/>
  </r>
  <r>
    <s v="INV4384"/>
    <x v="19"/>
    <x v="5"/>
    <x v="25"/>
    <n v="3000"/>
    <n v="4"/>
    <n v="12000"/>
    <x v="0"/>
    <n v="3600"/>
    <n v="14400"/>
  </r>
  <r>
    <s v="INV4503"/>
    <x v="19"/>
    <x v="3"/>
    <x v="33"/>
    <n v="4000"/>
    <n v="3"/>
    <n v="12000"/>
    <x v="1"/>
    <n v="4800"/>
    <n v="14400"/>
  </r>
  <r>
    <s v="INV4656"/>
    <x v="19"/>
    <x v="8"/>
    <x v="26"/>
    <n v="8000"/>
    <n v="8"/>
    <n v="64000"/>
    <x v="0"/>
    <n v="9600"/>
    <n v="76800"/>
  </r>
  <r>
    <s v="INV4710"/>
    <x v="19"/>
    <x v="8"/>
    <x v="17"/>
    <n v="15000"/>
    <n v="8"/>
    <n v="120000"/>
    <x v="1"/>
    <n v="18000"/>
    <n v="144000"/>
  </r>
  <r>
    <s v="INV4712"/>
    <x v="19"/>
    <x v="7"/>
    <x v="32"/>
    <n v="1000"/>
    <n v="4"/>
    <n v="4000"/>
    <x v="2"/>
    <n v="1200"/>
    <n v="4800"/>
  </r>
  <r>
    <s v="INV4881"/>
    <x v="19"/>
    <x v="7"/>
    <x v="27"/>
    <n v="2500"/>
    <n v="7"/>
    <n v="17500"/>
    <x v="0"/>
    <n v="3000"/>
    <n v="21000"/>
  </r>
  <r>
    <s v="INV0156"/>
    <x v="20"/>
    <x v="3"/>
    <x v="4"/>
    <n v="1200"/>
    <n v="3"/>
    <n v="3600"/>
    <x v="1"/>
    <n v="1440"/>
    <n v="4320"/>
  </r>
  <r>
    <s v="INV0157"/>
    <x v="20"/>
    <x v="2"/>
    <x v="39"/>
    <n v="1750"/>
    <n v="1"/>
    <n v="1750"/>
    <x v="0"/>
    <n v="2100"/>
    <n v="2100"/>
  </r>
  <r>
    <s v="INV0158"/>
    <x v="20"/>
    <x v="3"/>
    <x v="21"/>
    <n v="1700"/>
    <n v="4"/>
    <n v="6800"/>
    <x v="2"/>
    <n v="2040"/>
    <n v="8160"/>
  </r>
  <r>
    <s v="INV0159"/>
    <x v="20"/>
    <x v="1"/>
    <x v="7"/>
    <n v="5200"/>
    <n v="6"/>
    <n v="31200"/>
    <x v="0"/>
    <n v="6240"/>
    <n v="37440"/>
  </r>
  <r>
    <s v="INV0160"/>
    <x v="20"/>
    <x v="3"/>
    <x v="4"/>
    <n v="1200"/>
    <n v="9"/>
    <n v="10800"/>
    <x v="1"/>
    <n v="1440"/>
    <n v="12960"/>
  </r>
  <r>
    <s v="INV0161"/>
    <x v="20"/>
    <x v="3"/>
    <x v="4"/>
    <n v="1200"/>
    <n v="7"/>
    <n v="8400"/>
    <x v="0"/>
    <n v="1440"/>
    <n v="10080"/>
  </r>
  <r>
    <s v="INV0162"/>
    <x v="20"/>
    <x v="0"/>
    <x v="0"/>
    <n v="60000"/>
    <n v="2"/>
    <n v="120000"/>
    <x v="1"/>
    <n v="72000"/>
    <n v="144000"/>
  </r>
  <r>
    <s v="INV0163"/>
    <x v="20"/>
    <x v="0"/>
    <x v="19"/>
    <n v="48000"/>
    <n v="6"/>
    <n v="288000"/>
    <x v="0"/>
    <n v="57600"/>
    <n v="345600"/>
  </r>
  <r>
    <s v="INV0164"/>
    <x v="20"/>
    <x v="3"/>
    <x v="3"/>
    <n v="800"/>
    <n v="9"/>
    <n v="7200"/>
    <x v="0"/>
    <n v="960"/>
    <n v="8640"/>
  </r>
  <r>
    <s v="INV0165"/>
    <x v="20"/>
    <x v="3"/>
    <x v="21"/>
    <n v="1700"/>
    <n v="4"/>
    <n v="6800"/>
    <x v="2"/>
    <n v="2040"/>
    <n v="8160"/>
  </r>
  <r>
    <s v="INV2857"/>
    <x v="20"/>
    <x v="4"/>
    <x v="10"/>
    <n v="9100"/>
    <n v="4"/>
    <n v="36400"/>
    <x v="2"/>
    <n v="10920"/>
    <n v="43680"/>
  </r>
  <r>
    <s v="INV3275"/>
    <x v="20"/>
    <x v="4"/>
    <x v="45"/>
    <n v="120"/>
    <n v="9"/>
    <n v="1080"/>
    <x v="2"/>
    <n v="144"/>
    <n v="1296"/>
  </r>
  <r>
    <s v="INV3676"/>
    <x v="20"/>
    <x v="3"/>
    <x v="21"/>
    <n v="1700"/>
    <n v="4"/>
    <n v="6800"/>
    <x v="1"/>
    <n v="2040"/>
    <n v="8160"/>
  </r>
  <r>
    <s v="INV3966"/>
    <x v="20"/>
    <x v="0"/>
    <x v="20"/>
    <n v="35000"/>
    <n v="3"/>
    <n v="105000"/>
    <x v="2"/>
    <n v="42000"/>
    <n v="126000"/>
  </r>
  <r>
    <s v="INV4028"/>
    <x v="20"/>
    <x v="7"/>
    <x v="16"/>
    <n v="1000"/>
    <n v="6"/>
    <n v="6000"/>
    <x v="1"/>
    <n v="1200"/>
    <n v="7200"/>
  </r>
  <r>
    <s v="INV4092"/>
    <x v="20"/>
    <x v="3"/>
    <x v="42"/>
    <n v="500"/>
    <n v="6"/>
    <n v="3000"/>
    <x v="2"/>
    <n v="600"/>
    <n v="3600"/>
  </r>
  <r>
    <s v="INV4241"/>
    <x v="20"/>
    <x v="0"/>
    <x v="41"/>
    <n v="50000"/>
    <n v="2"/>
    <n v="100000"/>
    <x v="2"/>
    <n v="60000"/>
    <n v="120000"/>
  </r>
  <r>
    <s v="INV4311"/>
    <x v="20"/>
    <x v="3"/>
    <x v="42"/>
    <n v="500"/>
    <n v="6"/>
    <n v="3000"/>
    <x v="0"/>
    <n v="600"/>
    <n v="3600"/>
  </r>
  <r>
    <s v="INV4374"/>
    <x v="20"/>
    <x v="7"/>
    <x v="16"/>
    <n v="1000"/>
    <n v="7"/>
    <n v="7000"/>
    <x v="2"/>
    <n v="1200"/>
    <n v="8400"/>
  </r>
  <r>
    <s v="INV4446"/>
    <x v="20"/>
    <x v="5"/>
    <x v="14"/>
    <n v="2800"/>
    <n v="1"/>
    <n v="2800"/>
    <x v="0"/>
    <n v="3360"/>
    <n v="3360"/>
  </r>
  <r>
    <s v="INV4655"/>
    <x v="20"/>
    <x v="0"/>
    <x v="19"/>
    <n v="48000"/>
    <n v="1"/>
    <n v="48000"/>
    <x v="2"/>
    <n v="57600"/>
    <n v="57600"/>
  </r>
  <r>
    <s v="INV0166"/>
    <x v="21"/>
    <x v="3"/>
    <x v="21"/>
    <n v="1700"/>
    <n v="6"/>
    <n v="10200"/>
    <x v="1"/>
    <n v="2040"/>
    <n v="12240"/>
  </r>
  <r>
    <s v="INV0167"/>
    <x v="21"/>
    <x v="2"/>
    <x v="39"/>
    <n v="1750"/>
    <n v="3"/>
    <n v="5250"/>
    <x v="2"/>
    <n v="2100"/>
    <n v="6300"/>
  </r>
  <r>
    <s v="INV0168"/>
    <x v="21"/>
    <x v="3"/>
    <x v="21"/>
    <n v="1700"/>
    <n v="5"/>
    <n v="8500"/>
    <x v="2"/>
    <n v="2040"/>
    <n v="10200"/>
  </r>
  <r>
    <s v="INV0169"/>
    <x v="21"/>
    <x v="2"/>
    <x v="30"/>
    <n v="2880"/>
    <n v="4"/>
    <n v="11520"/>
    <x v="0"/>
    <n v="3456"/>
    <n v="13824"/>
  </r>
  <r>
    <s v="INV0170"/>
    <x v="21"/>
    <x v="0"/>
    <x v="9"/>
    <n v="500"/>
    <n v="3"/>
    <n v="1500"/>
    <x v="2"/>
    <n v="600"/>
    <n v="1800"/>
  </r>
  <r>
    <s v="INV0171"/>
    <x v="21"/>
    <x v="3"/>
    <x v="29"/>
    <n v="6900"/>
    <n v="10"/>
    <n v="69000"/>
    <x v="1"/>
    <n v="8280"/>
    <n v="82800"/>
  </r>
  <r>
    <s v="INV0172"/>
    <x v="21"/>
    <x v="0"/>
    <x v="9"/>
    <n v="500"/>
    <n v="5"/>
    <n v="2500"/>
    <x v="0"/>
    <n v="600"/>
    <n v="3000"/>
  </r>
  <r>
    <s v="INV0173"/>
    <x v="21"/>
    <x v="0"/>
    <x v="22"/>
    <n v="6000"/>
    <n v="9"/>
    <n v="54000"/>
    <x v="0"/>
    <n v="7200"/>
    <n v="64800"/>
  </r>
  <r>
    <s v="INV2975"/>
    <x v="21"/>
    <x v="3"/>
    <x v="21"/>
    <n v="1700"/>
    <n v="6"/>
    <n v="10200"/>
    <x v="1"/>
    <n v="2040"/>
    <n v="12240"/>
  </r>
  <r>
    <s v="INV3258"/>
    <x v="21"/>
    <x v="0"/>
    <x v="23"/>
    <n v="600"/>
    <n v="3"/>
    <n v="1800"/>
    <x v="0"/>
    <n v="720"/>
    <n v="2160"/>
  </r>
  <r>
    <s v="INV3694"/>
    <x v="21"/>
    <x v="0"/>
    <x v="19"/>
    <n v="48000"/>
    <n v="1"/>
    <n v="48000"/>
    <x v="1"/>
    <n v="57600"/>
    <n v="57600"/>
  </r>
  <r>
    <s v="INV4022"/>
    <x v="21"/>
    <x v="3"/>
    <x v="29"/>
    <n v="6900"/>
    <n v="9"/>
    <n v="62100"/>
    <x v="2"/>
    <n v="8280"/>
    <n v="74520"/>
  </r>
  <r>
    <s v="INV4027"/>
    <x v="21"/>
    <x v="7"/>
    <x v="27"/>
    <n v="2500"/>
    <n v="5"/>
    <n v="12500"/>
    <x v="0"/>
    <n v="3000"/>
    <n v="15000"/>
  </r>
  <r>
    <s v="INV4365"/>
    <x v="21"/>
    <x v="7"/>
    <x v="27"/>
    <n v="2500"/>
    <n v="1"/>
    <n v="2500"/>
    <x v="1"/>
    <n v="3000"/>
    <n v="3000"/>
  </r>
  <r>
    <s v="INV4465"/>
    <x v="21"/>
    <x v="3"/>
    <x v="33"/>
    <n v="4000"/>
    <n v="5"/>
    <n v="20000"/>
    <x v="2"/>
    <n v="4800"/>
    <n v="24000"/>
  </r>
  <r>
    <s v="INV4488"/>
    <x v="21"/>
    <x v="3"/>
    <x v="12"/>
    <n v="2500"/>
    <n v="3"/>
    <n v="7500"/>
    <x v="0"/>
    <n v="3000"/>
    <n v="9000"/>
  </r>
  <r>
    <s v="INV4599"/>
    <x v="21"/>
    <x v="7"/>
    <x v="27"/>
    <n v="2500"/>
    <n v="6"/>
    <n v="15000"/>
    <x v="2"/>
    <n v="3000"/>
    <n v="18000"/>
  </r>
  <r>
    <s v="INV4723"/>
    <x v="21"/>
    <x v="0"/>
    <x v="43"/>
    <n v="62000"/>
    <n v="5"/>
    <n v="310000"/>
    <x v="2"/>
    <n v="74400"/>
    <n v="372000"/>
  </r>
  <r>
    <s v="INV0174"/>
    <x v="22"/>
    <x v="0"/>
    <x v="22"/>
    <n v="6000"/>
    <n v="4"/>
    <n v="24000"/>
    <x v="2"/>
    <n v="7200"/>
    <n v="28800"/>
  </r>
  <r>
    <s v="INV0175"/>
    <x v="22"/>
    <x v="2"/>
    <x v="39"/>
    <n v="1750"/>
    <n v="2"/>
    <n v="3500"/>
    <x v="2"/>
    <n v="2100"/>
    <n v="4200"/>
  </r>
  <r>
    <s v="INV0176"/>
    <x v="22"/>
    <x v="0"/>
    <x v="19"/>
    <n v="48000"/>
    <n v="6"/>
    <n v="288000"/>
    <x v="2"/>
    <n v="57600"/>
    <n v="345600"/>
  </r>
  <r>
    <s v="INV0177"/>
    <x v="22"/>
    <x v="0"/>
    <x v="0"/>
    <n v="60000"/>
    <n v="1"/>
    <n v="60000"/>
    <x v="0"/>
    <n v="72000"/>
    <n v="72000"/>
  </r>
  <r>
    <s v="INV0178"/>
    <x v="22"/>
    <x v="1"/>
    <x v="5"/>
    <n v="3000"/>
    <n v="1"/>
    <n v="3000"/>
    <x v="2"/>
    <n v="3600"/>
    <n v="3600"/>
  </r>
  <r>
    <s v="INV0179"/>
    <x v="22"/>
    <x v="0"/>
    <x v="0"/>
    <n v="60000"/>
    <n v="10"/>
    <n v="600000"/>
    <x v="1"/>
    <n v="72000"/>
    <n v="720000"/>
  </r>
  <r>
    <s v="INV0180"/>
    <x v="22"/>
    <x v="2"/>
    <x v="39"/>
    <n v="1750"/>
    <n v="2"/>
    <n v="3500"/>
    <x v="2"/>
    <n v="2100"/>
    <n v="4200"/>
  </r>
  <r>
    <s v="INV0181"/>
    <x v="22"/>
    <x v="1"/>
    <x v="1"/>
    <n v="400"/>
    <n v="7"/>
    <n v="2800"/>
    <x v="2"/>
    <n v="480"/>
    <n v="3360"/>
  </r>
  <r>
    <s v="INV0182"/>
    <x v="22"/>
    <x v="2"/>
    <x v="6"/>
    <n v="2880"/>
    <n v="4"/>
    <n v="11520"/>
    <x v="0"/>
    <n v="3456"/>
    <n v="13824"/>
  </r>
  <r>
    <s v="INV2939"/>
    <x v="22"/>
    <x v="3"/>
    <x v="21"/>
    <n v="1700"/>
    <n v="3"/>
    <n v="5100"/>
    <x v="2"/>
    <n v="2040"/>
    <n v="6120"/>
  </r>
  <r>
    <s v="INV3103"/>
    <x v="22"/>
    <x v="4"/>
    <x v="10"/>
    <n v="9100"/>
    <n v="4"/>
    <n v="36400"/>
    <x v="1"/>
    <n v="10920"/>
    <n v="43680"/>
  </r>
  <r>
    <s v="INV3252"/>
    <x v="22"/>
    <x v="0"/>
    <x v="24"/>
    <n v="1900"/>
    <n v="9"/>
    <n v="17100"/>
    <x v="1"/>
    <n v="2280"/>
    <n v="20520"/>
  </r>
  <r>
    <s v="INV3766"/>
    <x v="22"/>
    <x v="3"/>
    <x v="3"/>
    <n v="800"/>
    <n v="9"/>
    <n v="7200"/>
    <x v="1"/>
    <n v="960"/>
    <n v="8640"/>
  </r>
  <r>
    <s v="INV4030"/>
    <x v="22"/>
    <x v="0"/>
    <x v="0"/>
    <n v="60000"/>
    <n v="8"/>
    <n v="480000"/>
    <x v="0"/>
    <n v="72000"/>
    <n v="576000"/>
  </r>
  <r>
    <s v="INV4038"/>
    <x v="22"/>
    <x v="3"/>
    <x v="46"/>
    <n v="1950"/>
    <n v="4"/>
    <n v="7800"/>
    <x v="0"/>
    <n v="2340"/>
    <n v="9360"/>
  </r>
  <r>
    <s v="INV4088"/>
    <x v="22"/>
    <x v="5"/>
    <x v="40"/>
    <n v="13000"/>
    <n v="10"/>
    <n v="130000"/>
    <x v="1"/>
    <n v="15600"/>
    <n v="156000"/>
  </r>
  <r>
    <s v="INV4129"/>
    <x v="22"/>
    <x v="0"/>
    <x v="41"/>
    <n v="50000"/>
    <n v="8"/>
    <n v="400000"/>
    <x v="0"/>
    <n v="60000"/>
    <n v="480000"/>
  </r>
  <r>
    <s v="INV4195"/>
    <x v="22"/>
    <x v="8"/>
    <x v="38"/>
    <n v="2000"/>
    <n v="5"/>
    <n v="10000"/>
    <x v="0"/>
    <n v="2400"/>
    <n v="12000"/>
  </r>
  <r>
    <s v="INV4369"/>
    <x v="22"/>
    <x v="6"/>
    <x v="47"/>
    <n v="12000"/>
    <n v="3"/>
    <n v="36000"/>
    <x v="2"/>
    <n v="14400"/>
    <n v="43200"/>
  </r>
  <r>
    <s v="INV4418"/>
    <x v="22"/>
    <x v="3"/>
    <x v="46"/>
    <n v="1950"/>
    <n v="6"/>
    <n v="11700"/>
    <x v="1"/>
    <n v="2340"/>
    <n v="14040"/>
  </r>
  <r>
    <s v="INV4497"/>
    <x v="22"/>
    <x v="6"/>
    <x v="35"/>
    <n v="2000"/>
    <n v="6"/>
    <n v="12000"/>
    <x v="0"/>
    <n v="2400"/>
    <n v="14400"/>
  </r>
  <r>
    <s v="INV4548"/>
    <x v="22"/>
    <x v="6"/>
    <x v="13"/>
    <n v="8000"/>
    <n v="1"/>
    <n v="8000"/>
    <x v="1"/>
    <n v="9600"/>
    <n v="9600"/>
  </r>
  <r>
    <s v="INV4556"/>
    <x v="22"/>
    <x v="8"/>
    <x v="17"/>
    <n v="15000"/>
    <n v="1"/>
    <n v="15000"/>
    <x v="0"/>
    <n v="18000"/>
    <n v="18000"/>
  </r>
  <r>
    <s v="INV4566"/>
    <x v="22"/>
    <x v="0"/>
    <x v="43"/>
    <n v="62000"/>
    <n v="6"/>
    <n v="372000"/>
    <x v="1"/>
    <n v="74400"/>
    <n v="446400"/>
  </r>
  <r>
    <s v="INV4735"/>
    <x v="22"/>
    <x v="7"/>
    <x v="34"/>
    <n v="2000"/>
    <n v="5"/>
    <n v="10000"/>
    <x v="0"/>
    <n v="2400"/>
    <n v="12000"/>
  </r>
  <r>
    <s v="INV4764"/>
    <x v="22"/>
    <x v="8"/>
    <x v="26"/>
    <n v="8000"/>
    <n v="7"/>
    <n v="56000"/>
    <x v="2"/>
    <n v="9600"/>
    <n v="67200"/>
  </r>
  <r>
    <s v="INV4802"/>
    <x v="22"/>
    <x v="7"/>
    <x v="32"/>
    <n v="1000"/>
    <n v="5"/>
    <n v="5000"/>
    <x v="0"/>
    <n v="1200"/>
    <n v="6000"/>
  </r>
  <r>
    <s v="INV4807"/>
    <x v="22"/>
    <x v="0"/>
    <x v="20"/>
    <n v="35000"/>
    <n v="9"/>
    <n v="315000"/>
    <x v="2"/>
    <n v="42000"/>
    <n v="378000"/>
  </r>
  <r>
    <s v="INV4929"/>
    <x v="22"/>
    <x v="7"/>
    <x v="27"/>
    <n v="2500"/>
    <n v="4"/>
    <n v="10000"/>
    <x v="0"/>
    <n v="3000"/>
    <n v="12000"/>
  </r>
  <r>
    <s v="INV4931"/>
    <x v="22"/>
    <x v="7"/>
    <x v="37"/>
    <n v="2000"/>
    <n v="7"/>
    <n v="14000"/>
    <x v="2"/>
    <n v="2400"/>
    <n v="16800"/>
  </r>
  <r>
    <s v="INV0183"/>
    <x v="23"/>
    <x v="0"/>
    <x v="19"/>
    <n v="48000"/>
    <n v="10"/>
    <n v="480000"/>
    <x v="1"/>
    <n v="57600"/>
    <n v="576000"/>
  </r>
  <r>
    <s v="INV0184"/>
    <x v="23"/>
    <x v="2"/>
    <x v="39"/>
    <n v="1750"/>
    <n v="3"/>
    <n v="5250"/>
    <x v="1"/>
    <n v="2100"/>
    <n v="6300"/>
  </r>
  <r>
    <s v="INV0185"/>
    <x v="23"/>
    <x v="1"/>
    <x v="5"/>
    <n v="3000"/>
    <n v="1"/>
    <n v="3000"/>
    <x v="0"/>
    <n v="3600"/>
    <n v="3600"/>
  </r>
  <r>
    <s v="INV0186"/>
    <x v="23"/>
    <x v="3"/>
    <x v="21"/>
    <n v="1700"/>
    <n v="3"/>
    <n v="5100"/>
    <x v="2"/>
    <n v="2040"/>
    <n v="6120"/>
  </r>
  <r>
    <s v="INV0187"/>
    <x v="23"/>
    <x v="3"/>
    <x v="29"/>
    <n v="6900"/>
    <n v="5"/>
    <n v="34500"/>
    <x v="1"/>
    <n v="8280"/>
    <n v="41400"/>
  </r>
  <r>
    <s v="INV0188"/>
    <x v="23"/>
    <x v="0"/>
    <x v="0"/>
    <n v="60000"/>
    <n v="1"/>
    <n v="60000"/>
    <x v="0"/>
    <n v="72000"/>
    <n v="72000"/>
  </r>
  <r>
    <s v="INV0189"/>
    <x v="23"/>
    <x v="2"/>
    <x v="30"/>
    <n v="2880"/>
    <n v="8"/>
    <n v="23040"/>
    <x v="0"/>
    <n v="3456"/>
    <n v="27648"/>
  </r>
  <r>
    <s v="INV0190"/>
    <x v="23"/>
    <x v="1"/>
    <x v="7"/>
    <n v="5200"/>
    <n v="3"/>
    <n v="15600"/>
    <x v="0"/>
    <n v="6240"/>
    <n v="18720"/>
  </r>
  <r>
    <s v="INV0191"/>
    <x v="23"/>
    <x v="2"/>
    <x v="39"/>
    <n v="1750"/>
    <n v="10"/>
    <n v="17500"/>
    <x v="1"/>
    <n v="2100"/>
    <n v="21000"/>
  </r>
  <r>
    <s v="INV0192"/>
    <x v="23"/>
    <x v="1"/>
    <x v="7"/>
    <n v="5200"/>
    <n v="5"/>
    <n v="26000"/>
    <x v="2"/>
    <n v="6240"/>
    <n v="31200"/>
  </r>
  <r>
    <s v="INV4016"/>
    <x v="23"/>
    <x v="5"/>
    <x v="18"/>
    <n v="15000"/>
    <n v="10"/>
    <n v="150000"/>
    <x v="1"/>
    <n v="18000"/>
    <n v="180000"/>
  </r>
  <r>
    <s v="INV4238"/>
    <x v="23"/>
    <x v="6"/>
    <x v="15"/>
    <n v="500"/>
    <n v="10"/>
    <n v="5000"/>
    <x v="0"/>
    <n v="600"/>
    <n v="6000"/>
  </r>
  <r>
    <s v="INV4343"/>
    <x v="23"/>
    <x v="7"/>
    <x v="32"/>
    <n v="1000"/>
    <n v="5"/>
    <n v="5000"/>
    <x v="2"/>
    <n v="1200"/>
    <n v="6000"/>
  </r>
  <r>
    <s v="INV4479"/>
    <x v="23"/>
    <x v="8"/>
    <x v="28"/>
    <n v="10000"/>
    <n v="8"/>
    <n v="80000"/>
    <x v="1"/>
    <n v="12000"/>
    <n v="96000"/>
  </r>
  <r>
    <s v="INV4560"/>
    <x v="23"/>
    <x v="8"/>
    <x v="17"/>
    <n v="15000"/>
    <n v="3"/>
    <n v="45000"/>
    <x v="0"/>
    <n v="18000"/>
    <n v="54000"/>
  </r>
  <r>
    <s v="INV4632"/>
    <x v="23"/>
    <x v="5"/>
    <x v="11"/>
    <n v="400"/>
    <n v="6"/>
    <n v="2400"/>
    <x v="1"/>
    <n v="480"/>
    <n v="2880"/>
  </r>
  <r>
    <s v="INV4681"/>
    <x v="23"/>
    <x v="6"/>
    <x v="35"/>
    <n v="2000"/>
    <n v="7"/>
    <n v="14000"/>
    <x v="0"/>
    <n v="2400"/>
    <n v="16800"/>
  </r>
  <r>
    <s v="INV4701"/>
    <x v="23"/>
    <x v="3"/>
    <x v="12"/>
    <n v="2500"/>
    <n v="5"/>
    <n v="12500"/>
    <x v="2"/>
    <n v="3000"/>
    <n v="15000"/>
  </r>
  <r>
    <s v="INV4744"/>
    <x v="23"/>
    <x v="3"/>
    <x v="12"/>
    <n v="2500"/>
    <n v="1"/>
    <n v="2500"/>
    <x v="2"/>
    <n v="3000"/>
    <n v="3000"/>
  </r>
  <r>
    <s v="INV4762"/>
    <x v="23"/>
    <x v="6"/>
    <x v="47"/>
    <n v="12000"/>
    <n v="8"/>
    <n v="96000"/>
    <x v="1"/>
    <n v="14400"/>
    <n v="115200"/>
  </r>
  <r>
    <s v="INV4778"/>
    <x v="23"/>
    <x v="6"/>
    <x v="35"/>
    <n v="2000"/>
    <n v="8"/>
    <n v="16000"/>
    <x v="1"/>
    <n v="2400"/>
    <n v="19200"/>
  </r>
  <r>
    <s v="INV4883"/>
    <x v="23"/>
    <x v="3"/>
    <x v="42"/>
    <n v="500"/>
    <n v="3"/>
    <n v="1500"/>
    <x v="1"/>
    <n v="600"/>
    <n v="1800"/>
  </r>
  <r>
    <s v="INV4939"/>
    <x v="23"/>
    <x v="5"/>
    <x v="40"/>
    <n v="13000"/>
    <n v="10"/>
    <n v="130000"/>
    <x v="1"/>
    <n v="15600"/>
    <n v="156000"/>
  </r>
  <r>
    <s v="INV0193"/>
    <x v="24"/>
    <x v="3"/>
    <x v="21"/>
    <n v="1700"/>
    <n v="10"/>
    <n v="17000"/>
    <x v="2"/>
    <n v="2040"/>
    <n v="20400"/>
  </r>
  <r>
    <s v="INV0194"/>
    <x v="24"/>
    <x v="2"/>
    <x v="6"/>
    <n v="2880"/>
    <n v="4"/>
    <n v="11520"/>
    <x v="1"/>
    <n v="3456"/>
    <n v="13824"/>
  </r>
  <r>
    <s v="INV0195"/>
    <x v="24"/>
    <x v="0"/>
    <x v="9"/>
    <n v="500"/>
    <n v="7"/>
    <n v="3500"/>
    <x v="2"/>
    <n v="600"/>
    <n v="4200"/>
  </r>
  <r>
    <s v="INV0196"/>
    <x v="24"/>
    <x v="2"/>
    <x v="6"/>
    <n v="2880"/>
    <n v="3"/>
    <n v="8640"/>
    <x v="2"/>
    <n v="3456"/>
    <n v="10368"/>
  </r>
  <r>
    <s v="INV0197"/>
    <x v="24"/>
    <x v="3"/>
    <x v="29"/>
    <n v="6900"/>
    <n v="8"/>
    <n v="55200"/>
    <x v="2"/>
    <n v="8280"/>
    <n v="66240"/>
  </r>
  <r>
    <s v="INV0198"/>
    <x v="24"/>
    <x v="0"/>
    <x v="0"/>
    <n v="60000"/>
    <n v="8"/>
    <n v="480000"/>
    <x v="2"/>
    <n v="72000"/>
    <n v="576000"/>
  </r>
  <r>
    <s v="INV0199"/>
    <x v="24"/>
    <x v="3"/>
    <x v="29"/>
    <n v="6900"/>
    <n v="10"/>
    <n v="69000"/>
    <x v="1"/>
    <n v="8280"/>
    <n v="82800"/>
  </r>
  <r>
    <s v="INV0200"/>
    <x v="24"/>
    <x v="3"/>
    <x v="3"/>
    <n v="800"/>
    <n v="8"/>
    <n v="6400"/>
    <x v="0"/>
    <n v="960"/>
    <n v="7680"/>
  </r>
  <r>
    <s v="INV2764"/>
    <x v="24"/>
    <x v="0"/>
    <x v="31"/>
    <n v="3600"/>
    <n v="6"/>
    <n v="21600"/>
    <x v="1"/>
    <n v="4320"/>
    <n v="25920"/>
  </r>
  <r>
    <s v="INV3531"/>
    <x v="24"/>
    <x v="0"/>
    <x v="19"/>
    <n v="48000"/>
    <n v="1"/>
    <n v="48000"/>
    <x v="1"/>
    <n v="57600"/>
    <n v="57600"/>
  </r>
  <r>
    <s v="INV3616"/>
    <x v="24"/>
    <x v="3"/>
    <x v="21"/>
    <n v="1700"/>
    <n v="6"/>
    <n v="10200"/>
    <x v="2"/>
    <n v="2040"/>
    <n v="12240"/>
  </r>
  <r>
    <s v="INV3900"/>
    <x v="24"/>
    <x v="0"/>
    <x v="8"/>
    <n v="3300"/>
    <n v="10"/>
    <n v="33000"/>
    <x v="1"/>
    <n v="3960"/>
    <n v="39600"/>
  </r>
  <r>
    <s v="INV3976"/>
    <x v="24"/>
    <x v="0"/>
    <x v="43"/>
    <n v="62000"/>
    <n v="5"/>
    <n v="310000"/>
    <x v="1"/>
    <n v="74400"/>
    <n v="372000"/>
  </r>
  <r>
    <s v="INV4001"/>
    <x v="24"/>
    <x v="8"/>
    <x v="26"/>
    <n v="8000"/>
    <n v="1"/>
    <n v="8000"/>
    <x v="1"/>
    <n v="9600"/>
    <n v="9600"/>
  </r>
  <r>
    <s v="INV4078"/>
    <x v="24"/>
    <x v="8"/>
    <x v="44"/>
    <n v="12000"/>
    <n v="7"/>
    <n v="84000"/>
    <x v="1"/>
    <n v="14400"/>
    <n v="100800"/>
  </r>
  <r>
    <s v="INV4089"/>
    <x v="24"/>
    <x v="7"/>
    <x v="16"/>
    <n v="1000"/>
    <n v="10"/>
    <n v="10000"/>
    <x v="0"/>
    <n v="1200"/>
    <n v="12000"/>
  </r>
  <r>
    <s v="INV4131"/>
    <x v="24"/>
    <x v="7"/>
    <x v="34"/>
    <n v="2000"/>
    <n v="8"/>
    <n v="16000"/>
    <x v="2"/>
    <n v="2400"/>
    <n v="19200"/>
  </r>
  <r>
    <s v="INV4158"/>
    <x v="24"/>
    <x v="6"/>
    <x v="15"/>
    <n v="500"/>
    <n v="9"/>
    <n v="4500"/>
    <x v="1"/>
    <n v="600"/>
    <n v="5400"/>
  </r>
  <r>
    <s v="INV4236"/>
    <x v="24"/>
    <x v="0"/>
    <x v="41"/>
    <n v="50000"/>
    <n v="7"/>
    <n v="350000"/>
    <x v="1"/>
    <n v="60000"/>
    <n v="420000"/>
  </r>
  <r>
    <s v="INV4246"/>
    <x v="24"/>
    <x v="3"/>
    <x v="42"/>
    <n v="500"/>
    <n v="4"/>
    <n v="2000"/>
    <x v="1"/>
    <n v="600"/>
    <n v="2400"/>
  </r>
  <r>
    <s v="INV4276"/>
    <x v="24"/>
    <x v="7"/>
    <x v="34"/>
    <n v="2000"/>
    <n v="4"/>
    <n v="8000"/>
    <x v="2"/>
    <n v="2400"/>
    <n v="9600"/>
  </r>
  <r>
    <s v="INV4319"/>
    <x v="24"/>
    <x v="8"/>
    <x v="38"/>
    <n v="2000"/>
    <n v="2"/>
    <n v="4000"/>
    <x v="0"/>
    <n v="2400"/>
    <n v="4800"/>
  </r>
  <r>
    <s v="INV4359"/>
    <x v="24"/>
    <x v="5"/>
    <x v="40"/>
    <n v="13000"/>
    <n v="2"/>
    <n v="26000"/>
    <x v="2"/>
    <n v="15600"/>
    <n v="31200"/>
  </r>
  <r>
    <s v="INV4363"/>
    <x v="24"/>
    <x v="7"/>
    <x v="34"/>
    <n v="2000"/>
    <n v="1"/>
    <n v="2000"/>
    <x v="1"/>
    <n v="2400"/>
    <n v="2400"/>
  </r>
  <r>
    <s v="INV4419"/>
    <x v="24"/>
    <x v="5"/>
    <x v="14"/>
    <n v="2800"/>
    <n v="4"/>
    <n v="11200"/>
    <x v="0"/>
    <n v="3360"/>
    <n v="13440"/>
  </r>
  <r>
    <s v="INV4576"/>
    <x v="24"/>
    <x v="3"/>
    <x v="46"/>
    <n v="1950"/>
    <n v="3"/>
    <n v="5850"/>
    <x v="0"/>
    <n v="2340"/>
    <n v="7020"/>
  </r>
  <r>
    <s v="INV4638"/>
    <x v="24"/>
    <x v="5"/>
    <x v="14"/>
    <n v="2800"/>
    <n v="9"/>
    <n v="25200"/>
    <x v="1"/>
    <n v="3360"/>
    <n v="30240"/>
  </r>
  <r>
    <s v="INV4702"/>
    <x v="24"/>
    <x v="8"/>
    <x v="44"/>
    <n v="12000"/>
    <n v="3"/>
    <n v="36000"/>
    <x v="0"/>
    <n v="14400"/>
    <n v="43200"/>
  </r>
  <r>
    <s v="INV4798"/>
    <x v="24"/>
    <x v="8"/>
    <x v="26"/>
    <n v="8000"/>
    <n v="1"/>
    <n v="8000"/>
    <x v="1"/>
    <n v="9600"/>
    <n v="9600"/>
  </r>
  <r>
    <s v="INV0201"/>
    <x v="25"/>
    <x v="2"/>
    <x v="39"/>
    <n v="1750"/>
    <n v="6"/>
    <n v="10500"/>
    <x v="2"/>
    <n v="2100"/>
    <n v="12600"/>
  </r>
  <r>
    <s v="INV0202"/>
    <x v="25"/>
    <x v="1"/>
    <x v="5"/>
    <n v="3000"/>
    <n v="5"/>
    <n v="15000"/>
    <x v="1"/>
    <n v="3600"/>
    <n v="18000"/>
  </r>
  <r>
    <s v="INV0203"/>
    <x v="25"/>
    <x v="0"/>
    <x v="19"/>
    <n v="48000"/>
    <n v="1"/>
    <n v="48000"/>
    <x v="2"/>
    <n v="57600"/>
    <n v="57600"/>
  </r>
  <r>
    <s v="INV0204"/>
    <x v="25"/>
    <x v="2"/>
    <x v="39"/>
    <n v="1750"/>
    <n v="5"/>
    <n v="8750"/>
    <x v="1"/>
    <n v="2100"/>
    <n v="10500"/>
  </r>
  <r>
    <s v="INV0205"/>
    <x v="25"/>
    <x v="2"/>
    <x v="6"/>
    <n v="2880"/>
    <n v="5"/>
    <n v="14400"/>
    <x v="0"/>
    <n v="3456"/>
    <n v="17280"/>
  </r>
  <r>
    <s v="INV0206"/>
    <x v="25"/>
    <x v="0"/>
    <x v="19"/>
    <n v="48000"/>
    <n v="1"/>
    <n v="48000"/>
    <x v="0"/>
    <n v="57600"/>
    <n v="57600"/>
  </r>
  <r>
    <s v="INV0207"/>
    <x v="25"/>
    <x v="1"/>
    <x v="7"/>
    <n v="5200"/>
    <n v="2"/>
    <n v="10400"/>
    <x v="2"/>
    <n v="6240"/>
    <n v="12480"/>
  </r>
  <r>
    <s v="INV2970"/>
    <x v="25"/>
    <x v="0"/>
    <x v="24"/>
    <n v="1900"/>
    <n v="5"/>
    <n v="9500"/>
    <x v="1"/>
    <n v="2280"/>
    <n v="11400"/>
  </r>
  <r>
    <s v="INV3035"/>
    <x v="25"/>
    <x v="3"/>
    <x v="21"/>
    <n v="1700"/>
    <n v="9"/>
    <n v="15300"/>
    <x v="0"/>
    <n v="2040"/>
    <n v="18360"/>
  </r>
  <r>
    <s v="INV3724"/>
    <x v="25"/>
    <x v="0"/>
    <x v="31"/>
    <n v="3600"/>
    <n v="9"/>
    <n v="32400"/>
    <x v="0"/>
    <n v="4320"/>
    <n v="38880"/>
  </r>
  <r>
    <s v="INV4029"/>
    <x v="25"/>
    <x v="0"/>
    <x v="0"/>
    <n v="60000"/>
    <n v="3"/>
    <n v="180000"/>
    <x v="1"/>
    <n v="72000"/>
    <n v="216000"/>
  </r>
  <r>
    <s v="INV4039"/>
    <x v="25"/>
    <x v="5"/>
    <x v="14"/>
    <n v="2800"/>
    <n v="10"/>
    <n v="28000"/>
    <x v="0"/>
    <n v="3360"/>
    <n v="33600"/>
  </r>
  <r>
    <s v="INV4119"/>
    <x v="25"/>
    <x v="0"/>
    <x v="19"/>
    <n v="48000"/>
    <n v="5"/>
    <n v="240000"/>
    <x v="0"/>
    <n v="57600"/>
    <n v="288000"/>
  </r>
  <r>
    <s v="INV4141"/>
    <x v="25"/>
    <x v="3"/>
    <x v="12"/>
    <n v="2500"/>
    <n v="4"/>
    <n v="10000"/>
    <x v="0"/>
    <n v="3000"/>
    <n v="12000"/>
  </r>
  <r>
    <s v="INV4174"/>
    <x v="25"/>
    <x v="7"/>
    <x v="37"/>
    <n v="2000"/>
    <n v="9"/>
    <n v="18000"/>
    <x v="1"/>
    <n v="2400"/>
    <n v="21600"/>
  </r>
  <r>
    <s v="INV4178"/>
    <x v="25"/>
    <x v="8"/>
    <x v="38"/>
    <n v="2000"/>
    <n v="2"/>
    <n v="4000"/>
    <x v="1"/>
    <n v="2400"/>
    <n v="4800"/>
  </r>
  <r>
    <s v="INV4299"/>
    <x v="25"/>
    <x v="6"/>
    <x v="15"/>
    <n v="500"/>
    <n v="7"/>
    <n v="3500"/>
    <x v="2"/>
    <n v="600"/>
    <n v="4200"/>
  </r>
  <r>
    <s v="INV4339"/>
    <x v="25"/>
    <x v="8"/>
    <x v="44"/>
    <n v="12000"/>
    <n v="10"/>
    <n v="120000"/>
    <x v="1"/>
    <n v="14400"/>
    <n v="144000"/>
  </r>
  <r>
    <s v="INV4496"/>
    <x v="25"/>
    <x v="5"/>
    <x v="25"/>
    <n v="3000"/>
    <n v="5"/>
    <n v="15000"/>
    <x v="2"/>
    <n v="3600"/>
    <n v="18000"/>
  </r>
  <r>
    <s v="INV4546"/>
    <x v="25"/>
    <x v="8"/>
    <x v="28"/>
    <n v="10000"/>
    <n v="5"/>
    <n v="50000"/>
    <x v="1"/>
    <n v="12000"/>
    <n v="60000"/>
  </r>
  <r>
    <s v="INV4549"/>
    <x v="25"/>
    <x v="8"/>
    <x v="44"/>
    <n v="12000"/>
    <n v="1"/>
    <n v="12000"/>
    <x v="2"/>
    <n v="14400"/>
    <n v="14400"/>
  </r>
  <r>
    <s v="INV4573"/>
    <x v="25"/>
    <x v="0"/>
    <x v="41"/>
    <n v="50000"/>
    <n v="2"/>
    <n v="100000"/>
    <x v="0"/>
    <n v="60000"/>
    <n v="120000"/>
  </r>
  <r>
    <s v="INV4577"/>
    <x v="25"/>
    <x v="8"/>
    <x v="38"/>
    <n v="2000"/>
    <n v="1"/>
    <n v="2000"/>
    <x v="1"/>
    <n v="2400"/>
    <n v="2400"/>
  </r>
  <r>
    <s v="INV4792"/>
    <x v="25"/>
    <x v="8"/>
    <x v="28"/>
    <n v="10000"/>
    <n v="1"/>
    <n v="10000"/>
    <x v="0"/>
    <n v="12000"/>
    <n v="12000"/>
  </r>
  <r>
    <s v="INV4813"/>
    <x v="25"/>
    <x v="7"/>
    <x v="16"/>
    <n v="1000"/>
    <n v="3"/>
    <n v="3000"/>
    <x v="1"/>
    <n v="1200"/>
    <n v="3600"/>
  </r>
  <r>
    <s v="INV4912"/>
    <x v="25"/>
    <x v="0"/>
    <x v="20"/>
    <n v="35000"/>
    <n v="2"/>
    <n v="70000"/>
    <x v="0"/>
    <n v="42000"/>
    <n v="84000"/>
  </r>
  <r>
    <s v="INV4920"/>
    <x v="25"/>
    <x v="6"/>
    <x v="47"/>
    <n v="12000"/>
    <n v="7"/>
    <n v="84000"/>
    <x v="1"/>
    <n v="14400"/>
    <n v="100800"/>
  </r>
  <r>
    <s v="INV0208"/>
    <x v="26"/>
    <x v="1"/>
    <x v="1"/>
    <n v="400"/>
    <n v="4"/>
    <n v="1600"/>
    <x v="2"/>
    <n v="480"/>
    <n v="1920"/>
  </r>
  <r>
    <s v="INV0209"/>
    <x v="26"/>
    <x v="0"/>
    <x v="9"/>
    <n v="500"/>
    <n v="5"/>
    <n v="2500"/>
    <x v="1"/>
    <n v="600"/>
    <n v="3000"/>
  </r>
  <r>
    <s v="INV0210"/>
    <x v="26"/>
    <x v="1"/>
    <x v="5"/>
    <n v="3000"/>
    <n v="3"/>
    <n v="9000"/>
    <x v="1"/>
    <n v="3600"/>
    <n v="10800"/>
  </r>
  <r>
    <s v="INV0211"/>
    <x v="26"/>
    <x v="2"/>
    <x v="30"/>
    <n v="2880"/>
    <n v="4"/>
    <n v="11520"/>
    <x v="1"/>
    <n v="3456"/>
    <n v="13824"/>
  </r>
  <r>
    <s v="INV0212"/>
    <x v="26"/>
    <x v="0"/>
    <x v="19"/>
    <n v="48000"/>
    <n v="2"/>
    <n v="96000"/>
    <x v="2"/>
    <n v="57600"/>
    <n v="115200"/>
  </r>
  <r>
    <s v="INV0213"/>
    <x v="26"/>
    <x v="0"/>
    <x v="22"/>
    <n v="6000"/>
    <n v="5"/>
    <n v="30000"/>
    <x v="2"/>
    <n v="7200"/>
    <n v="36000"/>
  </r>
  <r>
    <s v="INV0214"/>
    <x v="26"/>
    <x v="0"/>
    <x v="22"/>
    <n v="6000"/>
    <n v="3"/>
    <n v="18000"/>
    <x v="2"/>
    <n v="7200"/>
    <n v="21600"/>
  </r>
  <r>
    <s v="INV2964"/>
    <x v="26"/>
    <x v="3"/>
    <x v="3"/>
    <n v="800"/>
    <n v="3"/>
    <n v="2400"/>
    <x v="0"/>
    <n v="960"/>
    <n v="2880"/>
  </r>
  <r>
    <s v="INV3050"/>
    <x v="26"/>
    <x v="0"/>
    <x v="24"/>
    <n v="1900"/>
    <n v="10"/>
    <n v="19000"/>
    <x v="0"/>
    <n v="2280"/>
    <n v="22800"/>
  </r>
  <r>
    <s v="INV3951"/>
    <x v="26"/>
    <x v="7"/>
    <x v="34"/>
    <n v="2000"/>
    <n v="8"/>
    <n v="16000"/>
    <x v="0"/>
    <n v="2400"/>
    <n v="19200"/>
  </r>
  <r>
    <s v="INV4074"/>
    <x v="26"/>
    <x v="5"/>
    <x v="40"/>
    <n v="13000"/>
    <n v="5"/>
    <n v="65000"/>
    <x v="0"/>
    <n v="15600"/>
    <n v="78000"/>
  </r>
  <r>
    <s v="INV4221"/>
    <x v="26"/>
    <x v="3"/>
    <x v="29"/>
    <n v="6900"/>
    <n v="2"/>
    <n v="13800"/>
    <x v="2"/>
    <n v="8280"/>
    <n v="16560"/>
  </r>
  <r>
    <s v="INV4316"/>
    <x v="26"/>
    <x v="5"/>
    <x v="25"/>
    <n v="3000"/>
    <n v="10"/>
    <n v="30000"/>
    <x v="2"/>
    <n v="3600"/>
    <n v="36000"/>
  </r>
  <r>
    <s v="INV4336"/>
    <x v="26"/>
    <x v="8"/>
    <x v="17"/>
    <n v="15000"/>
    <n v="9"/>
    <n v="135000"/>
    <x v="1"/>
    <n v="18000"/>
    <n v="162000"/>
  </r>
  <r>
    <s v="INV4406"/>
    <x v="26"/>
    <x v="6"/>
    <x v="15"/>
    <n v="500"/>
    <n v="10"/>
    <n v="5000"/>
    <x v="0"/>
    <n v="600"/>
    <n v="6000"/>
  </r>
  <r>
    <s v="INV4445"/>
    <x v="26"/>
    <x v="0"/>
    <x v="41"/>
    <n v="50000"/>
    <n v="6"/>
    <n v="300000"/>
    <x v="2"/>
    <n v="60000"/>
    <n v="360000"/>
  </r>
  <r>
    <s v="INV4450"/>
    <x v="26"/>
    <x v="3"/>
    <x v="42"/>
    <n v="500"/>
    <n v="2"/>
    <n v="1000"/>
    <x v="2"/>
    <n v="600"/>
    <n v="1200"/>
  </r>
  <r>
    <s v="INV4460"/>
    <x v="26"/>
    <x v="8"/>
    <x v="38"/>
    <n v="2000"/>
    <n v="7"/>
    <n v="14000"/>
    <x v="2"/>
    <n v="2400"/>
    <n v="16800"/>
  </r>
  <r>
    <s v="INV4472"/>
    <x v="26"/>
    <x v="0"/>
    <x v="41"/>
    <n v="50000"/>
    <n v="6"/>
    <n v="300000"/>
    <x v="0"/>
    <n v="60000"/>
    <n v="360000"/>
  </r>
  <r>
    <s v="INV4539"/>
    <x v="26"/>
    <x v="3"/>
    <x v="42"/>
    <n v="500"/>
    <n v="7"/>
    <n v="3500"/>
    <x v="2"/>
    <n v="600"/>
    <n v="4200"/>
  </r>
  <r>
    <s v="INV4766"/>
    <x v="26"/>
    <x v="7"/>
    <x v="27"/>
    <n v="2500"/>
    <n v="4"/>
    <n v="10000"/>
    <x v="1"/>
    <n v="3000"/>
    <n v="12000"/>
  </r>
  <r>
    <s v="INV4794"/>
    <x v="26"/>
    <x v="6"/>
    <x v="35"/>
    <n v="2000"/>
    <n v="1"/>
    <n v="2000"/>
    <x v="0"/>
    <n v="2400"/>
    <n v="2400"/>
  </r>
  <r>
    <s v="INV4857"/>
    <x v="26"/>
    <x v="3"/>
    <x v="42"/>
    <n v="500"/>
    <n v="10"/>
    <n v="5000"/>
    <x v="2"/>
    <n v="600"/>
    <n v="6000"/>
  </r>
  <r>
    <s v="INV0215"/>
    <x v="27"/>
    <x v="2"/>
    <x v="39"/>
    <n v="1750"/>
    <n v="1"/>
    <n v="1750"/>
    <x v="0"/>
    <n v="2100"/>
    <n v="2100"/>
  </r>
  <r>
    <s v="INV0216"/>
    <x v="27"/>
    <x v="0"/>
    <x v="19"/>
    <n v="48000"/>
    <n v="8"/>
    <n v="384000"/>
    <x v="1"/>
    <n v="57600"/>
    <n v="460800"/>
  </r>
  <r>
    <s v="INV0217"/>
    <x v="27"/>
    <x v="1"/>
    <x v="1"/>
    <n v="400"/>
    <n v="4"/>
    <n v="1600"/>
    <x v="0"/>
    <n v="480"/>
    <n v="1920"/>
  </r>
  <r>
    <s v="INV0218"/>
    <x v="27"/>
    <x v="0"/>
    <x v="0"/>
    <n v="60000"/>
    <n v="1"/>
    <n v="60000"/>
    <x v="0"/>
    <n v="72000"/>
    <n v="72000"/>
  </r>
  <r>
    <s v="INV0219"/>
    <x v="27"/>
    <x v="3"/>
    <x v="3"/>
    <n v="800"/>
    <n v="2"/>
    <n v="1600"/>
    <x v="2"/>
    <n v="960"/>
    <n v="1920"/>
  </r>
  <r>
    <s v="INV0220"/>
    <x v="27"/>
    <x v="0"/>
    <x v="0"/>
    <n v="60000"/>
    <n v="6"/>
    <n v="360000"/>
    <x v="2"/>
    <n v="72000"/>
    <n v="432000"/>
  </r>
  <r>
    <s v="INV0221"/>
    <x v="27"/>
    <x v="0"/>
    <x v="9"/>
    <n v="500"/>
    <n v="1"/>
    <n v="500"/>
    <x v="2"/>
    <n v="600"/>
    <n v="600"/>
  </r>
  <r>
    <s v="INV0222"/>
    <x v="27"/>
    <x v="3"/>
    <x v="29"/>
    <n v="6900"/>
    <n v="4"/>
    <n v="27600"/>
    <x v="2"/>
    <n v="8280"/>
    <n v="33120"/>
  </r>
  <r>
    <s v="INV0223"/>
    <x v="27"/>
    <x v="2"/>
    <x v="2"/>
    <n v="2880"/>
    <n v="9"/>
    <n v="25920"/>
    <x v="1"/>
    <n v="3456"/>
    <n v="31104"/>
  </r>
  <r>
    <s v="INV3156"/>
    <x v="27"/>
    <x v="4"/>
    <x v="45"/>
    <n v="120"/>
    <n v="10"/>
    <n v="1200"/>
    <x v="0"/>
    <n v="144"/>
    <n v="1440"/>
  </r>
  <r>
    <s v="INV3245"/>
    <x v="27"/>
    <x v="3"/>
    <x v="21"/>
    <n v="1700"/>
    <n v="5"/>
    <n v="8500"/>
    <x v="0"/>
    <n v="2040"/>
    <n v="10200"/>
  </r>
  <r>
    <s v="INV3366"/>
    <x v="27"/>
    <x v="0"/>
    <x v="9"/>
    <n v="500"/>
    <n v="5"/>
    <n v="2500"/>
    <x v="2"/>
    <n v="600"/>
    <n v="3000"/>
  </r>
  <r>
    <s v="INV3421"/>
    <x v="27"/>
    <x v="3"/>
    <x v="21"/>
    <n v="1700"/>
    <n v="3"/>
    <n v="5100"/>
    <x v="1"/>
    <n v="2040"/>
    <n v="6120"/>
  </r>
  <r>
    <s v="INV3722"/>
    <x v="27"/>
    <x v="0"/>
    <x v="24"/>
    <n v="1900"/>
    <n v="8"/>
    <n v="15200"/>
    <x v="0"/>
    <n v="2280"/>
    <n v="18240"/>
  </r>
  <r>
    <s v="INV3979"/>
    <x v="27"/>
    <x v="5"/>
    <x v="14"/>
    <n v="2800"/>
    <n v="9"/>
    <n v="25200"/>
    <x v="1"/>
    <n v="3360"/>
    <n v="30240"/>
  </r>
  <r>
    <s v="INV4102"/>
    <x v="27"/>
    <x v="5"/>
    <x v="40"/>
    <n v="13000"/>
    <n v="8"/>
    <n v="104000"/>
    <x v="1"/>
    <n v="15600"/>
    <n v="124800"/>
  </r>
  <r>
    <s v="INV4127"/>
    <x v="27"/>
    <x v="7"/>
    <x v="32"/>
    <n v="1000"/>
    <n v="3"/>
    <n v="3000"/>
    <x v="1"/>
    <n v="1200"/>
    <n v="3600"/>
  </r>
  <r>
    <s v="INV4137"/>
    <x v="27"/>
    <x v="3"/>
    <x v="33"/>
    <n v="4000"/>
    <n v="4"/>
    <n v="16000"/>
    <x v="2"/>
    <n v="4800"/>
    <n v="19200"/>
  </r>
  <r>
    <s v="INV4184"/>
    <x v="27"/>
    <x v="7"/>
    <x v="37"/>
    <n v="2000"/>
    <n v="5"/>
    <n v="10000"/>
    <x v="2"/>
    <n v="2400"/>
    <n v="12000"/>
  </r>
  <r>
    <s v="INV4357"/>
    <x v="27"/>
    <x v="8"/>
    <x v="28"/>
    <n v="10000"/>
    <n v="5"/>
    <n v="50000"/>
    <x v="1"/>
    <n v="12000"/>
    <n v="60000"/>
  </r>
  <r>
    <s v="INV4393"/>
    <x v="27"/>
    <x v="7"/>
    <x v="37"/>
    <n v="2000"/>
    <n v="1"/>
    <n v="2000"/>
    <x v="1"/>
    <n v="2400"/>
    <n v="2400"/>
  </r>
  <r>
    <s v="INV4453"/>
    <x v="27"/>
    <x v="6"/>
    <x v="13"/>
    <n v="8000"/>
    <n v="8"/>
    <n v="64000"/>
    <x v="2"/>
    <n v="9600"/>
    <n v="76800"/>
  </r>
  <r>
    <s v="INV4491"/>
    <x v="27"/>
    <x v="6"/>
    <x v="47"/>
    <n v="12000"/>
    <n v="6"/>
    <n v="72000"/>
    <x v="1"/>
    <n v="14400"/>
    <n v="86400"/>
  </r>
  <r>
    <s v="INV4774"/>
    <x v="27"/>
    <x v="7"/>
    <x v="32"/>
    <n v="1000"/>
    <n v="9"/>
    <n v="9000"/>
    <x v="0"/>
    <n v="1200"/>
    <n v="10800"/>
  </r>
  <r>
    <s v="INV4820"/>
    <x v="27"/>
    <x v="6"/>
    <x v="13"/>
    <n v="8000"/>
    <n v="10"/>
    <n v="80000"/>
    <x v="0"/>
    <n v="9600"/>
    <n v="96000"/>
  </r>
  <r>
    <s v="INV4843"/>
    <x v="27"/>
    <x v="7"/>
    <x v="32"/>
    <n v="1000"/>
    <n v="8"/>
    <n v="8000"/>
    <x v="2"/>
    <n v="1200"/>
    <n v="9600"/>
  </r>
  <r>
    <s v="INV4851"/>
    <x v="27"/>
    <x v="0"/>
    <x v="0"/>
    <n v="60000"/>
    <n v="7"/>
    <n v="420000"/>
    <x v="1"/>
    <n v="72000"/>
    <n v="504000"/>
  </r>
  <r>
    <s v="INV4937"/>
    <x v="27"/>
    <x v="7"/>
    <x v="37"/>
    <n v="2000"/>
    <n v="8"/>
    <n v="16000"/>
    <x v="1"/>
    <n v="2400"/>
    <n v="19200"/>
  </r>
  <r>
    <s v="INV0224"/>
    <x v="28"/>
    <x v="0"/>
    <x v="19"/>
    <n v="48000"/>
    <n v="9"/>
    <n v="432000"/>
    <x v="1"/>
    <n v="57600"/>
    <n v="518400"/>
  </r>
  <r>
    <s v="INV0225"/>
    <x v="28"/>
    <x v="0"/>
    <x v="9"/>
    <n v="500"/>
    <n v="9"/>
    <n v="4500"/>
    <x v="0"/>
    <n v="600"/>
    <n v="5400"/>
  </r>
  <r>
    <s v="INV0226"/>
    <x v="28"/>
    <x v="1"/>
    <x v="1"/>
    <n v="400"/>
    <n v="10"/>
    <n v="4000"/>
    <x v="2"/>
    <n v="480"/>
    <n v="4800"/>
  </r>
  <r>
    <s v="INV0227"/>
    <x v="28"/>
    <x v="2"/>
    <x v="2"/>
    <n v="2880"/>
    <n v="10"/>
    <n v="28800"/>
    <x v="1"/>
    <n v="3456"/>
    <n v="34560"/>
  </r>
  <r>
    <s v="INV0228"/>
    <x v="28"/>
    <x v="2"/>
    <x v="2"/>
    <n v="2880"/>
    <n v="5"/>
    <n v="14400"/>
    <x v="1"/>
    <n v="3456"/>
    <n v="17280"/>
  </r>
  <r>
    <s v="INV0229"/>
    <x v="28"/>
    <x v="1"/>
    <x v="1"/>
    <n v="400"/>
    <n v="2"/>
    <n v="800"/>
    <x v="0"/>
    <n v="480"/>
    <n v="960"/>
  </r>
  <r>
    <s v="INV0230"/>
    <x v="28"/>
    <x v="1"/>
    <x v="5"/>
    <n v="3000"/>
    <n v="10"/>
    <n v="30000"/>
    <x v="1"/>
    <n v="3600"/>
    <n v="36000"/>
  </r>
  <r>
    <s v="INV0231"/>
    <x v="28"/>
    <x v="0"/>
    <x v="22"/>
    <n v="6000"/>
    <n v="1"/>
    <n v="6000"/>
    <x v="1"/>
    <n v="7200"/>
    <n v="7200"/>
  </r>
  <r>
    <s v="INV3088"/>
    <x v="28"/>
    <x v="4"/>
    <x v="45"/>
    <n v="120"/>
    <n v="4"/>
    <n v="480"/>
    <x v="0"/>
    <n v="144"/>
    <n v="576"/>
  </r>
  <r>
    <s v="INV3166"/>
    <x v="28"/>
    <x v="4"/>
    <x v="45"/>
    <n v="120"/>
    <n v="2"/>
    <n v="240"/>
    <x v="1"/>
    <n v="144"/>
    <n v="288"/>
  </r>
  <r>
    <s v="INV3426"/>
    <x v="28"/>
    <x v="0"/>
    <x v="23"/>
    <n v="600"/>
    <n v="10"/>
    <n v="6000"/>
    <x v="0"/>
    <n v="720"/>
    <n v="7200"/>
  </r>
  <r>
    <s v="INV3850"/>
    <x v="28"/>
    <x v="0"/>
    <x v="9"/>
    <n v="500"/>
    <n v="9"/>
    <n v="4500"/>
    <x v="1"/>
    <n v="600"/>
    <n v="5400"/>
  </r>
  <r>
    <s v="INV4100"/>
    <x v="28"/>
    <x v="8"/>
    <x v="44"/>
    <n v="12000"/>
    <n v="9"/>
    <n v="108000"/>
    <x v="0"/>
    <n v="14400"/>
    <n v="129600"/>
  </r>
  <r>
    <s v="INV4148"/>
    <x v="28"/>
    <x v="5"/>
    <x v="14"/>
    <n v="2800"/>
    <n v="6"/>
    <n v="16800"/>
    <x v="2"/>
    <n v="3360"/>
    <n v="20160"/>
  </r>
  <r>
    <s v="INV4203"/>
    <x v="28"/>
    <x v="8"/>
    <x v="44"/>
    <n v="12000"/>
    <n v="4"/>
    <n v="48000"/>
    <x v="2"/>
    <n v="14400"/>
    <n v="57600"/>
  </r>
  <r>
    <s v="INV4321"/>
    <x v="28"/>
    <x v="8"/>
    <x v="26"/>
    <n v="8000"/>
    <n v="6"/>
    <n v="48000"/>
    <x v="0"/>
    <n v="9600"/>
    <n v="57600"/>
  </r>
  <r>
    <s v="INV4427"/>
    <x v="28"/>
    <x v="6"/>
    <x v="13"/>
    <n v="8000"/>
    <n v="1"/>
    <n v="8000"/>
    <x v="1"/>
    <n v="9600"/>
    <n v="9600"/>
  </r>
  <r>
    <s v="INV4455"/>
    <x v="28"/>
    <x v="0"/>
    <x v="43"/>
    <n v="62000"/>
    <n v="6"/>
    <n v="372000"/>
    <x v="1"/>
    <n v="74400"/>
    <n v="446400"/>
  </r>
  <r>
    <s v="INV4519"/>
    <x v="28"/>
    <x v="5"/>
    <x v="18"/>
    <n v="15000"/>
    <n v="10"/>
    <n v="150000"/>
    <x v="0"/>
    <n v="18000"/>
    <n v="180000"/>
  </r>
  <r>
    <s v="INV4606"/>
    <x v="28"/>
    <x v="5"/>
    <x v="40"/>
    <n v="13000"/>
    <n v="5"/>
    <n v="65000"/>
    <x v="0"/>
    <n v="15600"/>
    <n v="78000"/>
  </r>
  <r>
    <s v="INV4643"/>
    <x v="28"/>
    <x v="3"/>
    <x v="33"/>
    <n v="4000"/>
    <n v="5"/>
    <n v="20000"/>
    <x v="2"/>
    <n v="4800"/>
    <n v="24000"/>
  </r>
  <r>
    <s v="INV4685"/>
    <x v="28"/>
    <x v="6"/>
    <x v="15"/>
    <n v="500"/>
    <n v="10"/>
    <n v="5000"/>
    <x v="1"/>
    <n v="600"/>
    <n v="6000"/>
  </r>
  <r>
    <s v="INV4773"/>
    <x v="28"/>
    <x v="5"/>
    <x v="14"/>
    <n v="2800"/>
    <n v="4"/>
    <n v="11200"/>
    <x v="1"/>
    <n v="3360"/>
    <n v="13440"/>
  </r>
  <r>
    <s v="INV4943"/>
    <x v="28"/>
    <x v="7"/>
    <x v="37"/>
    <n v="2000"/>
    <n v="1"/>
    <n v="2000"/>
    <x v="2"/>
    <n v="2400"/>
    <n v="2400"/>
  </r>
  <r>
    <s v="INV0232"/>
    <x v="29"/>
    <x v="3"/>
    <x v="4"/>
    <n v="1200"/>
    <n v="1"/>
    <n v="1200"/>
    <x v="2"/>
    <n v="1440"/>
    <n v="1440"/>
  </r>
  <r>
    <s v="INV0233"/>
    <x v="29"/>
    <x v="1"/>
    <x v="1"/>
    <n v="400"/>
    <n v="8"/>
    <n v="3200"/>
    <x v="0"/>
    <n v="480"/>
    <n v="3840"/>
  </r>
  <r>
    <s v="INV0234"/>
    <x v="29"/>
    <x v="1"/>
    <x v="1"/>
    <n v="400"/>
    <n v="4"/>
    <n v="1600"/>
    <x v="2"/>
    <n v="480"/>
    <n v="1920"/>
  </r>
  <r>
    <s v="INV0235"/>
    <x v="29"/>
    <x v="3"/>
    <x v="29"/>
    <n v="6900"/>
    <n v="2"/>
    <n v="13800"/>
    <x v="0"/>
    <n v="8280"/>
    <n v="16560"/>
  </r>
  <r>
    <s v="INV0236"/>
    <x v="29"/>
    <x v="1"/>
    <x v="7"/>
    <n v="5200"/>
    <n v="6"/>
    <n v="31200"/>
    <x v="2"/>
    <n v="6240"/>
    <n v="37440"/>
  </r>
  <r>
    <s v="INV0237"/>
    <x v="29"/>
    <x v="3"/>
    <x v="29"/>
    <n v="6900"/>
    <n v="1"/>
    <n v="6900"/>
    <x v="2"/>
    <n v="8280"/>
    <n v="8280"/>
  </r>
  <r>
    <s v="INV0238"/>
    <x v="29"/>
    <x v="3"/>
    <x v="21"/>
    <n v="1700"/>
    <n v="9"/>
    <n v="15300"/>
    <x v="1"/>
    <n v="2040"/>
    <n v="18360"/>
  </r>
  <r>
    <s v="INV0239"/>
    <x v="29"/>
    <x v="2"/>
    <x v="6"/>
    <n v="2880"/>
    <n v="1"/>
    <n v="2880"/>
    <x v="1"/>
    <n v="3456"/>
    <n v="3456"/>
  </r>
  <r>
    <s v="INV0240"/>
    <x v="29"/>
    <x v="3"/>
    <x v="29"/>
    <n v="6900"/>
    <n v="7"/>
    <n v="48300"/>
    <x v="1"/>
    <n v="8280"/>
    <n v="57960"/>
  </r>
  <r>
    <s v="INV2750"/>
    <x v="29"/>
    <x v="4"/>
    <x v="45"/>
    <n v="120"/>
    <n v="7"/>
    <n v="840"/>
    <x v="0"/>
    <n v="144"/>
    <n v="1008"/>
  </r>
  <r>
    <s v="INV2895"/>
    <x v="29"/>
    <x v="4"/>
    <x v="45"/>
    <n v="120"/>
    <n v="7"/>
    <n v="840"/>
    <x v="1"/>
    <n v="144"/>
    <n v="1008"/>
  </r>
  <r>
    <s v="INV3480"/>
    <x v="29"/>
    <x v="0"/>
    <x v="24"/>
    <n v="1900"/>
    <n v="6"/>
    <n v="11400"/>
    <x v="1"/>
    <n v="2280"/>
    <n v="13680"/>
  </r>
  <r>
    <s v="INV4111"/>
    <x v="29"/>
    <x v="5"/>
    <x v="25"/>
    <n v="3000"/>
    <n v="2"/>
    <n v="6000"/>
    <x v="0"/>
    <n v="3600"/>
    <n v="7200"/>
  </r>
  <r>
    <s v="INV4291"/>
    <x v="29"/>
    <x v="0"/>
    <x v="0"/>
    <n v="60000"/>
    <n v="5"/>
    <n v="300000"/>
    <x v="2"/>
    <n v="72000"/>
    <n v="360000"/>
  </r>
  <r>
    <s v="INV4327"/>
    <x v="29"/>
    <x v="6"/>
    <x v="15"/>
    <n v="500"/>
    <n v="4"/>
    <n v="2000"/>
    <x v="1"/>
    <n v="600"/>
    <n v="2400"/>
  </r>
  <r>
    <s v="INV4436"/>
    <x v="29"/>
    <x v="3"/>
    <x v="29"/>
    <n v="6900"/>
    <n v="1"/>
    <n v="6900"/>
    <x v="0"/>
    <n v="8280"/>
    <n v="8280"/>
  </r>
  <r>
    <s v="INV4505"/>
    <x v="29"/>
    <x v="0"/>
    <x v="19"/>
    <n v="48000"/>
    <n v="10"/>
    <n v="480000"/>
    <x v="0"/>
    <n v="57600"/>
    <n v="576000"/>
  </r>
  <r>
    <s v="INV4510"/>
    <x v="29"/>
    <x v="6"/>
    <x v="13"/>
    <n v="8000"/>
    <n v="8"/>
    <n v="64000"/>
    <x v="1"/>
    <n v="9600"/>
    <n v="76800"/>
  </r>
  <r>
    <s v="INV4695"/>
    <x v="29"/>
    <x v="3"/>
    <x v="46"/>
    <n v="1950"/>
    <n v="5"/>
    <n v="9750"/>
    <x v="1"/>
    <n v="2340"/>
    <n v="11700"/>
  </r>
  <r>
    <s v="INV4793"/>
    <x v="29"/>
    <x v="6"/>
    <x v="13"/>
    <n v="8000"/>
    <n v="3"/>
    <n v="24000"/>
    <x v="0"/>
    <n v="9600"/>
    <n v="28800"/>
  </r>
  <r>
    <s v="INV4795"/>
    <x v="29"/>
    <x v="5"/>
    <x v="40"/>
    <n v="13000"/>
    <n v="1"/>
    <n v="13000"/>
    <x v="1"/>
    <n v="15600"/>
    <n v="15600"/>
  </r>
  <r>
    <s v="INV0241"/>
    <x v="30"/>
    <x v="2"/>
    <x v="6"/>
    <n v="2880"/>
    <n v="2"/>
    <n v="5760"/>
    <x v="0"/>
    <n v="3456"/>
    <n v="6912"/>
  </r>
  <r>
    <s v="INV0242"/>
    <x v="30"/>
    <x v="3"/>
    <x v="21"/>
    <n v="1700"/>
    <n v="8"/>
    <n v="13600"/>
    <x v="1"/>
    <n v="2040"/>
    <n v="16320"/>
  </r>
  <r>
    <s v="INV0243"/>
    <x v="30"/>
    <x v="1"/>
    <x v="1"/>
    <n v="400"/>
    <n v="4"/>
    <n v="1600"/>
    <x v="1"/>
    <n v="480"/>
    <n v="1920"/>
  </r>
  <r>
    <s v="INV0244"/>
    <x v="30"/>
    <x v="1"/>
    <x v="7"/>
    <n v="5200"/>
    <n v="10"/>
    <n v="52000"/>
    <x v="1"/>
    <n v="6240"/>
    <n v="62400"/>
  </r>
  <r>
    <s v="INV0245"/>
    <x v="30"/>
    <x v="3"/>
    <x v="29"/>
    <n v="6900"/>
    <n v="7"/>
    <n v="48300"/>
    <x v="0"/>
    <n v="8280"/>
    <n v="57960"/>
  </r>
  <r>
    <s v="INV0246"/>
    <x v="30"/>
    <x v="0"/>
    <x v="22"/>
    <n v="6000"/>
    <n v="2"/>
    <n v="12000"/>
    <x v="0"/>
    <n v="7200"/>
    <n v="14400"/>
  </r>
  <r>
    <s v="INV0247"/>
    <x v="30"/>
    <x v="2"/>
    <x v="39"/>
    <n v="1750"/>
    <n v="8"/>
    <n v="14000"/>
    <x v="2"/>
    <n v="2100"/>
    <n v="16800"/>
  </r>
  <r>
    <s v="INV3430"/>
    <x v="30"/>
    <x v="0"/>
    <x v="24"/>
    <n v="1900"/>
    <n v="3"/>
    <n v="5700"/>
    <x v="1"/>
    <n v="2280"/>
    <n v="6840"/>
  </r>
  <r>
    <s v="INV4168"/>
    <x v="30"/>
    <x v="6"/>
    <x v="15"/>
    <n v="500"/>
    <n v="6"/>
    <n v="3000"/>
    <x v="1"/>
    <n v="600"/>
    <n v="3600"/>
  </r>
  <r>
    <s v="INV4175"/>
    <x v="30"/>
    <x v="6"/>
    <x v="13"/>
    <n v="8000"/>
    <n v="4"/>
    <n v="32000"/>
    <x v="1"/>
    <n v="9600"/>
    <n v="38400"/>
  </r>
  <r>
    <s v="INV4204"/>
    <x v="30"/>
    <x v="6"/>
    <x v="15"/>
    <n v="500"/>
    <n v="1"/>
    <n v="500"/>
    <x v="2"/>
    <n v="600"/>
    <n v="600"/>
  </r>
  <r>
    <s v="INV4235"/>
    <x v="30"/>
    <x v="5"/>
    <x v="40"/>
    <n v="13000"/>
    <n v="9"/>
    <n v="117000"/>
    <x v="1"/>
    <n v="15600"/>
    <n v="140400"/>
  </r>
  <r>
    <s v="INV4258"/>
    <x v="30"/>
    <x v="5"/>
    <x v="25"/>
    <n v="3000"/>
    <n v="6"/>
    <n v="18000"/>
    <x v="2"/>
    <n v="3600"/>
    <n v="21600"/>
  </r>
  <r>
    <s v="INV4333"/>
    <x v="30"/>
    <x v="5"/>
    <x v="18"/>
    <n v="15000"/>
    <n v="1"/>
    <n v="15000"/>
    <x v="1"/>
    <n v="18000"/>
    <n v="18000"/>
  </r>
  <r>
    <s v="INV4378"/>
    <x v="30"/>
    <x v="8"/>
    <x v="38"/>
    <n v="2000"/>
    <n v="2"/>
    <n v="4000"/>
    <x v="0"/>
    <n v="2400"/>
    <n v="4800"/>
  </r>
  <r>
    <s v="INV4402"/>
    <x v="30"/>
    <x v="6"/>
    <x v="47"/>
    <n v="12000"/>
    <n v="4"/>
    <n v="48000"/>
    <x v="2"/>
    <n v="14400"/>
    <n v="57600"/>
  </r>
  <r>
    <s v="INV4654"/>
    <x v="30"/>
    <x v="6"/>
    <x v="35"/>
    <n v="2000"/>
    <n v="4"/>
    <n v="8000"/>
    <x v="0"/>
    <n v="2400"/>
    <n v="9600"/>
  </r>
  <r>
    <s v="INV4662"/>
    <x v="30"/>
    <x v="8"/>
    <x v="28"/>
    <n v="10000"/>
    <n v="8"/>
    <n v="80000"/>
    <x v="0"/>
    <n v="12000"/>
    <n v="96000"/>
  </r>
  <r>
    <s v="INV4709"/>
    <x v="30"/>
    <x v="6"/>
    <x v="47"/>
    <n v="12000"/>
    <n v="10"/>
    <n v="120000"/>
    <x v="1"/>
    <n v="14400"/>
    <n v="144000"/>
  </r>
  <r>
    <s v="INV4727"/>
    <x v="30"/>
    <x v="6"/>
    <x v="36"/>
    <n v="1000"/>
    <n v="9"/>
    <n v="9000"/>
    <x v="2"/>
    <n v="1200"/>
    <n v="10800"/>
  </r>
  <r>
    <s v="INV4757"/>
    <x v="30"/>
    <x v="8"/>
    <x v="28"/>
    <n v="10000"/>
    <n v="10"/>
    <n v="100000"/>
    <x v="2"/>
    <n v="12000"/>
    <n v="120000"/>
  </r>
  <r>
    <s v="INV4861"/>
    <x v="30"/>
    <x v="8"/>
    <x v="26"/>
    <n v="8000"/>
    <n v="8"/>
    <n v="64000"/>
    <x v="0"/>
    <n v="9600"/>
    <n v="76800"/>
  </r>
  <r>
    <s v="INV0248"/>
    <x v="31"/>
    <x v="0"/>
    <x v="9"/>
    <n v="500"/>
    <n v="2"/>
    <n v="1000"/>
    <x v="0"/>
    <n v="600"/>
    <n v="1200"/>
  </r>
  <r>
    <s v="INV0249"/>
    <x v="31"/>
    <x v="2"/>
    <x v="2"/>
    <n v="2880"/>
    <n v="7"/>
    <n v="20160"/>
    <x v="1"/>
    <n v="3456"/>
    <n v="24192"/>
  </r>
  <r>
    <s v="INV0250"/>
    <x v="31"/>
    <x v="3"/>
    <x v="29"/>
    <n v="6900"/>
    <n v="3"/>
    <n v="20700"/>
    <x v="0"/>
    <n v="8280"/>
    <n v="24840"/>
  </r>
  <r>
    <s v="INV0251"/>
    <x v="31"/>
    <x v="2"/>
    <x v="30"/>
    <n v="2880"/>
    <n v="2"/>
    <n v="5760"/>
    <x v="0"/>
    <n v="3456"/>
    <n v="6912"/>
  </r>
  <r>
    <s v="INV0252"/>
    <x v="31"/>
    <x v="3"/>
    <x v="4"/>
    <n v="1200"/>
    <n v="6"/>
    <n v="7200"/>
    <x v="2"/>
    <n v="1440"/>
    <n v="8640"/>
  </r>
  <r>
    <s v="INV0253"/>
    <x v="31"/>
    <x v="3"/>
    <x v="4"/>
    <n v="1200"/>
    <n v="1"/>
    <n v="1200"/>
    <x v="0"/>
    <n v="1440"/>
    <n v="1440"/>
  </r>
  <r>
    <s v="INV2900"/>
    <x v="31"/>
    <x v="4"/>
    <x v="10"/>
    <n v="9100"/>
    <n v="1"/>
    <n v="9100"/>
    <x v="0"/>
    <n v="10920"/>
    <n v="10920"/>
  </r>
  <r>
    <s v="INV3916"/>
    <x v="31"/>
    <x v="3"/>
    <x v="3"/>
    <n v="800"/>
    <n v="2"/>
    <n v="1600"/>
    <x v="0"/>
    <n v="960"/>
    <n v="1920"/>
  </r>
  <r>
    <s v="INV4050"/>
    <x v="31"/>
    <x v="6"/>
    <x v="36"/>
    <n v="1000"/>
    <n v="9"/>
    <n v="9000"/>
    <x v="0"/>
    <n v="1200"/>
    <n v="10800"/>
  </r>
  <r>
    <s v="INV4062"/>
    <x v="31"/>
    <x v="3"/>
    <x v="33"/>
    <n v="4000"/>
    <n v="9"/>
    <n v="36000"/>
    <x v="1"/>
    <n v="4800"/>
    <n v="43200"/>
  </r>
  <r>
    <s v="INV4117"/>
    <x v="31"/>
    <x v="5"/>
    <x v="25"/>
    <n v="3000"/>
    <n v="7"/>
    <n v="21000"/>
    <x v="1"/>
    <n v="3600"/>
    <n v="25200"/>
  </r>
  <r>
    <s v="INV4260"/>
    <x v="31"/>
    <x v="0"/>
    <x v="43"/>
    <n v="62000"/>
    <n v="5"/>
    <n v="310000"/>
    <x v="0"/>
    <n v="74400"/>
    <n v="372000"/>
  </r>
  <r>
    <s v="INV4487"/>
    <x v="31"/>
    <x v="0"/>
    <x v="20"/>
    <n v="35000"/>
    <n v="6"/>
    <n v="210000"/>
    <x v="0"/>
    <n v="42000"/>
    <n v="252000"/>
  </r>
  <r>
    <s v="INV4529"/>
    <x v="31"/>
    <x v="7"/>
    <x v="37"/>
    <n v="2000"/>
    <n v="4"/>
    <n v="8000"/>
    <x v="2"/>
    <n v="2400"/>
    <n v="9600"/>
  </r>
  <r>
    <s v="INV0254"/>
    <x v="32"/>
    <x v="2"/>
    <x v="39"/>
    <n v="1750"/>
    <n v="10"/>
    <n v="17500"/>
    <x v="2"/>
    <n v="2100"/>
    <n v="21000"/>
  </r>
  <r>
    <s v="INV0255"/>
    <x v="32"/>
    <x v="0"/>
    <x v="19"/>
    <n v="48000"/>
    <n v="5"/>
    <n v="240000"/>
    <x v="1"/>
    <n v="57600"/>
    <n v="288000"/>
  </r>
  <r>
    <s v="INV0256"/>
    <x v="32"/>
    <x v="0"/>
    <x v="19"/>
    <n v="48000"/>
    <n v="5"/>
    <n v="240000"/>
    <x v="1"/>
    <n v="57600"/>
    <n v="288000"/>
  </r>
  <r>
    <s v="INV0257"/>
    <x v="32"/>
    <x v="1"/>
    <x v="1"/>
    <n v="400"/>
    <n v="9"/>
    <n v="3600"/>
    <x v="0"/>
    <n v="480"/>
    <n v="4320"/>
  </r>
  <r>
    <s v="INV0258"/>
    <x v="32"/>
    <x v="1"/>
    <x v="5"/>
    <n v="3000"/>
    <n v="9"/>
    <n v="27000"/>
    <x v="0"/>
    <n v="3600"/>
    <n v="32400"/>
  </r>
  <r>
    <s v="INV0259"/>
    <x v="32"/>
    <x v="1"/>
    <x v="7"/>
    <n v="5200"/>
    <n v="5"/>
    <n v="26000"/>
    <x v="0"/>
    <n v="6240"/>
    <n v="31200"/>
  </r>
  <r>
    <s v="INV0260"/>
    <x v="32"/>
    <x v="3"/>
    <x v="3"/>
    <n v="800"/>
    <n v="7"/>
    <n v="5600"/>
    <x v="1"/>
    <n v="960"/>
    <n v="6720"/>
  </r>
  <r>
    <s v="INV0261"/>
    <x v="32"/>
    <x v="0"/>
    <x v="19"/>
    <n v="48000"/>
    <n v="5"/>
    <n v="240000"/>
    <x v="0"/>
    <n v="57600"/>
    <n v="288000"/>
  </r>
  <r>
    <s v="INV0262"/>
    <x v="32"/>
    <x v="1"/>
    <x v="7"/>
    <n v="5200"/>
    <n v="3"/>
    <n v="15600"/>
    <x v="1"/>
    <n v="6240"/>
    <n v="18720"/>
  </r>
  <r>
    <s v="INV3157"/>
    <x v="32"/>
    <x v="4"/>
    <x v="10"/>
    <n v="9100"/>
    <n v="7"/>
    <n v="63700"/>
    <x v="2"/>
    <n v="10920"/>
    <n v="76440"/>
  </r>
  <r>
    <s v="INV3196"/>
    <x v="32"/>
    <x v="0"/>
    <x v="9"/>
    <n v="500"/>
    <n v="8"/>
    <n v="4000"/>
    <x v="0"/>
    <n v="600"/>
    <n v="4800"/>
  </r>
  <r>
    <s v="INV3613"/>
    <x v="32"/>
    <x v="3"/>
    <x v="21"/>
    <n v="1700"/>
    <n v="8"/>
    <n v="13600"/>
    <x v="1"/>
    <n v="2040"/>
    <n v="16320"/>
  </r>
  <r>
    <s v="INV3728"/>
    <x v="32"/>
    <x v="0"/>
    <x v="9"/>
    <n v="500"/>
    <n v="1"/>
    <n v="500"/>
    <x v="0"/>
    <n v="600"/>
    <n v="600"/>
  </r>
  <r>
    <s v="INV3989"/>
    <x v="32"/>
    <x v="3"/>
    <x v="46"/>
    <n v="1950"/>
    <n v="2"/>
    <n v="3900"/>
    <x v="1"/>
    <n v="2340"/>
    <n v="4680"/>
  </r>
  <r>
    <s v="INV4017"/>
    <x v="32"/>
    <x v="7"/>
    <x v="37"/>
    <n v="2000"/>
    <n v="1"/>
    <n v="2000"/>
    <x v="1"/>
    <n v="2400"/>
    <n v="2400"/>
  </r>
  <r>
    <s v="INV4066"/>
    <x v="32"/>
    <x v="0"/>
    <x v="43"/>
    <n v="62000"/>
    <n v="10"/>
    <n v="620000"/>
    <x v="0"/>
    <n v="74400"/>
    <n v="744000"/>
  </r>
  <r>
    <s v="INV4192"/>
    <x v="32"/>
    <x v="3"/>
    <x v="42"/>
    <n v="500"/>
    <n v="8"/>
    <n v="4000"/>
    <x v="1"/>
    <n v="600"/>
    <n v="4800"/>
  </r>
  <r>
    <s v="INV4198"/>
    <x v="32"/>
    <x v="0"/>
    <x v="43"/>
    <n v="62000"/>
    <n v="9"/>
    <n v="558000"/>
    <x v="2"/>
    <n v="74400"/>
    <n v="669600"/>
  </r>
  <r>
    <s v="INV4225"/>
    <x v="32"/>
    <x v="8"/>
    <x v="26"/>
    <n v="8000"/>
    <n v="4"/>
    <n v="32000"/>
    <x v="2"/>
    <n v="9600"/>
    <n v="38400"/>
  </r>
  <r>
    <s v="INV4318"/>
    <x v="32"/>
    <x v="6"/>
    <x v="36"/>
    <n v="1000"/>
    <n v="7"/>
    <n v="7000"/>
    <x v="0"/>
    <n v="1200"/>
    <n v="8400"/>
  </r>
  <r>
    <s v="INV4420"/>
    <x v="32"/>
    <x v="8"/>
    <x v="17"/>
    <n v="15000"/>
    <n v="10"/>
    <n v="150000"/>
    <x v="0"/>
    <n v="18000"/>
    <n v="180000"/>
  </r>
  <r>
    <s v="INV4428"/>
    <x v="32"/>
    <x v="0"/>
    <x v="43"/>
    <n v="62000"/>
    <n v="8"/>
    <n v="496000"/>
    <x v="2"/>
    <n v="74400"/>
    <n v="595200"/>
  </r>
  <r>
    <s v="INV4447"/>
    <x v="32"/>
    <x v="5"/>
    <x v="11"/>
    <n v="400"/>
    <n v="8"/>
    <n v="3200"/>
    <x v="2"/>
    <n v="480"/>
    <n v="3840"/>
  </r>
  <r>
    <s v="INV4668"/>
    <x v="32"/>
    <x v="8"/>
    <x v="28"/>
    <n v="10000"/>
    <n v="7"/>
    <n v="70000"/>
    <x v="0"/>
    <n v="12000"/>
    <n v="84000"/>
  </r>
  <r>
    <s v="INV4693"/>
    <x v="32"/>
    <x v="0"/>
    <x v="0"/>
    <n v="60000"/>
    <n v="1"/>
    <n v="60000"/>
    <x v="0"/>
    <n v="72000"/>
    <n v="72000"/>
  </r>
  <r>
    <s v="INV4863"/>
    <x v="32"/>
    <x v="6"/>
    <x v="36"/>
    <n v="1000"/>
    <n v="6"/>
    <n v="6000"/>
    <x v="1"/>
    <n v="1200"/>
    <n v="7200"/>
  </r>
  <r>
    <s v="INV4879"/>
    <x v="32"/>
    <x v="8"/>
    <x v="26"/>
    <n v="8000"/>
    <n v="2"/>
    <n v="16000"/>
    <x v="0"/>
    <n v="9600"/>
    <n v="19200"/>
  </r>
  <r>
    <s v="INV0263"/>
    <x v="33"/>
    <x v="1"/>
    <x v="7"/>
    <n v="5200"/>
    <n v="9"/>
    <n v="46800"/>
    <x v="1"/>
    <n v="6240"/>
    <n v="56160"/>
  </r>
  <r>
    <s v="INV0264"/>
    <x v="33"/>
    <x v="3"/>
    <x v="29"/>
    <n v="6900"/>
    <n v="8"/>
    <n v="55200"/>
    <x v="2"/>
    <n v="8280"/>
    <n v="66240"/>
  </r>
  <r>
    <s v="INV0265"/>
    <x v="33"/>
    <x v="1"/>
    <x v="1"/>
    <n v="400"/>
    <n v="5"/>
    <n v="2000"/>
    <x v="0"/>
    <n v="480"/>
    <n v="2400"/>
  </r>
  <r>
    <s v="INV0266"/>
    <x v="33"/>
    <x v="3"/>
    <x v="29"/>
    <n v="6900"/>
    <n v="7"/>
    <n v="48300"/>
    <x v="1"/>
    <n v="8280"/>
    <n v="57960"/>
  </r>
  <r>
    <s v="INV0267"/>
    <x v="33"/>
    <x v="3"/>
    <x v="21"/>
    <n v="1700"/>
    <n v="1"/>
    <n v="1700"/>
    <x v="2"/>
    <n v="2040"/>
    <n v="2040"/>
  </r>
  <r>
    <s v="INV2929"/>
    <x v="33"/>
    <x v="0"/>
    <x v="9"/>
    <n v="500"/>
    <n v="8"/>
    <n v="4000"/>
    <x v="0"/>
    <n v="600"/>
    <n v="4800"/>
  </r>
  <r>
    <s v="INV3094"/>
    <x v="33"/>
    <x v="0"/>
    <x v="8"/>
    <n v="3300"/>
    <n v="8"/>
    <n v="26400"/>
    <x v="2"/>
    <n v="3960"/>
    <n v="31680"/>
  </r>
  <r>
    <s v="INV3998"/>
    <x v="33"/>
    <x v="0"/>
    <x v="19"/>
    <n v="48000"/>
    <n v="7"/>
    <n v="336000"/>
    <x v="2"/>
    <n v="57600"/>
    <n v="403200"/>
  </r>
  <r>
    <s v="INV4010"/>
    <x v="33"/>
    <x v="5"/>
    <x v="14"/>
    <n v="2800"/>
    <n v="9"/>
    <n v="25200"/>
    <x v="1"/>
    <n v="3360"/>
    <n v="30240"/>
  </r>
  <r>
    <s v="INV4237"/>
    <x v="33"/>
    <x v="3"/>
    <x v="29"/>
    <n v="6900"/>
    <n v="7"/>
    <n v="48300"/>
    <x v="2"/>
    <n v="8280"/>
    <n v="57960"/>
  </r>
  <r>
    <s v="INV4280"/>
    <x v="33"/>
    <x v="8"/>
    <x v="28"/>
    <n v="10000"/>
    <n v="5"/>
    <n v="50000"/>
    <x v="2"/>
    <n v="12000"/>
    <n v="60000"/>
  </r>
  <r>
    <s v="INV4408"/>
    <x v="33"/>
    <x v="0"/>
    <x v="41"/>
    <n v="50000"/>
    <n v="5"/>
    <n v="250000"/>
    <x v="2"/>
    <n v="60000"/>
    <n v="300000"/>
  </r>
  <r>
    <s v="INV4410"/>
    <x v="33"/>
    <x v="5"/>
    <x v="14"/>
    <n v="2800"/>
    <n v="4"/>
    <n v="11200"/>
    <x v="0"/>
    <n v="3360"/>
    <n v="13440"/>
  </r>
  <r>
    <s v="INV4448"/>
    <x v="33"/>
    <x v="5"/>
    <x v="25"/>
    <n v="3000"/>
    <n v="1"/>
    <n v="3000"/>
    <x v="0"/>
    <n v="3600"/>
    <n v="3600"/>
  </r>
  <r>
    <s v="INV4514"/>
    <x v="33"/>
    <x v="5"/>
    <x v="11"/>
    <n v="400"/>
    <n v="10"/>
    <n v="4000"/>
    <x v="0"/>
    <n v="480"/>
    <n v="4800"/>
  </r>
  <r>
    <s v="INV4562"/>
    <x v="33"/>
    <x v="0"/>
    <x v="43"/>
    <n v="62000"/>
    <n v="10"/>
    <n v="620000"/>
    <x v="0"/>
    <n v="74400"/>
    <n v="744000"/>
  </r>
  <r>
    <s v="INV4600"/>
    <x v="33"/>
    <x v="3"/>
    <x v="42"/>
    <n v="500"/>
    <n v="10"/>
    <n v="5000"/>
    <x v="1"/>
    <n v="600"/>
    <n v="6000"/>
  </r>
  <r>
    <s v="INV4608"/>
    <x v="33"/>
    <x v="5"/>
    <x v="11"/>
    <n v="400"/>
    <n v="3"/>
    <n v="1200"/>
    <x v="0"/>
    <n v="480"/>
    <n v="1440"/>
  </r>
  <r>
    <s v="INV4699"/>
    <x v="33"/>
    <x v="0"/>
    <x v="19"/>
    <n v="48000"/>
    <n v="5"/>
    <n v="240000"/>
    <x v="0"/>
    <n v="57600"/>
    <n v="288000"/>
  </r>
  <r>
    <s v="INV4767"/>
    <x v="33"/>
    <x v="0"/>
    <x v="19"/>
    <n v="48000"/>
    <n v="5"/>
    <n v="240000"/>
    <x v="1"/>
    <n v="57600"/>
    <n v="288000"/>
  </r>
  <r>
    <s v="INV4895"/>
    <x v="33"/>
    <x v="8"/>
    <x v="38"/>
    <n v="2000"/>
    <n v="1"/>
    <n v="2000"/>
    <x v="0"/>
    <n v="2400"/>
    <n v="2400"/>
  </r>
  <r>
    <s v="INV0268"/>
    <x v="34"/>
    <x v="2"/>
    <x v="2"/>
    <n v="2880"/>
    <n v="4"/>
    <n v="11520"/>
    <x v="0"/>
    <n v="3456"/>
    <n v="13824"/>
  </r>
  <r>
    <s v="INV0269"/>
    <x v="34"/>
    <x v="2"/>
    <x v="2"/>
    <n v="2880"/>
    <n v="10"/>
    <n v="28800"/>
    <x v="0"/>
    <n v="3456"/>
    <n v="34560"/>
  </r>
  <r>
    <s v="INV0270"/>
    <x v="34"/>
    <x v="0"/>
    <x v="19"/>
    <n v="48000"/>
    <n v="3"/>
    <n v="144000"/>
    <x v="1"/>
    <n v="57600"/>
    <n v="172800"/>
  </r>
  <r>
    <s v="INV0271"/>
    <x v="34"/>
    <x v="2"/>
    <x v="30"/>
    <n v="2880"/>
    <n v="2"/>
    <n v="5760"/>
    <x v="1"/>
    <n v="3456"/>
    <n v="6912"/>
  </r>
  <r>
    <s v="INV0272"/>
    <x v="34"/>
    <x v="0"/>
    <x v="19"/>
    <n v="48000"/>
    <n v="5"/>
    <n v="240000"/>
    <x v="1"/>
    <n v="57600"/>
    <n v="288000"/>
  </r>
  <r>
    <s v="INV0273"/>
    <x v="34"/>
    <x v="1"/>
    <x v="5"/>
    <n v="3000"/>
    <n v="3"/>
    <n v="9000"/>
    <x v="1"/>
    <n v="3600"/>
    <n v="10800"/>
  </r>
  <r>
    <s v="INV0274"/>
    <x v="34"/>
    <x v="0"/>
    <x v="0"/>
    <n v="60000"/>
    <n v="2"/>
    <n v="120000"/>
    <x v="1"/>
    <n v="72000"/>
    <n v="144000"/>
  </r>
  <r>
    <s v="INV3069"/>
    <x v="34"/>
    <x v="0"/>
    <x v="23"/>
    <n v="600"/>
    <n v="5"/>
    <n v="3000"/>
    <x v="1"/>
    <n v="720"/>
    <n v="3600"/>
  </r>
  <r>
    <s v="INV3632"/>
    <x v="34"/>
    <x v="3"/>
    <x v="3"/>
    <n v="800"/>
    <n v="3"/>
    <n v="2400"/>
    <x v="0"/>
    <n v="960"/>
    <n v="2880"/>
  </r>
  <r>
    <s v="INV4294"/>
    <x v="34"/>
    <x v="6"/>
    <x v="13"/>
    <n v="8000"/>
    <n v="1"/>
    <n v="8000"/>
    <x v="2"/>
    <n v="9600"/>
    <n v="9600"/>
  </r>
  <r>
    <s v="INV4350"/>
    <x v="34"/>
    <x v="3"/>
    <x v="29"/>
    <n v="6900"/>
    <n v="1"/>
    <n v="6900"/>
    <x v="0"/>
    <n v="8280"/>
    <n v="8280"/>
  </r>
  <r>
    <s v="INV4367"/>
    <x v="34"/>
    <x v="6"/>
    <x v="13"/>
    <n v="8000"/>
    <n v="7"/>
    <n v="56000"/>
    <x v="1"/>
    <n v="9600"/>
    <n v="67200"/>
  </r>
  <r>
    <s v="INV4437"/>
    <x v="34"/>
    <x v="3"/>
    <x v="33"/>
    <n v="4000"/>
    <n v="9"/>
    <n v="36000"/>
    <x v="2"/>
    <n v="4800"/>
    <n v="43200"/>
  </r>
  <r>
    <s v="INV4504"/>
    <x v="34"/>
    <x v="8"/>
    <x v="26"/>
    <n v="8000"/>
    <n v="2"/>
    <n v="16000"/>
    <x v="2"/>
    <n v="9600"/>
    <n v="19200"/>
  </r>
  <r>
    <s v="INV4535"/>
    <x v="34"/>
    <x v="5"/>
    <x v="11"/>
    <n v="400"/>
    <n v="5"/>
    <n v="2000"/>
    <x v="0"/>
    <n v="480"/>
    <n v="2400"/>
  </r>
  <r>
    <s v="INV4613"/>
    <x v="34"/>
    <x v="8"/>
    <x v="38"/>
    <n v="2000"/>
    <n v="4"/>
    <n v="8000"/>
    <x v="1"/>
    <n v="2400"/>
    <n v="9600"/>
  </r>
  <r>
    <s v="INV4661"/>
    <x v="34"/>
    <x v="7"/>
    <x v="27"/>
    <n v="2500"/>
    <n v="9"/>
    <n v="22500"/>
    <x v="1"/>
    <n v="3000"/>
    <n v="27000"/>
  </r>
  <r>
    <s v="INV4672"/>
    <x v="34"/>
    <x v="0"/>
    <x v="20"/>
    <n v="35000"/>
    <n v="4"/>
    <n v="140000"/>
    <x v="0"/>
    <n v="42000"/>
    <n v="168000"/>
  </r>
  <r>
    <s v="INV4733"/>
    <x v="34"/>
    <x v="6"/>
    <x v="36"/>
    <n v="1000"/>
    <n v="7"/>
    <n v="7000"/>
    <x v="0"/>
    <n v="1200"/>
    <n v="8400"/>
  </r>
  <r>
    <s v="INV4927"/>
    <x v="34"/>
    <x v="0"/>
    <x v="43"/>
    <n v="62000"/>
    <n v="1"/>
    <n v="62000"/>
    <x v="2"/>
    <n v="74400"/>
    <n v="74400"/>
  </r>
  <r>
    <s v="INV0275"/>
    <x v="35"/>
    <x v="2"/>
    <x v="6"/>
    <n v="2880"/>
    <n v="8"/>
    <n v="23040"/>
    <x v="2"/>
    <n v="3456"/>
    <n v="27648"/>
  </r>
  <r>
    <s v="INV0276"/>
    <x v="35"/>
    <x v="0"/>
    <x v="9"/>
    <n v="500"/>
    <n v="2"/>
    <n v="1000"/>
    <x v="2"/>
    <n v="600"/>
    <n v="1200"/>
  </r>
  <r>
    <s v="INV0277"/>
    <x v="35"/>
    <x v="3"/>
    <x v="21"/>
    <n v="1700"/>
    <n v="8"/>
    <n v="13600"/>
    <x v="1"/>
    <n v="2040"/>
    <n v="16320"/>
  </r>
  <r>
    <s v="INV0278"/>
    <x v="35"/>
    <x v="0"/>
    <x v="22"/>
    <n v="6000"/>
    <n v="3"/>
    <n v="18000"/>
    <x v="0"/>
    <n v="7200"/>
    <n v="21600"/>
  </r>
  <r>
    <s v="INV0279"/>
    <x v="35"/>
    <x v="2"/>
    <x v="6"/>
    <n v="2880"/>
    <n v="6"/>
    <n v="17280"/>
    <x v="2"/>
    <n v="3456"/>
    <n v="20736"/>
  </r>
  <r>
    <s v="INV0280"/>
    <x v="35"/>
    <x v="2"/>
    <x v="30"/>
    <n v="2880"/>
    <n v="9"/>
    <n v="25920"/>
    <x v="2"/>
    <n v="3456"/>
    <n v="31104"/>
  </r>
  <r>
    <s v="INV0281"/>
    <x v="35"/>
    <x v="0"/>
    <x v="19"/>
    <n v="48000"/>
    <n v="7"/>
    <n v="336000"/>
    <x v="1"/>
    <n v="57600"/>
    <n v="403200"/>
  </r>
  <r>
    <s v="INV2898"/>
    <x v="35"/>
    <x v="0"/>
    <x v="23"/>
    <n v="600"/>
    <n v="9"/>
    <n v="5400"/>
    <x v="1"/>
    <n v="720"/>
    <n v="6480"/>
  </r>
  <r>
    <s v="INV3063"/>
    <x v="35"/>
    <x v="0"/>
    <x v="9"/>
    <n v="500"/>
    <n v="8"/>
    <n v="4000"/>
    <x v="2"/>
    <n v="600"/>
    <n v="4800"/>
  </r>
  <r>
    <s v="INV3241"/>
    <x v="35"/>
    <x v="0"/>
    <x v="19"/>
    <n v="48000"/>
    <n v="9"/>
    <n v="432000"/>
    <x v="2"/>
    <n v="57600"/>
    <n v="518400"/>
  </r>
  <r>
    <s v="INV3313"/>
    <x v="35"/>
    <x v="0"/>
    <x v="31"/>
    <n v="3600"/>
    <n v="7"/>
    <n v="25200"/>
    <x v="0"/>
    <n v="4320"/>
    <n v="30240"/>
  </r>
  <r>
    <s v="INV3389"/>
    <x v="35"/>
    <x v="0"/>
    <x v="31"/>
    <n v="3600"/>
    <n v="1"/>
    <n v="3600"/>
    <x v="2"/>
    <n v="4320"/>
    <n v="4320"/>
  </r>
  <r>
    <s v="INV3920"/>
    <x v="35"/>
    <x v="0"/>
    <x v="24"/>
    <n v="1900"/>
    <n v="8"/>
    <n v="15200"/>
    <x v="2"/>
    <n v="2280"/>
    <n v="18240"/>
  </r>
  <r>
    <s v="INV4058"/>
    <x v="35"/>
    <x v="5"/>
    <x v="14"/>
    <n v="2800"/>
    <n v="2"/>
    <n v="5600"/>
    <x v="1"/>
    <n v="3360"/>
    <n v="6720"/>
  </r>
  <r>
    <s v="INV4059"/>
    <x v="35"/>
    <x v="7"/>
    <x v="16"/>
    <n v="1000"/>
    <n v="3"/>
    <n v="3000"/>
    <x v="0"/>
    <n v="1200"/>
    <n v="3600"/>
  </r>
  <r>
    <s v="INV4090"/>
    <x v="35"/>
    <x v="7"/>
    <x v="16"/>
    <n v="1000"/>
    <n v="10"/>
    <n v="10000"/>
    <x v="0"/>
    <n v="1200"/>
    <n v="12000"/>
  </r>
  <r>
    <s v="INV4205"/>
    <x v="35"/>
    <x v="3"/>
    <x v="33"/>
    <n v="4000"/>
    <n v="6"/>
    <n v="24000"/>
    <x v="1"/>
    <n v="4800"/>
    <n v="28800"/>
  </r>
  <r>
    <s v="INV4259"/>
    <x v="35"/>
    <x v="8"/>
    <x v="38"/>
    <n v="2000"/>
    <n v="2"/>
    <n v="4000"/>
    <x v="2"/>
    <n v="2400"/>
    <n v="4800"/>
  </r>
  <r>
    <s v="INV4287"/>
    <x v="35"/>
    <x v="0"/>
    <x v="19"/>
    <n v="48000"/>
    <n v="9"/>
    <n v="432000"/>
    <x v="1"/>
    <n v="57600"/>
    <n v="518400"/>
  </r>
  <r>
    <s v="INV4500"/>
    <x v="35"/>
    <x v="7"/>
    <x v="32"/>
    <n v="1000"/>
    <n v="9"/>
    <n v="9000"/>
    <x v="1"/>
    <n v="1200"/>
    <n v="10800"/>
  </r>
  <r>
    <s v="INV4541"/>
    <x v="35"/>
    <x v="5"/>
    <x v="25"/>
    <n v="3000"/>
    <n v="3"/>
    <n v="9000"/>
    <x v="2"/>
    <n v="3600"/>
    <n v="10800"/>
  </r>
  <r>
    <s v="INV4730"/>
    <x v="35"/>
    <x v="8"/>
    <x v="17"/>
    <n v="15000"/>
    <n v="1"/>
    <n v="15000"/>
    <x v="0"/>
    <n v="18000"/>
    <n v="18000"/>
  </r>
  <r>
    <s v="INV4834"/>
    <x v="35"/>
    <x v="0"/>
    <x v="0"/>
    <n v="60000"/>
    <n v="1"/>
    <n v="60000"/>
    <x v="1"/>
    <n v="72000"/>
    <n v="72000"/>
  </r>
  <r>
    <s v="INV4845"/>
    <x v="35"/>
    <x v="0"/>
    <x v="19"/>
    <n v="48000"/>
    <n v="6"/>
    <n v="288000"/>
    <x v="0"/>
    <n v="57600"/>
    <n v="345600"/>
  </r>
  <r>
    <s v="INV4909"/>
    <x v="35"/>
    <x v="6"/>
    <x v="13"/>
    <n v="8000"/>
    <n v="2"/>
    <n v="16000"/>
    <x v="0"/>
    <n v="9600"/>
    <n v="19200"/>
  </r>
  <r>
    <s v="INV0282"/>
    <x v="36"/>
    <x v="2"/>
    <x v="6"/>
    <n v="2880"/>
    <n v="7"/>
    <n v="20160"/>
    <x v="0"/>
    <n v="3456"/>
    <n v="24192"/>
  </r>
  <r>
    <s v="INV0283"/>
    <x v="36"/>
    <x v="0"/>
    <x v="0"/>
    <n v="60000"/>
    <n v="1"/>
    <n v="60000"/>
    <x v="1"/>
    <n v="72000"/>
    <n v="72000"/>
  </r>
  <r>
    <s v="INV0284"/>
    <x v="36"/>
    <x v="0"/>
    <x v="0"/>
    <n v="60000"/>
    <n v="2"/>
    <n v="120000"/>
    <x v="2"/>
    <n v="72000"/>
    <n v="144000"/>
  </r>
  <r>
    <s v="INV0285"/>
    <x v="36"/>
    <x v="2"/>
    <x v="30"/>
    <n v="2880"/>
    <n v="6"/>
    <n v="17280"/>
    <x v="0"/>
    <n v="3456"/>
    <n v="20736"/>
  </r>
  <r>
    <s v="INV0286"/>
    <x v="36"/>
    <x v="2"/>
    <x v="30"/>
    <n v="2880"/>
    <n v="4"/>
    <n v="11520"/>
    <x v="2"/>
    <n v="3456"/>
    <n v="13824"/>
  </r>
  <r>
    <s v="INV0287"/>
    <x v="36"/>
    <x v="0"/>
    <x v="19"/>
    <n v="48000"/>
    <n v="6"/>
    <n v="288000"/>
    <x v="2"/>
    <n v="57600"/>
    <n v="345600"/>
  </r>
  <r>
    <s v="INV0288"/>
    <x v="36"/>
    <x v="2"/>
    <x v="39"/>
    <n v="1750"/>
    <n v="10"/>
    <n v="17500"/>
    <x v="0"/>
    <n v="2100"/>
    <n v="21000"/>
  </r>
  <r>
    <s v="INV0289"/>
    <x v="36"/>
    <x v="3"/>
    <x v="29"/>
    <n v="6900"/>
    <n v="5"/>
    <n v="34500"/>
    <x v="2"/>
    <n v="8280"/>
    <n v="41400"/>
  </r>
  <r>
    <s v="INV0290"/>
    <x v="36"/>
    <x v="0"/>
    <x v="19"/>
    <n v="48000"/>
    <n v="5"/>
    <n v="240000"/>
    <x v="0"/>
    <n v="57600"/>
    <n v="288000"/>
  </r>
  <r>
    <s v="INV3958"/>
    <x v="36"/>
    <x v="8"/>
    <x v="44"/>
    <n v="12000"/>
    <n v="4"/>
    <n v="48000"/>
    <x v="1"/>
    <n v="14400"/>
    <n v="57600"/>
  </r>
  <r>
    <s v="INV3982"/>
    <x v="36"/>
    <x v="0"/>
    <x v="41"/>
    <n v="50000"/>
    <n v="4"/>
    <n v="200000"/>
    <x v="2"/>
    <n v="60000"/>
    <n v="240000"/>
  </r>
  <r>
    <s v="INV3995"/>
    <x v="36"/>
    <x v="0"/>
    <x v="43"/>
    <n v="62000"/>
    <n v="9"/>
    <n v="558000"/>
    <x v="1"/>
    <n v="74400"/>
    <n v="669600"/>
  </r>
  <r>
    <s v="INV4042"/>
    <x v="36"/>
    <x v="7"/>
    <x v="34"/>
    <n v="2000"/>
    <n v="1"/>
    <n v="2000"/>
    <x v="2"/>
    <n v="2400"/>
    <n v="2400"/>
  </r>
  <r>
    <s v="INV4151"/>
    <x v="36"/>
    <x v="7"/>
    <x v="27"/>
    <n v="2500"/>
    <n v="10"/>
    <n v="25000"/>
    <x v="2"/>
    <n v="3000"/>
    <n v="30000"/>
  </r>
  <r>
    <s v="INV4326"/>
    <x v="36"/>
    <x v="8"/>
    <x v="17"/>
    <n v="15000"/>
    <n v="4"/>
    <n v="60000"/>
    <x v="2"/>
    <n v="18000"/>
    <n v="72000"/>
  </r>
  <r>
    <s v="INV4470"/>
    <x v="36"/>
    <x v="3"/>
    <x v="12"/>
    <n v="2500"/>
    <n v="6"/>
    <n v="15000"/>
    <x v="2"/>
    <n v="3000"/>
    <n v="18000"/>
  </r>
  <r>
    <s v="INV4480"/>
    <x v="36"/>
    <x v="6"/>
    <x v="35"/>
    <n v="2000"/>
    <n v="10"/>
    <n v="20000"/>
    <x v="2"/>
    <n v="2400"/>
    <n v="24000"/>
  </r>
  <r>
    <s v="INV4663"/>
    <x v="36"/>
    <x v="7"/>
    <x v="34"/>
    <n v="2000"/>
    <n v="5"/>
    <n v="10000"/>
    <x v="2"/>
    <n v="2400"/>
    <n v="12000"/>
  </r>
  <r>
    <s v="INV4673"/>
    <x v="36"/>
    <x v="7"/>
    <x v="34"/>
    <n v="2000"/>
    <n v="8"/>
    <n v="16000"/>
    <x v="2"/>
    <n v="2400"/>
    <n v="19200"/>
  </r>
  <r>
    <s v="INV4721"/>
    <x v="36"/>
    <x v="0"/>
    <x v="43"/>
    <n v="62000"/>
    <n v="1"/>
    <n v="62000"/>
    <x v="0"/>
    <n v="74400"/>
    <n v="74400"/>
  </r>
  <r>
    <s v="INV4842"/>
    <x v="36"/>
    <x v="6"/>
    <x v="35"/>
    <n v="2000"/>
    <n v="6"/>
    <n v="12000"/>
    <x v="1"/>
    <n v="2400"/>
    <n v="14400"/>
  </r>
  <r>
    <s v="INV4896"/>
    <x v="36"/>
    <x v="3"/>
    <x v="12"/>
    <n v="2500"/>
    <n v="5"/>
    <n v="12500"/>
    <x v="0"/>
    <n v="3000"/>
    <n v="15000"/>
  </r>
  <r>
    <s v="INV0291"/>
    <x v="37"/>
    <x v="0"/>
    <x v="22"/>
    <n v="6000"/>
    <n v="8"/>
    <n v="48000"/>
    <x v="0"/>
    <n v="7200"/>
    <n v="57600"/>
  </r>
  <r>
    <s v="INV0292"/>
    <x v="37"/>
    <x v="1"/>
    <x v="7"/>
    <n v="5200"/>
    <n v="4"/>
    <n v="20800"/>
    <x v="0"/>
    <n v="6240"/>
    <n v="24960"/>
  </r>
  <r>
    <s v="INV0293"/>
    <x v="37"/>
    <x v="1"/>
    <x v="1"/>
    <n v="400"/>
    <n v="9"/>
    <n v="3600"/>
    <x v="0"/>
    <n v="480"/>
    <n v="4320"/>
  </r>
  <r>
    <s v="INV0294"/>
    <x v="37"/>
    <x v="0"/>
    <x v="0"/>
    <n v="60000"/>
    <n v="8"/>
    <n v="480000"/>
    <x v="2"/>
    <n v="72000"/>
    <n v="576000"/>
  </r>
  <r>
    <s v="INV0295"/>
    <x v="37"/>
    <x v="3"/>
    <x v="4"/>
    <n v="1200"/>
    <n v="8"/>
    <n v="9600"/>
    <x v="0"/>
    <n v="1440"/>
    <n v="11520"/>
  </r>
  <r>
    <s v="INV0296"/>
    <x v="37"/>
    <x v="1"/>
    <x v="1"/>
    <n v="400"/>
    <n v="1"/>
    <n v="400"/>
    <x v="2"/>
    <n v="480"/>
    <n v="480"/>
  </r>
  <r>
    <s v="INV0297"/>
    <x v="37"/>
    <x v="3"/>
    <x v="3"/>
    <n v="800"/>
    <n v="9"/>
    <n v="7200"/>
    <x v="0"/>
    <n v="960"/>
    <n v="8640"/>
  </r>
  <r>
    <s v="INV0298"/>
    <x v="37"/>
    <x v="1"/>
    <x v="7"/>
    <n v="5200"/>
    <n v="7"/>
    <n v="36400"/>
    <x v="0"/>
    <n v="6240"/>
    <n v="43680"/>
  </r>
  <r>
    <s v="INV0299"/>
    <x v="37"/>
    <x v="0"/>
    <x v="22"/>
    <n v="6000"/>
    <n v="5"/>
    <n v="30000"/>
    <x v="2"/>
    <n v="7200"/>
    <n v="36000"/>
  </r>
  <r>
    <s v="INV0300"/>
    <x v="37"/>
    <x v="1"/>
    <x v="7"/>
    <n v="5200"/>
    <n v="1"/>
    <n v="5200"/>
    <x v="1"/>
    <n v="6240"/>
    <n v="6240"/>
  </r>
  <r>
    <s v="INV3112"/>
    <x v="37"/>
    <x v="4"/>
    <x v="45"/>
    <n v="120"/>
    <n v="8"/>
    <n v="960"/>
    <x v="1"/>
    <n v="144"/>
    <n v="1152"/>
  </r>
  <r>
    <s v="INV3179"/>
    <x v="37"/>
    <x v="0"/>
    <x v="9"/>
    <n v="500"/>
    <n v="7"/>
    <n v="3500"/>
    <x v="0"/>
    <n v="600"/>
    <n v="4200"/>
  </r>
  <r>
    <s v="INV3961"/>
    <x v="37"/>
    <x v="0"/>
    <x v="20"/>
    <n v="35000"/>
    <n v="10"/>
    <n v="350000"/>
    <x v="0"/>
    <n v="42000"/>
    <n v="420000"/>
  </r>
  <r>
    <s v="INV4005"/>
    <x v="37"/>
    <x v="7"/>
    <x v="34"/>
    <n v="2000"/>
    <n v="8"/>
    <n v="16000"/>
    <x v="2"/>
    <n v="2400"/>
    <n v="19200"/>
  </r>
  <r>
    <s v="INV4101"/>
    <x v="37"/>
    <x v="0"/>
    <x v="19"/>
    <n v="48000"/>
    <n v="6"/>
    <n v="288000"/>
    <x v="1"/>
    <n v="57600"/>
    <n v="345600"/>
  </r>
  <r>
    <s v="INV4207"/>
    <x v="37"/>
    <x v="6"/>
    <x v="35"/>
    <n v="2000"/>
    <n v="4"/>
    <n v="8000"/>
    <x v="2"/>
    <n v="2400"/>
    <n v="9600"/>
  </r>
  <r>
    <s v="INV4278"/>
    <x v="37"/>
    <x v="3"/>
    <x v="29"/>
    <n v="6900"/>
    <n v="9"/>
    <n v="62100"/>
    <x v="2"/>
    <n v="8280"/>
    <n v="74520"/>
  </r>
  <r>
    <s v="INV4387"/>
    <x v="37"/>
    <x v="6"/>
    <x v="15"/>
    <n v="500"/>
    <n v="8"/>
    <n v="4000"/>
    <x v="1"/>
    <n v="600"/>
    <n v="4800"/>
  </r>
  <r>
    <s v="INV4405"/>
    <x v="37"/>
    <x v="6"/>
    <x v="47"/>
    <n v="12000"/>
    <n v="10"/>
    <n v="120000"/>
    <x v="1"/>
    <n v="14400"/>
    <n v="144000"/>
  </r>
  <r>
    <s v="INV4476"/>
    <x v="37"/>
    <x v="0"/>
    <x v="19"/>
    <n v="48000"/>
    <n v="10"/>
    <n v="480000"/>
    <x v="0"/>
    <n v="57600"/>
    <n v="576000"/>
  </r>
  <r>
    <s v="INV4483"/>
    <x v="37"/>
    <x v="3"/>
    <x v="42"/>
    <n v="500"/>
    <n v="7"/>
    <n v="3500"/>
    <x v="2"/>
    <n v="600"/>
    <n v="4200"/>
  </r>
  <r>
    <s v="INV4540"/>
    <x v="37"/>
    <x v="5"/>
    <x v="11"/>
    <n v="400"/>
    <n v="1"/>
    <n v="400"/>
    <x v="2"/>
    <n v="480"/>
    <n v="480"/>
  </r>
  <r>
    <s v="INV4558"/>
    <x v="37"/>
    <x v="6"/>
    <x v="35"/>
    <n v="2000"/>
    <n v="1"/>
    <n v="2000"/>
    <x v="1"/>
    <n v="2400"/>
    <n v="2400"/>
  </r>
  <r>
    <s v="INV4567"/>
    <x v="37"/>
    <x v="8"/>
    <x v="17"/>
    <n v="15000"/>
    <n v="6"/>
    <n v="90000"/>
    <x v="2"/>
    <n v="18000"/>
    <n v="108000"/>
  </r>
  <r>
    <s v="INV4626"/>
    <x v="37"/>
    <x v="7"/>
    <x v="32"/>
    <n v="1000"/>
    <n v="10"/>
    <n v="10000"/>
    <x v="1"/>
    <n v="1200"/>
    <n v="12000"/>
  </r>
  <r>
    <s v="INV4648"/>
    <x v="37"/>
    <x v="8"/>
    <x v="28"/>
    <n v="10000"/>
    <n v="8"/>
    <n v="80000"/>
    <x v="2"/>
    <n v="12000"/>
    <n v="96000"/>
  </r>
  <r>
    <s v="INV4770"/>
    <x v="37"/>
    <x v="5"/>
    <x v="11"/>
    <n v="400"/>
    <n v="1"/>
    <n v="400"/>
    <x v="2"/>
    <n v="480"/>
    <n v="480"/>
  </r>
  <r>
    <s v="INV4839"/>
    <x v="37"/>
    <x v="6"/>
    <x v="47"/>
    <n v="12000"/>
    <n v="8"/>
    <n v="96000"/>
    <x v="1"/>
    <n v="14400"/>
    <n v="115200"/>
  </r>
  <r>
    <s v="INV4860"/>
    <x v="37"/>
    <x v="3"/>
    <x v="42"/>
    <n v="500"/>
    <n v="8"/>
    <n v="4000"/>
    <x v="0"/>
    <n v="600"/>
    <n v="4800"/>
  </r>
  <r>
    <s v="INV4905"/>
    <x v="37"/>
    <x v="6"/>
    <x v="15"/>
    <n v="500"/>
    <n v="6"/>
    <n v="3000"/>
    <x v="1"/>
    <n v="600"/>
    <n v="3600"/>
  </r>
  <r>
    <s v="INV4922"/>
    <x v="37"/>
    <x v="8"/>
    <x v="44"/>
    <n v="12000"/>
    <n v="2"/>
    <n v="24000"/>
    <x v="1"/>
    <n v="14400"/>
    <n v="28800"/>
  </r>
  <r>
    <s v="INV4933"/>
    <x v="37"/>
    <x v="8"/>
    <x v="44"/>
    <n v="12000"/>
    <n v="5"/>
    <n v="60000"/>
    <x v="1"/>
    <n v="14400"/>
    <n v="72000"/>
  </r>
  <r>
    <s v="INV0301"/>
    <x v="38"/>
    <x v="2"/>
    <x v="30"/>
    <n v="2880"/>
    <n v="3"/>
    <n v="8640"/>
    <x v="0"/>
    <n v="3456"/>
    <n v="10368"/>
  </r>
  <r>
    <s v="INV0302"/>
    <x v="38"/>
    <x v="2"/>
    <x v="6"/>
    <n v="2880"/>
    <n v="2"/>
    <n v="5760"/>
    <x v="1"/>
    <n v="3456"/>
    <n v="6912"/>
  </r>
  <r>
    <s v="INV0303"/>
    <x v="38"/>
    <x v="0"/>
    <x v="19"/>
    <n v="48000"/>
    <n v="3"/>
    <n v="144000"/>
    <x v="0"/>
    <n v="57600"/>
    <n v="172800"/>
  </r>
  <r>
    <s v="INV0304"/>
    <x v="38"/>
    <x v="0"/>
    <x v="9"/>
    <n v="500"/>
    <n v="3"/>
    <n v="1500"/>
    <x v="2"/>
    <n v="600"/>
    <n v="1800"/>
  </r>
  <r>
    <s v="INV0305"/>
    <x v="38"/>
    <x v="2"/>
    <x v="6"/>
    <n v="2880"/>
    <n v="7"/>
    <n v="20160"/>
    <x v="0"/>
    <n v="3456"/>
    <n v="24192"/>
  </r>
  <r>
    <s v="INV0306"/>
    <x v="38"/>
    <x v="1"/>
    <x v="7"/>
    <n v="5200"/>
    <n v="4"/>
    <n v="20800"/>
    <x v="2"/>
    <n v="6240"/>
    <n v="24960"/>
  </r>
  <r>
    <s v="INV0307"/>
    <x v="38"/>
    <x v="0"/>
    <x v="19"/>
    <n v="48000"/>
    <n v="6"/>
    <n v="288000"/>
    <x v="0"/>
    <n v="57600"/>
    <n v="345600"/>
  </r>
  <r>
    <s v="INV2875"/>
    <x v="38"/>
    <x v="0"/>
    <x v="31"/>
    <n v="3600"/>
    <n v="1"/>
    <n v="3600"/>
    <x v="1"/>
    <n v="4320"/>
    <n v="4320"/>
  </r>
  <r>
    <s v="INV2897"/>
    <x v="38"/>
    <x v="0"/>
    <x v="8"/>
    <n v="3300"/>
    <n v="3"/>
    <n v="9900"/>
    <x v="2"/>
    <n v="3960"/>
    <n v="11880"/>
  </r>
  <r>
    <s v="INV3044"/>
    <x v="38"/>
    <x v="3"/>
    <x v="21"/>
    <n v="1700"/>
    <n v="5"/>
    <n v="8500"/>
    <x v="0"/>
    <n v="2040"/>
    <n v="10200"/>
  </r>
  <r>
    <s v="INV3657"/>
    <x v="38"/>
    <x v="4"/>
    <x v="10"/>
    <n v="9100"/>
    <n v="4"/>
    <n v="36400"/>
    <x v="1"/>
    <n v="10920"/>
    <n v="43680"/>
  </r>
  <r>
    <s v="INV3667"/>
    <x v="38"/>
    <x v="0"/>
    <x v="24"/>
    <n v="1900"/>
    <n v="9"/>
    <n v="17100"/>
    <x v="0"/>
    <n v="2280"/>
    <n v="20520"/>
  </r>
  <r>
    <s v="INV3729"/>
    <x v="38"/>
    <x v="0"/>
    <x v="31"/>
    <n v="3600"/>
    <n v="3"/>
    <n v="10800"/>
    <x v="2"/>
    <n v="4320"/>
    <n v="12960"/>
  </r>
  <r>
    <s v="INV3952"/>
    <x v="38"/>
    <x v="5"/>
    <x v="40"/>
    <n v="13000"/>
    <n v="7"/>
    <n v="91000"/>
    <x v="0"/>
    <n v="15600"/>
    <n v="109200"/>
  </r>
  <r>
    <s v="INV3974"/>
    <x v="38"/>
    <x v="8"/>
    <x v="17"/>
    <n v="15000"/>
    <n v="1"/>
    <n v="15000"/>
    <x v="1"/>
    <n v="18000"/>
    <n v="18000"/>
  </r>
  <r>
    <s v="INV3990"/>
    <x v="38"/>
    <x v="5"/>
    <x v="40"/>
    <n v="13000"/>
    <n v="6"/>
    <n v="78000"/>
    <x v="0"/>
    <n v="15600"/>
    <n v="93600"/>
  </r>
  <r>
    <s v="INV4077"/>
    <x v="38"/>
    <x v="5"/>
    <x v="25"/>
    <n v="3000"/>
    <n v="9"/>
    <n v="27000"/>
    <x v="2"/>
    <n v="3600"/>
    <n v="32400"/>
  </r>
  <r>
    <s v="INV4115"/>
    <x v="38"/>
    <x v="8"/>
    <x v="17"/>
    <n v="15000"/>
    <n v="10"/>
    <n v="150000"/>
    <x v="2"/>
    <n v="18000"/>
    <n v="180000"/>
  </r>
  <r>
    <s v="INV4135"/>
    <x v="38"/>
    <x v="3"/>
    <x v="12"/>
    <n v="2500"/>
    <n v="4"/>
    <n v="10000"/>
    <x v="1"/>
    <n v="3000"/>
    <n v="12000"/>
  </r>
  <r>
    <s v="INV4370"/>
    <x v="38"/>
    <x v="8"/>
    <x v="26"/>
    <n v="8000"/>
    <n v="10"/>
    <n v="80000"/>
    <x v="0"/>
    <n v="9600"/>
    <n v="96000"/>
  </r>
  <r>
    <s v="INV4414"/>
    <x v="38"/>
    <x v="7"/>
    <x v="27"/>
    <n v="2500"/>
    <n v="7"/>
    <n v="17500"/>
    <x v="1"/>
    <n v="3000"/>
    <n v="21000"/>
  </r>
  <r>
    <s v="INV4553"/>
    <x v="38"/>
    <x v="3"/>
    <x v="12"/>
    <n v="2500"/>
    <n v="4"/>
    <n v="10000"/>
    <x v="1"/>
    <n v="3000"/>
    <n v="12000"/>
  </r>
  <r>
    <s v="INV4680"/>
    <x v="38"/>
    <x v="8"/>
    <x v="26"/>
    <n v="8000"/>
    <n v="1"/>
    <n v="8000"/>
    <x v="0"/>
    <n v="9600"/>
    <n v="9600"/>
  </r>
  <r>
    <s v="INV4760"/>
    <x v="38"/>
    <x v="5"/>
    <x v="11"/>
    <n v="400"/>
    <n v="5"/>
    <n v="2000"/>
    <x v="1"/>
    <n v="480"/>
    <n v="2400"/>
  </r>
  <r>
    <s v="INV4869"/>
    <x v="38"/>
    <x v="3"/>
    <x v="33"/>
    <n v="4000"/>
    <n v="6"/>
    <n v="24000"/>
    <x v="0"/>
    <n v="4800"/>
    <n v="28800"/>
  </r>
  <r>
    <s v="INV0308"/>
    <x v="39"/>
    <x v="3"/>
    <x v="29"/>
    <n v="6900"/>
    <n v="3"/>
    <n v="20700"/>
    <x v="2"/>
    <n v="8280"/>
    <n v="24840"/>
  </r>
  <r>
    <s v="INV0309"/>
    <x v="39"/>
    <x v="1"/>
    <x v="5"/>
    <n v="3000"/>
    <n v="3"/>
    <n v="9000"/>
    <x v="2"/>
    <n v="3600"/>
    <n v="10800"/>
  </r>
  <r>
    <s v="INV0310"/>
    <x v="39"/>
    <x v="3"/>
    <x v="29"/>
    <n v="6900"/>
    <n v="5"/>
    <n v="34500"/>
    <x v="0"/>
    <n v="8280"/>
    <n v="41400"/>
  </r>
  <r>
    <s v="INV0311"/>
    <x v="39"/>
    <x v="3"/>
    <x v="3"/>
    <n v="800"/>
    <n v="7"/>
    <n v="5600"/>
    <x v="1"/>
    <n v="960"/>
    <n v="6720"/>
  </r>
  <r>
    <s v="INV0312"/>
    <x v="39"/>
    <x v="1"/>
    <x v="1"/>
    <n v="400"/>
    <n v="8"/>
    <n v="3200"/>
    <x v="0"/>
    <n v="480"/>
    <n v="3840"/>
  </r>
  <r>
    <s v="INV0313"/>
    <x v="39"/>
    <x v="3"/>
    <x v="4"/>
    <n v="1200"/>
    <n v="7"/>
    <n v="8400"/>
    <x v="2"/>
    <n v="1440"/>
    <n v="10080"/>
  </r>
  <r>
    <s v="INV0314"/>
    <x v="39"/>
    <x v="1"/>
    <x v="1"/>
    <n v="400"/>
    <n v="5"/>
    <n v="2000"/>
    <x v="1"/>
    <n v="480"/>
    <n v="2400"/>
  </r>
  <r>
    <s v="INV0315"/>
    <x v="39"/>
    <x v="3"/>
    <x v="4"/>
    <n v="1200"/>
    <n v="1"/>
    <n v="1200"/>
    <x v="1"/>
    <n v="1440"/>
    <n v="1440"/>
  </r>
  <r>
    <s v="INV0316"/>
    <x v="39"/>
    <x v="2"/>
    <x v="6"/>
    <n v="2880"/>
    <n v="2"/>
    <n v="5760"/>
    <x v="2"/>
    <n v="3456"/>
    <n v="6912"/>
  </r>
  <r>
    <s v="INV0317"/>
    <x v="39"/>
    <x v="1"/>
    <x v="5"/>
    <n v="3000"/>
    <n v="1"/>
    <n v="3000"/>
    <x v="1"/>
    <n v="3600"/>
    <n v="3600"/>
  </r>
  <r>
    <s v="INV2856"/>
    <x v="39"/>
    <x v="0"/>
    <x v="9"/>
    <n v="500"/>
    <n v="6"/>
    <n v="3000"/>
    <x v="0"/>
    <n v="600"/>
    <n v="3600"/>
  </r>
  <r>
    <s v="INV2942"/>
    <x v="39"/>
    <x v="4"/>
    <x v="10"/>
    <n v="9100"/>
    <n v="6"/>
    <n v="54600"/>
    <x v="2"/>
    <n v="10920"/>
    <n v="65520"/>
  </r>
  <r>
    <s v="INV4045"/>
    <x v="39"/>
    <x v="6"/>
    <x v="35"/>
    <n v="2000"/>
    <n v="6"/>
    <n v="12000"/>
    <x v="1"/>
    <n v="2400"/>
    <n v="14400"/>
  </r>
  <r>
    <s v="INV4128"/>
    <x v="39"/>
    <x v="8"/>
    <x v="44"/>
    <n v="12000"/>
    <n v="7"/>
    <n v="84000"/>
    <x v="2"/>
    <n v="14400"/>
    <n v="100800"/>
  </r>
  <r>
    <s v="INV4194"/>
    <x v="39"/>
    <x v="6"/>
    <x v="47"/>
    <n v="12000"/>
    <n v="3"/>
    <n v="36000"/>
    <x v="2"/>
    <n v="14400"/>
    <n v="43200"/>
  </r>
  <r>
    <s v="INV4211"/>
    <x v="39"/>
    <x v="5"/>
    <x v="25"/>
    <n v="3000"/>
    <n v="10"/>
    <n v="30000"/>
    <x v="0"/>
    <n v="3600"/>
    <n v="36000"/>
  </r>
  <r>
    <s v="INV4264"/>
    <x v="39"/>
    <x v="0"/>
    <x v="43"/>
    <n v="62000"/>
    <n v="3"/>
    <n v="186000"/>
    <x v="1"/>
    <n v="74400"/>
    <n v="223200"/>
  </r>
  <r>
    <s v="INV4416"/>
    <x v="39"/>
    <x v="0"/>
    <x v="41"/>
    <n v="50000"/>
    <n v="1"/>
    <n v="50000"/>
    <x v="0"/>
    <n v="60000"/>
    <n v="60000"/>
  </r>
  <r>
    <s v="INV4457"/>
    <x v="39"/>
    <x v="3"/>
    <x v="46"/>
    <n v="1950"/>
    <n v="6"/>
    <n v="11700"/>
    <x v="0"/>
    <n v="2340"/>
    <n v="14040"/>
  </r>
  <r>
    <s v="INV4498"/>
    <x v="39"/>
    <x v="8"/>
    <x v="28"/>
    <n v="10000"/>
    <n v="3"/>
    <n v="30000"/>
    <x v="2"/>
    <n v="12000"/>
    <n v="36000"/>
  </r>
  <r>
    <s v="INV4847"/>
    <x v="39"/>
    <x v="0"/>
    <x v="43"/>
    <n v="62000"/>
    <n v="9"/>
    <n v="558000"/>
    <x v="2"/>
    <n v="74400"/>
    <n v="669600"/>
  </r>
  <r>
    <s v="INV4849"/>
    <x v="39"/>
    <x v="3"/>
    <x v="46"/>
    <n v="1950"/>
    <n v="4"/>
    <n v="7800"/>
    <x v="2"/>
    <n v="2340"/>
    <n v="9360"/>
  </r>
  <r>
    <s v="INV4854"/>
    <x v="39"/>
    <x v="7"/>
    <x v="37"/>
    <n v="2000"/>
    <n v="10"/>
    <n v="20000"/>
    <x v="2"/>
    <n v="2400"/>
    <n v="24000"/>
  </r>
  <r>
    <s v="INV4902"/>
    <x v="39"/>
    <x v="3"/>
    <x v="33"/>
    <n v="4000"/>
    <n v="6"/>
    <n v="24000"/>
    <x v="2"/>
    <n v="4800"/>
    <n v="28800"/>
  </r>
  <r>
    <s v="INV4945"/>
    <x v="39"/>
    <x v="0"/>
    <x v="41"/>
    <n v="50000"/>
    <n v="1"/>
    <n v="50000"/>
    <x v="2"/>
    <n v="60000"/>
    <n v="60000"/>
  </r>
  <r>
    <s v="INV0318"/>
    <x v="40"/>
    <x v="0"/>
    <x v="22"/>
    <n v="6000"/>
    <n v="9"/>
    <n v="54000"/>
    <x v="2"/>
    <n v="7200"/>
    <n v="64800"/>
  </r>
  <r>
    <s v="INV0319"/>
    <x v="40"/>
    <x v="2"/>
    <x v="2"/>
    <n v="2880"/>
    <n v="3"/>
    <n v="8640"/>
    <x v="2"/>
    <n v="3456"/>
    <n v="10368"/>
  </r>
  <r>
    <s v="INV0320"/>
    <x v="40"/>
    <x v="2"/>
    <x v="6"/>
    <n v="2880"/>
    <n v="7"/>
    <n v="20160"/>
    <x v="0"/>
    <n v="3456"/>
    <n v="24192"/>
  </r>
  <r>
    <s v="INV0321"/>
    <x v="40"/>
    <x v="2"/>
    <x v="39"/>
    <n v="1750"/>
    <n v="9"/>
    <n v="15750"/>
    <x v="0"/>
    <n v="2100"/>
    <n v="18900"/>
  </r>
  <r>
    <s v="INV0322"/>
    <x v="40"/>
    <x v="2"/>
    <x v="2"/>
    <n v="2880"/>
    <n v="1"/>
    <n v="2880"/>
    <x v="1"/>
    <n v="3456"/>
    <n v="3456"/>
  </r>
  <r>
    <s v="INV3689"/>
    <x v="40"/>
    <x v="4"/>
    <x v="45"/>
    <n v="120"/>
    <n v="9"/>
    <n v="1080"/>
    <x v="1"/>
    <n v="144"/>
    <n v="1296"/>
  </r>
  <r>
    <s v="INV3996"/>
    <x v="40"/>
    <x v="6"/>
    <x v="47"/>
    <n v="12000"/>
    <n v="6"/>
    <n v="72000"/>
    <x v="2"/>
    <n v="14400"/>
    <n v="86400"/>
  </r>
  <r>
    <s v="INV3999"/>
    <x v="40"/>
    <x v="0"/>
    <x v="19"/>
    <n v="48000"/>
    <n v="5"/>
    <n v="240000"/>
    <x v="2"/>
    <n v="57600"/>
    <n v="288000"/>
  </r>
  <r>
    <s v="INV4014"/>
    <x v="40"/>
    <x v="7"/>
    <x v="34"/>
    <n v="2000"/>
    <n v="2"/>
    <n v="4000"/>
    <x v="2"/>
    <n v="2400"/>
    <n v="4800"/>
  </r>
  <r>
    <s v="INV4080"/>
    <x v="40"/>
    <x v="5"/>
    <x v="11"/>
    <n v="400"/>
    <n v="4"/>
    <n v="1600"/>
    <x v="0"/>
    <n v="480"/>
    <n v="1920"/>
  </r>
  <r>
    <s v="INV4094"/>
    <x v="40"/>
    <x v="8"/>
    <x v="17"/>
    <n v="15000"/>
    <n v="10"/>
    <n v="150000"/>
    <x v="1"/>
    <n v="18000"/>
    <n v="180000"/>
  </r>
  <r>
    <s v="INV4136"/>
    <x v="40"/>
    <x v="3"/>
    <x v="33"/>
    <n v="4000"/>
    <n v="1"/>
    <n v="4000"/>
    <x v="2"/>
    <n v="4800"/>
    <n v="4800"/>
  </r>
  <r>
    <s v="INV4262"/>
    <x v="40"/>
    <x v="6"/>
    <x v="36"/>
    <n v="1000"/>
    <n v="10"/>
    <n v="10000"/>
    <x v="2"/>
    <n v="1200"/>
    <n v="12000"/>
  </r>
  <r>
    <s v="INV4288"/>
    <x v="40"/>
    <x v="6"/>
    <x v="15"/>
    <n v="500"/>
    <n v="3"/>
    <n v="1500"/>
    <x v="0"/>
    <n v="600"/>
    <n v="1800"/>
  </r>
  <r>
    <s v="INV4554"/>
    <x v="40"/>
    <x v="8"/>
    <x v="28"/>
    <n v="10000"/>
    <n v="7"/>
    <n v="70000"/>
    <x v="2"/>
    <n v="12000"/>
    <n v="84000"/>
  </r>
  <r>
    <s v="INV4641"/>
    <x v="40"/>
    <x v="8"/>
    <x v="17"/>
    <n v="15000"/>
    <n v="7"/>
    <n v="105000"/>
    <x v="2"/>
    <n v="18000"/>
    <n v="126000"/>
  </r>
  <r>
    <s v="INV4919"/>
    <x v="40"/>
    <x v="3"/>
    <x v="29"/>
    <n v="6900"/>
    <n v="7"/>
    <n v="48300"/>
    <x v="1"/>
    <n v="8280"/>
    <n v="57960"/>
  </r>
  <r>
    <s v="INV0323"/>
    <x v="41"/>
    <x v="0"/>
    <x v="19"/>
    <n v="48000"/>
    <n v="5"/>
    <n v="240000"/>
    <x v="2"/>
    <n v="57600"/>
    <n v="288000"/>
  </r>
  <r>
    <s v="INV0324"/>
    <x v="41"/>
    <x v="2"/>
    <x v="30"/>
    <n v="2880"/>
    <n v="3"/>
    <n v="8640"/>
    <x v="1"/>
    <n v="3456"/>
    <n v="10368"/>
  </r>
  <r>
    <s v="INV0325"/>
    <x v="41"/>
    <x v="1"/>
    <x v="7"/>
    <n v="5200"/>
    <n v="4"/>
    <n v="20800"/>
    <x v="0"/>
    <n v="6240"/>
    <n v="24960"/>
  </r>
  <r>
    <s v="INV0326"/>
    <x v="41"/>
    <x v="1"/>
    <x v="5"/>
    <n v="3000"/>
    <n v="10"/>
    <n v="30000"/>
    <x v="1"/>
    <n v="3600"/>
    <n v="36000"/>
  </r>
  <r>
    <s v="INV0327"/>
    <x v="41"/>
    <x v="0"/>
    <x v="0"/>
    <n v="60000"/>
    <n v="7"/>
    <n v="420000"/>
    <x v="1"/>
    <n v="72000"/>
    <n v="504000"/>
  </r>
  <r>
    <s v="INV0328"/>
    <x v="41"/>
    <x v="2"/>
    <x v="39"/>
    <n v="1750"/>
    <n v="4"/>
    <n v="7000"/>
    <x v="2"/>
    <n v="2100"/>
    <n v="8400"/>
  </r>
  <r>
    <s v="INV0329"/>
    <x v="41"/>
    <x v="3"/>
    <x v="29"/>
    <n v="6900"/>
    <n v="6"/>
    <n v="41400"/>
    <x v="2"/>
    <n v="8280"/>
    <n v="49680"/>
  </r>
  <r>
    <s v="INV0330"/>
    <x v="41"/>
    <x v="3"/>
    <x v="29"/>
    <n v="6900"/>
    <n v="4"/>
    <n v="27600"/>
    <x v="2"/>
    <n v="8280"/>
    <n v="33120"/>
  </r>
  <r>
    <s v="INV4019"/>
    <x v="41"/>
    <x v="8"/>
    <x v="38"/>
    <n v="2000"/>
    <n v="10"/>
    <n v="20000"/>
    <x v="0"/>
    <n v="2400"/>
    <n v="24000"/>
  </r>
  <r>
    <s v="INV4138"/>
    <x v="41"/>
    <x v="3"/>
    <x v="46"/>
    <n v="1950"/>
    <n v="3"/>
    <n v="5850"/>
    <x v="1"/>
    <n v="2340"/>
    <n v="7020"/>
  </r>
  <r>
    <s v="INV4180"/>
    <x v="41"/>
    <x v="7"/>
    <x v="27"/>
    <n v="2500"/>
    <n v="9"/>
    <n v="22500"/>
    <x v="0"/>
    <n v="3000"/>
    <n v="27000"/>
  </r>
  <r>
    <s v="INV4509"/>
    <x v="41"/>
    <x v="0"/>
    <x v="20"/>
    <n v="35000"/>
    <n v="10"/>
    <n v="350000"/>
    <x v="1"/>
    <n v="42000"/>
    <n v="420000"/>
  </r>
  <r>
    <s v="INV4708"/>
    <x v="41"/>
    <x v="0"/>
    <x v="41"/>
    <n v="50000"/>
    <n v="10"/>
    <n v="500000"/>
    <x v="1"/>
    <n v="60000"/>
    <n v="600000"/>
  </r>
  <r>
    <s v="INV4729"/>
    <x v="41"/>
    <x v="5"/>
    <x v="14"/>
    <n v="2800"/>
    <n v="4"/>
    <n v="11200"/>
    <x v="0"/>
    <n v="3360"/>
    <n v="13440"/>
  </r>
  <r>
    <s v="INV4747"/>
    <x v="41"/>
    <x v="3"/>
    <x v="33"/>
    <n v="4000"/>
    <n v="5"/>
    <n v="20000"/>
    <x v="0"/>
    <n v="4800"/>
    <n v="24000"/>
  </r>
  <r>
    <s v="INV4921"/>
    <x v="41"/>
    <x v="3"/>
    <x v="33"/>
    <n v="4000"/>
    <n v="3"/>
    <n v="12000"/>
    <x v="1"/>
    <n v="4800"/>
    <n v="14400"/>
  </r>
  <r>
    <s v="INV0331"/>
    <x v="42"/>
    <x v="0"/>
    <x v="0"/>
    <n v="60000"/>
    <n v="2"/>
    <n v="120000"/>
    <x v="0"/>
    <n v="72000"/>
    <n v="144000"/>
  </r>
  <r>
    <s v="INV0332"/>
    <x v="42"/>
    <x v="1"/>
    <x v="7"/>
    <n v="5200"/>
    <n v="5"/>
    <n v="26000"/>
    <x v="2"/>
    <n v="6240"/>
    <n v="31200"/>
  </r>
  <r>
    <s v="INV0333"/>
    <x v="42"/>
    <x v="0"/>
    <x v="9"/>
    <n v="500"/>
    <n v="7"/>
    <n v="3500"/>
    <x v="1"/>
    <n v="600"/>
    <n v="4200"/>
  </r>
  <r>
    <s v="INV0334"/>
    <x v="42"/>
    <x v="1"/>
    <x v="7"/>
    <n v="5200"/>
    <n v="5"/>
    <n v="26000"/>
    <x v="2"/>
    <n v="6240"/>
    <n v="31200"/>
  </r>
  <r>
    <s v="INV0335"/>
    <x v="42"/>
    <x v="2"/>
    <x v="39"/>
    <n v="1750"/>
    <n v="3"/>
    <n v="5250"/>
    <x v="1"/>
    <n v="2100"/>
    <n v="6300"/>
  </r>
  <r>
    <s v="INV3379"/>
    <x v="42"/>
    <x v="4"/>
    <x v="10"/>
    <n v="9100"/>
    <n v="1"/>
    <n v="9100"/>
    <x v="2"/>
    <n v="10920"/>
    <n v="10920"/>
  </r>
  <r>
    <s v="INV3473"/>
    <x v="42"/>
    <x v="0"/>
    <x v="19"/>
    <n v="48000"/>
    <n v="7"/>
    <n v="336000"/>
    <x v="0"/>
    <n v="57600"/>
    <n v="403200"/>
  </r>
  <r>
    <s v="INV3726"/>
    <x v="42"/>
    <x v="0"/>
    <x v="8"/>
    <n v="3300"/>
    <n v="10"/>
    <n v="33000"/>
    <x v="2"/>
    <n v="3960"/>
    <n v="39600"/>
  </r>
  <r>
    <s v="INV3960"/>
    <x v="42"/>
    <x v="6"/>
    <x v="13"/>
    <n v="8000"/>
    <n v="5"/>
    <n v="40000"/>
    <x v="1"/>
    <n v="9600"/>
    <n v="48000"/>
  </r>
  <r>
    <s v="INV4166"/>
    <x v="42"/>
    <x v="8"/>
    <x v="28"/>
    <n v="10000"/>
    <n v="8"/>
    <n v="80000"/>
    <x v="0"/>
    <n v="12000"/>
    <n v="96000"/>
  </r>
  <r>
    <s v="INV4431"/>
    <x v="42"/>
    <x v="3"/>
    <x v="12"/>
    <n v="2500"/>
    <n v="10"/>
    <n v="25000"/>
    <x v="0"/>
    <n v="3000"/>
    <n v="30000"/>
  </r>
  <r>
    <s v="INV4478"/>
    <x v="42"/>
    <x v="7"/>
    <x v="27"/>
    <n v="2500"/>
    <n v="6"/>
    <n v="15000"/>
    <x v="2"/>
    <n v="3000"/>
    <n v="18000"/>
  </r>
  <r>
    <s v="INV4611"/>
    <x v="42"/>
    <x v="0"/>
    <x v="43"/>
    <n v="62000"/>
    <n v="10"/>
    <n v="620000"/>
    <x v="2"/>
    <n v="74400"/>
    <n v="744000"/>
  </r>
  <r>
    <s v="INV4628"/>
    <x v="42"/>
    <x v="6"/>
    <x v="47"/>
    <n v="12000"/>
    <n v="1"/>
    <n v="12000"/>
    <x v="1"/>
    <n v="14400"/>
    <n v="14400"/>
  </r>
  <r>
    <s v="INV4690"/>
    <x v="42"/>
    <x v="5"/>
    <x v="18"/>
    <n v="15000"/>
    <n v="2"/>
    <n v="30000"/>
    <x v="1"/>
    <n v="18000"/>
    <n v="36000"/>
  </r>
  <r>
    <s v="INV4824"/>
    <x v="42"/>
    <x v="8"/>
    <x v="26"/>
    <n v="8000"/>
    <n v="1"/>
    <n v="8000"/>
    <x v="1"/>
    <n v="9600"/>
    <n v="9600"/>
  </r>
  <r>
    <s v="INV0336"/>
    <x v="43"/>
    <x v="2"/>
    <x v="6"/>
    <n v="2880"/>
    <n v="10"/>
    <n v="28800"/>
    <x v="2"/>
    <n v="3456"/>
    <n v="34560"/>
  </r>
  <r>
    <s v="INV0337"/>
    <x v="43"/>
    <x v="0"/>
    <x v="19"/>
    <n v="48000"/>
    <n v="1"/>
    <n v="48000"/>
    <x v="0"/>
    <n v="57600"/>
    <n v="57600"/>
  </r>
  <r>
    <s v="INV0338"/>
    <x v="43"/>
    <x v="3"/>
    <x v="4"/>
    <n v="1200"/>
    <n v="7"/>
    <n v="8400"/>
    <x v="2"/>
    <n v="1440"/>
    <n v="10080"/>
  </r>
  <r>
    <s v="INV0339"/>
    <x v="43"/>
    <x v="2"/>
    <x v="2"/>
    <n v="2880"/>
    <n v="1"/>
    <n v="2880"/>
    <x v="1"/>
    <n v="3456"/>
    <n v="3456"/>
  </r>
  <r>
    <s v="INV0340"/>
    <x v="43"/>
    <x v="0"/>
    <x v="22"/>
    <n v="6000"/>
    <n v="2"/>
    <n v="12000"/>
    <x v="1"/>
    <n v="7200"/>
    <n v="14400"/>
  </r>
  <r>
    <s v="INV0341"/>
    <x v="43"/>
    <x v="0"/>
    <x v="19"/>
    <n v="48000"/>
    <n v="9"/>
    <n v="432000"/>
    <x v="0"/>
    <n v="57600"/>
    <n v="518400"/>
  </r>
  <r>
    <s v="INV3135"/>
    <x v="43"/>
    <x v="3"/>
    <x v="21"/>
    <n v="1700"/>
    <n v="5"/>
    <n v="8500"/>
    <x v="1"/>
    <n v="2040"/>
    <n v="10200"/>
  </r>
  <r>
    <s v="INV3481"/>
    <x v="43"/>
    <x v="4"/>
    <x v="45"/>
    <n v="120"/>
    <n v="9"/>
    <n v="1080"/>
    <x v="1"/>
    <n v="144"/>
    <n v="1296"/>
  </r>
  <r>
    <s v="INV3720"/>
    <x v="43"/>
    <x v="3"/>
    <x v="21"/>
    <n v="1700"/>
    <n v="3"/>
    <n v="5100"/>
    <x v="1"/>
    <n v="2040"/>
    <n v="6120"/>
  </r>
  <r>
    <s v="INV3807"/>
    <x v="43"/>
    <x v="4"/>
    <x v="10"/>
    <n v="9100"/>
    <n v="9"/>
    <n v="81900"/>
    <x v="0"/>
    <n v="10920"/>
    <n v="98280"/>
  </r>
  <r>
    <s v="INV4125"/>
    <x v="43"/>
    <x v="8"/>
    <x v="44"/>
    <n v="12000"/>
    <n v="7"/>
    <n v="84000"/>
    <x v="1"/>
    <n v="14400"/>
    <n v="100800"/>
  </r>
  <r>
    <s v="INV4206"/>
    <x v="43"/>
    <x v="6"/>
    <x v="13"/>
    <n v="8000"/>
    <n v="4"/>
    <n v="32000"/>
    <x v="2"/>
    <n v="9600"/>
    <n v="38400"/>
  </r>
  <r>
    <s v="INV4340"/>
    <x v="43"/>
    <x v="6"/>
    <x v="36"/>
    <n v="1000"/>
    <n v="1"/>
    <n v="1000"/>
    <x v="0"/>
    <n v="1200"/>
    <n v="1200"/>
  </r>
  <r>
    <s v="INV4403"/>
    <x v="43"/>
    <x v="8"/>
    <x v="38"/>
    <n v="2000"/>
    <n v="5"/>
    <n v="10000"/>
    <x v="0"/>
    <n v="2400"/>
    <n v="12000"/>
  </r>
  <r>
    <s v="INV4490"/>
    <x v="43"/>
    <x v="5"/>
    <x v="25"/>
    <n v="3000"/>
    <n v="4"/>
    <n v="12000"/>
    <x v="2"/>
    <n v="3600"/>
    <n v="14400"/>
  </r>
  <r>
    <s v="INV4530"/>
    <x v="43"/>
    <x v="8"/>
    <x v="28"/>
    <n v="10000"/>
    <n v="2"/>
    <n v="20000"/>
    <x v="0"/>
    <n v="12000"/>
    <n v="24000"/>
  </r>
  <r>
    <s v="INV4715"/>
    <x v="43"/>
    <x v="5"/>
    <x v="14"/>
    <n v="2800"/>
    <n v="6"/>
    <n v="16800"/>
    <x v="2"/>
    <n v="3360"/>
    <n v="20160"/>
  </r>
  <r>
    <s v="INV4791"/>
    <x v="43"/>
    <x v="0"/>
    <x v="41"/>
    <n v="50000"/>
    <n v="2"/>
    <n v="100000"/>
    <x v="0"/>
    <n v="60000"/>
    <n v="120000"/>
  </r>
  <r>
    <s v="INV0342"/>
    <x v="44"/>
    <x v="3"/>
    <x v="4"/>
    <n v="1200"/>
    <n v="1"/>
    <n v="1200"/>
    <x v="1"/>
    <n v="1440"/>
    <n v="1440"/>
  </r>
  <r>
    <s v="INV0343"/>
    <x v="44"/>
    <x v="2"/>
    <x v="39"/>
    <n v="1750"/>
    <n v="7"/>
    <n v="12250"/>
    <x v="1"/>
    <n v="2100"/>
    <n v="14700"/>
  </r>
  <r>
    <s v="INV0344"/>
    <x v="44"/>
    <x v="1"/>
    <x v="5"/>
    <n v="3000"/>
    <n v="1"/>
    <n v="3000"/>
    <x v="1"/>
    <n v="3600"/>
    <n v="3600"/>
  </r>
  <r>
    <s v="INV0345"/>
    <x v="44"/>
    <x v="1"/>
    <x v="1"/>
    <n v="400"/>
    <n v="3"/>
    <n v="1200"/>
    <x v="0"/>
    <n v="480"/>
    <n v="1440"/>
  </r>
  <r>
    <s v="INV0346"/>
    <x v="44"/>
    <x v="0"/>
    <x v="0"/>
    <n v="60000"/>
    <n v="10"/>
    <n v="600000"/>
    <x v="1"/>
    <n v="72000"/>
    <n v="720000"/>
  </r>
  <r>
    <s v="INV3160"/>
    <x v="44"/>
    <x v="0"/>
    <x v="31"/>
    <n v="3600"/>
    <n v="7"/>
    <n v="25200"/>
    <x v="1"/>
    <n v="4320"/>
    <n v="30240"/>
  </r>
  <r>
    <s v="INV3185"/>
    <x v="44"/>
    <x v="0"/>
    <x v="9"/>
    <n v="500"/>
    <n v="1"/>
    <n v="500"/>
    <x v="2"/>
    <n v="600"/>
    <n v="600"/>
  </r>
  <r>
    <s v="INV4012"/>
    <x v="44"/>
    <x v="7"/>
    <x v="27"/>
    <n v="2500"/>
    <n v="4"/>
    <n v="10000"/>
    <x v="0"/>
    <n v="3000"/>
    <n v="12000"/>
  </r>
  <r>
    <s v="INV4068"/>
    <x v="44"/>
    <x v="6"/>
    <x v="15"/>
    <n v="500"/>
    <n v="8"/>
    <n v="4000"/>
    <x v="0"/>
    <n v="600"/>
    <n v="4800"/>
  </r>
  <r>
    <s v="INV4263"/>
    <x v="44"/>
    <x v="0"/>
    <x v="41"/>
    <n v="50000"/>
    <n v="2"/>
    <n v="100000"/>
    <x v="2"/>
    <n v="60000"/>
    <n v="120000"/>
  </r>
  <r>
    <s v="INV4292"/>
    <x v="44"/>
    <x v="5"/>
    <x v="40"/>
    <n v="13000"/>
    <n v="3"/>
    <n v="39000"/>
    <x v="2"/>
    <n v="15600"/>
    <n v="46800"/>
  </r>
  <r>
    <s v="INV4394"/>
    <x v="44"/>
    <x v="0"/>
    <x v="41"/>
    <n v="50000"/>
    <n v="10"/>
    <n v="500000"/>
    <x v="2"/>
    <n v="60000"/>
    <n v="600000"/>
  </r>
  <r>
    <s v="INV4772"/>
    <x v="44"/>
    <x v="5"/>
    <x v="11"/>
    <n v="400"/>
    <n v="7"/>
    <n v="2800"/>
    <x v="1"/>
    <n v="480"/>
    <n v="3360"/>
  </r>
  <r>
    <s v="INV4781"/>
    <x v="44"/>
    <x v="7"/>
    <x v="37"/>
    <n v="2000"/>
    <n v="1"/>
    <n v="2000"/>
    <x v="1"/>
    <n v="2400"/>
    <n v="2400"/>
  </r>
  <r>
    <s v="INV4852"/>
    <x v="44"/>
    <x v="7"/>
    <x v="37"/>
    <n v="2000"/>
    <n v="2"/>
    <n v="4000"/>
    <x v="0"/>
    <n v="2400"/>
    <n v="4800"/>
  </r>
  <r>
    <s v="INV0347"/>
    <x v="45"/>
    <x v="1"/>
    <x v="7"/>
    <n v="5200"/>
    <n v="2"/>
    <n v="10400"/>
    <x v="2"/>
    <n v="6240"/>
    <n v="12480"/>
  </r>
  <r>
    <s v="INV0348"/>
    <x v="45"/>
    <x v="2"/>
    <x v="30"/>
    <n v="2880"/>
    <n v="3"/>
    <n v="8640"/>
    <x v="0"/>
    <n v="3456"/>
    <n v="10368"/>
  </r>
  <r>
    <s v="INV0349"/>
    <x v="45"/>
    <x v="1"/>
    <x v="1"/>
    <n v="400"/>
    <n v="2"/>
    <n v="800"/>
    <x v="2"/>
    <n v="480"/>
    <n v="960"/>
  </r>
  <r>
    <s v="INV0350"/>
    <x v="45"/>
    <x v="1"/>
    <x v="7"/>
    <n v="5200"/>
    <n v="4"/>
    <n v="20800"/>
    <x v="0"/>
    <n v="6240"/>
    <n v="24960"/>
  </r>
  <r>
    <s v="INV0351"/>
    <x v="45"/>
    <x v="3"/>
    <x v="29"/>
    <n v="6900"/>
    <n v="9"/>
    <n v="62100"/>
    <x v="0"/>
    <n v="8280"/>
    <n v="74520"/>
  </r>
  <r>
    <s v="INV0352"/>
    <x v="45"/>
    <x v="0"/>
    <x v="22"/>
    <n v="6000"/>
    <n v="8"/>
    <n v="48000"/>
    <x v="1"/>
    <n v="7200"/>
    <n v="57600"/>
  </r>
  <r>
    <s v="INV0353"/>
    <x v="45"/>
    <x v="0"/>
    <x v="19"/>
    <n v="48000"/>
    <n v="10"/>
    <n v="480000"/>
    <x v="2"/>
    <n v="57600"/>
    <n v="576000"/>
  </r>
  <r>
    <s v="INV0354"/>
    <x v="45"/>
    <x v="0"/>
    <x v="22"/>
    <n v="6000"/>
    <n v="7"/>
    <n v="42000"/>
    <x v="0"/>
    <n v="7200"/>
    <n v="50400"/>
  </r>
  <r>
    <s v="INV0355"/>
    <x v="45"/>
    <x v="1"/>
    <x v="1"/>
    <n v="400"/>
    <n v="9"/>
    <n v="3600"/>
    <x v="0"/>
    <n v="480"/>
    <n v="4320"/>
  </r>
  <r>
    <s v="INV0356"/>
    <x v="45"/>
    <x v="1"/>
    <x v="1"/>
    <n v="400"/>
    <n v="1"/>
    <n v="400"/>
    <x v="1"/>
    <n v="480"/>
    <n v="480"/>
  </r>
  <r>
    <s v="INV2913"/>
    <x v="45"/>
    <x v="4"/>
    <x v="10"/>
    <n v="9100"/>
    <n v="9"/>
    <n v="81900"/>
    <x v="1"/>
    <n v="10920"/>
    <n v="98280"/>
  </r>
  <r>
    <s v="INV2925"/>
    <x v="45"/>
    <x v="0"/>
    <x v="23"/>
    <n v="600"/>
    <n v="7"/>
    <n v="4200"/>
    <x v="2"/>
    <n v="720"/>
    <n v="5040"/>
  </r>
  <r>
    <s v="INV3645"/>
    <x v="45"/>
    <x v="0"/>
    <x v="9"/>
    <n v="500"/>
    <n v="7"/>
    <n v="3500"/>
    <x v="1"/>
    <n v="600"/>
    <n v="4200"/>
  </r>
  <r>
    <s v="INV4008"/>
    <x v="45"/>
    <x v="5"/>
    <x v="11"/>
    <n v="400"/>
    <n v="3"/>
    <n v="1200"/>
    <x v="1"/>
    <n v="480"/>
    <n v="1440"/>
  </r>
  <r>
    <s v="INV4060"/>
    <x v="45"/>
    <x v="8"/>
    <x v="17"/>
    <n v="15000"/>
    <n v="7"/>
    <n v="105000"/>
    <x v="2"/>
    <n v="18000"/>
    <n v="126000"/>
  </r>
  <r>
    <s v="INV4152"/>
    <x v="45"/>
    <x v="3"/>
    <x v="12"/>
    <n v="2500"/>
    <n v="5"/>
    <n v="12500"/>
    <x v="2"/>
    <n v="3000"/>
    <n v="15000"/>
  </r>
  <r>
    <s v="INV4228"/>
    <x v="45"/>
    <x v="3"/>
    <x v="33"/>
    <n v="4000"/>
    <n v="8"/>
    <n v="32000"/>
    <x v="2"/>
    <n v="4800"/>
    <n v="38400"/>
  </r>
  <r>
    <s v="INV4270"/>
    <x v="45"/>
    <x v="7"/>
    <x v="16"/>
    <n v="1000"/>
    <n v="6"/>
    <n v="6000"/>
    <x v="0"/>
    <n v="1200"/>
    <n v="7200"/>
  </r>
  <r>
    <s v="INV4290"/>
    <x v="45"/>
    <x v="7"/>
    <x v="16"/>
    <n v="1000"/>
    <n v="7"/>
    <n v="7000"/>
    <x v="2"/>
    <n v="1200"/>
    <n v="8400"/>
  </r>
  <r>
    <s v="INV4298"/>
    <x v="45"/>
    <x v="8"/>
    <x v="38"/>
    <n v="2000"/>
    <n v="10"/>
    <n v="20000"/>
    <x v="0"/>
    <n v="2400"/>
    <n v="24000"/>
  </r>
  <r>
    <s v="INV4338"/>
    <x v="45"/>
    <x v="8"/>
    <x v="38"/>
    <n v="2000"/>
    <n v="3"/>
    <n v="6000"/>
    <x v="1"/>
    <n v="2400"/>
    <n v="7200"/>
  </r>
  <r>
    <s v="INV4404"/>
    <x v="45"/>
    <x v="0"/>
    <x v="41"/>
    <n v="50000"/>
    <n v="9"/>
    <n v="450000"/>
    <x v="0"/>
    <n v="60000"/>
    <n v="540000"/>
  </r>
  <r>
    <s v="INV4417"/>
    <x v="45"/>
    <x v="6"/>
    <x v="36"/>
    <n v="1000"/>
    <n v="1"/>
    <n v="1000"/>
    <x v="2"/>
    <n v="1200"/>
    <n v="1200"/>
  </r>
  <r>
    <s v="INV4429"/>
    <x v="45"/>
    <x v="6"/>
    <x v="35"/>
    <n v="2000"/>
    <n v="10"/>
    <n v="20000"/>
    <x v="0"/>
    <n v="2400"/>
    <n v="24000"/>
  </r>
  <r>
    <s v="INV4544"/>
    <x v="45"/>
    <x v="0"/>
    <x v="19"/>
    <n v="48000"/>
    <n v="3"/>
    <n v="144000"/>
    <x v="2"/>
    <n v="57600"/>
    <n v="172800"/>
  </r>
  <r>
    <s v="INV4621"/>
    <x v="45"/>
    <x v="7"/>
    <x v="32"/>
    <n v="1000"/>
    <n v="8"/>
    <n v="8000"/>
    <x v="0"/>
    <n v="1200"/>
    <n v="9600"/>
  </r>
  <r>
    <s v="INV4637"/>
    <x v="45"/>
    <x v="0"/>
    <x v="43"/>
    <n v="62000"/>
    <n v="3"/>
    <n v="186000"/>
    <x v="0"/>
    <n v="74400"/>
    <n v="223200"/>
  </r>
  <r>
    <s v="INV4739"/>
    <x v="45"/>
    <x v="7"/>
    <x v="32"/>
    <n v="1000"/>
    <n v="4"/>
    <n v="4000"/>
    <x v="2"/>
    <n v="1200"/>
    <n v="4800"/>
  </r>
  <r>
    <s v="INV4788"/>
    <x v="45"/>
    <x v="8"/>
    <x v="38"/>
    <n v="2000"/>
    <n v="3"/>
    <n v="6000"/>
    <x v="1"/>
    <n v="2400"/>
    <n v="7200"/>
  </r>
  <r>
    <s v="INV4806"/>
    <x v="45"/>
    <x v="7"/>
    <x v="37"/>
    <n v="2000"/>
    <n v="6"/>
    <n v="12000"/>
    <x v="1"/>
    <n v="2400"/>
    <n v="14400"/>
  </r>
  <r>
    <s v="INV4874"/>
    <x v="45"/>
    <x v="5"/>
    <x v="18"/>
    <n v="15000"/>
    <n v="1"/>
    <n v="15000"/>
    <x v="0"/>
    <n v="18000"/>
    <n v="18000"/>
  </r>
  <r>
    <s v="INV4876"/>
    <x v="45"/>
    <x v="6"/>
    <x v="15"/>
    <n v="500"/>
    <n v="9"/>
    <n v="4500"/>
    <x v="2"/>
    <n v="600"/>
    <n v="5400"/>
  </r>
  <r>
    <s v="INV0357"/>
    <x v="46"/>
    <x v="3"/>
    <x v="4"/>
    <n v="1200"/>
    <n v="2"/>
    <n v="2400"/>
    <x v="1"/>
    <n v="1440"/>
    <n v="2880"/>
  </r>
  <r>
    <s v="INV0358"/>
    <x v="46"/>
    <x v="2"/>
    <x v="30"/>
    <n v="2880"/>
    <n v="10"/>
    <n v="28800"/>
    <x v="2"/>
    <n v="3456"/>
    <n v="34560"/>
  </r>
  <r>
    <s v="INV0359"/>
    <x v="46"/>
    <x v="1"/>
    <x v="5"/>
    <n v="3000"/>
    <n v="6"/>
    <n v="18000"/>
    <x v="0"/>
    <n v="3600"/>
    <n v="21600"/>
  </r>
  <r>
    <s v="INV0360"/>
    <x v="46"/>
    <x v="1"/>
    <x v="5"/>
    <n v="3000"/>
    <n v="10"/>
    <n v="30000"/>
    <x v="2"/>
    <n v="3600"/>
    <n v="36000"/>
  </r>
  <r>
    <s v="INV0361"/>
    <x v="46"/>
    <x v="0"/>
    <x v="0"/>
    <n v="60000"/>
    <n v="9"/>
    <n v="540000"/>
    <x v="1"/>
    <n v="72000"/>
    <n v="648000"/>
  </r>
  <r>
    <s v="INV0362"/>
    <x v="46"/>
    <x v="3"/>
    <x v="21"/>
    <n v="1700"/>
    <n v="6"/>
    <n v="10200"/>
    <x v="2"/>
    <n v="2040"/>
    <n v="12240"/>
  </r>
  <r>
    <s v="INV0363"/>
    <x v="46"/>
    <x v="3"/>
    <x v="4"/>
    <n v="1200"/>
    <n v="4"/>
    <n v="4800"/>
    <x v="2"/>
    <n v="1440"/>
    <n v="5760"/>
  </r>
  <r>
    <s v="INV0364"/>
    <x v="46"/>
    <x v="3"/>
    <x v="3"/>
    <n v="800"/>
    <n v="10"/>
    <n v="8000"/>
    <x v="2"/>
    <n v="960"/>
    <n v="9600"/>
  </r>
  <r>
    <s v="INV0365"/>
    <x v="46"/>
    <x v="2"/>
    <x v="6"/>
    <n v="2880"/>
    <n v="1"/>
    <n v="2880"/>
    <x v="1"/>
    <n v="3456"/>
    <n v="3456"/>
  </r>
  <r>
    <s v="INV2957"/>
    <x v="46"/>
    <x v="4"/>
    <x v="45"/>
    <n v="120"/>
    <n v="9"/>
    <n v="1080"/>
    <x v="1"/>
    <n v="144"/>
    <n v="1296"/>
  </r>
  <r>
    <s v="INV3201"/>
    <x v="46"/>
    <x v="4"/>
    <x v="10"/>
    <n v="9100"/>
    <n v="9"/>
    <n v="81900"/>
    <x v="2"/>
    <n v="10920"/>
    <n v="98280"/>
  </r>
  <r>
    <s v="INV3709"/>
    <x v="46"/>
    <x v="3"/>
    <x v="21"/>
    <n v="1700"/>
    <n v="4"/>
    <n v="6800"/>
    <x v="1"/>
    <n v="2040"/>
    <n v="8160"/>
  </r>
  <r>
    <s v="INV3788"/>
    <x v="46"/>
    <x v="0"/>
    <x v="31"/>
    <n v="3600"/>
    <n v="2"/>
    <n v="7200"/>
    <x v="2"/>
    <n v="4320"/>
    <n v="8640"/>
  </r>
  <r>
    <s v="INV3804"/>
    <x v="46"/>
    <x v="4"/>
    <x v="45"/>
    <n v="120"/>
    <n v="3"/>
    <n v="360"/>
    <x v="1"/>
    <n v="144"/>
    <n v="432"/>
  </r>
  <r>
    <s v="INV4086"/>
    <x v="46"/>
    <x v="5"/>
    <x v="11"/>
    <n v="400"/>
    <n v="10"/>
    <n v="4000"/>
    <x v="2"/>
    <n v="480"/>
    <n v="4800"/>
  </r>
  <r>
    <s v="INV4352"/>
    <x v="46"/>
    <x v="8"/>
    <x v="44"/>
    <n v="12000"/>
    <n v="7"/>
    <n v="84000"/>
    <x v="0"/>
    <n v="14400"/>
    <n v="100800"/>
  </r>
  <r>
    <s v="INV4572"/>
    <x v="46"/>
    <x v="8"/>
    <x v="28"/>
    <n v="10000"/>
    <n v="1"/>
    <n v="10000"/>
    <x v="2"/>
    <n v="12000"/>
    <n v="12000"/>
  </r>
  <r>
    <s v="INV4592"/>
    <x v="46"/>
    <x v="6"/>
    <x v="35"/>
    <n v="2000"/>
    <n v="5"/>
    <n v="10000"/>
    <x v="2"/>
    <n v="2400"/>
    <n v="12000"/>
  </r>
  <r>
    <s v="INV4602"/>
    <x v="46"/>
    <x v="8"/>
    <x v="28"/>
    <n v="10000"/>
    <n v="4"/>
    <n v="40000"/>
    <x v="1"/>
    <n v="12000"/>
    <n v="48000"/>
  </r>
  <r>
    <s v="INV4616"/>
    <x v="46"/>
    <x v="7"/>
    <x v="27"/>
    <n v="2500"/>
    <n v="6"/>
    <n v="15000"/>
    <x v="0"/>
    <n v="3000"/>
    <n v="18000"/>
  </r>
  <r>
    <s v="INV4803"/>
    <x v="46"/>
    <x v="8"/>
    <x v="28"/>
    <n v="10000"/>
    <n v="9"/>
    <n v="90000"/>
    <x v="0"/>
    <n v="12000"/>
    <n v="108000"/>
  </r>
  <r>
    <s v="INV4818"/>
    <x v="46"/>
    <x v="0"/>
    <x v="19"/>
    <n v="48000"/>
    <n v="7"/>
    <n v="336000"/>
    <x v="2"/>
    <n v="57600"/>
    <n v="403200"/>
  </r>
  <r>
    <s v="INV0366"/>
    <x v="47"/>
    <x v="0"/>
    <x v="9"/>
    <n v="500"/>
    <n v="5"/>
    <n v="2500"/>
    <x v="1"/>
    <n v="600"/>
    <n v="3000"/>
  </r>
  <r>
    <s v="INV0367"/>
    <x v="47"/>
    <x v="0"/>
    <x v="9"/>
    <n v="500"/>
    <n v="2"/>
    <n v="1000"/>
    <x v="0"/>
    <n v="600"/>
    <n v="1200"/>
  </r>
  <r>
    <s v="INV0368"/>
    <x v="47"/>
    <x v="2"/>
    <x v="2"/>
    <n v="2880"/>
    <n v="4"/>
    <n v="11520"/>
    <x v="1"/>
    <n v="3456"/>
    <n v="13824"/>
  </r>
  <r>
    <s v="INV0369"/>
    <x v="47"/>
    <x v="0"/>
    <x v="19"/>
    <n v="48000"/>
    <n v="9"/>
    <n v="432000"/>
    <x v="2"/>
    <n v="57600"/>
    <n v="518400"/>
  </r>
  <r>
    <s v="INV0370"/>
    <x v="47"/>
    <x v="1"/>
    <x v="1"/>
    <n v="400"/>
    <n v="4"/>
    <n v="1600"/>
    <x v="1"/>
    <n v="480"/>
    <n v="1920"/>
  </r>
  <r>
    <s v="INV3018"/>
    <x v="47"/>
    <x v="0"/>
    <x v="24"/>
    <n v="1900"/>
    <n v="5"/>
    <n v="9500"/>
    <x v="1"/>
    <n v="2280"/>
    <n v="11400"/>
  </r>
  <r>
    <s v="INV3469"/>
    <x v="47"/>
    <x v="0"/>
    <x v="8"/>
    <n v="3300"/>
    <n v="6"/>
    <n v="19800"/>
    <x v="2"/>
    <n v="3960"/>
    <n v="23760"/>
  </r>
  <r>
    <s v="INV3537"/>
    <x v="47"/>
    <x v="0"/>
    <x v="9"/>
    <n v="500"/>
    <n v="5"/>
    <n v="2500"/>
    <x v="2"/>
    <n v="600"/>
    <n v="3000"/>
  </r>
  <r>
    <s v="INV3580"/>
    <x v="47"/>
    <x v="0"/>
    <x v="23"/>
    <n v="600"/>
    <n v="1"/>
    <n v="600"/>
    <x v="2"/>
    <n v="720"/>
    <n v="720"/>
  </r>
  <r>
    <s v="INV3820"/>
    <x v="47"/>
    <x v="4"/>
    <x v="45"/>
    <n v="120"/>
    <n v="10"/>
    <n v="1200"/>
    <x v="1"/>
    <n v="144"/>
    <n v="1440"/>
  </r>
  <r>
    <s v="INV3971"/>
    <x v="47"/>
    <x v="6"/>
    <x v="15"/>
    <n v="500"/>
    <n v="5"/>
    <n v="2500"/>
    <x v="0"/>
    <n v="600"/>
    <n v="3000"/>
  </r>
  <r>
    <s v="INV4081"/>
    <x v="47"/>
    <x v="6"/>
    <x v="15"/>
    <n v="500"/>
    <n v="6"/>
    <n v="3000"/>
    <x v="2"/>
    <n v="600"/>
    <n v="3600"/>
  </r>
  <r>
    <s v="INV4147"/>
    <x v="47"/>
    <x v="0"/>
    <x v="20"/>
    <n v="35000"/>
    <n v="5"/>
    <n v="175000"/>
    <x v="0"/>
    <n v="42000"/>
    <n v="210000"/>
  </r>
  <r>
    <s v="INV4170"/>
    <x v="47"/>
    <x v="6"/>
    <x v="47"/>
    <n v="12000"/>
    <n v="5"/>
    <n v="60000"/>
    <x v="1"/>
    <n v="14400"/>
    <n v="72000"/>
  </r>
  <r>
    <s v="INV4255"/>
    <x v="47"/>
    <x v="3"/>
    <x v="12"/>
    <n v="2500"/>
    <n v="8"/>
    <n v="20000"/>
    <x v="0"/>
    <n v="3000"/>
    <n v="24000"/>
  </r>
  <r>
    <s v="INV4279"/>
    <x v="47"/>
    <x v="0"/>
    <x v="43"/>
    <n v="62000"/>
    <n v="3"/>
    <n v="186000"/>
    <x v="1"/>
    <n v="74400"/>
    <n v="223200"/>
  </r>
  <r>
    <s v="INV4308"/>
    <x v="47"/>
    <x v="0"/>
    <x v="20"/>
    <n v="35000"/>
    <n v="8"/>
    <n v="280000"/>
    <x v="0"/>
    <n v="42000"/>
    <n v="336000"/>
  </r>
  <r>
    <s v="INV4477"/>
    <x v="47"/>
    <x v="5"/>
    <x v="11"/>
    <n v="400"/>
    <n v="9"/>
    <n v="3600"/>
    <x v="0"/>
    <n v="480"/>
    <n v="4320"/>
  </r>
  <r>
    <s v="INV4545"/>
    <x v="47"/>
    <x v="5"/>
    <x v="14"/>
    <n v="2800"/>
    <n v="9"/>
    <n v="25200"/>
    <x v="2"/>
    <n v="3360"/>
    <n v="30240"/>
  </r>
  <r>
    <s v="INV4666"/>
    <x v="47"/>
    <x v="8"/>
    <x v="44"/>
    <n v="12000"/>
    <n v="3"/>
    <n v="36000"/>
    <x v="0"/>
    <n v="14400"/>
    <n v="43200"/>
  </r>
  <r>
    <s v="INV4704"/>
    <x v="47"/>
    <x v="6"/>
    <x v="35"/>
    <n v="2000"/>
    <n v="8"/>
    <n v="16000"/>
    <x v="2"/>
    <n v="2400"/>
    <n v="19200"/>
  </r>
  <r>
    <s v="INV4720"/>
    <x v="47"/>
    <x v="5"/>
    <x v="18"/>
    <n v="15000"/>
    <n v="7"/>
    <n v="105000"/>
    <x v="2"/>
    <n v="18000"/>
    <n v="126000"/>
  </r>
  <r>
    <s v="INV4886"/>
    <x v="47"/>
    <x v="7"/>
    <x v="32"/>
    <n v="1000"/>
    <n v="3"/>
    <n v="3000"/>
    <x v="1"/>
    <n v="1200"/>
    <n v="3600"/>
  </r>
  <r>
    <s v="INV0371"/>
    <x v="48"/>
    <x v="3"/>
    <x v="21"/>
    <n v="1700"/>
    <n v="7"/>
    <n v="11900"/>
    <x v="0"/>
    <n v="2040"/>
    <n v="14280"/>
  </r>
  <r>
    <s v="INV0372"/>
    <x v="48"/>
    <x v="1"/>
    <x v="7"/>
    <n v="5200"/>
    <n v="3"/>
    <n v="15600"/>
    <x v="1"/>
    <n v="6240"/>
    <n v="18720"/>
  </r>
  <r>
    <s v="INV0373"/>
    <x v="48"/>
    <x v="0"/>
    <x v="22"/>
    <n v="6000"/>
    <n v="4"/>
    <n v="24000"/>
    <x v="0"/>
    <n v="7200"/>
    <n v="28800"/>
  </r>
  <r>
    <s v="INV0374"/>
    <x v="48"/>
    <x v="0"/>
    <x v="19"/>
    <n v="48000"/>
    <n v="9"/>
    <n v="432000"/>
    <x v="2"/>
    <n v="57600"/>
    <n v="518400"/>
  </r>
  <r>
    <s v="INV0375"/>
    <x v="48"/>
    <x v="0"/>
    <x v="9"/>
    <n v="500"/>
    <n v="2"/>
    <n v="1000"/>
    <x v="1"/>
    <n v="600"/>
    <n v="1200"/>
  </r>
  <r>
    <s v="INV0376"/>
    <x v="48"/>
    <x v="3"/>
    <x v="21"/>
    <n v="1700"/>
    <n v="4"/>
    <n v="6800"/>
    <x v="1"/>
    <n v="2040"/>
    <n v="8160"/>
  </r>
  <r>
    <s v="INV0377"/>
    <x v="48"/>
    <x v="3"/>
    <x v="29"/>
    <n v="6900"/>
    <n v="3"/>
    <n v="20700"/>
    <x v="2"/>
    <n v="8280"/>
    <n v="24840"/>
  </r>
  <r>
    <s v="INV0378"/>
    <x v="48"/>
    <x v="0"/>
    <x v="9"/>
    <n v="500"/>
    <n v="1"/>
    <n v="500"/>
    <x v="0"/>
    <n v="600"/>
    <n v="600"/>
  </r>
  <r>
    <s v="INV0379"/>
    <x v="48"/>
    <x v="1"/>
    <x v="1"/>
    <n v="400"/>
    <n v="1"/>
    <n v="400"/>
    <x v="0"/>
    <n v="480"/>
    <n v="480"/>
  </r>
  <r>
    <s v="INV3572"/>
    <x v="48"/>
    <x v="3"/>
    <x v="3"/>
    <n v="800"/>
    <n v="8"/>
    <n v="6400"/>
    <x v="1"/>
    <n v="960"/>
    <n v="7680"/>
  </r>
  <r>
    <s v="INV3777"/>
    <x v="48"/>
    <x v="4"/>
    <x v="10"/>
    <n v="9100"/>
    <n v="10"/>
    <n v="91000"/>
    <x v="1"/>
    <n v="10920"/>
    <n v="109200"/>
  </r>
  <r>
    <s v="INV3935"/>
    <x v="48"/>
    <x v="3"/>
    <x v="3"/>
    <n v="800"/>
    <n v="9"/>
    <n v="7200"/>
    <x v="0"/>
    <n v="960"/>
    <n v="8640"/>
  </r>
  <r>
    <s v="INV4083"/>
    <x v="48"/>
    <x v="8"/>
    <x v="38"/>
    <n v="2000"/>
    <n v="3"/>
    <n v="6000"/>
    <x v="1"/>
    <n v="2400"/>
    <n v="7200"/>
  </r>
  <r>
    <s v="INV4085"/>
    <x v="48"/>
    <x v="3"/>
    <x v="29"/>
    <n v="6900"/>
    <n v="6"/>
    <n v="41400"/>
    <x v="2"/>
    <n v="8280"/>
    <n v="49680"/>
  </r>
  <r>
    <s v="INV4240"/>
    <x v="48"/>
    <x v="6"/>
    <x v="35"/>
    <n v="2000"/>
    <n v="1"/>
    <n v="2000"/>
    <x v="2"/>
    <n v="2400"/>
    <n v="2400"/>
  </r>
  <r>
    <s v="INV4267"/>
    <x v="48"/>
    <x v="7"/>
    <x v="32"/>
    <n v="1000"/>
    <n v="4"/>
    <n v="4000"/>
    <x v="1"/>
    <n v="1200"/>
    <n v="4800"/>
  </r>
  <r>
    <s v="INV4934"/>
    <x v="48"/>
    <x v="7"/>
    <x v="37"/>
    <n v="2000"/>
    <n v="2"/>
    <n v="4000"/>
    <x v="2"/>
    <n v="2400"/>
    <n v="4800"/>
  </r>
  <r>
    <s v="INV4942"/>
    <x v="48"/>
    <x v="6"/>
    <x v="35"/>
    <n v="2000"/>
    <n v="1"/>
    <n v="2000"/>
    <x v="0"/>
    <n v="2400"/>
    <n v="2400"/>
  </r>
  <r>
    <s v="INV4947"/>
    <x v="48"/>
    <x v="8"/>
    <x v="28"/>
    <n v="10000"/>
    <n v="7"/>
    <n v="70000"/>
    <x v="0"/>
    <n v="12000"/>
    <n v="84000"/>
  </r>
  <r>
    <s v="INV0380"/>
    <x v="49"/>
    <x v="3"/>
    <x v="29"/>
    <n v="6900"/>
    <n v="6"/>
    <n v="41400"/>
    <x v="1"/>
    <n v="8280"/>
    <n v="49680"/>
  </r>
  <r>
    <s v="INV0381"/>
    <x v="49"/>
    <x v="2"/>
    <x v="39"/>
    <n v="1750"/>
    <n v="5"/>
    <n v="8750"/>
    <x v="2"/>
    <n v="2100"/>
    <n v="10500"/>
  </r>
  <r>
    <s v="INV0382"/>
    <x v="49"/>
    <x v="3"/>
    <x v="3"/>
    <n v="800"/>
    <n v="9"/>
    <n v="7200"/>
    <x v="0"/>
    <n v="960"/>
    <n v="8640"/>
  </r>
  <r>
    <s v="INV0383"/>
    <x v="49"/>
    <x v="2"/>
    <x v="30"/>
    <n v="2880"/>
    <n v="1"/>
    <n v="2880"/>
    <x v="2"/>
    <n v="3456"/>
    <n v="3456"/>
  </r>
  <r>
    <s v="INV0384"/>
    <x v="49"/>
    <x v="3"/>
    <x v="29"/>
    <n v="6900"/>
    <n v="4"/>
    <n v="27600"/>
    <x v="0"/>
    <n v="8280"/>
    <n v="33120"/>
  </r>
  <r>
    <s v="INV0385"/>
    <x v="49"/>
    <x v="3"/>
    <x v="4"/>
    <n v="1200"/>
    <n v="1"/>
    <n v="1200"/>
    <x v="1"/>
    <n v="1440"/>
    <n v="1440"/>
  </r>
  <r>
    <s v="INV0386"/>
    <x v="49"/>
    <x v="0"/>
    <x v="22"/>
    <n v="6000"/>
    <n v="3"/>
    <n v="18000"/>
    <x v="0"/>
    <n v="7200"/>
    <n v="21600"/>
  </r>
  <r>
    <s v="INV0387"/>
    <x v="49"/>
    <x v="1"/>
    <x v="5"/>
    <n v="3000"/>
    <n v="2"/>
    <n v="6000"/>
    <x v="2"/>
    <n v="3600"/>
    <n v="7200"/>
  </r>
  <r>
    <s v="INV2761"/>
    <x v="49"/>
    <x v="0"/>
    <x v="9"/>
    <n v="500"/>
    <n v="1"/>
    <n v="500"/>
    <x v="2"/>
    <n v="600"/>
    <n v="600"/>
  </r>
  <r>
    <s v="INV3205"/>
    <x v="49"/>
    <x v="3"/>
    <x v="3"/>
    <n v="800"/>
    <n v="10"/>
    <n v="8000"/>
    <x v="0"/>
    <n v="960"/>
    <n v="9600"/>
  </r>
  <r>
    <s v="INV3499"/>
    <x v="49"/>
    <x v="4"/>
    <x v="10"/>
    <n v="9100"/>
    <n v="8"/>
    <n v="72800"/>
    <x v="0"/>
    <n v="10920"/>
    <n v="87360"/>
  </r>
  <r>
    <s v="INV4312"/>
    <x v="49"/>
    <x v="0"/>
    <x v="0"/>
    <n v="60000"/>
    <n v="4"/>
    <n v="240000"/>
    <x v="0"/>
    <n v="72000"/>
    <n v="288000"/>
  </r>
  <r>
    <s v="INV4624"/>
    <x v="49"/>
    <x v="5"/>
    <x v="11"/>
    <n v="400"/>
    <n v="7"/>
    <n v="2800"/>
    <x v="2"/>
    <n v="480"/>
    <n v="3360"/>
  </r>
  <r>
    <s v="INV4646"/>
    <x v="49"/>
    <x v="6"/>
    <x v="15"/>
    <n v="500"/>
    <n v="9"/>
    <n v="4500"/>
    <x v="1"/>
    <n v="600"/>
    <n v="5400"/>
  </r>
  <r>
    <s v="INV4660"/>
    <x v="49"/>
    <x v="6"/>
    <x v="35"/>
    <n v="2000"/>
    <n v="9"/>
    <n v="18000"/>
    <x v="1"/>
    <n v="2400"/>
    <n v="21600"/>
  </r>
  <r>
    <s v="INV4728"/>
    <x v="49"/>
    <x v="7"/>
    <x v="32"/>
    <n v="1000"/>
    <n v="8"/>
    <n v="8000"/>
    <x v="2"/>
    <n v="1200"/>
    <n v="9600"/>
  </r>
  <r>
    <s v="INV4734"/>
    <x v="49"/>
    <x v="6"/>
    <x v="15"/>
    <n v="500"/>
    <n v="8"/>
    <n v="4000"/>
    <x v="1"/>
    <n v="600"/>
    <n v="4800"/>
  </r>
  <r>
    <s v="INV4799"/>
    <x v="49"/>
    <x v="8"/>
    <x v="38"/>
    <n v="2000"/>
    <n v="2"/>
    <n v="4000"/>
    <x v="0"/>
    <n v="2400"/>
    <n v="4800"/>
  </r>
  <r>
    <s v="INV4891"/>
    <x v="49"/>
    <x v="7"/>
    <x v="32"/>
    <n v="1000"/>
    <n v="5"/>
    <n v="5000"/>
    <x v="2"/>
    <n v="1200"/>
    <n v="6000"/>
  </r>
  <r>
    <s v="INV4907"/>
    <x v="49"/>
    <x v="0"/>
    <x v="19"/>
    <n v="48000"/>
    <n v="9"/>
    <n v="432000"/>
    <x v="2"/>
    <n v="57600"/>
    <n v="518400"/>
  </r>
  <r>
    <s v="INV0388"/>
    <x v="50"/>
    <x v="0"/>
    <x v="9"/>
    <n v="500"/>
    <n v="6"/>
    <n v="3000"/>
    <x v="1"/>
    <n v="600"/>
    <n v="3600"/>
  </r>
  <r>
    <s v="INV0389"/>
    <x v="50"/>
    <x v="2"/>
    <x v="2"/>
    <n v="2880"/>
    <n v="5"/>
    <n v="14400"/>
    <x v="1"/>
    <n v="3456"/>
    <n v="17280"/>
  </r>
  <r>
    <s v="INV0390"/>
    <x v="50"/>
    <x v="2"/>
    <x v="2"/>
    <n v="2880"/>
    <n v="10"/>
    <n v="28800"/>
    <x v="2"/>
    <n v="3456"/>
    <n v="34560"/>
  </r>
  <r>
    <s v="INV0391"/>
    <x v="50"/>
    <x v="2"/>
    <x v="39"/>
    <n v="1750"/>
    <n v="6"/>
    <n v="10500"/>
    <x v="1"/>
    <n v="2100"/>
    <n v="12600"/>
  </r>
  <r>
    <s v="INV0392"/>
    <x v="50"/>
    <x v="2"/>
    <x v="2"/>
    <n v="2880"/>
    <n v="2"/>
    <n v="5760"/>
    <x v="2"/>
    <n v="3456"/>
    <n v="6912"/>
  </r>
  <r>
    <s v="INV3200"/>
    <x v="50"/>
    <x v="0"/>
    <x v="8"/>
    <n v="3300"/>
    <n v="2"/>
    <n v="6600"/>
    <x v="2"/>
    <n v="3960"/>
    <n v="7920"/>
  </r>
  <r>
    <s v="INV3365"/>
    <x v="50"/>
    <x v="0"/>
    <x v="23"/>
    <n v="600"/>
    <n v="4"/>
    <n v="2400"/>
    <x v="1"/>
    <n v="720"/>
    <n v="2880"/>
  </r>
  <r>
    <s v="INV3755"/>
    <x v="50"/>
    <x v="0"/>
    <x v="9"/>
    <n v="500"/>
    <n v="1"/>
    <n v="500"/>
    <x v="0"/>
    <n v="600"/>
    <n v="600"/>
  </r>
  <r>
    <s v="INV3957"/>
    <x v="50"/>
    <x v="0"/>
    <x v="19"/>
    <n v="48000"/>
    <n v="3"/>
    <n v="144000"/>
    <x v="2"/>
    <n v="57600"/>
    <n v="172800"/>
  </r>
  <r>
    <s v="INV4103"/>
    <x v="50"/>
    <x v="0"/>
    <x v="20"/>
    <n v="35000"/>
    <n v="5"/>
    <n v="175000"/>
    <x v="1"/>
    <n v="42000"/>
    <n v="210000"/>
  </r>
  <r>
    <s v="INV4112"/>
    <x v="50"/>
    <x v="0"/>
    <x v="43"/>
    <n v="62000"/>
    <n v="10"/>
    <n v="620000"/>
    <x v="0"/>
    <n v="74400"/>
    <n v="744000"/>
  </r>
  <r>
    <s v="INV4233"/>
    <x v="50"/>
    <x v="7"/>
    <x v="37"/>
    <n v="2000"/>
    <n v="5"/>
    <n v="10000"/>
    <x v="2"/>
    <n v="2400"/>
    <n v="12000"/>
  </r>
  <r>
    <s v="INV4335"/>
    <x v="50"/>
    <x v="7"/>
    <x v="16"/>
    <n v="1000"/>
    <n v="10"/>
    <n v="10000"/>
    <x v="1"/>
    <n v="1200"/>
    <n v="12000"/>
  </r>
  <r>
    <s v="INV4524"/>
    <x v="50"/>
    <x v="0"/>
    <x v="20"/>
    <n v="35000"/>
    <n v="4"/>
    <n v="140000"/>
    <x v="0"/>
    <n v="42000"/>
    <n v="168000"/>
  </r>
  <r>
    <s v="INV4614"/>
    <x v="50"/>
    <x v="0"/>
    <x v="41"/>
    <n v="50000"/>
    <n v="3"/>
    <n v="150000"/>
    <x v="1"/>
    <n v="60000"/>
    <n v="180000"/>
  </r>
  <r>
    <s v="INV4691"/>
    <x v="50"/>
    <x v="3"/>
    <x v="29"/>
    <n v="6900"/>
    <n v="2"/>
    <n v="13800"/>
    <x v="0"/>
    <n v="8280"/>
    <n v="16560"/>
  </r>
  <r>
    <s v="INV4808"/>
    <x v="50"/>
    <x v="3"/>
    <x v="33"/>
    <n v="4000"/>
    <n v="1"/>
    <n v="4000"/>
    <x v="2"/>
    <n v="4800"/>
    <n v="4800"/>
  </r>
  <r>
    <s v="INV4830"/>
    <x v="50"/>
    <x v="5"/>
    <x v="11"/>
    <n v="400"/>
    <n v="10"/>
    <n v="4000"/>
    <x v="2"/>
    <n v="480"/>
    <n v="4800"/>
  </r>
  <r>
    <s v="INV0393"/>
    <x v="51"/>
    <x v="2"/>
    <x v="6"/>
    <n v="2880"/>
    <n v="1"/>
    <n v="2880"/>
    <x v="0"/>
    <n v="3456"/>
    <n v="3456"/>
  </r>
  <r>
    <s v="INV0394"/>
    <x v="51"/>
    <x v="0"/>
    <x v="9"/>
    <n v="500"/>
    <n v="4"/>
    <n v="2000"/>
    <x v="1"/>
    <n v="600"/>
    <n v="2400"/>
  </r>
  <r>
    <s v="INV0395"/>
    <x v="51"/>
    <x v="3"/>
    <x v="4"/>
    <n v="1200"/>
    <n v="10"/>
    <n v="12000"/>
    <x v="1"/>
    <n v="1440"/>
    <n v="14400"/>
  </r>
  <r>
    <s v="INV0396"/>
    <x v="51"/>
    <x v="0"/>
    <x v="19"/>
    <n v="48000"/>
    <n v="6"/>
    <n v="288000"/>
    <x v="1"/>
    <n v="57600"/>
    <n v="345600"/>
  </r>
  <r>
    <s v="INV0397"/>
    <x v="51"/>
    <x v="0"/>
    <x v="9"/>
    <n v="500"/>
    <n v="8"/>
    <n v="4000"/>
    <x v="0"/>
    <n v="600"/>
    <n v="4800"/>
  </r>
  <r>
    <s v="INV3012"/>
    <x v="51"/>
    <x v="3"/>
    <x v="21"/>
    <n v="1700"/>
    <n v="8"/>
    <n v="13600"/>
    <x v="0"/>
    <n v="2040"/>
    <n v="16320"/>
  </r>
  <r>
    <s v="INV3395"/>
    <x v="51"/>
    <x v="0"/>
    <x v="31"/>
    <n v="3600"/>
    <n v="6"/>
    <n v="21600"/>
    <x v="0"/>
    <n v="4320"/>
    <n v="25920"/>
  </r>
  <r>
    <s v="INV3465"/>
    <x v="51"/>
    <x v="4"/>
    <x v="10"/>
    <n v="9100"/>
    <n v="10"/>
    <n v="91000"/>
    <x v="0"/>
    <n v="10920"/>
    <n v="109200"/>
  </r>
  <r>
    <s v="INV3653"/>
    <x v="51"/>
    <x v="4"/>
    <x v="10"/>
    <n v="9100"/>
    <n v="4"/>
    <n v="36400"/>
    <x v="2"/>
    <n v="10920"/>
    <n v="43680"/>
  </r>
  <r>
    <s v="INV3693"/>
    <x v="51"/>
    <x v="0"/>
    <x v="9"/>
    <n v="500"/>
    <n v="7"/>
    <n v="3500"/>
    <x v="2"/>
    <n v="600"/>
    <n v="4200"/>
  </r>
  <r>
    <s v="INV3846"/>
    <x v="51"/>
    <x v="0"/>
    <x v="8"/>
    <n v="3300"/>
    <n v="5"/>
    <n v="16500"/>
    <x v="1"/>
    <n v="3960"/>
    <n v="19800"/>
  </r>
  <r>
    <s v="INV4165"/>
    <x v="51"/>
    <x v="6"/>
    <x v="13"/>
    <n v="8000"/>
    <n v="3"/>
    <n v="24000"/>
    <x v="2"/>
    <n v="9600"/>
    <n v="28800"/>
  </r>
  <r>
    <s v="INV4171"/>
    <x v="51"/>
    <x v="8"/>
    <x v="26"/>
    <n v="8000"/>
    <n v="1"/>
    <n v="8000"/>
    <x v="1"/>
    <n v="9600"/>
    <n v="9600"/>
  </r>
  <r>
    <s v="INV4181"/>
    <x v="51"/>
    <x v="8"/>
    <x v="28"/>
    <n v="10000"/>
    <n v="4"/>
    <n v="40000"/>
    <x v="2"/>
    <n v="12000"/>
    <n v="48000"/>
  </r>
  <r>
    <s v="INV4612"/>
    <x v="51"/>
    <x v="5"/>
    <x v="18"/>
    <n v="15000"/>
    <n v="2"/>
    <n v="30000"/>
    <x v="2"/>
    <n v="18000"/>
    <n v="36000"/>
  </r>
  <r>
    <s v="INV4838"/>
    <x v="51"/>
    <x v="7"/>
    <x v="37"/>
    <n v="2000"/>
    <n v="5"/>
    <n v="10000"/>
    <x v="2"/>
    <n v="2400"/>
    <n v="12000"/>
  </r>
  <r>
    <s v="INV4898"/>
    <x v="51"/>
    <x v="7"/>
    <x v="16"/>
    <n v="1000"/>
    <n v="3"/>
    <n v="3000"/>
    <x v="2"/>
    <n v="1200"/>
    <n v="3600"/>
  </r>
  <r>
    <s v="INV0398"/>
    <x v="52"/>
    <x v="2"/>
    <x v="2"/>
    <n v="2880"/>
    <n v="9"/>
    <n v="25920"/>
    <x v="1"/>
    <n v="3456"/>
    <n v="31104"/>
  </r>
  <r>
    <s v="INV0399"/>
    <x v="52"/>
    <x v="2"/>
    <x v="2"/>
    <n v="2880"/>
    <n v="6"/>
    <n v="17280"/>
    <x v="1"/>
    <n v="3456"/>
    <n v="20736"/>
  </r>
  <r>
    <s v="INV0400"/>
    <x v="52"/>
    <x v="3"/>
    <x v="4"/>
    <n v="1200"/>
    <n v="2"/>
    <n v="2400"/>
    <x v="0"/>
    <n v="1440"/>
    <n v="2880"/>
  </r>
  <r>
    <s v="INV0401"/>
    <x v="52"/>
    <x v="2"/>
    <x v="30"/>
    <n v="2880"/>
    <n v="6"/>
    <n v="17280"/>
    <x v="1"/>
    <n v="3456"/>
    <n v="20736"/>
  </r>
  <r>
    <s v="INV0402"/>
    <x v="52"/>
    <x v="2"/>
    <x v="39"/>
    <n v="1750"/>
    <n v="5"/>
    <n v="8750"/>
    <x v="1"/>
    <n v="2100"/>
    <n v="10500"/>
  </r>
  <r>
    <s v="INV0403"/>
    <x v="52"/>
    <x v="0"/>
    <x v="0"/>
    <n v="60000"/>
    <n v="8"/>
    <n v="480000"/>
    <x v="2"/>
    <n v="72000"/>
    <n v="576000"/>
  </r>
  <r>
    <s v="INV0404"/>
    <x v="52"/>
    <x v="0"/>
    <x v="9"/>
    <n v="500"/>
    <n v="5"/>
    <n v="2500"/>
    <x v="1"/>
    <n v="600"/>
    <n v="3000"/>
  </r>
  <r>
    <s v="INV0405"/>
    <x v="52"/>
    <x v="2"/>
    <x v="6"/>
    <n v="2880"/>
    <n v="6"/>
    <n v="17280"/>
    <x v="1"/>
    <n v="3456"/>
    <n v="20736"/>
  </r>
  <r>
    <s v="INV0406"/>
    <x v="52"/>
    <x v="3"/>
    <x v="4"/>
    <n v="1200"/>
    <n v="6"/>
    <n v="7200"/>
    <x v="0"/>
    <n v="1440"/>
    <n v="8640"/>
  </r>
  <r>
    <s v="INV0407"/>
    <x v="52"/>
    <x v="2"/>
    <x v="30"/>
    <n v="2880"/>
    <n v="2"/>
    <n v="5760"/>
    <x v="0"/>
    <n v="3456"/>
    <n v="6912"/>
  </r>
  <r>
    <s v="INV2752"/>
    <x v="52"/>
    <x v="0"/>
    <x v="8"/>
    <n v="3300"/>
    <n v="1"/>
    <n v="3300"/>
    <x v="1"/>
    <n v="3960"/>
    <n v="3960"/>
  </r>
  <r>
    <s v="INV2990"/>
    <x v="52"/>
    <x v="0"/>
    <x v="8"/>
    <n v="3300"/>
    <n v="6"/>
    <n v="19800"/>
    <x v="1"/>
    <n v="3960"/>
    <n v="23760"/>
  </r>
  <r>
    <s v="INV3000"/>
    <x v="52"/>
    <x v="0"/>
    <x v="31"/>
    <n v="3600"/>
    <n v="8"/>
    <n v="28800"/>
    <x v="0"/>
    <n v="4320"/>
    <n v="34560"/>
  </r>
  <r>
    <s v="INV3507"/>
    <x v="52"/>
    <x v="3"/>
    <x v="21"/>
    <n v="1700"/>
    <n v="9"/>
    <n v="15300"/>
    <x v="1"/>
    <n v="2040"/>
    <n v="18360"/>
  </r>
  <r>
    <s v="INV3577"/>
    <x v="52"/>
    <x v="0"/>
    <x v="9"/>
    <n v="500"/>
    <n v="3"/>
    <n v="1500"/>
    <x v="0"/>
    <n v="600"/>
    <n v="1800"/>
  </r>
  <r>
    <s v="INV3658"/>
    <x v="52"/>
    <x v="0"/>
    <x v="9"/>
    <n v="500"/>
    <n v="4"/>
    <n v="2000"/>
    <x v="2"/>
    <n v="600"/>
    <n v="2400"/>
  </r>
  <r>
    <s v="INV4091"/>
    <x v="52"/>
    <x v="0"/>
    <x v="19"/>
    <n v="48000"/>
    <n v="1"/>
    <n v="48000"/>
    <x v="0"/>
    <n v="57600"/>
    <n v="57600"/>
  </r>
  <r>
    <s v="INV4325"/>
    <x v="52"/>
    <x v="5"/>
    <x v="25"/>
    <n v="3000"/>
    <n v="7"/>
    <n v="21000"/>
    <x v="0"/>
    <n v="3600"/>
    <n v="25200"/>
  </r>
  <r>
    <s v="INV4351"/>
    <x v="52"/>
    <x v="8"/>
    <x v="44"/>
    <n v="12000"/>
    <n v="5"/>
    <n v="60000"/>
    <x v="1"/>
    <n v="14400"/>
    <n v="72000"/>
  </r>
  <r>
    <s v="INV4382"/>
    <x v="52"/>
    <x v="8"/>
    <x v="28"/>
    <n v="10000"/>
    <n v="1"/>
    <n v="10000"/>
    <x v="0"/>
    <n v="12000"/>
    <n v="12000"/>
  </r>
  <r>
    <s v="INV4499"/>
    <x v="52"/>
    <x v="8"/>
    <x v="17"/>
    <n v="15000"/>
    <n v="9"/>
    <n v="135000"/>
    <x v="2"/>
    <n v="18000"/>
    <n v="162000"/>
  </r>
  <r>
    <s v="INV4700"/>
    <x v="52"/>
    <x v="6"/>
    <x v="36"/>
    <n v="1000"/>
    <n v="10"/>
    <n v="10000"/>
    <x v="2"/>
    <n v="1200"/>
    <n v="12000"/>
  </r>
  <r>
    <s v="INV4745"/>
    <x v="52"/>
    <x v="5"/>
    <x v="40"/>
    <n v="13000"/>
    <n v="10"/>
    <n v="130000"/>
    <x v="1"/>
    <n v="15600"/>
    <n v="156000"/>
  </r>
  <r>
    <s v="INV4866"/>
    <x v="52"/>
    <x v="3"/>
    <x v="46"/>
    <n v="1950"/>
    <n v="3"/>
    <n v="5850"/>
    <x v="1"/>
    <n v="2340"/>
    <n v="7020"/>
  </r>
  <r>
    <s v="INV4870"/>
    <x v="52"/>
    <x v="3"/>
    <x v="42"/>
    <n v="500"/>
    <n v="2"/>
    <n v="1000"/>
    <x v="0"/>
    <n v="600"/>
    <n v="1200"/>
  </r>
  <r>
    <s v="INV4941"/>
    <x v="52"/>
    <x v="8"/>
    <x v="17"/>
    <n v="15000"/>
    <n v="10"/>
    <n v="150000"/>
    <x v="1"/>
    <n v="18000"/>
    <n v="180000"/>
  </r>
  <r>
    <s v="INV4946"/>
    <x v="52"/>
    <x v="3"/>
    <x v="42"/>
    <n v="500"/>
    <n v="1"/>
    <n v="500"/>
    <x v="1"/>
    <n v="600"/>
    <n v="600"/>
  </r>
  <r>
    <s v="INV0408"/>
    <x v="53"/>
    <x v="1"/>
    <x v="5"/>
    <n v="3000"/>
    <n v="1"/>
    <n v="3000"/>
    <x v="2"/>
    <n v="3600"/>
    <n v="3600"/>
  </r>
  <r>
    <s v="INV0409"/>
    <x v="53"/>
    <x v="0"/>
    <x v="22"/>
    <n v="6000"/>
    <n v="6"/>
    <n v="36000"/>
    <x v="0"/>
    <n v="7200"/>
    <n v="43200"/>
  </r>
  <r>
    <s v="INV0410"/>
    <x v="53"/>
    <x v="2"/>
    <x v="39"/>
    <n v="1750"/>
    <n v="4"/>
    <n v="7000"/>
    <x v="2"/>
    <n v="2100"/>
    <n v="8400"/>
  </r>
  <r>
    <s v="INV0411"/>
    <x v="53"/>
    <x v="3"/>
    <x v="29"/>
    <n v="6900"/>
    <n v="3"/>
    <n v="20700"/>
    <x v="1"/>
    <n v="8280"/>
    <n v="24840"/>
  </r>
  <r>
    <s v="INV0412"/>
    <x v="53"/>
    <x v="3"/>
    <x v="3"/>
    <n v="800"/>
    <n v="7"/>
    <n v="5600"/>
    <x v="1"/>
    <n v="960"/>
    <n v="6720"/>
  </r>
  <r>
    <s v="INV0413"/>
    <x v="53"/>
    <x v="3"/>
    <x v="4"/>
    <n v="1200"/>
    <n v="10"/>
    <n v="12000"/>
    <x v="1"/>
    <n v="1440"/>
    <n v="14400"/>
  </r>
  <r>
    <s v="INV0414"/>
    <x v="53"/>
    <x v="3"/>
    <x v="3"/>
    <n v="800"/>
    <n v="1"/>
    <n v="800"/>
    <x v="0"/>
    <n v="960"/>
    <n v="960"/>
  </r>
  <r>
    <s v="INV0415"/>
    <x v="53"/>
    <x v="2"/>
    <x v="2"/>
    <n v="2880"/>
    <n v="5"/>
    <n v="14400"/>
    <x v="0"/>
    <n v="3456"/>
    <n v="17280"/>
  </r>
  <r>
    <s v="INV3159"/>
    <x v="53"/>
    <x v="0"/>
    <x v="9"/>
    <n v="500"/>
    <n v="4"/>
    <n v="2000"/>
    <x v="1"/>
    <n v="600"/>
    <n v="2400"/>
  </r>
  <r>
    <s v="INV3604"/>
    <x v="53"/>
    <x v="0"/>
    <x v="23"/>
    <n v="600"/>
    <n v="3"/>
    <n v="1800"/>
    <x v="0"/>
    <n v="720"/>
    <n v="2160"/>
  </r>
  <r>
    <s v="INV4031"/>
    <x v="53"/>
    <x v="0"/>
    <x v="43"/>
    <n v="62000"/>
    <n v="4"/>
    <n v="248000"/>
    <x v="2"/>
    <n v="74400"/>
    <n v="297600"/>
  </r>
  <r>
    <s v="INV4252"/>
    <x v="53"/>
    <x v="6"/>
    <x v="13"/>
    <n v="8000"/>
    <n v="8"/>
    <n v="64000"/>
    <x v="0"/>
    <n v="9600"/>
    <n v="76800"/>
  </r>
  <r>
    <s v="INV4407"/>
    <x v="53"/>
    <x v="0"/>
    <x v="41"/>
    <n v="50000"/>
    <n v="1"/>
    <n v="50000"/>
    <x v="2"/>
    <n v="60000"/>
    <n v="60000"/>
  </r>
  <r>
    <s v="INV4462"/>
    <x v="53"/>
    <x v="5"/>
    <x v="40"/>
    <n v="13000"/>
    <n v="7"/>
    <n v="91000"/>
    <x v="2"/>
    <n v="15600"/>
    <n v="109200"/>
  </r>
  <r>
    <s v="INV4588"/>
    <x v="53"/>
    <x v="0"/>
    <x v="0"/>
    <n v="60000"/>
    <n v="3"/>
    <n v="180000"/>
    <x v="2"/>
    <n v="72000"/>
    <n v="216000"/>
  </r>
  <r>
    <s v="INV4615"/>
    <x v="53"/>
    <x v="7"/>
    <x v="37"/>
    <n v="2000"/>
    <n v="4"/>
    <n v="8000"/>
    <x v="1"/>
    <n v="2400"/>
    <n v="9600"/>
  </r>
  <r>
    <s v="INV4625"/>
    <x v="53"/>
    <x v="0"/>
    <x v="19"/>
    <n v="48000"/>
    <n v="4"/>
    <n v="192000"/>
    <x v="2"/>
    <n v="57600"/>
    <n v="230400"/>
  </r>
  <r>
    <s v="INV4752"/>
    <x v="53"/>
    <x v="6"/>
    <x v="13"/>
    <n v="8000"/>
    <n v="9"/>
    <n v="72000"/>
    <x v="0"/>
    <n v="9600"/>
    <n v="86400"/>
  </r>
  <r>
    <s v="INV0416"/>
    <x v="54"/>
    <x v="2"/>
    <x v="39"/>
    <n v="1750"/>
    <n v="2"/>
    <n v="3500"/>
    <x v="0"/>
    <n v="2100"/>
    <n v="4200"/>
  </r>
  <r>
    <s v="INV0417"/>
    <x v="54"/>
    <x v="2"/>
    <x v="30"/>
    <n v="2880"/>
    <n v="8"/>
    <n v="23040"/>
    <x v="2"/>
    <n v="3456"/>
    <n v="27648"/>
  </r>
  <r>
    <s v="INV0418"/>
    <x v="54"/>
    <x v="1"/>
    <x v="7"/>
    <n v="5200"/>
    <n v="8"/>
    <n v="41600"/>
    <x v="1"/>
    <n v="6240"/>
    <n v="49920"/>
  </r>
  <r>
    <s v="INV0419"/>
    <x v="54"/>
    <x v="2"/>
    <x v="39"/>
    <n v="1750"/>
    <n v="6"/>
    <n v="10500"/>
    <x v="1"/>
    <n v="2100"/>
    <n v="12600"/>
  </r>
  <r>
    <s v="INV0420"/>
    <x v="54"/>
    <x v="3"/>
    <x v="29"/>
    <n v="6900"/>
    <n v="7"/>
    <n v="48300"/>
    <x v="1"/>
    <n v="8280"/>
    <n v="57960"/>
  </r>
  <r>
    <s v="INV0421"/>
    <x v="54"/>
    <x v="3"/>
    <x v="21"/>
    <n v="1700"/>
    <n v="9"/>
    <n v="15300"/>
    <x v="1"/>
    <n v="2040"/>
    <n v="18360"/>
  </r>
  <r>
    <s v="INV0422"/>
    <x v="54"/>
    <x v="1"/>
    <x v="5"/>
    <n v="3000"/>
    <n v="8"/>
    <n v="24000"/>
    <x v="2"/>
    <n v="3600"/>
    <n v="28800"/>
  </r>
  <r>
    <s v="INV0423"/>
    <x v="54"/>
    <x v="1"/>
    <x v="5"/>
    <n v="3000"/>
    <n v="6"/>
    <n v="18000"/>
    <x v="2"/>
    <n v="3600"/>
    <n v="21600"/>
  </r>
  <r>
    <s v="INV2977"/>
    <x v="54"/>
    <x v="4"/>
    <x v="10"/>
    <n v="9100"/>
    <n v="1"/>
    <n v="9100"/>
    <x v="1"/>
    <n v="10920"/>
    <n v="10920"/>
  </r>
  <r>
    <s v="INV3334"/>
    <x v="54"/>
    <x v="0"/>
    <x v="19"/>
    <n v="48000"/>
    <n v="8"/>
    <n v="384000"/>
    <x v="2"/>
    <n v="57600"/>
    <n v="460800"/>
  </r>
  <r>
    <s v="INV3595"/>
    <x v="54"/>
    <x v="4"/>
    <x v="45"/>
    <n v="120"/>
    <n v="6"/>
    <n v="720"/>
    <x v="1"/>
    <n v="144"/>
    <n v="864"/>
  </r>
  <r>
    <s v="INV3955"/>
    <x v="54"/>
    <x v="3"/>
    <x v="46"/>
    <n v="1950"/>
    <n v="10"/>
    <n v="19500"/>
    <x v="0"/>
    <n v="2340"/>
    <n v="23400"/>
  </r>
  <r>
    <s v="INV4009"/>
    <x v="54"/>
    <x v="3"/>
    <x v="46"/>
    <n v="1950"/>
    <n v="6"/>
    <n v="11700"/>
    <x v="0"/>
    <n v="2340"/>
    <n v="14040"/>
  </r>
  <r>
    <s v="INV4285"/>
    <x v="54"/>
    <x v="5"/>
    <x v="18"/>
    <n v="15000"/>
    <n v="6"/>
    <n v="90000"/>
    <x v="2"/>
    <n v="18000"/>
    <n v="108000"/>
  </r>
  <r>
    <s v="INV4597"/>
    <x v="54"/>
    <x v="6"/>
    <x v="13"/>
    <n v="8000"/>
    <n v="10"/>
    <n v="80000"/>
    <x v="0"/>
    <n v="9600"/>
    <n v="96000"/>
  </r>
  <r>
    <s v="INV4623"/>
    <x v="54"/>
    <x v="8"/>
    <x v="26"/>
    <n v="8000"/>
    <n v="2"/>
    <n v="16000"/>
    <x v="0"/>
    <n v="9600"/>
    <n v="19200"/>
  </r>
  <r>
    <s v="INV4732"/>
    <x v="54"/>
    <x v="7"/>
    <x v="34"/>
    <n v="2000"/>
    <n v="5"/>
    <n v="10000"/>
    <x v="1"/>
    <n v="2400"/>
    <n v="12000"/>
  </r>
  <r>
    <s v="INV4759"/>
    <x v="54"/>
    <x v="6"/>
    <x v="47"/>
    <n v="12000"/>
    <n v="10"/>
    <n v="120000"/>
    <x v="1"/>
    <n v="14400"/>
    <n v="144000"/>
  </r>
  <r>
    <s v="INV4769"/>
    <x v="54"/>
    <x v="3"/>
    <x v="42"/>
    <n v="500"/>
    <n v="2"/>
    <n v="1000"/>
    <x v="1"/>
    <n v="600"/>
    <n v="1200"/>
  </r>
  <r>
    <s v="INV4897"/>
    <x v="54"/>
    <x v="0"/>
    <x v="0"/>
    <n v="60000"/>
    <n v="8"/>
    <n v="480000"/>
    <x v="2"/>
    <n v="72000"/>
    <n v="576000"/>
  </r>
  <r>
    <s v="INV0424"/>
    <x v="55"/>
    <x v="1"/>
    <x v="7"/>
    <n v="5200"/>
    <n v="7"/>
    <n v="36400"/>
    <x v="2"/>
    <n v="6240"/>
    <n v="43680"/>
  </r>
  <r>
    <s v="INV0425"/>
    <x v="55"/>
    <x v="3"/>
    <x v="21"/>
    <n v="1700"/>
    <n v="8"/>
    <n v="13600"/>
    <x v="1"/>
    <n v="2040"/>
    <n v="16320"/>
  </r>
  <r>
    <s v="INV0426"/>
    <x v="55"/>
    <x v="0"/>
    <x v="19"/>
    <n v="48000"/>
    <n v="3"/>
    <n v="144000"/>
    <x v="1"/>
    <n v="57600"/>
    <n v="172800"/>
  </r>
  <r>
    <s v="INV0427"/>
    <x v="55"/>
    <x v="3"/>
    <x v="3"/>
    <n v="800"/>
    <n v="9"/>
    <n v="7200"/>
    <x v="0"/>
    <n v="960"/>
    <n v="8640"/>
  </r>
  <r>
    <s v="INV0428"/>
    <x v="55"/>
    <x v="3"/>
    <x v="4"/>
    <n v="1200"/>
    <n v="7"/>
    <n v="8400"/>
    <x v="2"/>
    <n v="1440"/>
    <n v="10080"/>
  </r>
  <r>
    <s v="INV3254"/>
    <x v="55"/>
    <x v="0"/>
    <x v="23"/>
    <n v="600"/>
    <n v="4"/>
    <n v="2400"/>
    <x v="1"/>
    <n v="720"/>
    <n v="2880"/>
  </r>
  <r>
    <s v="INV3346"/>
    <x v="55"/>
    <x v="0"/>
    <x v="23"/>
    <n v="600"/>
    <n v="2"/>
    <n v="1200"/>
    <x v="1"/>
    <n v="720"/>
    <n v="1440"/>
  </r>
  <r>
    <s v="INV3908"/>
    <x v="55"/>
    <x v="0"/>
    <x v="8"/>
    <n v="3300"/>
    <n v="6"/>
    <n v="19800"/>
    <x v="0"/>
    <n v="3960"/>
    <n v="23760"/>
  </r>
  <r>
    <s v="INV3954"/>
    <x v="55"/>
    <x v="6"/>
    <x v="47"/>
    <n v="12000"/>
    <n v="6"/>
    <n v="72000"/>
    <x v="2"/>
    <n v="14400"/>
    <n v="86400"/>
  </r>
  <r>
    <s v="INV3968"/>
    <x v="55"/>
    <x v="6"/>
    <x v="47"/>
    <n v="12000"/>
    <n v="5"/>
    <n v="60000"/>
    <x v="1"/>
    <n v="14400"/>
    <n v="72000"/>
  </r>
  <r>
    <s v="INV3978"/>
    <x v="55"/>
    <x v="8"/>
    <x v="26"/>
    <n v="8000"/>
    <n v="5"/>
    <n v="40000"/>
    <x v="0"/>
    <n v="9600"/>
    <n v="48000"/>
  </r>
  <r>
    <s v="INV4109"/>
    <x v="55"/>
    <x v="5"/>
    <x v="40"/>
    <n v="13000"/>
    <n v="1"/>
    <n v="13000"/>
    <x v="2"/>
    <n v="15600"/>
    <n v="15600"/>
  </r>
  <r>
    <s v="INV4113"/>
    <x v="55"/>
    <x v="7"/>
    <x v="16"/>
    <n v="1000"/>
    <n v="8"/>
    <n v="8000"/>
    <x v="0"/>
    <n v="1200"/>
    <n v="9600"/>
  </r>
  <r>
    <s v="INV4250"/>
    <x v="55"/>
    <x v="0"/>
    <x v="0"/>
    <n v="60000"/>
    <n v="1"/>
    <n v="60000"/>
    <x v="0"/>
    <n v="72000"/>
    <n v="72000"/>
  </r>
  <r>
    <s v="INV4423"/>
    <x v="55"/>
    <x v="7"/>
    <x v="27"/>
    <n v="2500"/>
    <n v="3"/>
    <n v="7500"/>
    <x v="0"/>
    <n v="3000"/>
    <n v="9000"/>
  </r>
  <r>
    <s v="INV4452"/>
    <x v="55"/>
    <x v="5"/>
    <x v="14"/>
    <n v="2800"/>
    <n v="1"/>
    <n v="2800"/>
    <x v="2"/>
    <n v="3360"/>
    <n v="3360"/>
  </r>
  <r>
    <s v="INV4473"/>
    <x v="55"/>
    <x v="5"/>
    <x v="40"/>
    <n v="13000"/>
    <n v="5"/>
    <n v="65000"/>
    <x v="1"/>
    <n v="15600"/>
    <n v="78000"/>
  </r>
  <r>
    <s v="INV4486"/>
    <x v="55"/>
    <x v="8"/>
    <x v="44"/>
    <n v="12000"/>
    <n v="4"/>
    <n v="48000"/>
    <x v="1"/>
    <n v="14400"/>
    <n v="57600"/>
  </r>
  <r>
    <s v="INV4518"/>
    <x v="55"/>
    <x v="3"/>
    <x v="29"/>
    <n v="6900"/>
    <n v="5"/>
    <n v="34500"/>
    <x v="1"/>
    <n v="8280"/>
    <n v="41400"/>
  </r>
  <r>
    <s v="INV4779"/>
    <x v="55"/>
    <x v="7"/>
    <x v="16"/>
    <n v="1000"/>
    <n v="4"/>
    <n v="4000"/>
    <x v="2"/>
    <n v="1200"/>
    <n v="4800"/>
  </r>
  <r>
    <s v="INV4801"/>
    <x v="55"/>
    <x v="6"/>
    <x v="15"/>
    <n v="500"/>
    <n v="10"/>
    <n v="5000"/>
    <x v="2"/>
    <n v="600"/>
    <n v="6000"/>
  </r>
  <r>
    <s v="INV4825"/>
    <x v="55"/>
    <x v="6"/>
    <x v="35"/>
    <n v="2000"/>
    <n v="1"/>
    <n v="2000"/>
    <x v="2"/>
    <n v="2400"/>
    <n v="2400"/>
  </r>
  <r>
    <s v="INV4862"/>
    <x v="55"/>
    <x v="0"/>
    <x v="19"/>
    <n v="48000"/>
    <n v="3"/>
    <n v="144000"/>
    <x v="1"/>
    <n v="57600"/>
    <n v="172800"/>
  </r>
  <r>
    <s v="INV4900"/>
    <x v="55"/>
    <x v="0"/>
    <x v="43"/>
    <n v="62000"/>
    <n v="4"/>
    <n v="248000"/>
    <x v="1"/>
    <n v="74400"/>
    <n v="297600"/>
  </r>
  <r>
    <s v="INV0429"/>
    <x v="56"/>
    <x v="3"/>
    <x v="4"/>
    <n v="1200"/>
    <n v="1"/>
    <n v="1200"/>
    <x v="2"/>
    <n v="1440"/>
    <n v="1440"/>
  </r>
  <r>
    <s v="INV0430"/>
    <x v="56"/>
    <x v="2"/>
    <x v="30"/>
    <n v="2880"/>
    <n v="9"/>
    <n v="25920"/>
    <x v="2"/>
    <n v="3456"/>
    <n v="31104"/>
  </r>
  <r>
    <s v="INV0431"/>
    <x v="56"/>
    <x v="2"/>
    <x v="6"/>
    <n v="2880"/>
    <n v="8"/>
    <n v="23040"/>
    <x v="2"/>
    <n v="3456"/>
    <n v="27648"/>
  </r>
  <r>
    <s v="INV0432"/>
    <x v="56"/>
    <x v="0"/>
    <x v="22"/>
    <n v="6000"/>
    <n v="4"/>
    <n v="24000"/>
    <x v="0"/>
    <n v="7200"/>
    <n v="28800"/>
  </r>
  <r>
    <s v="INV0433"/>
    <x v="56"/>
    <x v="0"/>
    <x v="19"/>
    <n v="48000"/>
    <n v="4"/>
    <n v="192000"/>
    <x v="2"/>
    <n v="57600"/>
    <n v="230400"/>
  </r>
  <r>
    <s v="INV0434"/>
    <x v="56"/>
    <x v="2"/>
    <x v="6"/>
    <n v="2880"/>
    <n v="6"/>
    <n v="17280"/>
    <x v="0"/>
    <n v="3456"/>
    <n v="20736"/>
  </r>
  <r>
    <s v="INV0435"/>
    <x v="56"/>
    <x v="2"/>
    <x v="6"/>
    <n v="2880"/>
    <n v="6"/>
    <n v="17280"/>
    <x v="2"/>
    <n v="3456"/>
    <n v="20736"/>
  </r>
  <r>
    <s v="INV0436"/>
    <x v="56"/>
    <x v="0"/>
    <x v="9"/>
    <n v="500"/>
    <n v="4"/>
    <n v="2000"/>
    <x v="1"/>
    <n v="600"/>
    <n v="2400"/>
  </r>
  <r>
    <s v="INV2876"/>
    <x v="56"/>
    <x v="0"/>
    <x v="23"/>
    <n v="600"/>
    <n v="8"/>
    <n v="4800"/>
    <x v="2"/>
    <n v="720"/>
    <n v="5760"/>
  </r>
  <r>
    <s v="INV3036"/>
    <x v="56"/>
    <x v="0"/>
    <x v="19"/>
    <n v="48000"/>
    <n v="10"/>
    <n v="480000"/>
    <x v="2"/>
    <n v="57600"/>
    <n v="576000"/>
  </r>
  <r>
    <s v="INV3636"/>
    <x v="56"/>
    <x v="0"/>
    <x v="9"/>
    <n v="500"/>
    <n v="7"/>
    <n v="3500"/>
    <x v="2"/>
    <n v="600"/>
    <n v="4200"/>
  </r>
  <r>
    <s v="INV3677"/>
    <x v="56"/>
    <x v="0"/>
    <x v="31"/>
    <n v="3600"/>
    <n v="1"/>
    <n v="3600"/>
    <x v="2"/>
    <n v="4320"/>
    <n v="4320"/>
  </r>
  <r>
    <s v="INV3787"/>
    <x v="56"/>
    <x v="0"/>
    <x v="31"/>
    <n v="3600"/>
    <n v="5"/>
    <n v="18000"/>
    <x v="1"/>
    <n v="4320"/>
    <n v="21600"/>
  </r>
  <r>
    <s v="INV4176"/>
    <x v="56"/>
    <x v="6"/>
    <x v="36"/>
    <n v="1000"/>
    <n v="6"/>
    <n v="6000"/>
    <x v="1"/>
    <n v="1200"/>
    <n v="7200"/>
  </r>
  <r>
    <s v="INV4212"/>
    <x v="56"/>
    <x v="5"/>
    <x v="25"/>
    <n v="3000"/>
    <n v="1"/>
    <n v="3000"/>
    <x v="2"/>
    <n v="3600"/>
    <n v="3600"/>
  </r>
  <r>
    <s v="INV4222"/>
    <x v="56"/>
    <x v="7"/>
    <x v="34"/>
    <n v="2000"/>
    <n v="6"/>
    <n v="12000"/>
    <x v="0"/>
    <n v="2400"/>
    <n v="14400"/>
  </r>
  <r>
    <s v="INV4268"/>
    <x v="56"/>
    <x v="0"/>
    <x v="19"/>
    <n v="48000"/>
    <n v="9"/>
    <n v="432000"/>
    <x v="1"/>
    <n v="57600"/>
    <n v="518400"/>
  </r>
  <r>
    <s v="INV4442"/>
    <x v="56"/>
    <x v="8"/>
    <x v="44"/>
    <n v="12000"/>
    <n v="2"/>
    <n v="24000"/>
    <x v="2"/>
    <n v="14400"/>
    <n v="28800"/>
  </r>
  <r>
    <s v="INV4607"/>
    <x v="56"/>
    <x v="8"/>
    <x v="44"/>
    <n v="12000"/>
    <n v="1"/>
    <n v="12000"/>
    <x v="0"/>
    <n v="14400"/>
    <n v="14400"/>
  </r>
  <r>
    <s v="INV4718"/>
    <x v="56"/>
    <x v="5"/>
    <x v="18"/>
    <n v="15000"/>
    <n v="4"/>
    <n v="60000"/>
    <x v="2"/>
    <n v="18000"/>
    <n v="72000"/>
  </r>
  <r>
    <s v="INV4742"/>
    <x v="56"/>
    <x v="6"/>
    <x v="13"/>
    <n v="8000"/>
    <n v="2"/>
    <n v="16000"/>
    <x v="2"/>
    <n v="9600"/>
    <n v="19200"/>
  </r>
  <r>
    <s v="INV4925"/>
    <x v="56"/>
    <x v="0"/>
    <x v="20"/>
    <n v="35000"/>
    <n v="6"/>
    <n v="210000"/>
    <x v="2"/>
    <n v="42000"/>
    <n v="252000"/>
  </r>
  <r>
    <s v="INV0437"/>
    <x v="57"/>
    <x v="0"/>
    <x v="0"/>
    <n v="60000"/>
    <n v="4"/>
    <n v="240000"/>
    <x v="2"/>
    <n v="72000"/>
    <n v="288000"/>
  </r>
  <r>
    <s v="INV0438"/>
    <x v="57"/>
    <x v="3"/>
    <x v="3"/>
    <n v="800"/>
    <n v="10"/>
    <n v="8000"/>
    <x v="2"/>
    <n v="960"/>
    <n v="9600"/>
  </r>
  <r>
    <s v="INV0439"/>
    <x v="57"/>
    <x v="3"/>
    <x v="29"/>
    <n v="6900"/>
    <n v="3"/>
    <n v="20700"/>
    <x v="2"/>
    <n v="8280"/>
    <n v="24840"/>
  </r>
  <r>
    <s v="INV0440"/>
    <x v="57"/>
    <x v="3"/>
    <x v="4"/>
    <n v="1200"/>
    <n v="1"/>
    <n v="1200"/>
    <x v="0"/>
    <n v="1440"/>
    <n v="1440"/>
  </r>
  <r>
    <s v="INV0441"/>
    <x v="57"/>
    <x v="3"/>
    <x v="3"/>
    <n v="800"/>
    <n v="6"/>
    <n v="4800"/>
    <x v="1"/>
    <n v="960"/>
    <n v="5760"/>
  </r>
  <r>
    <s v="INV0442"/>
    <x v="57"/>
    <x v="2"/>
    <x v="2"/>
    <n v="2880"/>
    <n v="10"/>
    <n v="28800"/>
    <x v="2"/>
    <n v="3456"/>
    <n v="34560"/>
  </r>
  <r>
    <s v="INV0443"/>
    <x v="57"/>
    <x v="2"/>
    <x v="39"/>
    <n v="1750"/>
    <n v="5"/>
    <n v="8750"/>
    <x v="1"/>
    <n v="2100"/>
    <n v="10500"/>
  </r>
  <r>
    <s v="INV0444"/>
    <x v="57"/>
    <x v="0"/>
    <x v="19"/>
    <n v="48000"/>
    <n v="7"/>
    <n v="336000"/>
    <x v="0"/>
    <n v="57600"/>
    <n v="403200"/>
  </r>
  <r>
    <s v="INV2928"/>
    <x v="57"/>
    <x v="3"/>
    <x v="21"/>
    <n v="1700"/>
    <n v="6"/>
    <n v="10200"/>
    <x v="2"/>
    <n v="2040"/>
    <n v="12240"/>
  </r>
  <r>
    <s v="INV3747"/>
    <x v="57"/>
    <x v="0"/>
    <x v="8"/>
    <n v="3300"/>
    <n v="7"/>
    <n v="23100"/>
    <x v="0"/>
    <n v="3960"/>
    <n v="27720"/>
  </r>
  <r>
    <s v="INV3994"/>
    <x v="57"/>
    <x v="7"/>
    <x v="27"/>
    <n v="2500"/>
    <n v="9"/>
    <n v="22500"/>
    <x v="2"/>
    <n v="3000"/>
    <n v="27000"/>
  </r>
  <r>
    <s v="INV4037"/>
    <x v="57"/>
    <x v="7"/>
    <x v="37"/>
    <n v="2000"/>
    <n v="6"/>
    <n v="12000"/>
    <x v="0"/>
    <n v="2400"/>
    <n v="14400"/>
  </r>
  <r>
    <s v="INV4293"/>
    <x v="57"/>
    <x v="8"/>
    <x v="44"/>
    <n v="12000"/>
    <n v="9"/>
    <n v="108000"/>
    <x v="2"/>
    <n v="14400"/>
    <n v="129600"/>
  </r>
  <r>
    <s v="INV4297"/>
    <x v="57"/>
    <x v="7"/>
    <x v="37"/>
    <n v="2000"/>
    <n v="10"/>
    <n v="20000"/>
    <x v="1"/>
    <n v="2400"/>
    <n v="24000"/>
  </r>
  <r>
    <s v="INV4309"/>
    <x v="57"/>
    <x v="0"/>
    <x v="43"/>
    <n v="62000"/>
    <n v="8"/>
    <n v="496000"/>
    <x v="2"/>
    <n v="74400"/>
    <n v="595200"/>
  </r>
  <r>
    <s v="INV4376"/>
    <x v="57"/>
    <x v="5"/>
    <x v="14"/>
    <n v="2800"/>
    <n v="5"/>
    <n v="14000"/>
    <x v="1"/>
    <n v="3360"/>
    <n v="16800"/>
  </r>
  <r>
    <s v="INV4587"/>
    <x v="57"/>
    <x v="8"/>
    <x v="44"/>
    <n v="12000"/>
    <n v="3"/>
    <n v="36000"/>
    <x v="2"/>
    <n v="14400"/>
    <n v="43200"/>
  </r>
  <r>
    <s v="INV4604"/>
    <x v="57"/>
    <x v="6"/>
    <x v="47"/>
    <n v="12000"/>
    <n v="1"/>
    <n v="12000"/>
    <x v="2"/>
    <n v="14400"/>
    <n v="14400"/>
  </r>
  <r>
    <s v="INV4631"/>
    <x v="57"/>
    <x v="8"/>
    <x v="28"/>
    <n v="10000"/>
    <n v="2"/>
    <n v="20000"/>
    <x v="0"/>
    <n v="12000"/>
    <n v="24000"/>
  </r>
  <r>
    <s v="INV4650"/>
    <x v="57"/>
    <x v="8"/>
    <x v="28"/>
    <n v="10000"/>
    <n v="10"/>
    <n v="100000"/>
    <x v="1"/>
    <n v="12000"/>
    <n v="120000"/>
  </r>
  <r>
    <s v="INV4706"/>
    <x v="57"/>
    <x v="0"/>
    <x v="41"/>
    <n v="50000"/>
    <n v="10"/>
    <n v="500000"/>
    <x v="2"/>
    <n v="60000"/>
    <n v="600000"/>
  </r>
  <r>
    <s v="INV4719"/>
    <x v="57"/>
    <x v="7"/>
    <x v="34"/>
    <n v="2000"/>
    <n v="7"/>
    <n v="14000"/>
    <x v="1"/>
    <n v="2400"/>
    <n v="16800"/>
  </r>
  <r>
    <s v="INV4741"/>
    <x v="57"/>
    <x v="6"/>
    <x v="47"/>
    <n v="12000"/>
    <n v="7"/>
    <n v="84000"/>
    <x v="0"/>
    <n v="14400"/>
    <n v="100800"/>
  </r>
  <r>
    <s v="INV4880"/>
    <x v="57"/>
    <x v="0"/>
    <x v="41"/>
    <n v="50000"/>
    <n v="10"/>
    <n v="500000"/>
    <x v="1"/>
    <n v="60000"/>
    <n v="600000"/>
  </r>
  <r>
    <s v="INV0445"/>
    <x v="58"/>
    <x v="3"/>
    <x v="4"/>
    <n v="1200"/>
    <n v="6"/>
    <n v="7200"/>
    <x v="2"/>
    <n v="1440"/>
    <n v="8640"/>
  </r>
  <r>
    <s v="INV0446"/>
    <x v="58"/>
    <x v="1"/>
    <x v="5"/>
    <n v="3000"/>
    <n v="5"/>
    <n v="15000"/>
    <x v="0"/>
    <n v="3600"/>
    <n v="18000"/>
  </r>
  <r>
    <s v="INV0447"/>
    <x v="58"/>
    <x v="0"/>
    <x v="22"/>
    <n v="6000"/>
    <n v="7"/>
    <n v="42000"/>
    <x v="0"/>
    <n v="7200"/>
    <n v="50400"/>
  </r>
  <r>
    <s v="INV0448"/>
    <x v="58"/>
    <x v="0"/>
    <x v="0"/>
    <n v="60000"/>
    <n v="5"/>
    <n v="300000"/>
    <x v="2"/>
    <n v="72000"/>
    <n v="360000"/>
  </r>
  <r>
    <s v="INV0449"/>
    <x v="58"/>
    <x v="2"/>
    <x v="39"/>
    <n v="1750"/>
    <n v="1"/>
    <n v="1750"/>
    <x v="0"/>
    <n v="2100"/>
    <n v="2100"/>
  </r>
  <r>
    <s v="INV0450"/>
    <x v="58"/>
    <x v="2"/>
    <x v="6"/>
    <n v="2880"/>
    <n v="8"/>
    <n v="23040"/>
    <x v="2"/>
    <n v="3456"/>
    <n v="27648"/>
  </r>
  <r>
    <s v="INV0451"/>
    <x v="58"/>
    <x v="2"/>
    <x v="39"/>
    <n v="1750"/>
    <n v="5"/>
    <n v="8750"/>
    <x v="0"/>
    <n v="2100"/>
    <n v="10500"/>
  </r>
  <r>
    <s v="INV0452"/>
    <x v="58"/>
    <x v="0"/>
    <x v="9"/>
    <n v="500"/>
    <n v="3"/>
    <n v="1500"/>
    <x v="1"/>
    <n v="600"/>
    <n v="1800"/>
  </r>
  <r>
    <s v="INV0453"/>
    <x v="58"/>
    <x v="2"/>
    <x v="6"/>
    <n v="2880"/>
    <n v="6"/>
    <n v="17280"/>
    <x v="2"/>
    <n v="3456"/>
    <n v="20736"/>
  </r>
  <r>
    <s v="INV0454"/>
    <x v="58"/>
    <x v="1"/>
    <x v="1"/>
    <n v="400"/>
    <n v="1"/>
    <n v="400"/>
    <x v="2"/>
    <n v="480"/>
    <n v="480"/>
  </r>
  <r>
    <s v="INV2993"/>
    <x v="58"/>
    <x v="0"/>
    <x v="23"/>
    <n v="600"/>
    <n v="5"/>
    <n v="3000"/>
    <x v="0"/>
    <n v="720"/>
    <n v="3600"/>
  </r>
  <r>
    <s v="INV3015"/>
    <x v="58"/>
    <x v="0"/>
    <x v="9"/>
    <n v="500"/>
    <n v="2"/>
    <n v="1000"/>
    <x v="0"/>
    <n v="600"/>
    <n v="1200"/>
  </r>
  <r>
    <s v="INV3096"/>
    <x v="58"/>
    <x v="0"/>
    <x v="9"/>
    <n v="500"/>
    <n v="6"/>
    <n v="3000"/>
    <x v="2"/>
    <n v="600"/>
    <n v="3600"/>
  </r>
  <r>
    <s v="INV3153"/>
    <x v="58"/>
    <x v="0"/>
    <x v="31"/>
    <n v="3600"/>
    <n v="7"/>
    <n v="25200"/>
    <x v="0"/>
    <n v="4320"/>
    <n v="30240"/>
  </r>
  <r>
    <s v="INV3251"/>
    <x v="58"/>
    <x v="0"/>
    <x v="9"/>
    <n v="500"/>
    <n v="10"/>
    <n v="5000"/>
    <x v="1"/>
    <n v="600"/>
    <n v="6000"/>
  </r>
  <r>
    <s v="INV3281"/>
    <x v="58"/>
    <x v="0"/>
    <x v="24"/>
    <n v="1900"/>
    <n v="3"/>
    <n v="5700"/>
    <x v="0"/>
    <n v="2280"/>
    <n v="6840"/>
  </r>
  <r>
    <s v="INV3324"/>
    <x v="58"/>
    <x v="0"/>
    <x v="31"/>
    <n v="3600"/>
    <n v="7"/>
    <n v="25200"/>
    <x v="1"/>
    <n v="4320"/>
    <n v="30240"/>
  </r>
  <r>
    <s v="INV3532"/>
    <x v="58"/>
    <x v="0"/>
    <x v="9"/>
    <n v="500"/>
    <n v="10"/>
    <n v="5000"/>
    <x v="2"/>
    <n v="600"/>
    <n v="6000"/>
  </r>
  <r>
    <s v="INV3583"/>
    <x v="58"/>
    <x v="4"/>
    <x v="45"/>
    <n v="120"/>
    <n v="3"/>
    <n v="360"/>
    <x v="1"/>
    <n v="144"/>
    <n v="432"/>
  </r>
  <r>
    <s v="INV3696"/>
    <x v="58"/>
    <x v="3"/>
    <x v="21"/>
    <n v="1700"/>
    <n v="9"/>
    <n v="15300"/>
    <x v="2"/>
    <n v="2040"/>
    <n v="18360"/>
  </r>
  <r>
    <s v="INV3746"/>
    <x v="58"/>
    <x v="0"/>
    <x v="24"/>
    <n v="1900"/>
    <n v="6"/>
    <n v="11400"/>
    <x v="1"/>
    <n v="2280"/>
    <n v="13680"/>
  </r>
  <r>
    <s v="INV3760"/>
    <x v="58"/>
    <x v="0"/>
    <x v="9"/>
    <n v="500"/>
    <n v="4"/>
    <n v="2000"/>
    <x v="1"/>
    <n v="600"/>
    <n v="2400"/>
  </r>
  <r>
    <s v="INV3806"/>
    <x v="58"/>
    <x v="4"/>
    <x v="45"/>
    <n v="120"/>
    <n v="10"/>
    <n v="1200"/>
    <x v="2"/>
    <n v="144"/>
    <n v="1440"/>
  </r>
  <r>
    <s v="INV3847"/>
    <x v="58"/>
    <x v="0"/>
    <x v="9"/>
    <n v="500"/>
    <n v="3"/>
    <n v="1500"/>
    <x v="0"/>
    <n v="600"/>
    <n v="1800"/>
  </r>
  <r>
    <s v="INV4003"/>
    <x v="58"/>
    <x v="6"/>
    <x v="36"/>
    <n v="1000"/>
    <n v="8"/>
    <n v="8000"/>
    <x v="1"/>
    <n v="1200"/>
    <n v="9600"/>
  </r>
  <r>
    <s v="INV4190"/>
    <x v="58"/>
    <x v="8"/>
    <x v="38"/>
    <n v="2000"/>
    <n v="2"/>
    <n v="4000"/>
    <x v="2"/>
    <n v="2400"/>
    <n v="4800"/>
  </r>
  <r>
    <s v="INV4434"/>
    <x v="58"/>
    <x v="8"/>
    <x v="44"/>
    <n v="12000"/>
    <n v="10"/>
    <n v="120000"/>
    <x v="0"/>
    <n v="14400"/>
    <n v="144000"/>
  </r>
  <r>
    <s v="INV4658"/>
    <x v="58"/>
    <x v="0"/>
    <x v="41"/>
    <n v="50000"/>
    <n v="6"/>
    <n v="300000"/>
    <x v="0"/>
    <n v="60000"/>
    <n v="360000"/>
  </r>
  <r>
    <s v="INV4679"/>
    <x v="58"/>
    <x v="7"/>
    <x v="32"/>
    <n v="1000"/>
    <n v="3"/>
    <n v="3000"/>
    <x v="2"/>
    <n v="1200"/>
    <n v="3600"/>
  </r>
  <r>
    <s v="INV4789"/>
    <x v="58"/>
    <x v="6"/>
    <x v="13"/>
    <n v="8000"/>
    <n v="1"/>
    <n v="8000"/>
    <x v="0"/>
    <n v="9600"/>
    <n v="9600"/>
  </r>
  <r>
    <s v="INV0455"/>
    <x v="59"/>
    <x v="3"/>
    <x v="21"/>
    <n v="1700"/>
    <n v="9"/>
    <n v="15300"/>
    <x v="1"/>
    <n v="2040"/>
    <n v="18360"/>
  </r>
  <r>
    <s v="INV0456"/>
    <x v="59"/>
    <x v="2"/>
    <x v="6"/>
    <n v="2880"/>
    <n v="2"/>
    <n v="5760"/>
    <x v="1"/>
    <n v="3456"/>
    <n v="6912"/>
  </r>
  <r>
    <s v="INV0457"/>
    <x v="59"/>
    <x v="3"/>
    <x v="3"/>
    <n v="800"/>
    <n v="4"/>
    <n v="3200"/>
    <x v="1"/>
    <n v="960"/>
    <n v="3840"/>
  </r>
  <r>
    <s v="INV0458"/>
    <x v="59"/>
    <x v="0"/>
    <x v="9"/>
    <n v="500"/>
    <n v="5"/>
    <n v="2500"/>
    <x v="0"/>
    <n v="600"/>
    <n v="3000"/>
  </r>
  <r>
    <s v="INV0459"/>
    <x v="59"/>
    <x v="0"/>
    <x v="0"/>
    <n v="60000"/>
    <n v="5"/>
    <n v="300000"/>
    <x v="1"/>
    <n v="72000"/>
    <n v="360000"/>
  </r>
  <r>
    <s v="INV0460"/>
    <x v="59"/>
    <x v="1"/>
    <x v="5"/>
    <n v="3000"/>
    <n v="10"/>
    <n v="30000"/>
    <x v="2"/>
    <n v="3600"/>
    <n v="36000"/>
  </r>
  <r>
    <s v="INV0461"/>
    <x v="59"/>
    <x v="3"/>
    <x v="3"/>
    <n v="800"/>
    <n v="8"/>
    <n v="6400"/>
    <x v="2"/>
    <n v="960"/>
    <n v="7680"/>
  </r>
  <r>
    <s v="INV2766"/>
    <x v="59"/>
    <x v="0"/>
    <x v="19"/>
    <n v="48000"/>
    <n v="6"/>
    <n v="288000"/>
    <x v="1"/>
    <n v="57600"/>
    <n v="345600"/>
  </r>
  <r>
    <s v="INV2817"/>
    <x v="59"/>
    <x v="0"/>
    <x v="8"/>
    <n v="3300"/>
    <n v="3"/>
    <n v="9900"/>
    <x v="0"/>
    <n v="3960"/>
    <n v="11880"/>
  </r>
  <r>
    <s v="INV2926"/>
    <x v="59"/>
    <x v="0"/>
    <x v="23"/>
    <n v="600"/>
    <n v="1"/>
    <n v="600"/>
    <x v="1"/>
    <n v="720"/>
    <n v="720"/>
  </r>
  <r>
    <s v="INV3249"/>
    <x v="59"/>
    <x v="4"/>
    <x v="45"/>
    <n v="120"/>
    <n v="5"/>
    <n v="600"/>
    <x v="0"/>
    <n v="144"/>
    <n v="720"/>
  </r>
  <r>
    <s v="INV3502"/>
    <x v="59"/>
    <x v="0"/>
    <x v="8"/>
    <n v="3300"/>
    <n v="9"/>
    <n v="29700"/>
    <x v="2"/>
    <n v="3960"/>
    <n v="35640"/>
  </r>
  <r>
    <s v="INV4049"/>
    <x v="59"/>
    <x v="8"/>
    <x v="38"/>
    <n v="2000"/>
    <n v="9"/>
    <n v="18000"/>
    <x v="1"/>
    <n v="2400"/>
    <n v="21600"/>
  </r>
  <r>
    <s v="INV4306"/>
    <x v="59"/>
    <x v="6"/>
    <x v="15"/>
    <n v="500"/>
    <n v="3"/>
    <n v="1500"/>
    <x v="0"/>
    <n v="600"/>
    <n v="1800"/>
  </r>
  <r>
    <s v="INV4331"/>
    <x v="59"/>
    <x v="0"/>
    <x v="0"/>
    <n v="60000"/>
    <n v="4"/>
    <n v="240000"/>
    <x v="0"/>
    <n v="72000"/>
    <n v="288000"/>
  </r>
  <r>
    <s v="INV4466"/>
    <x v="59"/>
    <x v="3"/>
    <x v="29"/>
    <n v="6900"/>
    <n v="2"/>
    <n v="13800"/>
    <x v="0"/>
    <n v="8280"/>
    <n v="16560"/>
  </r>
  <r>
    <s v="INV4523"/>
    <x v="59"/>
    <x v="8"/>
    <x v="38"/>
    <n v="2000"/>
    <n v="7"/>
    <n v="14000"/>
    <x v="0"/>
    <n v="2400"/>
    <n v="16800"/>
  </r>
  <r>
    <s v="INV4527"/>
    <x v="59"/>
    <x v="7"/>
    <x v="34"/>
    <n v="2000"/>
    <n v="2"/>
    <n v="4000"/>
    <x v="1"/>
    <n v="2400"/>
    <n v="4800"/>
  </r>
  <r>
    <s v="INV4543"/>
    <x v="59"/>
    <x v="7"/>
    <x v="37"/>
    <n v="2000"/>
    <n v="3"/>
    <n v="6000"/>
    <x v="1"/>
    <n v="2400"/>
    <n v="7200"/>
  </r>
  <r>
    <s v="INV4622"/>
    <x v="59"/>
    <x v="6"/>
    <x v="47"/>
    <n v="12000"/>
    <n v="10"/>
    <n v="120000"/>
    <x v="1"/>
    <n v="14400"/>
    <n v="144000"/>
  </r>
  <r>
    <s v="INV4678"/>
    <x v="59"/>
    <x v="8"/>
    <x v="44"/>
    <n v="12000"/>
    <n v="4"/>
    <n v="48000"/>
    <x v="1"/>
    <n v="14400"/>
    <n v="57600"/>
  </r>
  <r>
    <s v="INV4682"/>
    <x v="59"/>
    <x v="0"/>
    <x v="41"/>
    <n v="50000"/>
    <n v="1"/>
    <n v="50000"/>
    <x v="0"/>
    <n v="60000"/>
    <n v="60000"/>
  </r>
  <r>
    <s v="INV0462"/>
    <x v="60"/>
    <x v="0"/>
    <x v="22"/>
    <n v="6000"/>
    <n v="3"/>
    <n v="18000"/>
    <x v="1"/>
    <n v="7200"/>
    <n v="21600"/>
  </r>
  <r>
    <s v="INV0463"/>
    <x v="60"/>
    <x v="3"/>
    <x v="21"/>
    <n v="1700"/>
    <n v="10"/>
    <n v="17000"/>
    <x v="0"/>
    <n v="2040"/>
    <n v="20400"/>
  </r>
  <r>
    <s v="INV0464"/>
    <x v="60"/>
    <x v="0"/>
    <x v="0"/>
    <n v="60000"/>
    <n v="3"/>
    <n v="180000"/>
    <x v="1"/>
    <n v="72000"/>
    <n v="216000"/>
  </r>
  <r>
    <s v="INV0465"/>
    <x v="60"/>
    <x v="3"/>
    <x v="29"/>
    <n v="6900"/>
    <n v="9"/>
    <n v="62100"/>
    <x v="2"/>
    <n v="8280"/>
    <n v="74520"/>
  </r>
  <r>
    <s v="INV0466"/>
    <x v="60"/>
    <x v="2"/>
    <x v="2"/>
    <n v="2880"/>
    <n v="1"/>
    <n v="2880"/>
    <x v="1"/>
    <n v="3456"/>
    <n v="3456"/>
  </r>
  <r>
    <s v="INV0467"/>
    <x v="60"/>
    <x v="2"/>
    <x v="39"/>
    <n v="1750"/>
    <n v="3"/>
    <n v="5250"/>
    <x v="2"/>
    <n v="2100"/>
    <n v="6300"/>
  </r>
  <r>
    <s v="INV0468"/>
    <x v="60"/>
    <x v="0"/>
    <x v="22"/>
    <n v="6000"/>
    <n v="6"/>
    <n v="36000"/>
    <x v="0"/>
    <n v="7200"/>
    <n v="43200"/>
  </r>
  <r>
    <s v="INV0469"/>
    <x v="60"/>
    <x v="0"/>
    <x v="9"/>
    <n v="500"/>
    <n v="10"/>
    <n v="5000"/>
    <x v="2"/>
    <n v="600"/>
    <n v="6000"/>
  </r>
  <r>
    <s v="INV0470"/>
    <x v="60"/>
    <x v="2"/>
    <x v="30"/>
    <n v="2880"/>
    <n v="8"/>
    <n v="23040"/>
    <x v="0"/>
    <n v="3456"/>
    <n v="27648"/>
  </r>
  <r>
    <s v="INV0471"/>
    <x v="60"/>
    <x v="3"/>
    <x v="21"/>
    <n v="1700"/>
    <n v="6"/>
    <n v="10200"/>
    <x v="2"/>
    <n v="2040"/>
    <n v="12240"/>
  </r>
  <r>
    <s v="INV2837"/>
    <x v="60"/>
    <x v="0"/>
    <x v="9"/>
    <n v="500"/>
    <n v="10"/>
    <n v="5000"/>
    <x v="1"/>
    <n v="600"/>
    <n v="6000"/>
  </r>
  <r>
    <s v="INV2872"/>
    <x v="60"/>
    <x v="4"/>
    <x v="10"/>
    <n v="9100"/>
    <n v="4"/>
    <n v="36400"/>
    <x v="0"/>
    <n v="10920"/>
    <n v="43680"/>
  </r>
  <r>
    <s v="INV2944"/>
    <x v="60"/>
    <x v="0"/>
    <x v="23"/>
    <n v="600"/>
    <n v="3"/>
    <n v="1800"/>
    <x v="2"/>
    <n v="720"/>
    <n v="2160"/>
  </r>
  <r>
    <s v="INV3474"/>
    <x v="60"/>
    <x v="4"/>
    <x v="45"/>
    <n v="120"/>
    <n v="6"/>
    <n v="720"/>
    <x v="2"/>
    <n v="144"/>
    <n v="864"/>
  </r>
  <r>
    <s v="INV3607"/>
    <x v="60"/>
    <x v="0"/>
    <x v="8"/>
    <n v="3300"/>
    <n v="7"/>
    <n v="23100"/>
    <x v="1"/>
    <n v="3960"/>
    <n v="27720"/>
  </r>
  <r>
    <s v="INV3758"/>
    <x v="60"/>
    <x v="4"/>
    <x v="10"/>
    <n v="9100"/>
    <n v="9"/>
    <n v="81900"/>
    <x v="2"/>
    <n v="10920"/>
    <n v="98280"/>
  </r>
  <r>
    <s v="INV3972"/>
    <x v="60"/>
    <x v="5"/>
    <x v="40"/>
    <n v="13000"/>
    <n v="3"/>
    <n v="39000"/>
    <x v="2"/>
    <n v="15600"/>
    <n v="46800"/>
  </r>
  <r>
    <s v="INV4063"/>
    <x v="60"/>
    <x v="8"/>
    <x v="44"/>
    <n v="12000"/>
    <n v="3"/>
    <n v="36000"/>
    <x v="1"/>
    <n v="14400"/>
    <n v="43200"/>
  </r>
  <r>
    <s v="INV4157"/>
    <x v="60"/>
    <x v="6"/>
    <x v="36"/>
    <n v="1000"/>
    <n v="9"/>
    <n v="9000"/>
    <x v="1"/>
    <n v="1200"/>
    <n v="10800"/>
  </r>
  <r>
    <s v="INV4186"/>
    <x v="60"/>
    <x v="6"/>
    <x v="35"/>
    <n v="2000"/>
    <n v="5"/>
    <n v="10000"/>
    <x v="0"/>
    <n v="2400"/>
    <n v="12000"/>
  </r>
  <r>
    <s v="INV4200"/>
    <x v="60"/>
    <x v="5"/>
    <x v="25"/>
    <n v="3000"/>
    <n v="2"/>
    <n v="6000"/>
    <x v="2"/>
    <n v="3600"/>
    <n v="7200"/>
  </r>
  <r>
    <s v="INV4301"/>
    <x v="60"/>
    <x v="3"/>
    <x v="12"/>
    <n v="2500"/>
    <n v="9"/>
    <n v="22500"/>
    <x v="0"/>
    <n v="3000"/>
    <n v="27000"/>
  </r>
  <r>
    <s v="INV4413"/>
    <x v="60"/>
    <x v="5"/>
    <x v="18"/>
    <n v="15000"/>
    <n v="10"/>
    <n v="150000"/>
    <x v="2"/>
    <n v="18000"/>
    <n v="180000"/>
  </r>
  <r>
    <s v="INV4517"/>
    <x v="60"/>
    <x v="5"/>
    <x v="11"/>
    <n v="400"/>
    <n v="7"/>
    <n v="2800"/>
    <x v="1"/>
    <n v="480"/>
    <n v="3360"/>
  </r>
  <r>
    <s v="INV4620"/>
    <x v="60"/>
    <x v="7"/>
    <x v="32"/>
    <n v="1000"/>
    <n v="3"/>
    <n v="3000"/>
    <x v="1"/>
    <n v="1200"/>
    <n v="3600"/>
  </r>
  <r>
    <s v="INV4652"/>
    <x v="60"/>
    <x v="3"/>
    <x v="12"/>
    <n v="2500"/>
    <n v="9"/>
    <n v="22500"/>
    <x v="0"/>
    <n v="3000"/>
    <n v="27000"/>
  </r>
  <r>
    <s v="INV4790"/>
    <x v="60"/>
    <x v="5"/>
    <x v="11"/>
    <n v="400"/>
    <n v="2"/>
    <n v="800"/>
    <x v="0"/>
    <n v="480"/>
    <n v="960"/>
  </r>
  <r>
    <s v="INV4840"/>
    <x v="60"/>
    <x v="8"/>
    <x v="44"/>
    <n v="12000"/>
    <n v="5"/>
    <n v="60000"/>
    <x v="2"/>
    <n v="14400"/>
    <n v="72000"/>
  </r>
  <r>
    <s v="INV4846"/>
    <x v="60"/>
    <x v="7"/>
    <x v="16"/>
    <n v="1000"/>
    <n v="7"/>
    <n v="7000"/>
    <x v="1"/>
    <n v="1200"/>
    <n v="8400"/>
  </r>
  <r>
    <s v="INV4867"/>
    <x v="60"/>
    <x v="6"/>
    <x v="15"/>
    <n v="500"/>
    <n v="3"/>
    <n v="1500"/>
    <x v="1"/>
    <n v="600"/>
    <n v="1800"/>
  </r>
  <r>
    <s v="INV4877"/>
    <x v="60"/>
    <x v="5"/>
    <x v="11"/>
    <n v="400"/>
    <n v="2"/>
    <n v="800"/>
    <x v="0"/>
    <n v="480"/>
    <n v="960"/>
  </r>
  <r>
    <s v="INV4888"/>
    <x v="60"/>
    <x v="0"/>
    <x v="19"/>
    <n v="48000"/>
    <n v="4"/>
    <n v="192000"/>
    <x v="0"/>
    <n v="57600"/>
    <n v="230400"/>
  </r>
  <r>
    <s v="INV4913"/>
    <x v="60"/>
    <x v="6"/>
    <x v="15"/>
    <n v="500"/>
    <n v="2"/>
    <n v="1000"/>
    <x v="2"/>
    <n v="600"/>
    <n v="1200"/>
  </r>
  <r>
    <s v="INV4944"/>
    <x v="60"/>
    <x v="3"/>
    <x v="12"/>
    <n v="2500"/>
    <n v="10"/>
    <n v="25000"/>
    <x v="1"/>
    <n v="3000"/>
    <n v="30000"/>
  </r>
  <r>
    <s v="INV0472"/>
    <x v="61"/>
    <x v="0"/>
    <x v="0"/>
    <n v="60000"/>
    <n v="9"/>
    <n v="540000"/>
    <x v="0"/>
    <n v="72000"/>
    <n v="648000"/>
  </r>
  <r>
    <s v="INV0473"/>
    <x v="61"/>
    <x v="2"/>
    <x v="39"/>
    <n v="1750"/>
    <n v="9"/>
    <n v="15750"/>
    <x v="1"/>
    <n v="2100"/>
    <n v="18900"/>
  </r>
  <r>
    <s v="INV0474"/>
    <x v="61"/>
    <x v="0"/>
    <x v="19"/>
    <n v="48000"/>
    <n v="3"/>
    <n v="144000"/>
    <x v="1"/>
    <n v="57600"/>
    <n v="172800"/>
  </r>
  <r>
    <s v="INV0475"/>
    <x v="61"/>
    <x v="3"/>
    <x v="21"/>
    <n v="1700"/>
    <n v="6"/>
    <n v="10200"/>
    <x v="0"/>
    <n v="2040"/>
    <n v="12240"/>
  </r>
  <r>
    <s v="INV0476"/>
    <x v="61"/>
    <x v="3"/>
    <x v="29"/>
    <n v="6900"/>
    <n v="5"/>
    <n v="34500"/>
    <x v="2"/>
    <n v="8280"/>
    <n v="41400"/>
  </r>
  <r>
    <s v="INV0477"/>
    <x v="61"/>
    <x v="3"/>
    <x v="21"/>
    <n v="1700"/>
    <n v="6"/>
    <n v="10200"/>
    <x v="2"/>
    <n v="2040"/>
    <n v="12240"/>
  </r>
  <r>
    <s v="INV0478"/>
    <x v="61"/>
    <x v="2"/>
    <x v="39"/>
    <n v="1750"/>
    <n v="8"/>
    <n v="14000"/>
    <x v="1"/>
    <n v="2100"/>
    <n v="16800"/>
  </r>
  <r>
    <s v="INV0479"/>
    <x v="61"/>
    <x v="1"/>
    <x v="5"/>
    <n v="3000"/>
    <n v="6"/>
    <n v="18000"/>
    <x v="1"/>
    <n v="3600"/>
    <n v="21600"/>
  </r>
  <r>
    <s v="INV3172"/>
    <x v="61"/>
    <x v="0"/>
    <x v="23"/>
    <n v="600"/>
    <n v="4"/>
    <n v="2400"/>
    <x v="1"/>
    <n v="720"/>
    <n v="2880"/>
  </r>
  <r>
    <s v="INV3764"/>
    <x v="61"/>
    <x v="0"/>
    <x v="31"/>
    <n v="3600"/>
    <n v="8"/>
    <n v="28800"/>
    <x v="2"/>
    <n v="4320"/>
    <n v="34560"/>
  </r>
  <r>
    <s v="INV3950"/>
    <x v="61"/>
    <x v="3"/>
    <x v="33"/>
    <n v="4000"/>
    <n v="7"/>
    <n v="28000"/>
    <x v="1"/>
    <n v="4800"/>
    <n v="33600"/>
  </r>
  <r>
    <s v="INV3987"/>
    <x v="61"/>
    <x v="3"/>
    <x v="46"/>
    <n v="1950"/>
    <n v="8"/>
    <n v="15600"/>
    <x v="0"/>
    <n v="2340"/>
    <n v="18720"/>
  </r>
  <r>
    <s v="INV4057"/>
    <x v="61"/>
    <x v="6"/>
    <x v="15"/>
    <n v="500"/>
    <n v="10"/>
    <n v="5000"/>
    <x v="1"/>
    <n v="600"/>
    <n v="6000"/>
  </r>
  <r>
    <s v="INV4120"/>
    <x v="61"/>
    <x v="6"/>
    <x v="15"/>
    <n v="500"/>
    <n v="8"/>
    <n v="4000"/>
    <x v="0"/>
    <n v="600"/>
    <n v="4800"/>
  </r>
  <r>
    <s v="INV4124"/>
    <x v="61"/>
    <x v="0"/>
    <x v="19"/>
    <n v="48000"/>
    <n v="8"/>
    <n v="384000"/>
    <x v="1"/>
    <n v="57600"/>
    <n v="460800"/>
  </r>
  <r>
    <s v="INV4134"/>
    <x v="61"/>
    <x v="3"/>
    <x v="12"/>
    <n v="2500"/>
    <n v="8"/>
    <n v="20000"/>
    <x v="0"/>
    <n v="3000"/>
    <n v="24000"/>
  </r>
  <r>
    <s v="INV4243"/>
    <x v="61"/>
    <x v="6"/>
    <x v="35"/>
    <n v="2000"/>
    <n v="5"/>
    <n v="10000"/>
    <x v="0"/>
    <n v="2400"/>
    <n v="12000"/>
  </r>
  <r>
    <s v="INV4401"/>
    <x v="61"/>
    <x v="7"/>
    <x v="37"/>
    <n v="2000"/>
    <n v="1"/>
    <n v="2000"/>
    <x v="0"/>
    <n v="2400"/>
    <n v="2400"/>
  </r>
  <r>
    <s v="INV4409"/>
    <x v="61"/>
    <x v="0"/>
    <x v="41"/>
    <n v="50000"/>
    <n v="10"/>
    <n v="500000"/>
    <x v="1"/>
    <n v="60000"/>
    <n v="600000"/>
  </r>
  <r>
    <s v="INV4538"/>
    <x v="61"/>
    <x v="7"/>
    <x v="34"/>
    <n v="2000"/>
    <n v="6"/>
    <n v="12000"/>
    <x v="0"/>
    <n v="2400"/>
    <n v="14400"/>
  </r>
  <r>
    <s v="INV4584"/>
    <x v="61"/>
    <x v="7"/>
    <x v="27"/>
    <n v="2500"/>
    <n v="7"/>
    <n v="17500"/>
    <x v="1"/>
    <n v="3000"/>
    <n v="21000"/>
  </r>
  <r>
    <s v="INV4731"/>
    <x v="61"/>
    <x v="3"/>
    <x v="46"/>
    <n v="1950"/>
    <n v="8"/>
    <n v="15600"/>
    <x v="2"/>
    <n v="2340"/>
    <n v="18720"/>
  </r>
  <r>
    <s v="INV4738"/>
    <x v="61"/>
    <x v="8"/>
    <x v="17"/>
    <n v="15000"/>
    <n v="1"/>
    <n v="15000"/>
    <x v="1"/>
    <n v="18000"/>
    <n v="18000"/>
  </r>
  <r>
    <s v="INV4749"/>
    <x v="61"/>
    <x v="6"/>
    <x v="47"/>
    <n v="12000"/>
    <n v="8"/>
    <n v="96000"/>
    <x v="1"/>
    <n v="14400"/>
    <n v="115200"/>
  </r>
  <r>
    <s v="INV0480"/>
    <x v="62"/>
    <x v="3"/>
    <x v="29"/>
    <n v="6900"/>
    <n v="9"/>
    <n v="62100"/>
    <x v="1"/>
    <n v="8280"/>
    <n v="74520"/>
  </r>
  <r>
    <s v="INV0481"/>
    <x v="62"/>
    <x v="3"/>
    <x v="29"/>
    <n v="6900"/>
    <n v="4"/>
    <n v="27600"/>
    <x v="2"/>
    <n v="8280"/>
    <n v="33120"/>
  </r>
  <r>
    <s v="INV0482"/>
    <x v="62"/>
    <x v="2"/>
    <x v="30"/>
    <n v="2880"/>
    <n v="8"/>
    <n v="23040"/>
    <x v="1"/>
    <n v="3456"/>
    <n v="27648"/>
  </r>
  <r>
    <s v="INV0483"/>
    <x v="62"/>
    <x v="0"/>
    <x v="19"/>
    <n v="48000"/>
    <n v="4"/>
    <n v="192000"/>
    <x v="2"/>
    <n v="57600"/>
    <n v="230400"/>
  </r>
  <r>
    <s v="INV0484"/>
    <x v="62"/>
    <x v="0"/>
    <x v="22"/>
    <n v="6000"/>
    <n v="5"/>
    <n v="30000"/>
    <x v="2"/>
    <n v="7200"/>
    <n v="36000"/>
  </r>
  <r>
    <s v="INV0485"/>
    <x v="62"/>
    <x v="3"/>
    <x v="3"/>
    <n v="800"/>
    <n v="7"/>
    <n v="5600"/>
    <x v="2"/>
    <n v="960"/>
    <n v="6720"/>
  </r>
  <r>
    <s v="INV0486"/>
    <x v="62"/>
    <x v="1"/>
    <x v="1"/>
    <n v="400"/>
    <n v="3"/>
    <n v="1200"/>
    <x v="2"/>
    <n v="480"/>
    <n v="1440"/>
  </r>
  <r>
    <s v="INV0487"/>
    <x v="62"/>
    <x v="3"/>
    <x v="21"/>
    <n v="1700"/>
    <n v="3"/>
    <n v="5100"/>
    <x v="1"/>
    <n v="2040"/>
    <n v="6120"/>
  </r>
  <r>
    <s v="INV3207"/>
    <x v="62"/>
    <x v="0"/>
    <x v="9"/>
    <n v="500"/>
    <n v="10"/>
    <n v="5000"/>
    <x v="2"/>
    <n v="600"/>
    <n v="6000"/>
  </r>
  <r>
    <s v="INV3896"/>
    <x v="62"/>
    <x v="0"/>
    <x v="19"/>
    <n v="48000"/>
    <n v="7"/>
    <n v="336000"/>
    <x v="0"/>
    <n v="57600"/>
    <n v="403200"/>
  </r>
  <r>
    <s v="INV3991"/>
    <x v="62"/>
    <x v="0"/>
    <x v="43"/>
    <n v="62000"/>
    <n v="8"/>
    <n v="496000"/>
    <x v="2"/>
    <n v="74400"/>
    <n v="595200"/>
  </r>
  <r>
    <s v="INV4132"/>
    <x v="62"/>
    <x v="5"/>
    <x v="40"/>
    <n v="13000"/>
    <n v="7"/>
    <n v="91000"/>
    <x v="1"/>
    <n v="15600"/>
    <n v="109200"/>
  </r>
  <r>
    <s v="INV4231"/>
    <x v="62"/>
    <x v="7"/>
    <x v="34"/>
    <n v="2000"/>
    <n v="6"/>
    <n v="12000"/>
    <x v="0"/>
    <n v="2400"/>
    <n v="14400"/>
  </r>
  <r>
    <s v="INV4302"/>
    <x v="62"/>
    <x v="6"/>
    <x v="36"/>
    <n v="1000"/>
    <n v="1"/>
    <n v="1000"/>
    <x v="1"/>
    <n v="1200"/>
    <n v="1200"/>
  </r>
  <r>
    <s v="INV4347"/>
    <x v="62"/>
    <x v="6"/>
    <x v="15"/>
    <n v="500"/>
    <n v="9"/>
    <n v="4500"/>
    <x v="1"/>
    <n v="600"/>
    <n v="5400"/>
  </r>
  <r>
    <s v="INV4356"/>
    <x v="62"/>
    <x v="3"/>
    <x v="42"/>
    <n v="500"/>
    <n v="4"/>
    <n v="2000"/>
    <x v="1"/>
    <n v="600"/>
    <n v="2400"/>
  </r>
  <r>
    <s v="INV4537"/>
    <x v="62"/>
    <x v="7"/>
    <x v="27"/>
    <n v="2500"/>
    <n v="5"/>
    <n v="12500"/>
    <x v="2"/>
    <n v="3000"/>
    <n v="15000"/>
  </r>
  <r>
    <s v="INV4640"/>
    <x v="62"/>
    <x v="7"/>
    <x v="27"/>
    <n v="2500"/>
    <n v="10"/>
    <n v="25000"/>
    <x v="1"/>
    <n v="3000"/>
    <n v="30000"/>
  </r>
  <r>
    <s v="INV4751"/>
    <x v="62"/>
    <x v="8"/>
    <x v="28"/>
    <n v="10000"/>
    <n v="9"/>
    <n v="90000"/>
    <x v="1"/>
    <n v="12000"/>
    <n v="108000"/>
  </r>
  <r>
    <s v="INV4771"/>
    <x v="62"/>
    <x v="7"/>
    <x v="34"/>
    <n v="2000"/>
    <n v="3"/>
    <n v="6000"/>
    <x v="0"/>
    <n v="2400"/>
    <n v="7200"/>
  </r>
  <r>
    <s v="INV4914"/>
    <x v="62"/>
    <x v="3"/>
    <x v="33"/>
    <n v="4000"/>
    <n v="9"/>
    <n v="36000"/>
    <x v="2"/>
    <n v="4800"/>
    <n v="43200"/>
  </r>
  <r>
    <s v="INV4924"/>
    <x v="62"/>
    <x v="0"/>
    <x v="41"/>
    <n v="50000"/>
    <n v="4"/>
    <n v="200000"/>
    <x v="0"/>
    <n v="60000"/>
    <n v="240000"/>
  </r>
  <r>
    <s v="INV0488"/>
    <x v="63"/>
    <x v="2"/>
    <x v="30"/>
    <n v="2880"/>
    <n v="9"/>
    <n v="25920"/>
    <x v="0"/>
    <n v="3456"/>
    <n v="31104"/>
  </r>
  <r>
    <s v="INV0489"/>
    <x v="63"/>
    <x v="3"/>
    <x v="4"/>
    <n v="1200"/>
    <n v="6"/>
    <n v="7200"/>
    <x v="0"/>
    <n v="1440"/>
    <n v="8640"/>
  </r>
  <r>
    <s v="INV0490"/>
    <x v="63"/>
    <x v="2"/>
    <x v="6"/>
    <n v="2880"/>
    <n v="7"/>
    <n v="20160"/>
    <x v="0"/>
    <n v="3456"/>
    <n v="24192"/>
  </r>
  <r>
    <s v="INV0491"/>
    <x v="63"/>
    <x v="2"/>
    <x v="30"/>
    <n v="2880"/>
    <n v="3"/>
    <n v="8640"/>
    <x v="0"/>
    <n v="3456"/>
    <n v="10368"/>
  </r>
  <r>
    <s v="INV0492"/>
    <x v="63"/>
    <x v="0"/>
    <x v="0"/>
    <n v="60000"/>
    <n v="5"/>
    <n v="300000"/>
    <x v="2"/>
    <n v="72000"/>
    <n v="360000"/>
  </r>
  <r>
    <s v="INV2754"/>
    <x v="63"/>
    <x v="3"/>
    <x v="3"/>
    <n v="800"/>
    <n v="7"/>
    <n v="5600"/>
    <x v="2"/>
    <n v="960"/>
    <n v="6720"/>
  </r>
  <r>
    <s v="INV2782"/>
    <x v="63"/>
    <x v="4"/>
    <x v="45"/>
    <n v="120"/>
    <n v="3"/>
    <n v="360"/>
    <x v="0"/>
    <n v="144"/>
    <n v="432"/>
  </r>
  <r>
    <s v="INV2921"/>
    <x v="63"/>
    <x v="0"/>
    <x v="19"/>
    <n v="48000"/>
    <n v="3"/>
    <n v="144000"/>
    <x v="2"/>
    <n v="57600"/>
    <n v="172800"/>
  </r>
  <r>
    <s v="INV3229"/>
    <x v="63"/>
    <x v="0"/>
    <x v="19"/>
    <n v="48000"/>
    <n v="1"/>
    <n v="48000"/>
    <x v="1"/>
    <n v="57600"/>
    <n v="57600"/>
  </r>
  <r>
    <s v="INV3701"/>
    <x v="63"/>
    <x v="4"/>
    <x v="45"/>
    <n v="120"/>
    <n v="10"/>
    <n v="1200"/>
    <x v="0"/>
    <n v="144"/>
    <n v="1440"/>
  </r>
  <r>
    <s v="INV3828"/>
    <x v="63"/>
    <x v="0"/>
    <x v="9"/>
    <n v="500"/>
    <n v="10"/>
    <n v="5000"/>
    <x v="1"/>
    <n v="600"/>
    <n v="6000"/>
  </r>
  <r>
    <s v="INV3969"/>
    <x v="63"/>
    <x v="7"/>
    <x v="32"/>
    <n v="1000"/>
    <n v="3"/>
    <n v="3000"/>
    <x v="0"/>
    <n v="1200"/>
    <n v="3600"/>
  </r>
  <r>
    <s v="INV4020"/>
    <x v="63"/>
    <x v="0"/>
    <x v="43"/>
    <n v="62000"/>
    <n v="3"/>
    <n v="186000"/>
    <x v="2"/>
    <n v="74400"/>
    <n v="223200"/>
  </r>
  <r>
    <s v="INV4026"/>
    <x v="63"/>
    <x v="0"/>
    <x v="19"/>
    <n v="48000"/>
    <n v="10"/>
    <n v="480000"/>
    <x v="1"/>
    <n v="57600"/>
    <n v="576000"/>
  </r>
  <r>
    <s v="INV4033"/>
    <x v="63"/>
    <x v="5"/>
    <x v="18"/>
    <n v="15000"/>
    <n v="7"/>
    <n v="105000"/>
    <x v="1"/>
    <n v="18000"/>
    <n v="126000"/>
  </r>
  <r>
    <s v="INV4047"/>
    <x v="63"/>
    <x v="3"/>
    <x v="46"/>
    <n v="1950"/>
    <n v="6"/>
    <n v="11700"/>
    <x v="2"/>
    <n v="2340"/>
    <n v="14040"/>
  </r>
  <r>
    <s v="INV4064"/>
    <x v="63"/>
    <x v="8"/>
    <x v="44"/>
    <n v="12000"/>
    <n v="5"/>
    <n v="60000"/>
    <x v="0"/>
    <n v="14400"/>
    <n v="72000"/>
  </r>
  <r>
    <s v="INV4133"/>
    <x v="63"/>
    <x v="0"/>
    <x v="43"/>
    <n v="62000"/>
    <n v="3"/>
    <n v="186000"/>
    <x v="1"/>
    <n v="74400"/>
    <n v="223200"/>
  </r>
  <r>
    <s v="INV4185"/>
    <x v="63"/>
    <x v="8"/>
    <x v="38"/>
    <n v="2000"/>
    <n v="5"/>
    <n v="10000"/>
    <x v="2"/>
    <n v="2400"/>
    <n v="12000"/>
  </r>
  <r>
    <s v="INV4257"/>
    <x v="63"/>
    <x v="8"/>
    <x v="26"/>
    <n v="8000"/>
    <n v="2"/>
    <n v="16000"/>
    <x v="0"/>
    <n v="9600"/>
    <n v="19200"/>
  </r>
  <r>
    <s v="INV4289"/>
    <x v="63"/>
    <x v="7"/>
    <x v="27"/>
    <n v="2500"/>
    <n v="7"/>
    <n v="17500"/>
    <x v="0"/>
    <n v="3000"/>
    <n v="21000"/>
  </r>
  <r>
    <s v="INV4346"/>
    <x v="63"/>
    <x v="7"/>
    <x v="27"/>
    <n v="2500"/>
    <n v="6"/>
    <n v="15000"/>
    <x v="0"/>
    <n v="3000"/>
    <n v="18000"/>
  </r>
  <r>
    <s v="INV4440"/>
    <x v="63"/>
    <x v="7"/>
    <x v="37"/>
    <n v="2000"/>
    <n v="8"/>
    <n v="16000"/>
    <x v="0"/>
    <n v="2400"/>
    <n v="19200"/>
  </r>
  <r>
    <s v="INV4441"/>
    <x v="63"/>
    <x v="3"/>
    <x v="42"/>
    <n v="500"/>
    <n v="10"/>
    <n v="5000"/>
    <x v="2"/>
    <n v="600"/>
    <n v="6000"/>
  </r>
  <r>
    <s v="INV4579"/>
    <x v="63"/>
    <x v="6"/>
    <x v="36"/>
    <n v="1000"/>
    <n v="3"/>
    <n v="3000"/>
    <x v="2"/>
    <n v="1200"/>
    <n v="3600"/>
  </r>
  <r>
    <s v="INV4675"/>
    <x v="63"/>
    <x v="5"/>
    <x v="14"/>
    <n v="2800"/>
    <n v="10"/>
    <n v="28000"/>
    <x v="0"/>
    <n v="3360"/>
    <n v="33600"/>
  </r>
  <r>
    <s v="INV4713"/>
    <x v="63"/>
    <x v="3"/>
    <x v="33"/>
    <n v="4000"/>
    <n v="8"/>
    <n v="32000"/>
    <x v="2"/>
    <n v="4800"/>
    <n v="38400"/>
  </r>
  <r>
    <s v="INV4724"/>
    <x v="63"/>
    <x v="7"/>
    <x v="16"/>
    <n v="1000"/>
    <n v="7"/>
    <n v="7000"/>
    <x v="2"/>
    <n v="1200"/>
    <n v="8400"/>
  </r>
  <r>
    <s v="INV0493"/>
    <x v="64"/>
    <x v="3"/>
    <x v="21"/>
    <n v="1700"/>
    <n v="6"/>
    <n v="10200"/>
    <x v="0"/>
    <n v="2040"/>
    <n v="12240"/>
  </r>
  <r>
    <s v="INV0494"/>
    <x v="64"/>
    <x v="2"/>
    <x v="39"/>
    <n v="1750"/>
    <n v="8"/>
    <n v="14000"/>
    <x v="2"/>
    <n v="2100"/>
    <n v="16800"/>
  </r>
  <r>
    <s v="INV0495"/>
    <x v="64"/>
    <x v="3"/>
    <x v="3"/>
    <n v="800"/>
    <n v="8"/>
    <n v="6400"/>
    <x v="0"/>
    <n v="960"/>
    <n v="7680"/>
  </r>
  <r>
    <s v="INV0496"/>
    <x v="64"/>
    <x v="3"/>
    <x v="21"/>
    <n v="1700"/>
    <n v="9"/>
    <n v="15300"/>
    <x v="2"/>
    <n v="2040"/>
    <n v="18360"/>
  </r>
  <r>
    <s v="INV0497"/>
    <x v="64"/>
    <x v="0"/>
    <x v="0"/>
    <n v="60000"/>
    <n v="1"/>
    <n v="60000"/>
    <x v="2"/>
    <n v="72000"/>
    <n v="72000"/>
  </r>
  <r>
    <s v="INV0498"/>
    <x v="64"/>
    <x v="0"/>
    <x v="22"/>
    <n v="6000"/>
    <n v="7"/>
    <n v="42000"/>
    <x v="0"/>
    <n v="7200"/>
    <n v="50400"/>
  </r>
  <r>
    <s v="INV0499"/>
    <x v="64"/>
    <x v="0"/>
    <x v="22"/>
    <n v="6000"/>
    <n v="1"/>
    <n v="6000"/>
    <x v="1"/>
    <n v="7200"/>
    <n v="7200"/>
  </r>
  <r>
    <s v="INV0500"/>
    <x v="64"/>
    <x v="2"/>
    <x v="30"/>
    <n v="2880"/>
    <n v="8"/>
    <n v="23040"/>
    <x v="0"/>
    <n v="3456"/>
    <n v="27648"/>
  </r>
  <r>
    <s v="INV0501"/>
    <x v="64"/>
    <x v="1"/>
    <x v="7"/>
    <n v="5200"/>
    <n v="4"/>
    <n v="20800"/>
    <x v="2"/>
    <n v="6240"/>
    <n v="24960"/>
  </r>
  <r>
    <s v="INV3033"/>
    <x v="64"/>
    <x v="0"/>
    <x v="8"/>
    <n v="3300"/>
    <n v="6"/>
    <n v="19800"/>
    <x v="2"/>
    <n v="3960"/>
    <n v="23760"/>
  </r>
  <r>
    <s v="INV3460"/>
    <x v="64"/>
    <x v="0"/>
    <x v="24"/>
    <n v="1900"/>
    <n v="6"/>
    <n v="11400"/>
    <x v="1"/>
    <n v="2280"/>
    <n v="13680"/>
  </r>
  <r>
    <s v="INV3515"/>
    <x v="64"/>
    <x v="0"/>
    <x v="19"/>
    <n v="48000"/>
    <n v="4"/>
    <n v="192000"/>
    <x v="1"/>
    <n v="57600"/>
    <n v="230400"/>
  </r>
  <r>
    <s v="INV4011"/>
    <x v="64"/>
    <x v="5"/>
    <x v="11"/>
    <n v="400"/>
    <n v="10"/>
    <n v="4000"/>
    <x v="1"/>
    <n v="480"/>
    <n v="4800"/>
  </r>
  <r>
    <s v="INV4079"/>
    <x v="64"/>
    <x v="5"/>
    <x v="18"/>
    <n v="15000"/>
    <n v="6"/>
    <n v="90000"/>
    <x v="2"/>
    <n v="18000"/>
    <n v="108000"/>
  </r>
  <r>
    <s v="INV4096"/>
    <x v="64"/>
    <x v="3"/>
    <x v="29"/>
    <n v="6900"/>
    <n v="8"/>
    <n v="55200"/>
    <x v="1"/>
    <n v="8280"/>
    <n v="66240"/>
  </r>
  <r>
    <s v="INV4169"/>
    <x v="64"/>
    <x v="0"/>
    <x v="19"/>
    <n v="48000"/>
    <n v="7"/>
    <n v="336000"/>
    <x v="1"/>
    <n v="57600"/>
    <n v="403200"/>
  </r>
  <r>
    <s v="INV4218"/>
    <x v="64"/>
    <x v="5"/>
    <x v="18"/>
    <n v="15000"/>
    <n v="5"/>
    <n v="75000"/>
    <x v="0"/>
    <n v="18000"/>
    <n v="90000"/>
  </r>
  <r>
    <s v="INV4229"/>
    <x v="64"/>
    <x v="3"/>
    <x v="29"/>
    <n v="6900"/>
    <n v="1"/>
    <n v="6900"/>
    <x v="0"/>
    <n v="8280"/>
    <n v="8280"/>
  </r>
  <r>
    <s v="INV4317"/>
    <x v="64"/>
    <x v="6"/>
    <x v="15"/>
    <n v="500"/>
    <n v="9"/>
    <n v="4500"/>
    <x v="0"/>
    <n v="600"/>
    <n v="5400"/>
  </r>
  <r>
    <s v="INV4342"/>
    <x v="64"/>
    <x v="7"/>
    <x v="16"/>
    <n v="1000"/>
    <n v="1"/>
    <n v="1000"/>
    <x v="0"/>
    <n v="1200"/>
    <n v="1200"/>
  </r>
  <r>
    <s v="INV4601"/>
    <x v="64"/>
    <x v="5"/>
    <x v="25"/>
    <n v="3000"/>
    <n v="9"/>
    <n v="27000"/>
    <x v="2"/>
    <n v="3600"/>
    <n v="32400"/>
  </r>
  <r>
    <s v="INV4841"/>
    <x v="64"/>
    <x v="6"/>
    <x v="13"/>
    <n v="8000"/>
    <n v="5"/>
    <n v="40000"/>
    <x v="2"/>
    <n v="9600"/>
    <n v="48000"/>
  </r>
  <r>
    <s v="INV4923"/>
    <x v="64"/>
    <x v="8"/>
    <x v="17"/>
    <n v="15000"/>
    <n v="2"/>
    <n v="30000"/>
    <x v="2"/>
    <n v="18000"/>
    <n v="36000"/>
  </r>
  <r>
    <s v="INV0502"/>
    <x v="65"/>
    <x v="0"/>
    <x v="19"/>
    <n v="48000"/>
    <n v="6"/>
    <n v="288000"/>
    <x v="0"/>
    <n v="57600"/>
    <n v="345600"/>
  </r>
  <r>
    <s v="INV0503"/>
    <x v="65"/>
    <x v="3"/>
    <x v="29"/>
    <n v="6900"/>
    <n v="2"/>
    <n v="13800"/>
    <x v="2"/>
    <n v="8280"/>
    <n v="16560"/>
  </r>
  <r>
    <s v="INV0504"/>
    <x v="65"/>
    <x v="0"/>
    <x v="22"/>
    <n v="6000"/>
    <n v="9"/>
    <n v="54000"/>
    <x v="1"/>
    <n v="7200"/>
    <n v="64800"/>
  </r>
  <r>
    <s v="INV0505"/>
    <x v="65"/>
    <x v="2"/>
    <x v="30"/>
    <n v="2880"/>
    <n v="7"/>
    <n v="20160"/>
    <x v="1"/>
    <n v="3456"/>
    <n v="24192"/>
  </r>
  <r>
    <s v="INV0506"/>
    <x v="65"/>
    <x v="3"/>
    <x v="4"/>
    <n v="1200"/>
    <n v="5"/>
    <n v="6000"/>
    <x v="2"/>
    <n v="1440"/>
    <n v="7200"/>
  </r>
  <r>
    <s v="INV0507"/>
    <x v="65"/>
    <x v="3"/>
    <x v="4"/>
    <n v="1200"/>
    <n v="4"/>
    <n v="4800"/>
    <x v="1"/>
    <n v="1440"/>
    <n v="5760"/>
  </r>
  <r>
    <s v="INV3310"/>
    <x v="65"/>
    <x v="0"/>
    <x v="9"/>
    <n v="500"/>
    <n v="4"/>
    <n v="2000"/>
    <x v="0"/>
    <n v="600"/>
    <n v="2400"/>
  </r>
  <r>
    <s v="INV3907"/>
    <x v="65"/>
    <x v="0"/>
    <x v="23"/>
    <n v="600"/>
    <n v="1"/>
    <n v="600"/>
    <x v="0"/>
    <n v="720"/>
    <n v="720"/>
  </r>
  <r>
    <s v="INV4002"/>
    <x v="65"/>
    <x v="3"/>
    <x v="46"/>
    <n v="1950"/>
    <n v="2"/>
    <n v="3900"/>
    <x v="1"/>
    <n v="2340"/>
    <n v="4680"/>
  </r>
  <r>
    <s v="INV4105"/>
    <x v="65"/>
    <x v="3"/>
    <x v="29"/>
    <n v="6900"/>
    <n v="5"/>
    <n v="34500"/>
    <x v="1"/>
    <n v="8280"/>
    <n v="41400"/>
  </r>
  <r>
    <s v="INV4209"/>
    <x v="65"/>
    <x v="8"/>
    <x v="17"/>
    <n v="15000"/>
    <n v="4"/>
    <n v="60000"/>
    <x v="1"/>
    <n v="18000"/>
    <n v="72000"/>
  </r>
  <r>
    <s v="INV4261"/>
    <x v="65"/>
    <x v="7"/>
    <x v="16"/>
    <n v="1000"/>
    <n v="9"/>
    <n v="9000"/>
    <x v="1"/>
    <n v="1200"/>
    <n v="10800"/>
  </r>
  <r>
    <s v="INV4310"/>
    <x v="65"/>
    <x v="0"/>
    <x v="41"/>
    <n v="50000"/>
    <n v="2"/>
    <n v="100000"/>
    <x v="0"/>
    <n v="60000"/>
    <n v="120000"/>
  </r>
  <r>
    <s v="INV4425"/>
    <x v="65"/>
    <x v="6"/>
    <x v="15"/>
    <n v="500"/>
    <n v="4"/>
    <n v="2000"/>
    <x v="1"/>
    <n v="600"/>
    <n v="2400"/>
  </r>
  <r>
    <s v="INV4485"/>
    <x v="65"/>
    <x v="3"/>
    <x v="42"/>
    <n v="500"/>
    <n v="1"/>
    <n v="500"/>
    <x v="2"/>
    <n v="600"/>
    <n v="600"/>
  </r>
  <r>
    <s v="INV4501"/>
    <x v="65"/>
    <x v="6"/>
    <x v="35"/>
    <n v="2000"/>
    <n v="6"/>
    <n v="12000"/>
    <x v="1"/>
    <n v="2400"/>
    <n v="14400"/>
  </r>
  <r>
    <s v="INV4805"/>
    <x v="65"/>
    <x v="3"/>
    <x v="42"/>
    <n v="500"/>
    <n v="4"/>
    <n v="2000"/>
    <x v="2"/>
    <n v="600"/>
    <n v="2400"/>
  </r>
  <r>
    <s v="INV0508"/>
    <x v="66"/>
    <x v="3"/>
    <x v="3"/>
    <n v="800"/>
    <n v="4"/>
    <n v="3200"/>
    <x v="2"/>
    <n v="960"/>
    <n v="3840"/>
  </r>
  <r>
    <s v="INV0509"/>
    <x v="66"/>
    <x v="1"/>
    <x v="5"/>
    <n v="3000"/>
    <n v="2"/>
    <n v="6000"/>
    <x v="0"/>
    <n v="3600"/>
    <n v="7200"/>
  </r>
  <r>
    <s v="INV0510"/>
    <x v="66"/>
    <x v="0"/>
    <x v="19"/>
    <n v="48000"/>
    <n v="2"/>
    <n v="96000"/>
    <x v="2"/>
    <n v="57600"/>
    <n v="115200"/>
  </r>
  <r>
    <s v="INV0511"/>
    <x v="66"/>
    <x v="2"/>
    <x v="2"/>
    <n v="2880"/>
    <n v="9"/>
    <n v="25920"/>
    <x v="0"/>
    <n v="3456"/>
    <n v="31104"/>
  </r>
  <r>
    <s v="INV0512"/>
    <x v="66"/>
    <x v="3"/>
    <x v="29"/>
    <n v="6900"/>
    <n v="7"/>
    <n v="48300"/>
    <x v="0"/>
    <n v="8280"/>
    <n v="57960"/>
  </r>
  <r>
    <s v="INV2814"/>
    <x v="66"/>
    <x v="3"/>
    <x v="21"/>
    <n v="1700"/>
    <n v="5"/>
    <n v="8500"/>
    <x v="1"/>
    <n v="2040"/>
    <n v="10200"/>
  </r>
  <r>
    <s v="INV2842"/>
    <x v="66"/>
    <x v="4"/>
    <x v="45"/>
    <n v="120"/>
    <n v="1"/>
    <n v="120"/>
    <x v="1"/>
    <n v="144"/>
    <n v="144"/>
  </r>
  <r>
    <s v="INV3614"/>
    <x v="66"/>
    <x v="0"/>
    <x v="9"/>
    <n v="500"/>
    <n v="6"/>
    <n v="3000"/>
    <x v="2"/>
    <n v="600"/>
    <n v="3600"/>
  </r>
  <r>
    <s v="INV3817"/>
    <x v="66"/>
    <x v="0"/>
    <x v="23"/>
    <n v="600"/>
    <n v="8"/>
    <n v="4800"/>
    <x v="2"/>
    <n v="720"/>
    <n v="5760"/>
  </r>
  <r>
    <s v="INV3837"/>
    <x v="66"/>
    <x v="4"/>
    <x v="10"/>
    <n v="9100"/>
    <n v="2"/>
    <n v="18200"/>
    <x v="1"/>
    <n v="10920"/>
    <n v="21840"/>
  </r>
  <r>
    <s v="INV3949"/>
    <x v="66"/>
    <x v="6"/>
    <x v="15"/>
    <n v="500"/>
    <n v="5"/>
    <n v="2500"/>
    <x v="0"/>
    <n v="600"/>
    <n v="3000"/>
  </r>
  <r>
    <s v="INV4043"/>
    <x v="66"/>
    <x v="6"/>
    <x v="35"/>
    <n v="2000"/>
    <n v="1"/>
    <n v="2000"/>
    <x v="0"/>
    <n v="2400"/>
    <n v="2400"/>
  </r>
  <r>
    <s v="INV4082"/>
    <x v="66"/>
    <x v="7"/>
    <x v="16"/>
    <n v="1000"/>
    <n v="6"/>
    <n v="6000"/>
    <x v="2"/>
    <n v="1200"/>
    <n v="7200"/>
  </r>
  <r>
    <s v="INV4093"/>
    <x v="66"/>
    <x v="7"/>
    <x v="32"/>
    <n v="1000"/>
    <n v="6"/>
    <n v="6000"/>
    <x v="0"/>
    <n v="1200"/>
    <n v="7200"/>
  </r>
  <r>
    <s v="INV4271"/>
    <x v="66"/>
    <x v="8"/>
    <x v="28"/>
    <n v="10000"/>
    <n v="5"/>
    <n v="50000"/>
    <x v="2"/>
    <n v="12000"/>
    <n v="60000"/>
  </r>
  <r>
    <s v="INV4304"/>
    <x v="66"/>
    <x v="8"/>
    <x v="17"/>
    <n v="15000"/>
    <n v="10"/>
    <n v="150000"/>
    <x v="0"/>
    <n v="18000"/>
    <n v="180000"/>
  </r>
  <r>
    <s v="INV4377"/>
    <x v="66"/>
    <x v="3"/>
    <x v="42"/>
    <n v="500"/>
    <n v="10"/>
    <n v="5000"/>
    <x v="2"/>
    <n v="600"/>
    <n v="6000"/>
  </r>
  <r>
    <s v="INV4379"/>
    <x v="66"/>
    <x v="0"/>
    <x v="20"/>
    <n v="35000"/>
    <n v="2"/>
    <n v="70000"/>
    <x v="0"/>
    <n v="42000"/>
    <n v="84000"/>
  </r>
  <r>
    <s v="INV4385"/>
    <x v="66"/>
    <x v="3"/>
    <x v="42"/>
    <n v="500"/>
    <n v="6"/>
    <n v="3000"/>
    <x v="0"/>
    <n v="600"/>
    <n v="3600"/>
  </r>
  <r>
    <s v="INV4386"/>
    <x v="66"/>
    <x v="0"/>
    <x v="0"/>
    <n v="60000"/>
    <n v="4"/>
    <n v="240000"/>
    <x v="0"/>
    <n v="72000"/>
    <n v="288000"/>
  </r>
  <r>
    <s v="INV4586"/>
    <x v="66"/>
    <x v="0"/>
    <x v="19"/>
    <n v="48000"/>
    <n v="5"/>
    <n v="240000"/>
    <x v="2"/>
    <n v="57600"/>
    <n v="288000"/>
  </r>
  <r>
    <s v="INV0513"/>
    <x v="67"/>
    <x v="3"/>
    <x v="4"/>
    <n v="1200"/>
    <n v="8"/>
    <n v="9600"/>
    <x v="0"/>
    <n v="1440"/>
    <n v="11520"/>
  </r>
  <r>
    <s v="INV0514"/>
    <x v="67"/>
    <x v="2"/>
    <x v="2"/>
    <n v="2880"/>
    <n v="8"/>
    <n v="23040"/>
    <x v="1"/>
    <n v="3456"/>
    <n v="27648"/>
  </r>
  <r>
    <s v="INV0515"/>
    <x v="67"/>
    <x v="3"/>
    <x v="4"/>
    <n v="1200"/>
    <n v="10"/>
    <n v="12000"/>
    <x v="0"/>
    <n v="1440"/>
    <n v="14400"/>
  </r>
  <r>
    <s v="INV0516"/>
    <x v="67"/>
    <x v="2"/>
    <x v="39"/>
    <n v="1750"/>
    <n v="2"/>
    <n v="3500"/>
    <x v="0"/>
    <n v="2100"/>
    <n v="4200"/>
  </r>
  <r>
    <s v="INV0517"/>
    <x v="67"/>
    <x v="1"/>
    <x v="1"/>
    <n v="400"/>
    <n v="2"/>
    <n v="800"/>
    <x v="2"/>
    <n v="480"/>
    <n v="960"/>
  </r>
  <r>
    <s v="INV0518"/>
    <x v="67"/>
    <x v="1"/>
    <x v="1"/>
    <n v="400"/>
    <n v="6"/>
    <n v="2400"/>
    <x v="0"/>
    <n v="480"/>
    <n v="2880"/>
  </r>
  <r>
    <s v="INV2870"/>
    <x v="67"/>
    <x v="0"/>
    <x v="9"/>
    <n v="500"/>
    <n v="4"/>
    <n v="2000"/>
    <x v="0"/>
    <n v="600"/>
    <n v="2400"/>
  </r>
  <r>
    <s v="INV2885"/>
    <x v="67"/>
    <x v="0"/>
    <x v="8"/>
    <n v="3300"/>
    <n v="7"/>
    <n v="23100"/>
    <x v="1"/>
    <n v="3960"/>
    <n v="27720"/>
  </r>
  <r>
    <s v="INV3237"/>
    <x v="67"/>
    <x v="3"/>
    <x v="3"/>
    <n v="800"/>
    <n v="10"/>
    <n v="8000"/>
    <x v="0"/>
    <n v="960"/>
    <n v="9600"/>
  </r>
  <r>
    <s v="INV3347"/>
    <x v="67"/>
    <x v="0"/>
    <x v="19"/>
    <n v="48000"/>
    <n v="2"/>
    <n v="96000"/>
    <x v="1"/>
    <n v="57600"/>
    <n v="115200"/>
  </r>
  <r>
    <s v="INV3521"/>
    <x v="67"/>
    <x v="0"/>
    <x v="31"/>
    <n v="3600"/>
    <n v="4"/>
    <n v="14400"/>
    <x v="0"/>
    <n v="4320"/>
    <n v="17280"/>
  </r>
  <r>
    <s v="INV3959"/>
    <x v="67"/>
    <x v="6"/>
    <x v="36"/>
    <n v="1000"/>
    <n v="4"/>
    <n v="4000"/>
    <x v="2"/>
    <n v="1200"/>
    <n v="4800"/>
  </r>
  <r>
    <s v="INV3993"/>
    <x v="67"/>
    <x v="6"/>
    <x v="15"/>
    <n v="500"/>
    <n v="4"/>
    <n v="2000"/>
    <x v="2"/>
    <n v="600"/>
    <n v="2400"/>
  </r>
  <r>
    <s v="INV4021"/>
    <x v="67"/>
    <x v="6"/>
    <x v="15"/>
    <n v="500"/>
    <n v="6"/>
    <n v="3000"/>
    <x v="1"/>
    <n v="600"/>
    <n v="3600"/>
  </r>
  <r>
    <s v="INV4032"/>
    <x v="67"/>
    <x v="5"/>
    <x v="25"/>
    <n v="3000"/>
    <n v="5"/>
    <n v="15000"/>
    <x v="0"/>
    <n v="3600"/>
    <n v="18000"/>
  </r>
  <r>
    <s v="INV4070"/>
    <x v="67"/>
    <x v="5"/>
    <x v="40"/>
    <n v="13000"/>
    <n v="9"/>
    <n v="117000"/>
    <x v="2"/>
    <n v="15600"/>
    <n v="140400"/>
  </r>
  <r>
    <s v="INV4072"/>
    <x v="67"/>
    <x v="8"/>
    <x v="26"/>
    <n v="8000"/>
    <n v="8"/>
    <n v="64000"/>
    <x v="0"/>
    <n v="9600"/>
    <n v="76800"/>
  </r>
  <r>
    <s v="INV4182"/>
    <x v="67"/>
    <x v="7"/>
    <x v="16"/>
    <n v="1000"/>
    <n v="10"/>
    <n v="10000"/>
    <x v="1"/>
    <n v="1200"/>
    <n v="12000"/>
  </r>
  <r>
    <s v="INV4274"/>
    <x v="67"/>
    <x v="0"/>
    <x v="20"/>
    <n v="35000"/>
    <n v="5"/>
    <n v="175000"/>
    <x v="0"/>
    <n v="42000"/>
    <n v="210000"/>
  </r>
  <r>
    <s v="INV4341"/>
    <x v="67"/>
    <x v="5"/>
    <x v="14"/>
    <n v="2800"/>
    <n v="10"/>
    <n v="28000"/>
    <x v="2"/>
    <n v="3360"/>
    <n v="33600"/>
  </r>
  <r>
    <s v="INV4372"/>
    <x v="67"/>
    <x v="8"/>
    <x v="44"/>
    <n v="12000"/>
    <n v="1"/>
    <n v="12000"/>
    <x v="1"/>
    <n v="14400"/>
    <n v="14400"/>
  </r>
  <r>
    <s v="INV4381"/>
    <x v="67"/>
    <x v="8"/>
    <x v="44"/>
    <n v="12000"/>
    <n v="7"/>
    <n v="84000"/>
    <x v="1"/>
    <n v="14400"/>
    <n v="100800"/>
  </r>
  <r>
    <s v="INV4533"/>
    <x v="67"/>
    <x v="7"/>
    <x v="34"/>
    <n v="2000"/>
    <n v="4"/>
    <n v="8000"/>
    <x v="2"/>
    <n v="2400"/>
    <n v="9600"/>
  </r>
  <r>
    <s v="INV4559"/>
    <x v="67"/>
    <x v="0"/>
    <x v="20"/>
    <n v="35000"/>
    <n v="9"/>
    <n v="315000"/>
    <x v="0"/>
    <n v="42000"/>
    <n v="378000"/>
  </r>
  <r>
    <s v="INV4574"/>
    <x v="67"/>
    <x v="5"/>
    <x v="11"/>
    <n v="400"/>
    <n v="2"/>
    <n v="800"/>
    <x v="0"/>
    <n v="480"/>
    <n v="960"/>
  </r>
  <r>
    <s v="INV4677"/>
    <x v="67"/>
    <x v="3"/>
    <x v="29"/>
    <n v="6900"/>
    <n v="7"/>
    <n v="48300"/>
    <x v="2"/>
    <n v="8280"/>
    <n v="57960"/>
  </r>
  <r>
    <s v="INV4703"/>
    <x v="67"/>
    <x v="8"/>
    <x v="26"/>
    <n v="8000"/>
    <n v="8"/>
    <n v="64000"/>
    <x v="0"/>
    <n v="9600"/>
    <n v="76800"/>
  </r>
  <r>
    <s v="INV0519"/>
    <x v="68"/>
    <x v="3"/>
    <x v="21"/>
    <n v="1700"/>
    <n v="5"/>
    <n v="8500"/>
    <x v="2"/>
    <n v="2040"/>
    <n v="10200"/>
  </r>
  <r>
    <s v="INV0520"/>
    <x v="68"/>
    <x v="1"/>
    <x v="7"/>
    <n v="5200"/>
    <n v="7"/>
    <n v="36400"/>
    <x v="2"/>
    <n v="6240"/>
    <n v="43680"/>
  </r>
  <r>
    <s v="INV0521"/>
    <x v="68"/>
    <x v="2"/>
    <x v="2"/>
    <n v="2880"/>
    <n v="3"/>
    <n v="8640"/>
    <x v="1"/>
    <n v="3456"/>
    <n v="10368"/>
  </r>
  <r>
    <s v="INV0522"/>
    <x v="68"/>
    <x v="0"/>
    <x v="22"/>
    <n v="6000"/>
    <n v="4"/>
    <n v="24000"/>
    <x v="0"/>
    <n v="7200"/>
    <n v="28800"/>
  </r>
  <r>
    <s v="INV0523"/>
    <x v="68"/>
    <x v="2"/>
    <x v="6"/>
    <n v="2880"/>
    <n v="10"/>
    <n v="28800"/>
    <x v="0"/>
    <n v="3456"/>
    <n v="34560"/>
  </r>
  <r>
    <s v="INV3265"/>
    <x v="68"/>
    <x v="0"/>
    <x v="31"/>
    <n v="3600"/>
    <n v="10"/>
    <n v="36000"/>
    <x v="0"/>
    <n v="4320"/>
    <n v="43200"/>
  </r>
  <r>
    <s v="INV3975"/>
    <x v="68"/>
    <x v="8"/>
    <x v="38"/>
    <n v="2000"/>
    <n v="2"/>
    <n v="4000"/>
    <x v="0"/>
    <n v="2400"/>
    <n v="4800"/>
  </r>
  <r>
    <s v="INV3984"/>
    <x v="68"/>
    <x v="5"/>
    <x v="25"/>
    <n v="3000"/>
    <n v="5"/>
    <n v="15000"/>
    <x v="1"/>
    <n v="3600"/>
    <n v="18000"/>
  </r>
  <r>
    <s v="INV4073"/>
    <x v="68"/>
    <x v="3"/>
    <x v="12"/>
    <n v="2500"/>
    <n v="7"/>
    <n v="17500"/>
    <x v="1"/>
    <n v="3000"/>
    <n v="21000"/>
  </r>
  <r>
    <s v="INV4167"/>
    <x v="68"/>
    <x v="0"/>
    <x v="20"/>
    <n v="35000"/>
    <n v="3"/>
    <n v="105000"/>
    <x v="2"/>
    <n v="42000"/>
    <n v="126000"/>
  </r>
  <r>
    <s v="INV4337"/>
    <x v="68"/>
    <x v="0"/>
    <x v="19"/>
    <n v="48000"/>
    <n v="7"/>
    <n v="336000"/>
    <x v="1"/>
    <n v="57600"/>
    <n v="403200"/>
  </r>
  <r>
    <s v="INV4361"/>
    <x v="68"/>
    <x v="5"/>
    <x v="40"/>
    <n v="13000"/>
    <n v="3"/>
    <n v="39000"/>
    <x v="1"/>
    <n v="15600"/>
    <n v="46800"/>
  </r>
  <r>
    <s v="INV4395"/>
    <x v="68"/>
    <x v="8"/>
    <x v="44"/>
    <n v="12000"/>
    <n v="3"/>
    <n v="36000"/>
    <x v="2"/>
    <n v="14400"/>
    <n v="43200"/>
  </r>
  <r>
    <s v="INV4520"/>
    <x v="68"/>
    <x v="0"/>
    <x v="19"/>
    <n v="48000"/>
    <n v="7"/>
    <n v="336000"/>
    <x v="0"/>
    <n v="57600"/>
    <n v="403200"/>
  </r>
  <r>
    <s v="INV4683"/>
    <x v="68"/>
    <x v="7"/>
    <x v="32"/>
    <n v="1000"/>
    <n v="10"/>
    <n v="10000"/>
    <x v="0"/>
    <n v="1200"/>
    <n v="12000"/>
  </r>
  <r>
    <s v="INV4868"/>
    <x v="68"/>
    <x v="3"/>
    <x v="33"/>
    <n v="4000"/>
    <n v="9"/>
    <n v="36000"/>
    <x v="0"/>
    <n v="4800"/>
    <n v="43200"/>
  </r>
  <r>
    <s v="INV4926"/>
    <x v="68"/>
    <x v="6"/>
    <x v="36"/>
    <n v="1000"/>
    <n v="1"/>
    <n v="1000"/>
    <x v="2"/>
    <n v="1200"/>
    <n v="1200"/>
  </r>
  <r>
    <s v="INV4940"/>
    <x v="68"/>
    <x v="6"/>
    <x v="13"/>
    <n v="8000"/>
    <n v="2"/>
    <n v="16000"/>
    <x v="1"/>
    <n v="9600"/>
    <n v="19200"/>
  </r>
  <r>
    <s v="INV0524"/>
    <x v="69"/>
    <x v="3"/>
    <x v="21"/>
    <n v="1700"/>
    <n v="8"/>
    <n v="13600"/>
    <x v="2"/>
    <n v="2040"/>
    <n v="16320"/>
  </r>
  <r>
    <s v="INV0525"/>
    <x v="69"/>
    <x v="3"/>
    <x v="29"/>
    <n v="6900"/>
    <n v="10"/>
    <n v="69000"/>
    <x v="2"/>
    <n v="8280"/>
    <n v="82800"/>
  </r>
  <r>
    <s v="INV0526"/>
    <x v="69"/>
    <x v="3"/>
    <x v="29"/>
    <n v="6900"/>
    <n v="6"/>
    <n v="41400"/>
    <x v="2"/>
    <n v="8280"/>
    <n v="49680"/>
  </r>
  <r>
    <s v="INV0527"/>
    <x v="69"/>
    <x v="0"/>
    <x v="22"/>
    <n v="6000"/>
    <n v="6"/>
    <n v="36000"/>
    <x v="1"/>
    <n v="7200"/>
    <n v="43200"/>
  </r>
  <r>
    <s v="INV0528"/>
    <x v="69"/>
    <x v="3"/>
    <x v="29"/>
    <n v="6900"/>
    <n v="8"/>
    <n v="55200"/>
    <x v="2"/>
    <n v="8280"/>
    <n v="66240"/>
  </r>
  <r>
    <s v="INV0529"/>
    <x v="69"/>
    <x v="2"/>
    <x v="6"/>
    <n v="2880"/>
    <n v="4"/>
    <n v="11520"/>
    <x v="1"/>
    <n v="3456"/>
    <n v="13824"/>
  </r>
  <r>
    <s v="INV0530"/>
    <x v="69"/>
    <x v="0"/>
    <x v="19"/>
    <n v="48000"/>
    <n v="4"/>
    <n v="192000"/>
    <x v="2"/>
    <n v="57600"/>
    <n v="230400"/>
  </r>
  <r>
    <s v="INV3303"/>
    <x v="69"/>
    <x v="4"/>
    <x v="45"/>
    <n v="120"/>
    <n v="4"/>
    <n v="480"/>
    <x v="2"/>
    <n v="144"/>
    <n v="576"/>
  </r>
  <r>
    <s v="INV3327"/>
    <x v="69"/>
    <x v="3"/>
    <x v="21"/>
    <n v="1700"/>
    <n v="7"/>
    <n v="11900"/>
    <x v="0"/>
    <n v="2040"/>
    <n v="14280"/>
  </r>
  <r>
    <s v="INV3475"/>
    <x v="69"/>
    <x v="0"/>
    <x v="23"/>
    <n v="600"/>
    <n v="3"/>
    <n v="1800"/>
    <x v="0"/>
    <n v="720"/>
    <n v="2160"/>
  </r>
  <r>
    <s v="INV3494"/>
    <x v="69"/>
    <x v="4"/>
    <x v="10"/>
    <n v="9100"/>
    <n v="4"/>
    <n v="36400"/>
    <x v="1"/>
    <n v="10920"/>
    <n v="43680"/>
  </r>
  <r>
    <s v="INV3582"/>
    <x v="69"/>
    <x v="0"/>
    <x v="8"/>
    <n v="3300"/>
    <n v="4"/>
    <n v="13200"/>
    <x v="2"/>
    <n v="3960"/>
    <n v="15840"/>
  </r>
  <r>
    <s v="INV3964"/>
    <x v="69"/>
    <x v="7"/>
    <x v="37"/>
    <n v="2000"/>
    <n v="7"/>
    <n v="14000"/>
    <x v="2"/>
    <n v="2400"/>
    <n v="16800"/>
  </r>
  <r>
    <s v="INV3967"/>
    <x v="69"/>
    <x v="3"/>
    <x v="29"/>
    <n v="6900"/>
    <n v="2"/>
    <n v="13800"/>
    <x v="1"/>
    <n v="8280"/>
    <n v="16560"/>
  </r>
  <r>
    <s v="INV4099"/>
    <x v="69"/>
    <x v="5"/>
    <x v="18"/>
    <n v="15000"/>
    <n v="7"/>
    <n v="105000"/>
    <x v="2"/>
    <n v="18000"/>
    <n v="126000"/>
  </r>
  <r>
    <s v="INV4162"/>
    <x v="69"/>
    <x v="5"/>
    <x v="11"/>
    <n v="400"/>
    <n v="7"/>
    <n v="2800"/>
    <x v="0"/>
    <n v="480"/>
    <n v="3360"/>
  </r>
  <r>
    <s v="INV4177"/>
    <x v="69"/>
    <x v="3"/>
    <x v="42"/>
    <n v="500"/>
    <n v="8"/>
    <n v="4000"/>
    <x v="1"/>
    <n v="600"/>
    <n v="4800"/>
  </r>
  <r>
    <s v="INV4189"/>
    <x v="69"/>
    <x v="7"/>
    <x v="34"/>
    <n v="2000"/>
    <n v="2"/>
    <n v="4000"/>
    <x v="0"/>
    <n v="2400"/>
    <n v="4800"/>
  </r>
  <r>
    <s v="INV4266"/>
    <x v="69"/>
    <x v="7"/>
    <x v="16"/>
    <n v="1000"/>
    <n v="7"/>
    <n v="7000"/>
    <x v="1"/>
    <n v="1200"/>
    <n v="8400"/>
  </r>
  <r>
    <s v="INV4334"/>
    <x v="69"/>
    <x v="0"/>
    <x v="20"/>
    <n v="35000"/>
    <n v="6"/>
    <n v="210000"/>
    <x v="1"/>
    <n v="42000"/>
    <n v="252000"/>
  </r>
  <r>
    <s v="INV4482"/>
    <x v="69"/>
    <x v="3"/>
    <x v="33"/>
    <n v="4000"/>
    <n v="5"/>
    <n v="20000"/>
    <x v="1"/>
    <n v="4800"/>
    <n v="24000"/>
  </r>
  <r>
    <s v="INV4865"/>
    <x v="69"/>
    <x v="8"/>
    <x v="38"/>
    <n v="2000"/>
    <n v="4"/>
    <n v="8000"/>
    <x v="1"/>
    <n v="2400"/>
    <n v="9600"/>
  </r>
  <r>
    <s v="INV4917"/>
    <x v="69"/>
    <x v="6"/>
    <x v="35"/>
    <n v="2000"/>
    <n v="5"/>
    <n v="10000"/>
    <x v="0"/>
    <n v="2400"/>
    <n v="12000"/>
  </r>
  <r>
    <s v="INV0531"/>
    <x v="70"/>
    <x v="2"/>
    <x v="6"/>
    <n v="2880"/>
    <n v="1"/>
    <n v="2880"/>
    <x v="2"/>
    <n v="3456"/>
    <n v="3456"/>
  </r>
  <r>
    <s v="INV0532"/>
    <x v="70"/>
    <x v="1"/>
    <x v="5"/>
    <n v="3000"/>
    <n v="3"/>
    <n v="9000"/>
    <x v="2"/>
    <n v="3600"/>
    <n v="10800"/>
  </r>
  <r>
    <s v="INV0533"/>
    <x v="70"/>
    <x v="2"/>
    <x v="6"/>
    <n v="2880"/>
    <n v="6"/>
    <n v="17280"/>
    <x v="1"/>
    <n v="3456"/>
    <n v="20736"/>
  </r>
  <r>
    <s v="INV0534"/>
    <x v="70"/>
    <x v="2"/>
    <x v="2"/>
    <n v="2880"/>
    <n v="10"/>
    <n v="28800"/>
    <x v="0"/>
    <n v="3456"/>
    <n v="34560"/>
  </r>
  <r>
    <s v="INV0535"/>
    <x v="70"/>
    <x v="2"/>
    <x v="2"/>
    <n v="2880"/>
    <n v="10"/>
    <n v="28800"/>
    <x v="0"/>
    <n v="3456"/>
    <n v="34560"/>
  </r>
  <r>
    <s v="INV0536"/>
    <x v="70"/>
    <x v="1"/>
    <x v="1"/>
    <n v="400"/>
    <n v="5"/>
    <n v="2000"/>
    <x v="0"/>
    <n v="480"/>
    <n v="2400"/>
  </r>
  <r>
    <s v="INV0537"/>
    <x v="70"/>
    <x v="1"/>
    <x v="7"/>
    <n v="5200"/>
    <n v="8"/>
    <n v="41600"/>
    <x v="0"/>
    <n v="6240"/>
    <n v="49920"/>
  </r>
  <r>
    <s v="INV0538"/>
    <x v="70"/>
    <x v="2"/>
    <x v="2"/>
    <n v="2880"/>
    <n v="10"/>
    <n v="28800"/>
    <x v="0"/>
    <n v="3456"/>
    <n v="34560"/>
  </r>
  <r>
    <s v="INV3004"/>
    <x v="70"/>
    <x v="3"/>
    <x v="3"/>
    <n v="800"/>
    <n v="6"/>
    <n v="4800"/>
    <x v="0"/>
    <n v="960"/>
    <n v="5760"/>
  </r>
  <r>
    <s v="INV3287"/>
    <x v="70"/>
    <x v="0"/>
    <x v="24"/>
    <n v="1900"/>
    <n v="10"/>
    <n v="19000"/>
    <x v="0"/>
    <n v="2280"/>
    <n v="22800"/>
  </r>
  <r>
    <s v="INV3539"/>
    <x v="70"/>
    <x v="4"/>
    <x v="45"/>
    <n v="120"/>
    <n v="2"/>
    <n v="240"/>
    <x v="1"/>
    <n v="144"/>
    <n v="288"/>
  </r>
  <r>
    <s v="INV4007"/>
    <x v="70"/>
    <x v="6"/>
    <x v="36"/>
    <n v="1000"/>
    <n v="6"/>
    <n v="6000"/>
    <x v="0"/>
    <n v="1200"/>
    <n v="7200"/>
  </r>
  <r>
    <s v="INV4041"/>
    <x v="70"/>
    <x v="7"/>
    <x v="34"/>
    <n v="2000"/>
    <n v="9"/>
    <n v="18000"/>
    <x v="1"/>
    <n v="2400"/>
    <n v="21600"/>
  </r>
  <r>
    <s v="INV4146"/>
    <x v="70"/>
    <x v="7"/>
    <x v="32"/>
    <n v="1000"/>
    <n v="4"/>
    <n v="4000"/>
    <x v="2"/>
    <n v="1200"/>
    <n v="4800"/>
  </r>
  <r>
    <s v="INV4179"/>
    <x v="70"/>
    <x v="6"/>
    <x v="15"/>
    <n v="500"/>
    <n v="3"/>
    <n v="1500"/>
    <x v="2"/>
    <n v="600"/>
    <n v="1800"/>
  </r>
  <r>
    <s v="INV4213"/>
    <x v="70"/>
    <x v="5"/>
    <x v="18"/>
    <n v="15000"/>
    <n v="7"/>
    <n v="105000"/>
    <x v="1"/>
    <n v="18000"/>
    <n v="126000"/>
  </r>
  <r>
    <s v="INV4232"/>
    <x v="70"/>
    <x v="7"/>
    <x v="27"/>
    <n v="2500"/>
    <n v="4"/>
    <n v="10000"/>
    <x v="0"/>
    <n v="3000"/>
    <n v="12000"/>
  </r>
  <r>
    <s v="INV4249"/>
    <x v="70"/>
    <x v="7"/>
    <x v="34"/>
    <n v="2000"/>
    <n v="1"/>
    <n v="2000"/>
    <x v="0"/>
    <n v="2400"/>
    <n v="2400"/>
  </r>
  <r>
    <s v="INV4273"/>
    <x v="70"/>
    <x v="5"/>
    <x v="11"/>
    <n v="400"/>
    <n v="4"/>
    <n v="1600"/>
    <x v="1"/>
    <n v="480"/>
    <n v="1920"/>
  </r>
  <r>
    <s v="INV4275"/>
    <x v="70"/>
    <x v="0"/>
    <x v="43"/>
    <n v="62000"/>
    <n v="4"/>
    <n v="248000"/>
    <x v="1"/>
    <n v="74400"/>
    <n v="297600"/>
  </r>
  <r>
    <s v="INV4349"/>
    <x v="70"/>
    <x v="3"/>
    <x v="46"/>
    <n v="1950"/>
    <n v="4"/>
    <n v="7800"/>
    <x v="2"/>
    <n v="2340"/>
    <n v="9360"/>
  </r>
  <r>
    <s v="INV4639"/>
    <x v="70"/>
    <x v="0"/>
    <x v="43"/>
    <n v="62000"/>
    <n v="7"/>
    <n v="434000"/>
    <x v="1"/>
    <n v="74400"/>
    <n v="520800"/>
  </r>
  <r>
    <s v="INV4782"/>
    <x v="70"/>
    <x v="3"/>
    <x v="29"/>
    <n v="6900"/>
    <n v="7"/>
    <n v="48300"/>
    <x v="1"/>
    <n v="8280"/>
    <n v="57960"/>
  </r>
  <r>
    <s v="INV0539"/>
    <x v="71"/>
    <x v="3"/>
    <x v="21"/>
    <n v="1700"/>
    <n v="7"/>
    <n v="11900"/>
    <x v="0"/>
    <n v="2040"/>
    <n v="14280"/>
  </r>
  <r>
    <s v="INV0540"/>
    <x v="71"/>
    <x v="3"/>
    <x v="29"/>
    <n v="6900"/>
    <n v="10"/>
    <n v="69000"/>
    <x v="0"/>
    <n v="8280"/>
    <n v="82800"/>
  </r>
  <r>
    <s v="INV0541"/>
    <x v="71"/>
    <x v="2"/>
    <x v="2"/>
    <n v="2880"/>
    <n v="3"/>
    <n v="8640"/>
    <x v="1"/>
    <n v="3456"/>
    <n v="10368"/>
  </r>
  <r>
    <s v="INV0542"/>
    <x v="71"/>
    <x v="3"/>
    <x v="29"/>
    <n v="6900"/>
    <n v="1"/>
    <n v="6900"/>
    <x v="2"/>
    <n v="8280"/>
    <n v="8280"/>
  </r>
  <r>
    <s v="INV0543"/>
    <x v="71"/>
    <x v="3"/>
    <x v="21"/>
    <n v="1700"/>
    <n v="8"/>
    <n v="13600"/>
    <x v="1"/>
    <n v="2040"/>
    <n v="16320"/>
  </r>
  <r>
    <s v="INV0544"/>
    <x v="71"/>
    <x v="2"/>
    <x v="2"/>
    <n v="2880"/>
    <n v="7"/>
    <n v="20160"/>
    <x v="0"/>
    <n v="3456"/>
    <n v="24192"/>
  </r>
  <r>
    <s v="INV0545"/>
    <x v="71"/>
    <x v="2"/>
    <x v="30"/>
    <n v="2880"/>
    <n v="6"/>
    <n v="17280"/>
    <x v="2"/>
    <n v="3456"/>
    <n v="20736"/>
  </r>
  <r>
    <s v="INV3318"/>
    <x v="71"/>
    <x v="4"/>
    <x v="10"/>
    <n v="9100"/>
    <n v="4"/>
    <n v="36400"/>
    <x v="2"/>
    <n v="10920"/>
    <n v="43680"/>
  </r>
  <r>
    <s v="INV3591"/>
    <x v="71"/>
    <x v="4"/>
    <x v="10"/>
    <n v="9100"/>
    <n v="4"/>
    <n v="36400"/>
    <x v="2"/>
    <n v="10920"/>
    <n v="43680"/>
  </r>
  <r>
    <s v="INV3823"/>
    <x v="71"/>
    <x v="0"/>
    <x v="9"/>
    <n v="500"/>
    <n v="3"/>
    <n v="1500"/>
    <x v="0"/>
    <n v="600"/>
    <n v="1800"/>
  </r>
  <r>
    <s v="INV3897"/>
    <x v="71"/>
    <x v="0"/>
    <x v="23"/>
    <n v="600"/>
    <n v="10"/>
    <n v="6000"/>
    <x v="1"/>
    <n v="720"/>
    <n v="7200"/>
  </r>
  <r>
    <s v="INV4013"/>
    <x v="71"/>
    <x v="7"/>
    <x v="37"/>
    <n v="2000"/>
    <n v="10"/>
    <n v="20000"/>
    <x v="0"/>
    <n v="2400"/>
    <n v="24000"/>
  </r>
  <r>
    <s v="INV4071"/>
    <x v="71"/>
    <x v="3"/>
    <x v="42"/>
    <n v="500"/>
    <n v="8"/>
    <n v="4000"/>
    <x v="0"/>
    <n v="600"/>
    <n v="4800"/>
  </r>
  <r>
    <s v="INV4110"/>
    <x v="71"/>
    <x v="0"/>
    <x v="19"/>
    <n v="48000"/>
    <n v="7"/>
    <n v="336000"/>
    <x v="0"/>
    <n v="57600"/>
    <n v="403200"/>
  </r>
  <r>
    <s v="INV4210"/>
    <x v="71"/>
    <x v="8"/>
    <x v="26"/>
    <n v="8000"/>
    <n v="4"/>
    <n v="32000"/>
    <x v="0"/>
    <n v="9600"/>
    <n v="38400"/>
  </r>
  <r>
    <s v="INV4242"/>
    <x v="71"/>
    <x v="7"/>
    <x v="34"/>
    <n v="2000"/>
    <n v="10"/>
    <n v="20000"/>
    <x v="2"/>
    <n v="2400"/>
    <n v="24000"/>
  </r>
  <r>
    <s v="INV4344"/>
    <x v="71"/>
    <x v="0"/>
    <x v="0"/>
    <n v="60000"/>
    <n v="5"/>
    <n v="300000"/>
    <x v="2"/>
    <n v="72000"/>
    <n v="360000"/>
  </r>
  <r>
    <s v="INV4438"/>
    <x v="71"/>
    <x v="8"/>
    <x v="44"/>
    <n v="12000"/>
    <n v="2"/>
    <n v="24000"/>
    <x v="2"/>
    <n v="14400"/>
    <n v="28800"/>
  </r>
  <r>
    <s v="INV4636"/>
    <x v="71"/>
    <x v="5"/>
    <x v="40"/>
    <n v="13000"/>
    <n v="2"/>
    <n v="26000"/>
    <x v="0"/>
    <n v="15600"/>
    <n v="31200"/>
  </r>
  <r>
    <s v="INV4819"/>
    <x v="71"/>
    <x v="8"/>
    <x v="28"/>
    <n v="10000"/>
    <n v="1"/>
    <n v="10000"/>
    <x v="0"/>
    <n v="12000"/>
    <n v="12000"/>
  </r>
  <r>
    <s v="INV4836"/>
    <x v="71"/>
    <x v="8"/>
    <x v="38"/>
    <n v="2000"/>
    <n v="8"/>
    <n v="16000"/>
    <x v="2"/>
    <n v="2400"/>
    <n v="19200"/>
  </r>
  <r>
    <s v="INV0546"/>
    <x v="72"/>
    <x v="1"/>
    <x v="7"/>
    <n v="5200"/>
    <n v="4"/>
    <n v="20800"/>
    <x v="1"/>
    <n v="6240"/>
    <n v="24960"/>
  </r>
  <r>
    <s v="INV0547"/>
    <x v="72"/>
    <x v="2"/>
    <x v="6"/>
    <n v="2880"/>
    <n v="6"/>
    <n v="17280"/>
    <x v="2"/>
    <n v="3456"/>
    <n v="20736"/>
  </r>
  <r>
    <s v="INV0548"/>
    <x v="72"/>
    <x v="0"/>
    <x v="0"/>
    <n v="60000"/>
    <n v="7"/>
    <n v="420000"/>
    <x v="2"/>
    <n v="72000"/>
    <n v="504000"/>
  </r>
  <r>
    <s v="INV0549"/>
    <x v="72"/>
    <x v="2"/>
    <x v="2"/>
    <n v="2880"/>
    <n v="2"/>
    <n v="5760"/>
    <x v="0"/>
    <n v="3456"/>
    <n v="6912"/>
  </r>
  <r>
    <s v="INV0550"/>
    <x v="72"/>
    <x v="2"/>
    <x v="30"/>
    <n v="2880"/>
    <n v="7"/>
    <n v="20160"/>
    <x v="1"/>
    <n v="3456"/>
    <n v="24192"/>
  </r>
  <r>
    <s v="INV0551"/>
    <x v="72"/>
    <x v="2"/>
    <x v="2"/>
    <n v="2880"/>
    <n v="4"/>
    <n v="11520"/>
    <x v="0"/>
    <n v="3456"/>
    <n v="13824"/>
  </r>
  <r>
    <s v="INV0552"/>
    <x v="72"/>
    <x v="1"/>
    <x v="1"/>
    <n v="400"/>
    <n v="4"/>
    <n v="1600"/>
    <x v="0"/>
    <n v="480"/>
    <n v="1920"/>
  </r>
  <r>
    <s v="INV0553"/>
    <x v="72"/>
    <x v="0"/>
    <x v="22"/>
    <n v="6000"/>
    <n v="4"/>
    <n v="24000"/>
    <x v="0"/>
    <n v="7200"/>
    <n v="28800"/>
  </r>
  <r>
    <s v="INV0554"/>
    <x v="72"/>
    <x v="2"/>
    <x v="30"/>
    <n v="2880"/>
    <n v="6"/>
    <n v="17280"/>
    <x v="2"/>
    <n v="3456"/>
    <n v="20736"/>
  </r>
  <r>
    <s v="INV2858"/>
    <x v="72"/>
    <x v="4"/>
    <x v="45"/>
    <n v="120"/>
    <n v="7"/>
    <n v="840"/>
    <x v="1"/>
    <n v="144"/>
    <n v="1008"/>
  </r>
  <r>
    <s v="INV3470"/>
    <x v="72"/>
    <x v="3"/>
    <x v="21"/>
    <n v="1700"/>
    <n v="10"/>
    <n v="17000"/>
    <x v="2"/>
    <n v="2040"/>
    <n v="20400"/>
  </r>
  <r>
    <s v="INV4214"/>
    <x v="72"/>
    <x v="3"/>
    <x v="46"/>
    <n v="1950"/>
    <n v="4"/>
    <n v="7800"/>
    <x v="1"/>
    <n v="2340"/>
    <n v="9360"/>
  </r>
  <r>
    <s v="INV4239"/>
    <x v="72"/>
    <x v="6"/>
    <x v="15"/>
    <n v="500"/>
    <n v="7"/>
    <n v="3500"/>
    <x v="2"/>
    <n v="600"/>
    <n v="4200"/>
  </r>
  <r>
    <s v="INV4281"/>
    <x v="72"/>
    <x v="0"/>
    <x v="0"/>
    <n v="60000"/>
    <n v="2"/>
    <n v="120000"/>
    <x v="0"/>
    <n v="72000"/>
    <n v="144000"/>
  </r>
  <r>
    <s v="INV4300"/>
    <x v="72"/>
    <x v="8"/>
    <x v="17"/>
    <n v="15000"/>
    <n v="7"/>
    <n v="105000"/>
    <x v="0"/>
    <n v="18000"/>
    <n v="126000"/>
  </r>
  <r>
    <s v="INV4314"/>
    <x v="72"/>
    <x v="6"/>
    <x v="36"/>
    <n v="1000"/>
    <n v="9"/>
    <n v="9000"/>
    <x v="2"/>
    <n v="1200"/>
    <n v="10800"/>
  </r>
  <r>
    <s v="INV4320"/>
    <x v="72"/>
    <x v="3"/>
    <x v="29"/>
    <n v="6900"/>
    <n v="6"/>
    <n v="41400"/>
    <x v="1"/>
    <n v="8280"/>
    <n v="49680"/>
  </r>
  <r>
    <s v="INV4461"/>
    <x v="72"/>
    <x v="6"/>
    <x v="36"/>
    <n v="1000"/>
    <n v="7"/>
    <n v="7000"/>
    <x v="0"/>
    <n v="1200"/>
    <n v="8400"/>
  </r>
  <r>
    <s v="INV4508"/>
    <x v="72"/>
    <x v="6"/>
    <x v="13"/>
    <n v="8000"/>
    <n v="9"/>
    <n v="72000"/>
    <x v="0"/>
    <n v="9600"/>
    <n v="86400"/>
  </r>
  <r>
    <s v="INV4536"/>
    <x v="72"/>
    <x v="8"/>
    <x v="17"/>
    <n v="15000"/>
    <n v="10"/>
    <n v="150000"/>
    <x v="0"/>
    <n v="18000"/>
    <n v="180000"/>
  </r>
  <r>
    <s v="INV4550"/>
    <x v="72"/>
    <x v="0"/>
    <x v="41"/>
    <n v="50000"/>
    <n v="10"/>
    <n v="500000"/>
    <x v="2"/>
    <n v="60000"/>
    <n v="600000"/>
  </r>
  <r>
    <s v="INV4565"/>
    <x v="72"/>
    <x v="6"/>
    <x v="13"/>
    <n v="8000"/>
    <n v="5"/>
    <n v="40000"/>
    <x v="0"/>
    <n v="9600"/>
    <n v="48000"/>
  </r>
  <r>
    <s v="INV4575"/>
    <x v="72"/>
    <x v="7"/>
    <x v="27"/>
    <n v="2500"/>
    <n v="10"/>
    <n v="25000"/>
    <x v="1"/>
    <n v="3000"/>
    <n v="30000"/>
  </r>
  <r>
    <s v="INV4603"/>
    <x v="72"/>
    <x v="6"/>
    <x v="47"/>
    <n v="12000"/>
    <n v="3"/>
    <n v="36000"/>
    <x v="2"/>
    <n v="14400"/>
    <n v="43200"/>
  </r>
  <r>
    <s v="INV4698"/>
    <x v="72"/>
    <x v="8"/>
    <x v="17"/>
    <n v="15000"/>
    <n v="4"/>
    <n v="60000"/>
    <x v="1"/>
    <n v="18000"/>
    <n v="72000"/>
  </r>
  <r>
    <s v="INV4763"/>
    <x v="72"/>
    <x v="0"/>
    <x v="41"/>
    <n v="50000"/>
    <n v="8"/>
    <n v="400000"/>
    <x v="0"/>
    <n v="60000"/>
    <n v="480000"/>
  </r>
  <r>
    <s v="INV4864"/>
    <x v="72"/>
    <x v="5"/>
    <x v="14"/>
    <n v="2800"/>
    <n v="1"/>
    <n v="2800"/>
    <x v="1"/>
    <n v="3360"/>
    <n v="3360"/>
  </r>
  <r>
    <s v="INV4872"/>
    <x v="72"/>
    <x v="5"/>
    <x v="25"/>
    <n v="3000"/>
    <n v="6"/>
    <n v="18000"/>
    <x v="2"/>
    <n v="3600"/>
    <n v="21600"/>
  </r>
  <r>
    <s v="INV4930"/>
    <x v="72"/>
    <x v="5"/>
    <x v="14"/>
    <n v="2800"/>
    <n v="9"/>
    <n v="25200"/>
    <x v="2"/>
    <n v="3360"/>
    <n v="30240"/>
  </r>
  <r>
    <s v="INV0555"/>
    <x v="73"/>
    <x v="0"/>
    <x v="22"/>
    <n v="6000"/>
    <n v="3"/>
    <n v="18000"/>
    <x v="1"/>
    <n v="7200"/>
    <n v="21600"/>
  </r>
  <r>
    <s v="INV0556"/>
    <x v="73"/>
    <x v="2"/>
    <x v="30"/>
    <n v="2880"/>
    <n v="8"/>
    <n v="23040"/>
    <x v="2"/>
    <n v="3456"/>
    <n v="27648"/>
  </r>
  <r>
    <s v="INV0557"/>
    <x v="73"/>
    <x v="2"/>
    <x v="6"/>
    <n v="2880"/>
    <n v="6"/>
    <n v="17280"/>
    <x v="0"/>
    <n v="3456"/>
    <n v="20736"/>
  </r>
  <r>
    <s v="INV0558"/>
    <x v="73"/>
    <x v="0"/>
    <x v="19"/>
    <n v="48000"/>
    <n v="10"/>
    <n v="480000"/>
    <x v="2"/>
    <n v="57600"/>
    <n v="576000"/>
  </r>
  <r>
    <s v="INV0559"/>
    <x v="73"/>
    <x v="3"/>
    <x v="3"/>
    <n v="800"/>
    <n v="3"/>
    <n v="2400"/>
    <x v="2"/>
    <n v="960"/>
    <n v="2880"/>
  </r>
  <r>
    <s v="INV0560"/>
    <x v="73"/>
    <x v="2"/>
    <x v="2"/>
    <n v="2880"/>
    <n v="4"/>
    <n v="11520"/>
    <x v="1"/>
    <n v="3456"/>
    <n v="13824"/>
  </r>
  <r>
    <s v="INV0561"/>
    <x v="73"/>
    <x v="1"/>
    <x v="5"/>
    <n v="3000"/>
    <n v="8"/>
    <n v="24000"/>
    <x v="0"/>
    <n v="3600"/>
    <n v="28800"/>
  </r>
  <r>
    <s v="INV0562"/>
    <x v="73"/>
    <x v="1"/>
    <x v="1"/>
    <n v="400"/>
    <n v="7"/>
    <n v="2800"/>
    <x v="1"/>
    <n v="480"/>
    <n v="3360"/>
  </r>
  <r>
    <s v="INV0563"/>
    <x v="73"/>
    <x v="3"/>
    <x v="29"/>
    <n v="6900"/>
    <n v="9"/>
    <n v="62100"/>
    <x v="0"/>
    <n v="8280"/>
    <n v="74520"/>
  </r>
  <r>
    <s v="INV0564"/>
    <x v="73"/>
    <x v="3"/>
    <x v="3"/>
    <n v="800"/>
    <n v="6"/>
    <n v="4800"/>
    <x v="0"/>
    <n v="960"/>
    <n v="5760"/>
  </r>
  <r>
    <s v="INV2889"/>
    <x v="73"/>
    <x v="0"/>
    <x v="9"/>
    <n v="500"/>
    <n v="3"/>
    <n v="1500"/>
    <x v="1"/>
    <n v="600"/>
    <n v="1800"/>
  </r>
  <r>
    <s v="INV3132"/>
    <x v="73"/>
    <x v="0"/>
    <x v="8"/>
    <n v="3300"/>
    <n v="3"/>
    <n v="9900"/>
    <x v="1"/>
    <n v="3960"/>
    <n v="11880"/>
  </r>
  <r>
    <s v="INV3970"/>
    <x v="73"/>
    <x v="3"/>
    <x v="12"/>
    <n v="2500"/>
    <n v="2"/>
    <n v="5000"/>
    <x v="1"/>
    <n v="3000"/>
    <n v="6000"/>
  </r>
  <r>
    <s v="INV3977"/>
    <x v="73"/>
    <x v="7"/>
    <x v="16"/>
    <n v="1000"/>
    <n v="9"/>
    <n v="9000"/>
    <x v="0"/>
    <n v="1200"/>
    <n v="10800"/>
  </r>
  <r>
    <s v="INV3981"/>
    <x v="73"/>
    <x v="7"/>
    <x v="32"/>
    <n v="1000"/>
    <n v="2"/>
    <n v="2000"/>
    <x v="2"/>
    <n v="1200"/>
    <n v="2400"/>
  </r>
  <r>
    <s v="INV4149"/>
    <x v="73"/>
    <x v="6"/>
    <x v="47"/>
    <n v="12000"/>
    <n v="4"/>
    <n v="48000"/>
    <x v="0"/>
    <n v="14400"/>
    <n v="57600"/>
  </r>
  <r>
    <s v="INV4345"/>
    <x v="73"/>
    <x v="3"/>
    <x v="42"/>
    <n v="500"/>
    <n v="9"/>
    <n v="4500"/>
    <x v="0"/>
    <n v="600"/>
    <n v="5400"/>
  </r>
  <r>
    <s v="INV4439"/>
    <x v="73"/>
    <x v="8"/>
    <x v="44"/>
    <n v="12000"/>
    <n v="10"/>
    <n v="120000"/>
    <x v="2"/>
    <n v="14400"/>
    <n v="144000"/>
  </r>
  <r>
    <s v="INV4542"/>
    <x v="73"/>
    <x v="5"/>
    <x v="14"/>
    <n v="2800"/>
    <n v="3"/>
    <n v="8400"/>
    <x v="2"/>
    <n v="3360"/>
    <n v="10080"/>
  </r>
  <r>
    <s v="INV4743"/>
    <x v="73"/>
    <x v="8"/>
    <x v="28"/>
    <n v="10000"/>
    <n v="2"/>
    <n v="20000"/>
    <x v="1"/>
    <n v="12000"/>
    <n v="24000"/>
  </r>
  <r>
    <s v="INV4746"/>
    <x v="73"/>
    <x v="7"/>
    <x v="16"/>
    <n v="1000"/>
    <n v="1"/>
    <n v="1000"/>
    <x v="1"/>
    <n v="1200"/>
    <n v="1200"/>
  </r>
  <r>
    <s v="INV4758"/>
    <x v="73"/>
    <x v="7"/>
    <x v="32"/>
    <n v="1000"/>
    <n v="8"/>
    <n v="8000"/>
    <x v="2"/>
    <n v="1200"/>
    <n v="9600"/>
  </r>
  <r>
    <s v="INV4814"/>
    <x v="73"/>
    <x v="5"/>
    <x v="25"/>
    <n v="3000"/>
    <n v="8"/>
    <n v="24000"/>
    <x v="2"/>
    <n v="3600"/>
    <n v="28800"/>
  </r>
  <r>
    <s v="INV4823"/>
    <x v="73"/>
    <x v="3"/>
    <x v="29"/>
    <n v="6900"/>
    <n v="8"/>
    <n v="55200"/>
    <x v="0"/>
    <n v="8280"/>
    <n v="66240"/>
  </r>
  <r>
    <s v="INV0565"/>
    <x v="74"/>
    <x v="0"/>
    <x v="0"/>
    <n v="60000"/>
    <n v="6"/>
    <n v="360000"/>
    <x v="1"/>
    <n v="72000"/>
    <n v="432000"/>
  </r>
  <r>
    <s v="INV0566"/>
    <x v="74"/>
    <x v="0"/>
    <x v="0"/>
    <n v="60000"/>
    <n v="4"/>
    <n v="240000"/>
    <x v="0"/>
    <n v="72000"/>
    <n v="288000"/>
  </r>
  <r>
    <s v="INV0567"/>
    <x v="74"/>
    <x v="3"/>
    <x v="29"/>
    <n v="6900"/>
    <n v="6"/>
    <n v="41400"/>
    <x v="2"/>
    <n v="8280"/>
    <n v="49680"/>
  </r>
  <r>
    <s v="INV0568"/>
    <x v="74"/>
    <x v="2"/>
    <x v="2"/>
    <n v="2880"/>
    <n v="2"/>
    <n v="5760"/>
    <x v="1"/>
    <n v="3456"/>
    <n v="6912"/>
  </r>
  <r>
    <s v="INV0569"/>
    <x v="74"/>
    <x v="2"/>
    <x v="2"/>
    <n v="2880"/>
    <n v="2"/>
    <n v="5760"/>
    <x v="1"/>
    <n v="3456"/>
    <n v="6912"/>
  </r>
  <r>
    <s v="INV0570"/>
    <x v="74"/>
    <x v="3"/>
    <x v="29"/>
    <n v="6900"/>
    <n v="2"/>
    <n v="13800"/>
    <x v="0"/>
    <n v="8280"/>
    <n v="16560"/>
  </r>
  <r>
    <s v="INV0571"/>
    <x v="74"/>
    <x v="3"/>
    <x v="3"/>
    <n v="800"/>
    <n v="4"/>
    <n v="3200"/>
    <x v="2"/>
    <n v="960"/>
    <n v="3840"/>
  </r>
  <r>
    <s v="INV0572"/>
    <x v="74"/>
    <x v="2"/>
    <x v="2"/>
    <n v="2880"/>
    <n v="7"/>
    <n v="20160"/>
    <x v="1"/>
    <n v="3456"/>
    <n v="24192"/>
  </r>
  <r>
    <s v="INV0573"/>
    <x v="74"/>
    <x v="3"/>
    <x v="3"/>
    <n v="800"/>
    <n v="6"/>
    <n v="4800"/>
    <x v="1"/>
    <n v="960"/>
    <n v="5760"/>
  </r>
  <r>
    <s v="INV0574"/>
    <x v="74"/>
    <x v="3"/>
    <x v="29"/>
    <n v="6900"/>
    <n v="3"/>
    <n v="20700"/>
    <x v="0"/>
    <n v="8280"/>
    <n v="24840"/>
  </r>
  <r>
    <s v="INV3117"/>
    <x v="74"/>
    <x v="0"/>
    <x v="19"/>
    <n v="48000"/>
    <n v="1"/>
    <n v="48000"/>
    <x v="1"/>
    <n v="57600"/>
    <n v="57600"/>
  </r>
  <r>
    <s v="INV3633"/>
    <x v="74"/>
    <x v="0"/>
    <x v="24"/>
    <n v="1900"/>
    <n v="8"/>
    <n v="15200"/>
    <x v="1"/>
    <n v="2280"/>
    <n v="18240"/>
  </r>
  <r>
    <s v="INV3992"/>
    <x v="74"/>
    <x v="7"/>
    <x v="34"/>
    <n v="2000"/>
    <n v="2"/>
    <n v="4000"/>
    <x v="0"/>
    <n v="2400"/>
    <n v="4800"/>
  </r>
  <r>
    <s v="INV4087"/>
    <x v="74"/>
    <x v="5"/>
    <x v="25"/>
    <n v="3000"/>
    <n v="8"/>
    <n v="24000"/>
    <x v="1"/>
    <n v="3600"/>
    <n v="28800"/>
  </r>
  <r>
    <s v="INV4140"/>
    <x v="74"/>
    <x v="0"/>
    <x v="0"/>
    <n v="60000"/>
    <n v="9"/>
    <n v="540000"/>
    <x v="1"/>
    <n v="72000"/>
    <n v="648000"/>
  </r>
  <r>
    <s v="INV4201"/>
    <x v="74"/>
    <x v="3"/>
    <x v="12"/>
    <n v="2500"/>
    <n v="4"/>
    <n v="10000"/>
    <x v="2"/>
    <n v="3000"/>
    <n v="12000"/>
  </r>
  <r>
    <s v="INV4307"/>
    <x v="74"/>
    <x v="5"/>
    <x v="25"/>
    <n v="3000"/>
    <n v="1"/>
    <n v="3000"/>
    <x v="0"/>
    <n v="3600"/>
    <n v="3600"/>
  </r>
  <r>
    <s v="INV4400"/>
    <x v="74"/>
    <x v="0"/>
    <x v="20"/>
    <n v="35000"/>
    <n v="5"/>
    <n v="175000"/>
    <x v="1"/>
    <n v="42000"/>
    <n v="210000"/>
  </r>
  <r>
    <s v="INV4426"/>
    <x v="74"/>
    <x v="5"/>
    <x v="18"/>
    <n v="15000"/>
    <n v="10"/>
    <n v="150000"/>
    <x v="1"/>
    <n v="18000"/>
    <n v="180000"/>
  </r>
  <r>
    <s v="INV4676"/>
    <x v="74"/>
    <x v="8"/>
    <x v="44"/>
    <n v="12000"/>
    <n v="4"/>
    <n v="48000"/>
    <x v="0"/>
    <n v="14400"/>
    <n v="57600"/>
  </r>
  <r>
    <s v="INV4716"/>
    <x v="74"/>
    <x v="6"/>
    <x v="35"/>
    <n v="2000"/>
    <n v="4"/>
    <n v="8000"/>
    <x v="0"/>
    <n v="2400"/>
    <n v="9600"/>
  </r>
  <r>
    <s v="INV0575"/>
    <x v="75"/>
    <x v="3"/>
    <x v="29"/>
    <n v="6900"/>
    <n v="2"/>
    <n v="13800"/>
    <x v="2"/>
    <n v="8280"/>
    <n v="16560"/>
  </r>
  <r>
    <s v="INV0576"/>
    <x v="75"/>
    <x v="2"/>
    <x v="2"/>
    <n v="2880"/>
    <n v="7"/>
    <n v="20160"/>
    <x v="2"/>
    <n v="3456"/>
    <n v="24192"/>
  </r>
  <r>
    <s v="INV0577"/>
    <x v="75"/>
    <x v="0"/>
    <x v="9"/>
    <n v="500"/>
    <n v="1"/>
    <n v="500"/>
    <x v="1"/>
    <n v="600"/>
    <n v="600"/>
  </r>
  <r>
    <s v="INV0578"/>
    <x v="75"/>
    <x v="0"/>
    <x v="9"/>
    <n v="500"/>
    <n v="9"/>
    <n v="4500"/>
    <x v="1"/>
    <n v="600"/>
    <n v="5400"/>
  </r>
  <r>
    <s v="INV0579"/>
    <x v="75"/>
    <x v="1"/>
    <x v="7"/>
    <n v="5200"/>
    <n v="6"/>
    <n v="31200"/>
    <x v="2"/>
    <n v="6240"/>
    <n v="37440"/>
  </r>
  <r>
    <s v="INV0580"/>
    <x v="75"/>
    <x v="0"/>
    <x v="9"/>
    <n v="500"/>
    <n v="5"/>
    <n v="2500"/>
    <x v="0"/>
    <n v="600"/>
    <n v="3000"/>
  </r>
  <r>
    <s v="INV0581"/>
    <x v="75"/>
    <x v="3"/>
    <x v="21"/>
    <n v="1700"/>
    <n v="9"/>
    <n v="15300"/>
    <x v="0"/>
    <n v="2040"/>
    <n v="18360"/>
  </r>
  <r>
    <s v="INV0582"/>
    <x v="75"/>
    <x v="0"/>
    <x v="0"/>
    <n v="60000"/>
    <n v="3"/>
    <n v="180000"/>
    <x v="2"/>
    <n v="72000"/>
    <n v="216000"/>
  </r>
  <r>
    <s v="INV3011"/>
    <x v="75"/>
    <x v="3"/>
    <x v="21"/>
    <n v="1700"/>
    <n v="9"/>
    <n v="15300"/>
    <x v="2"/>
    <n v="2040"/>
    <n v="18360"/>
  </r>
  <r>
    <s v="INV3716"/>
    <x v="75"/>
    <x v="4"/>
    <x v="10"/>
    <n v="9100"/>
    <n v="10"/>
    <n v="91000"/>
    <x v="2"/>
    <n v="10920"/>
    <n v="109200"/>
  </r>
  <r>
    <s v="INV4199"/>
    <x v="75"/>
    <x v="8"/>
    <x v="28"/>
    <n v="10000"/>
    <n v="10"/>
    <n v="100000"/>
    <x v="1"/>
    <n v="12000"/>
    <n v="120000"/>
  </r>
  <r>
    <s v="INV4411"/>
    <x v="75"/>
    <x v="0"/>
    <x v="0"/>
    <n v="60000"/>
    <n v="1"/>
    <n v="60000"/>
    <x v="0"/>
    <n v="72000"/>
    <n v="72000"/>
  </r>
  <r>
    <s v="INV4551"/>
    <x v="75"/>
    <x v="5"/>
    <x v="18"/>
    <n v="15000"/>
    <n v="6"/>
    <n v="90000"/>
    <x v="0"/>
    <n v="18000"/>
    <n v="108000"/>
  </r>
  <r>
    <s v="INV4753"/>
    <x v="75"/>
    <x v="3"/>
    <x v="12"/>
    <n v="2500"/>
    <n v="4"/>
    <n v="10000"/>
    <x v="0"/>
    <n v="3000"/>
    <n v="12000"/>
  </r>
  <r>
    <s v="INV4810"/>
    <x v="75"/>
    <x v="3"/>
    <x v="12"/>
    <n v="2500"/>
    <n v="9"/>
    <n v="22500"/>
    <x v="0"/>
    <n v="3000"/>
    <n v="27000"/>
  </r>
  <r>
    <s v="INV4837"/>
    <x v="75"/>
    <x v="5"/>
    <x v="40"/>
    <n v="13000"/>
    <n v="10"/>
    <n v="130000"/>
    <x v="2"/>
    <n v="15600"/>
    <n v="156000"/>
  </r>
  <r>
    <s v="INV0583"/>
    <x v="76"/>
    <x v="3"/>
    <x v="4"/>
    <n v="1200"/>
    <n v="6"/>
    <n v="7200"/>
    <x v="0"/>
    <n v="1440"/>
    <n v="8640"/>
  </r>
  <r>
    <s v="INV0584"/>
    <x v="76"/>
    <x v="0"/>
    <x v="0"/>
    <n v="60000"/>
    <n v="7"/>
    <n v="420000"/>
    <x v="0"/>
    <n v="72000"/>
    <n v="504000"/>
  </r>
  <r>
    <s v="INV0585"/>
    <x v="76"/>
    <x v="0"/>
    <x v="19"/>
    <n v="48000"/>
    <n v="5"/>
    <n v="240000"/>
    <x v="2"/>
    <n v="57600"/>
    <n v="288000"/>
  </r>
  <r>
    <s v="INV0586"/>
    <x v="76"/>
    <x v="3"/>
    <x v="4"/>
    <n v="1200"/>
    <n v="7"/>
    <n v="8400"/>
    <x v="1"/>
    <n v="1440"/>
    <n v="10080"/>
  </r>
  <r>
    <s v="INV0587"/>
    <x v="76"/>
    <x v="0"/>
    <x v="0"/>
    <n v="60000"/>
    <n v="10"/>
    <n v="600000"/>
    <x v="2"/>
    <n v="72000"/>
    <n v="720000"/>
  </r>
  <r>
    <s v="INV0588"/>
    <x v="76"/>
    <x v="2"/>
    <x v="39"/>
    <n v="1750"/>
    <n v="10"/>
    <n v="17500"/>
    <x v="2"/>
    <n v="2100"/>
    <n v="21000"/>
  </r>
  <r>
    <s v="INV0589"/>
    <x v="76"/>
    <x v="3"/>
    <x v="3"/>
    <n v="800"/>
    <n v="7"/>
    <n v="5600"/>
    <x v="2"/>
    <n v="960"/>
    <n v="6720"/>
  </r>
  <r>
    <s v="INV0590"/>
    <x v="76"/>
    <x v="1"/>
    <x v="7"/>
    <n v="5200"/>
    <n v="6"/>
    <n v="31200"/>
    <x v="0"/>
    <n v="6240"/>
    <n v="37440"/>
  </r>
  <r>
    <s v="INV0591"/>
    <x v="76"/>
    <x v="2"/>
    <x v="6"/>
    <n v="2880"/>
    <n v="5"/>
    <n v="14400"/>
    <x v="1"/>
    <n v="3456"/>
    <n v="17280"/>
  </r>
  <r>
    <s v="INV3028"/>
    <x v="76"/>
    <x v="4"/>
    <x v="10"/>
    <n v="9100"/>
    <n v="10"/>
    <n v="91000"/>
    <x v="1"/>
    <n v="10920"/>
    <n v="109200"/>
  </r>
  <r>
    <s v="INV3273"/>
    <x v="76"/>
    <x v="0"/>
    <x v="24"/>
    <n v="1900"/>
    <n v="7"/>
    <n v="13300"/>
    <x v="2"/>
    <n v="2280"/>
    <n v="15960"/>
  </r>
  <r>
    <s v="INV3384"/>
    <x v="76"/>
    <x v="4"/>
    <x v="10"/>
    <n v="9100"/>
    <n v="8"/>
    <n v="72800"/>
    <x v="0"/>
    <n v="10920"/>
    <n v="87360"/>
  </r>
  <r>
    <s v="INV4155"/>
    <x v="76"/>
    <x v="3"/>
    <x v="29"/>
    <n v="6900"/>
    <n v="10"/>
    <n v="69000"/>
    <x v="1"/>
    <n v="8280"/>
    <n v="82800"/>
  </r>
  <r>
    <s v="INV4251"/>
    <x v="76"/>
    <x v="6"/>
    <x v="15"/>
    <n v="500"/>
    <n v="4"/>
    <n v="2000"/>
    <x v="2"/>
    <n v="600"/>
    <n v="2400"/>
  </r>
  <r>
    <s v="INV4424"/>
    <x v="76"/>
    <x v="5"/>
    <x v="11"/>
    <n v="400"/>
    <n v="5"/>
    <n v="2000"/>
    <x v="2"/>
    <n v="480"/>
    <n v="2400"/>
  </r>
  <r>
    <s v="INV4463"/>
    <x v="76"/>
    <x v="8"/>
    <x v="17"/>
    <n v="15000"/>
    <n v="1"/>
    <n v="15000"/>
    <x v="1"/>
    <n v="18000"/>
    <n v="18000"/>
  </r>
  <r>
    <s v="INV4581"/>
    <x v="76"/>
    <x v="3"/>
    <x v="33"/>
    <n v="4000"/>
    <n v="3"/>
    <n v="12000"/>
    <x v="0"/>
    <n v="4800"/>
    <n v="14400"/>
  </r>
  <r>
    <s v="INV4670"/>
    <x v="76"/>
    <x v="3"/>
    <x v="42"/>
    <n v="500"/>
    <n v="3"/>
    <n v="1500"/>
    <x v="2"/>
    <n v="600"/>
    <n v="1800"/>
  </r>
  <r>
    <s v="INV4908"/>
    <x v="76"/>
    <x v="8"/>
    <x v="38"/>
    <n v="2000"/>
    <n v="1"/>
    <n v="2000"/>
    <x v="2"/>
    <n v="2400"/>
    <n v="2400"/>
  </r>
  <r>
    <s v="INV0592"/>
    <x v="77"/>
    <x v="3"/>
    <x v="4"/>
    <n v="1200"/>
    <n v="8"/>
    <n v="9600"/>
    <x v="0"/>
    <n v="1440"/>
    <n v="11520"/>
  </r>
  <r>
    <s v="INV0593"/>
    <x v="77"/>
    <x v="3"/>
    <x v="4"/>
    <n v="1200"/>
    <n v="8"/>
    <n v="9600"/>
    <x v="2"/>
    <n v="1440"/>
    <n v="11520"/>
  </r>
  <r>
    <s v="INV0594"/>
    <x v="77"/>
    <x v="2"/>
    <x v="30"/>
    <n v="2880"/>
    <n v="1"/>
    <n v="2880"/>
    <x v="2"/>
    <n v="3456"/>
    <n v="3456"/>
  </r>
  <r>
    <s v="INV0595"/>
    <x v="77"/>
    <x v="2"/>
    <x v="39"/>
    <n v="1750"/>
    <n v="1"/>
    <n v="1750"/>
    <x v="1"/>
    <n v="2100"/>
    <n v="2100"/>
  </r>
  <r>
    <s v="INV0596"/>
    <x v="77"/>
    <x v="2"/>
    <x v="30"/>
    <n v="2880"/>
    <n v="3"/>
    <n v="8640"/>
    <x v="2"/>
    <n v="3456"/>
    <n v="10368"/>
  </r>
  <r>
    <s v="INV0597"/>
    <x v="77"/>
    <x v="1"/>
    <x v="1"/>
    <n v="400"/>
    <n v="3"/>
    <n v="1200"/>
    <x v="0"/>
    <n v="480"/>
    <n v="1440"/>
  </r>
  <r>
    <s v="INV0598"/>
    <x v="77"/>
    <x v="0"/>
    <x v="22"/>
    <n v="6000"/>
    <n v="7"/>
    <n v="42000"/>
    <x v="1"/>
    <n v="7200"/>
    <n v="50400"/>
  </r>
  <r>
    <s v="INV0599"/>
    <x v="77"/>
    <x v="1"/>
    <x v="5"/>
    <n v="3000"/>
    <n v="4"/>
    <n v="12000"/>
    <x v="1"/>
    <n v="3600"/>
    <n v="14400"/>
  </r>
  <r>
    <s v="INV0600"/>
    <x v="77"/>
    <x v="1"/>
    <x v="5"/>
    <n v="3000"/>
    <n v="3"/>
    <n v="9000"/>
    <x v="1"/>
    <n v="3600"/>
    <n v="10800"/>
  </r>
  <r>
    <s v="INV0601"/>
    <x v="77"/>
    <x v="3"/>
    <x v="4"/>
    <n v="1200"/>
    <n v="5"/>
    <n v="6000"/>
    <x v="2"/>
    <n v="1440"/>
    <n v="7200"/>
  </r>
  <r>
    <s v="INV3064"/>
    <x v="77"/>
    <x v="4"/>
    <x v="45"/>
    <n v="120"/>
    <n v="4"/>
    <n v="480"/>
    <x v="1"/>
    <n v="144"/>
    <n v="576"/>
  </r>
  <r>
    <s v="INV3413"/>
    <x v="77"/>
    <x v="0"/>
    <x v="31"/>
    <n v="3600"/>
    <n v="5"/>
    <n v="18000"/>
    <x v="1"/>
    <n v="4320"/>
    <n v="21600"/>
  </r>
  <r>
    <s v="INV3997"/>
    <x v="77"/>
    <x v="8"/>
    <x v="38"/>
    <n v="2000"/>
    <n v="10"/>
    <n v="20000"/>
    <x v="1"/>
    <n v="2400"/>
    <n v="24000"/>
  </r>
  <r>
    <s v="INV4052"/>
    <x v="77"/>
    <x v="7"/>
    <x v="27"/>
    <n v="2500"/>
    <n v="7"/>
    <n v="17500"/>
    <x v="0"/>
    <n v="3000"/>
    <n v="21000"/>
  </r>
  <r>
    <s v="INV4095"/>
    <x v="77"/>
    <x v="7"/>
    <x v="34"/>
    <n v="2000"/>
    <n v="4"/>
    <n v="8000"/>
    <x v="1"/>
    <n v="2400"/>
    <n v="9600"/>
  </r>
  <r>
    <s v="INV4142"/>
    <x v="77"/>
    <x v="6"/>
    <x v="47"/>
    <n v="12000"/>
    <n v="5"/>
    <n v="60000"/>
    <x v="0"/>
    <n v="14400"/>
    <n v="72000"/>
  </r>
  <r>
    <s v="INV4208"/>
    <x v="77"/>
    <x v="6"/>
    <x v="35"/>
    <n v="2000"/>
    <n v="9"/>
    <n v="18000"/>
    <x v="1"/>
    <n v="2400"/>
    <n v="21600"/>
  </r>
  <r>
    <s v="INV4284"/>
    <x v="77"/>
    <x v="8"/>
    <x v="28"/>
    <n v="10000"/>
    <n v="9"/>
    <n v="90000"/>
    <x v="2"/>
    <n v="12000"/>
    <n v="108000"/>
  </r>
  <r>
    <s v="INV4329"/>
    <x v="77"/>
    <x v="6"/>
    <x v="47"/>
    <n v="12000"/>
    <n v="2"/>
    <n v="24000"/>
    <x v="0"/>
    <n v="14400"/>
    <n v="28800"/>
  </r>
  <r>
    <s v="INV4371"/>
    <x v="77"/>
    <x v="8"/>
    <x v="28"/>
    <n v="10000"/>
    <n v="8"/>
    <n v="80000"/>
    <x v="2"/>
    <n v="12000"/>
    <n v="96000"/>
  </r>
  <r>
    <s v="INV4383"/>
    <x v="77"/>
    <x v="5"/>
    <x v="25"/>
    <n v="3000"/>
    <n v="9"/>
    <n v="27000"/>
    <x v="0"/>
    <n v="3600"/>
    <n v="32400"/>
  </r>
  <r>
    <s v="INV4493"/>
    <x v="77"/>
    <x v="3"/>
    <x v="42"/>
    <n v="500"/>
    <n v="4"/>
    <n v="2000"/>
    <x v="1"/>
    <n v="600"/>
    <n v="2400"/>
  </r>
  <r>
    <s v="INV4585"/>
    <x v="77"/>
    <x v="6"/>
    <x v="36"/>
    <n v="1000"/>
    <n v="1"/>
    <n v="1000"/>
    <x v="2"/>
    <n v="1200"/>
    <n v="1200"/>
  </r>
  <r>
    <s v="INV4589"/>
    <x v="77"/>
    <x v="6"/>
    <x v="47"/>
    <n v="12000"/>
    <n v="8"/>
    <n v="96000"/>
    <x v="0"/>
    <n v="14400"/>
    <n v="115200"/>
  </r>
  <r>
    <s v="INV4659"/>
    <x v="77"/>
    <x v="3"/>
    <x v="29"/>
    <n v="6900"/>
    <n v="4"/>
    <n v="27600"/>
    <x v="1"/>
    <n v="8280"/>
    <n v="33120"/>
  </r>
  <r>
    <s v="INV4822"/>
    <x v="77"/>
    <x v="3"/>
    <x v="33"/>
    <n v="4000"/>
    <n v="4"/>
    <n v="16000"/>
    <x v="1"/>
    <n v="4800"/>
    <n v="19200"/>
  </r>
  <r>
    <s v="INV4832"/>
    <x v="77"/>
    <x v="0"/>
    <x v="43"/>
    <n v="62000"/>
    <n v="2"/>
    <n v="124000"/>
    <x v="2"/>
    <n v="74400"/>
    <n v="148800"/>
  </r>
  <r>
    <s v="INV4910"/>
    <x v="77"/>
    <x v="8"/>
    <x v="26"/>
    <n v="8000"/>
    <n v="1"/>
    <n v="8000"/>
    <x v="2"/>
    <n v="9600"/>
    <n v="9600"/>
  </r>
  <r>
    <s v="INV0602"/>
    <x v="78"/>
    <x v="0"/>
    <x v="0"/>
    <n v="60000"/>
    <n v="4"/>
    <n v="240000"/>
    <x v="2"/>
    <n v="72000"/>
    <n v="288000"/>
  </r>
  <r>
    <s v="INV0603"/>
    <x v="78"/>
    <x v="0"/>
    <x v="9"/>
    <n v="500"/>
    <n v="9"/>
    <n v="4500"/>
    <x v="2"/>
    <n v="600"/>
    <n v="5400"/>
  </r>
  <r>
    <s v="INV0604"/>
    <x v="78"/>
    <x v="2"/>
    <x v="30"/>
    <n v="2880"/>
    <n v="6"/>
    <n v="17280"/>
    <x v="2"/>
    <n v="3456"/>
    <n v="20736"/>
  </r>
  <r>
    <s v="INV0605"/>
    <x v="78"/>
    <x v="2"/>
    <x v="39"/>
    <n v="1750"/>
    <n v="10"/>
    <n v="17500"/>
    <x v="1"/>
    <n v="2100"/>
    <n v="21000"/>
  </r>
  <r>
    <s v="INV0606"/>
    <x v="78"/>
    <x v="0"/>
    <x v="22"/>
    <n v="6000"/>
    <n v="7"/>
    <n v="42000"/>
    <x v="2"/>
    <n v="7200"/>
    <n v="50400"/>
  </r>
  <r>
    <s v="INV0607"/>
    <x v="78"/>
    <x v="0"/>
    <x v="22"/>
    <n v="6000"/>
    <n v="5"/>
    <n v="30000"/>
    <x v="1"/>
    <n v="7200"/>
    <n v="36000"/>
  </r>
  <r>
    <s v="INV0608"/>
    <x v="78"/>
    <x v="3"/>
    <x v="29"/>
    <n v="6900"/>
    <n v="6"/>
    <n v="41400"/>
    <x v="2"/>
    <n v="8280"/>
    <n v="49680"/>
  </r>
  <r>
    <s v="INV2845"/>
    <x v="78"/>
    <x v="0"/>
    <x v="24"/>
    <n v="1900"/>
    <n v="2"/>
    <n v="3800"/>
    <x v="1"/>
    <n v="2280"/>
    <n v="4560"/>
  </r>
  <r>
    <s v="INV2863"/>
    <x v="78"/>
    <x v="0"/>
    <x v="24"/>
    <n v="1900"/>
    <n v="2"/>
    <n v="3800"/>
    <x v="2"/>
    <n v="2280"/>
    <n v="4560"/>
  </r>
  <r>
    <s v="INV3120"/>
    <x v="78"/>
    <x v="0"/>
    <x v="19"/>
    <n v="48000"/>
    <n v="8"/>
    <n v="384000"/>
    <x v="0"/>
    <n v="57600"/>
    <n v="460800"/>
  </r>
  <r>
    <s v="INV3219"/>
    <x v="78"/>
    <x v="0"/>
    <x v="19"/>
    <n v="48000"/>
    <n v="7"/>
    <n v="336000"/>
    <x v="0"/>
    <n v="57600"/>
    <n v="403200"/>
  </r>
  <r>
    <s v="INV3654"/>
    <x v="78"/>
    <x v="0"/>
    <x v="24"/>
    <n v="1900"/>
    <n v="4"/>
    <n v="7600"/>
    <x v="0"/>
    <n v="2280"/>
    <n v="9120"/>
  </r>
  <r>
    <s v="INV3888"/>
    <x v="78"/>
    <x v="0"/>
    <x v="19"/>
    <n v="48000"/>
    <n v="4"/>
    <n v="192000"/>
    <x v="0"/>
    <n v="57600"/>
    <n v="230400"/>
  </r>
  <r>
    <s v="INV3899"/>
    <x v="78"/>
    <x v="0"/>
    <x v="8"/>
    <n v="3300"/>
    <n v="2"/>
    <n v="6600"/>
    <x v="0"/>
    <n v="3960"/>
    <n v="7920"/>
  </r>
  <r>
    <s v="INV4160"/>
    <x v="78"/>
    <x v="3"/>
    <x v="29"/>
    <n v="6900"/>
    <n v="5"/>
    <n v="34500"/>
    <x v="1"/>
    <n v="8280"/>
    <n v="41400"/>
  </r>
  <r>
    <s v="INV4172"/>
    <x v="78"/>
    <x v="0"/>
    <x v="19"/>
    <n v="48000"/>
    <n v="2"/>
    <n v="96000"/>
    <x v="2"/>
    <n v="57600"/>
    <n v="115200"/>
  </r>
  <r>
    <s v="INV4226"/>
    <x v="78"/>
    <x v="8"/>
    <x v="28"/>
    <n v="10000"/>
    <n v="10"/>
    <n v="100000"/>
    <x v="2"/>
    <n v="12000"/>
    <n v="120000"/>
  </r>
  <r>
    <s v="INV4227"/>
    <x v="78"/>
    <x v="5"/>
    <x v="40"/>
    <n v="13000"/>
    <n v="10"/>
    <n v="130000"/>
    <x v="0"/>
    <n v="15600"/>
    <n v="156000"/>
  </r>
  <r>
    <s v="INV4375"/>
    <x v="78"/>
    <x v="0"/>
    <x v="0"/>
    <n v="60000"/>
    <n v="3"/>
    <n v="180000"/>
    <x v="2"/>
    <n v="72000"/>
    <n v="216000"/>
  </r>
  <r>
    <s v="INV4443"/>
    <x v="78"/>
    <x v="5"/>
    <x v="18"/>
    <n v="15000"/>
    <n v="8"/>
    <n v="120000"/>
    <x v="1"/>
    <n v="18000"/>
    <n v="144000"/>
  </r>
  <r>
    <s v="INV4469"/>
    <x v="78"/>
    <x v="3"/>
    <x v="46"/>
    <n v="1950"/>
    <n v="6"/>
    <n v="11700"/>
    <x v="1"/>
    <n v="2340"/>
    <n v="14040"/>
  </r>
  <r>
    <s v="INV4511"/>
    <x v="78"/>
    <x v="6"/>
    <x v="15"/>
    <n v="500"/>
    <n v="6"/>
    <n v="3000"/>
    <x v="2"/>
    <n v="600"/>
    <n v="3600"/>
  </r>
  <r>
    <s v="INV4512"/>
    <x v="78"/>
    <x v="8"/>
    <x v="38"/>
    <n v="2000"/>
    <n v="2"/>
    <n v="4000"/>
    <x v="2"/>
    <n v="2400"/>
    <n v="4800"/>
  </r>
  <r>
    <s v="INV4563"/>
    <x v="78"/>
    <x v="5"/>
    <x v="40"/>
    <n v="13000"/>
    <n v="9"/>
    <n v="117000"/>
    <x v="0"/>
    <n v="15600"/>
    <n v="140400"/>
  </r>
  <r>
    <s v="INV4569"/>
    <x v="78"/>
    <x v="0"/>
    <x v="20"/>
    <n v="35000"/>
    <n v="1"/>
    <n v="35000"/>
    <x v="1"/>
    <n v="42000"/>
    <n v="42000"/>
  </r>
  <r>
    <s v="INV4582"/>
    <x v="78"/>
    <x v="0"/>
    <x v="41"/>
    <n v="50000"/>
    <n v="3"/>
    <n v="150000"/>
    <x v="0"/>
    <n v="60000"/>
    <n v="180000"/>
  </r>
  <r>
    <s v="INV4595"/>
    <x v="78"/>
    <x v="8"/>
    <x v="38"/>
    <n v="2000"/>
    <n v="1"/>
    <n v="2000"/>
    <x v="2"/>
    <n v="2400"/>
    <n v="2400"/>
  </r>
  <r>
    <s v="INV4687"/>
    <x v="78"/>
    <x v="3"/>
    <x v="42"/>
    <n v="500"/>
    <n v="9"/>
    <n v="4500"/>
    <x v="0"/>
    <n v="600"/>
    <n v="5400"/>
  </r>
  <r>
    <s v="INV4726"/>
    <x v="78"/>
    <x v="5"/>
    <x v="40"/>
    <n v="13000"/>
    <n v="5"/>
    <n v="65000"/>
    <x v="0"/>
    <n v="15600"/>
    <n v="78000"/>
  </r>
  <r>
    <s v="INV0609"/>
    <x v="79"/>
    <x v="2"/>
    <x v="6"/>
    <n v="2880"/>
    <n v="8"/>
    <n v="23040"/>
    <x v="0"/>
    <n v="3456"/>
    <n v="27648"/>
  </r>
  <r>
    <s v="INV0610"/>
    <x v="79"/>
    <x v="3"/>
    <x v="4"/>
    <n v="1200"/>
    <n v="4"/>
    <n v="4800"/>
    <x v="0"/>
    <n v="1440"/>
    <n v="5760"/>
  </r>
  <r>
    <s v="INV0611"/>
    <x v="79"/>
    <x v="1"/>
    <x v="5"/>
    <n v="3000"/>
    <n v="1"/>
    <n v="3000"/>
    <x v="2"/>
    <n v="3600"/>
    <n v="3600"/>
  </r>
  <r>
    <s v="INV0612"/>
    <x v="79"/>
    <x v="2"/>
    <x v="2"/>
    <n v="2880"/>
    <n v="6"/>
    <n v="17280"/>
    <x v="2"/>
    <n v="3456"/>
    <n v="20736"/>
  </r>
  <r>
    <s v="INV0613"/>
    <x v="79"/>
    <x v="3"/>
    <x v="4"/>
    <n v="1200"/>
    <n v="8"/>
    <n v="9600"/>
    <x v="0"/>
    <n v="1440"/>
    <n v="11520"/>
  </r>
  <r>
    <s v="INV0614"/>
    <x v="79"/>
    <x v="0"/>
    <x v="0"/>
    <n v="60000"/>
    <n v="9"/>
    <n v="540000"/>
    <x v="2"/>
    <n v="72000"/>
    <n v="648000"/>
  </r>
  <r>
    <s v="INV0615"/>
    <x v="79"/>
    <x v="2"/>
    <x v="30"/>
    <n v="2880"/>
    <n v="7"/>
    <n v="20160"/>
    <x v="0"/>
    <n v="3456"/>
    <n v="24192"/>
  </r>
  <r>
    <s v="INV0616"/>
    <x v="79"/>
    <x v="1"/>
    <x v="1"/>
    <n v="400"/>
    <n v="3"/>
    <n v="1200"/>
    <x v="1"/>
    <n v="480"/>
    <n v="1440"/>
  </r>
  <r>
    <s v="INV0617"/>
    <x v="79"/>
    <x v="0"/>
    <x v="19"/>
    <n v="48000"/>
    <n v="9"/>
    <n v="432000"/>
    <x v="0"/>
    <n v="57600"/>
    <n v="518400"/>
  </r>
  <r>
    <s v="INV0618"/>
    <x v="79"/>
    <x v="0"/>
    <x v="22"/>
    <n v="6000"/>
    <n v="8"/>
    <n v="48000"/>
    <x v="1"/>
    <n v="7200"/>
    <n v="57600"/>
  </r>
  <r>
    <s v="INV2859"/>
    <x v="79"/>
    <x v="3"/>
    <x v="21"/>
    <n v="1700"/>
    <n v="4"/>
    <n v="6800"/>
    <x v="1"/>
    <n v="2040"/>
    <n v="8160"/>
  </r>
  <r>
    <s v="INV3586"/>
    <x v="79"/>
    <x v="3"/>
    <x v="3"/>
    <n v="800"/>
    <n v="3"/>
    <n v="2400"/>
    <x v="0"/>
    <n v="960"/>
    <n v="2880"/>
  </r>
  <r>
    <s v="INV3641"/>
    <x v="79"/>
    <x v="0"/>
    <x v="24"/>
    <n v="1900"/>
    <n v="8"/>
    <n v="15200"/>
    <x v="0"/>
    <n v="2280"/>
    <n v="18240"/>
  </r>
  <r>
    <s v="INV4123"/>
    <x v="79"/>
    <x v="3"/>
    <x v="29"/>
    <n v="6900"/>
    <n v="9"/>
    <n v="62100"/>
    <x v="1"/>
    <n v="8280"/>
    <n v="74520"/>
  </r>
  <r>
    <s v="INV4256"/>
    <x v="79"/>
    <x v="6"/>
    <x v="35"/>
    <n v="2000"/>
    <n v="3"/>
    <n v="6000"/>
    <x v="2"/>
    <n v="2400"/>
    <n v="7200"/>
  </r>
  <r>
    <s v="INV4283"/>
    <x v="79"/>
    <x v="6"/>
    <x v="47"/>
    <n v="12000"/>
    <n v="5"/>
    <n v="60000"/>
    <x v="1"/>
    <n v="14400"/>
    <n v="72000"/>
  </r>
  <r>
    <s v="INV4433"/>
    <x v="79"/>
    <x v="5"/>
    <x v="11"/>
    <n v="400"/>
    <n v="4"/>
    <n v="1600"/>
    <x v="1"/>
    <n v="480"/>
    <n v="1920"/>
  </r>
  <r>
    <s v="INV4826"/>
    <x v="79"/>
    <x v="6"/>
    <x v="47"/>
    <n v="12000"/>
    <n v="8"/>
    <n v="96000"/>
    <x v="1"/>
    <n v="14400"/>
    <n v="115200"/>
  </r>
  <r>
    <s v="INV4887"/>
    <x v="79"/>
    <x v="0"/>
    <x v="41"/>
    <n v="50000"/>
    <n v="6"/>
    <n v="300000"/>
    <x v="1"/>
    <n v="60000"/>
    <n v="360000"/>
  </r>
  <r>
    <s v="INV0619"/>
    <x v="80"/>
    <x v="1"/>
    <x v="1"/>
    <n v="400"/>
    <n v="10"/>
    <n v="4000"/>
    <x v="2"/>
    <n v="480"/>
    <n v="4800"/>
  </r>
  <r>
    <s v="INV0620"/>
    <x v="80"/>
    <x v="0"/>
    <x v="19"/>
    <n v="48000"/>
    <n v="5"/>
    <n v="240000"/>
    <x v="1"/>
    <n v="57600"/>
    <n v="288000"/>
  </r>
  <r>
    <s v="INV0621"/>
    <x v="80"/>
    <x v="2"/>
    <x v="6"/>
    <n v="2880"/>
    <n v="4"/>
    <n v="11520"/>
    <x v="0"/>
    <n v="3456"/>
    <n v="13824"/>
  </r>
  <r>
    <s v="INV0622"/>
    <x v="80"/>
    <x v="0"/>
    <x v="19"/>
    <n v="48000"/>
    <n v="3"/>
    <n v="144000"/>
    <x v="2"/>
    <n v="57600"/>
    <n v="172800"/>
  </r>
  <r>
    <s v="INV0623"/>
    <x v="80"/>
    <x v="1"/>
    <x v="7"/>
    <n v="5200"/>
    <n v="9"/>
    <n v="46800"/>
    <x v="2"/>
    <n v="6240"/>
    <n v="56160"/>
  </r>
  <r>
    <s v="INV3232"/>
    <x v="80"/>
    <x v="4"/>
    <x v="45"/>
    <n v="120"/>
    <n v="5"/>
    <n v="600"/>
    <x v="2"/>
    <n v="144"/>
    <n v="720"/>
  </r>
  <r>
    <s v="INV3687"/>
    <x v="80"/>
    <x v="0"/>
    <x v="19"/>
    <n v="48000"/>
    <n v="8"/>
    <n v="384000"/>
    <x v="1"/>
    <n v="57600"/>
    <n v="460800"/>
  </r>
  <r>
    <s v="INV3973"/>
    <x v="80"/>
    <x v="3"/>
    <x v="33"/>
    <n v="4000"/>
    <n v="8"/>
    <n v="32000"/>
    <x v="1"/>
    <n v="4800"/>
    <n v="38400"/>
  </r>
  <r>
    <s v="INV4000"/>
    <x v="80"/>
    <x v="8"/>
    <x v="38"/>
    <n v="2000"/>
    <n v="4"/>
    <n v="8000"/>
    <x v="2"/>
    <n v="2400"/>
    <n v="9600"/>
  </r>
  <r>
    <s v="INV4055"/>
    <x v="80"/>
    <x v="5"/>
    <x v="18"/>
    <n v="15000"/>
    <n v="6"/>
    <n v="90000"/>
    <x v="0"/>
    <n v="18000"/>
    <n v="108000"/>
  </r>
  <r>
    <s v="INV4163"/>
    <x v="80"/>
    <x v="3"/>
    <x v="46"/>
    <n v="1950"/>
    <n v="1"/>
    <n v="1950"/>
    <x v="1"/>
    <n v="2340"/>
    <n v="2340"/>
  </r>
  <r>
    <s v="INV4362"/>
    <x v="80"/>
    <x v="3"/>
    <x v="42"/>
    <n v="500"/>
    <n v="8"/>
    <n v="4000"/>
    <x v="0"/>
    <n v="600"/>
    <n v="4800"/>
  </r>
  <r>
    <s v="INV4389"/>
    <x v="80"/>
    <x v="5"/>
    <x v="40"/>
    <n v="13000"/>
    <n v="8"/>
    <n v="104000"/>
    <x v="1"/>
    <n v="15600"/>
    <n v="124800"/>
  </r>
  <r>
    <s v="INV4415"/>
    <x v="80"/>
    <x v="5"/>
    <x v="14"/>
    <n v="2800"/>
    <n v="6"/>
    <n v="16800"/>
    <x v="1"/>
    <n v="3360"/>
    <n v="20160"/>
  </r>
  <r>
    <s v="INV4522"/>
    <x v="80"/>
    <x v="5"/>
    <x v="18"/>
    <n v="15000"/>
    <n v="5"/>
    <n v="75000"/>
    <x v="2"/>
    <n v="18000"/>
    <n v="90000"/>
  </r>
  <r>
    <s v="INV4761"/>
    <x v="80"/>
    <x v="6"/>
    <x v="47"/>
    <n v="12000"/>
    <n v="1"/>
    <n v="12000"/>
    <x v="0"/>
    <n v="14400"/>
    <n v="14400"/>
  </r>
  <r>
    <s v="INV4938"/>
    <x v="80"/>
    <x v="0"/>
    <x v="41"/>
    <n v="50000"/>
    <n v="5"/>
    <n v="250000"/>
    <x v="1"/>
    <n v="60000"/>
    <n v="300000"/>
  </r>
  <r>
    <s v="INV0624"/>
    <x v="81"/>
    <x v="3"/>
    <x v="29"/>
    <n v="6900"/>
    <n v="4"/>
    <n v="27600"/>
    <x v="1"/>
    <n v="8280"/>
    <n v="33120"/>
  </r>
  <r>
    <s v="INV0625"/>
    <x v="81"/>
    <x v="0"/>
    <x v="19"/>
    <n v="48000"/>
    <n v="7"/>
    <n v="336000"/>
    <x v="0"/>
    <n v="57600"/>
    <n v="403200"/>
  </r>
  <r>
    <s v="INV0626"/>
    <x v="81"/>
    <x v="2"/>
    <x v="39"/>
    <n v="1750"/>
    <n v="6"/>
    <n v="10500"/>
    <x v="1"/>
    <n v="2100"/>
    <n v="12600"/>
  </r>
  <r>
    <s v="INV0627"/>
    <x v="81"/>
    <x v="2"/>
    <x v="6"/>
    <n v="2880"/>
    <n v="1"/>
    <n v="2880"/>
    <x v="1"/>
    <n v="3456"/>
    <n v="3456"/>
  </r>
  <r>
    <s v="INV0628"/>
    <x v="81"/>
    <x v="3"/>
    <x v="4"/>
    <n v="1200"/>
    <n v="4"/>
    <n v="4800"/>
    <x v="1"/>
    <n v="1440"/>
    <n v="5760"/>
  </r>
  <r>
    <s v="INV0629"/>
    <x v="81"/>
    <x v="1"/>
    <x v="1"/>
    <n v="400"/>
    <n v="8"/>
    <n v="3200"/>
    <x v="1"/>
    <n v="480"/>
    <n v="3840"/>
  </r>
  <r>
    <s v="INV0630"/>
    <x v="81"/>
    <x v="0"/>
    <x v="19"/>
    <n v="48000"/>
    <n v="8"/>
    <n v="384000"/>
    <x v="0"/>
    <n v="57600"/>
    <n v="460800"/>
  </r>
  <r>
    <s v="INV2980"/>
    <x v="81"/>
    <x v="0"/>
    <x v="19"/>
    <n v="48000"/>
    <n v="3"/>
    <n v="144000"/>
    <x v="0"/>
    <n v="57600"/>
    <n v="172800"/>
  </r>
  <r>
    <s v="INV3289"/>
    <x v="81"/>
    <x v="0"/>
    <x v="24"/>
    <n v="1900"/>
    <n v="6"/>
    <n v="11400"/>
    <x v="2"/>
    <n v="2280"/>
    <n v="13680"/>
  </r>
  <r>
    <s v="INV3986"/>
    <x v="81"/>
    <x v="7"/>
    <x v="37"/>
    <n v="2000"/>
    <n v="8"/>
    <n v="16000"/>
    <x v="2"/>
    <n v="2400"/>
    <n v="19200"/>
  </r>
  <r>
    <s v="INV4046"/>
    <x v="81"/>
    <x v="0"/>
    <x v="19"/>
    <n v="48000"/>
    <n v="3"/>
    <n v="144000"/>
    <x v="0"/>
    <n v="57600"/>
    <n v="172800"/>
  </r>
  <r>
    <s v="INV4098"/>
    <x v="81"/>
    <x v="8"/>
    <x v="38"/>
    <n v="2000"/>
    <n v="4"/>
    <n v="8000"/>
    <x v="1"/>
    <n v="2400"/>
    <n v="9600"/>
  </r>
  <r>
    <s v="INV4126"/>
    <x v="81"/>
    <x v="0"/>
    <x v="43"/>
    <n v="62000"/>
    <n v="6"/>
    <n v="372000"/>
    <x v="2"/>
    <n v="74400"/>
    <n v="446400"/>
  </r>
  <r>
    <s v="INV4130"/>
    <x v="81"/>
    <x v="5"/>
    <x v="18"/>
    <n v="15000"/>
    <n v="10"/>
    <n v="150000"/>
    <x v="2"/>
    <n v="18000"/>
    <n v="180000"/>
  </r>
  <r>
    <s v="INV4145"/>
    <x v="81"/>
    <x v="3"/>
    <x v="46"/>
    <n v="1950"/>
    <n v="1"/>
    <n v="1950"/>
    <x v="1"/>
    <n v="2340"/>
    <n v="2340"/>
  </r>
  <r>
    <s v="INV4435"/>
    <x v="81"/>
    <x v="8"/>
    <x v="17"/>
    <n v="15000"/>
    <n v="4"/>
    <n v="60000"/>
    <x v="0"/>
    <n v="18000"/>
    <n v="72000"/>
  </r>
  <r>
    <s v="INV4684"/>
    <x v="81"/>
    <x v="3"/>
    <x v="33"/>
    <n v="4000"/>
    <n v="7"/>
    <n v="28000"/>
    <x v="1"/>
    <n v="4800"/>
    <n v="33600"/>
  </r>
  <r>
    <s v="INV4688"/>
    <x v="81"/>
    <x v="3"/>
    <x v="46"/>
    <n v="1950"/>
    <n v="7"/>
    <n v="13650"/>
    <x v="1"/>
    <n v="2340"/>
    <n v="16380"/>
  </r>
  <r>
    <s v="INV4750"/>
    <x v="81"/>
    <x v="8"/>
    <x v="17"/>
    <n v="15000"/>
    <n v="7"/>
    <n v="105000"/>
    <x v="0"/>
    <n v="18000"/>
    <n v="126000"/>
  </r>
  <r>
    <s v="INV4835"/>
    <x v="81"/>
    <x v="6"/>
    <x v="15"/>
    <n v="500"/>
    <n v="10"/>
    <n v="5000"/>
    <x v="1"/>
    <n v="600"/>
    <n v="6000"/>
  </r>
  <r>
    <s v="INV0631"/>
    <x v="82"/>
    <x v="1"/>
    <x v="7"/>
    <n v="5200"/>
    <n v="5"/>
    <n v="26000"/>
    <x v="1"/>
    <n v="6240"/>
    <n v="31200"/>
  </r>
  <r>
    <s v="INV0632"/>
    <x v="82"/>
    <x v="0"/>
    <x v="0"/>
    <n v="60000"/>
    <n v="7"/>
    <n v="420000"/>
    <x v="2"/>
    <n v="72000"/>
    <n v="504000"/>
  </r>
  <r>
    <s v="INV0633"/>
    <x v="82"/>
    <x v="0"/>
    <x v="22"/>
    <n v="6000"/>
    <n v="3"/>
    <n v="18000"/>
    <x v="0"/>
    <n v="7200"/>
    <n v="21600"/>
  </r>
  <r>
    <s v="INV0634"/>
    <x v="82"/>
    <x v="2"/>
    <x v="2"/>
    <n v="2880"/>
    <n v="1"/>
    <n v="2880"/>
    <x v="0"/>
    <n v="3456"/>
    <n v="3456"/>
  </r>
  <r>
    <s v="INV0635"/>
    <x v="82"/>
    <x v="3"/>
    <x v="21"/>
    <n v="1700"/>
    <n v="2"/>
    <n v="3400"/>
    <x v="1"/>
    <n v="2040"/>
    <n v="4080"/>
  </r>
  <r>
    <s v="INV0636"/>
    <x v="82"/>
    <x v="2"/>
    <x v="30"/>
    <n v="2880"/>
    <n v="4"/>
    <n v="11520"/>
    <x v="0"/>
    <n v="3456"/>
    <n v="13824"/>
  </r>
  <r>
    <s v="INV0637"/>
    <x v="82"/>
    <x v="3"/>
    <x v="29"/>
    <n v="6900"/>
    <n v="3"/>
    <n v="20700"/>
    <x v="0"/>
    <n v="8280"/>
    <n v="24840"/>
  </r>
  <r>
    <s v="INV3527"/>
    <x v="82"/>
    <x v="0"/>
    <x v="23"/>
    <n v="600"/>
    <n v="4"/>
    <n v="2400"/>
    <x v="1"/>
    <n v="720"/>
    <n v="2880"/>
  </r>
  <r>
    <s v="INV3569"/>
    <x v="82"/>
    <x v="0"/>
    <x v="31"/>
    <n v="3600"/>
    <n v="8"/>
    <n v="28800"/>
    <x v="1"/>
    <n v="4320"/>
    <n v="34560"/>
  </r>
  <r>
    <s v="INV3765"/>
    <x v="82"/>
    <x v="0"/>
    <x v="19"/>
    <n v="48000"/>
    <n v="2"/>
    <n v="96000"/>
    <x v="2"/>
    <n v="57600"/>
    <n v="115200"/>
  </r>
  <r>
    <s v="INV4056"/>
    <x v="82"/>
    <x v="0"/>
    <x v="43"/>
    <n v="62000"/>
    <n v="9"/>
    <n v="558000"/>
    <x v="0"/>
    <n v="74400"/>
    <n v="669600"/>
  </r>
  <r>
    <s v="INV4164"/>
    <x v="82"/>
    <x v="5"/>
    <x v="11"/>
    <n v="400"/>
    <n v="5"/>
    <n v="2000"/>
    <x v="1"/>
    <n v="480"/>
    <n v="2400"/>
  </r>
  <r>
    <s v="INV4234"/>
    <x v="82"/>
    <x v="3"/>
    <x v="46"/>
    <n v="1950"/>
    <n v="1"/>
    <n v="1950"/>
    <x v="2"/>
    <n v="2340"/>
    <n v="2340"/>
  </r>
  <r>
    <s v="INV4282"/>
    <x v="82"/>
    <x v="5"/>
    <x v="25"/>
    <n v="3000"/>
    <n v="5"/>
    <n v="15000"/>
    <x v="0"/>
    <n v="3600"/>
    <n v="18000"/>
  </r>
  <r>
    <s v="INV4315"/>
    <x v="82"/>
    <x v="3"/>
    <x v="12"/>
    <n v="2500"/>
    <n v="4"/>
    <n v="10000"/>
    <x v="0"/>
    <n v="3000"/>
    <n v="12000"/>
  </r>
  <r>
    <s v="INV4547"/>
    <x v="82"/>
    <x v="3"/>
    <x v="12"/>
    <n v="2500"/>
    <n v="2"/>
    <n v="5000"/>
    <x v="1"/>
    <n v="3000"/>
    <n v="6000"/>
  </r>
  <r>
    <s v="INV4610"/>
    <x v="82"/>
    <x v="8"/>
    <x v="28"/>
    <n v="10000"/>
    <n v="6"/>
    <n v="60000"/>
    <x v="0"/>
    <n v="12000"/>
    <n v="72000"/>
  </r>
  <r>
    <s v="INV4776"/>
    <x v="82"/>
    <x v="6"/>
    <x v="15"/>
    <n v="500"/>
    <n v="10"/>
    <n v="5000"/>
    <x v="0"/>
    <n v="600"/>
    <n v="6000"/>
  </r>
  <r>
    <s v="INV4853"/>
    <x v="82"/>
    <x v="3"/>
    <x v="12"/>
    <n v="2500"/>
    <n v="4"/>
    <n v="10000"/>
    <x v="0"/>
    <n v="3000"/>
    <n v="12000"/>
  </r>
  <r>
    <s v="INV4855"/>
    <x v="82"/>
    <x v="7"/>
    <x v="32"/>
    <n v="1000"/>
    <n v="5"/>
    <n v="5000"/>
    <x v="0"/>
    <n v="1200"/>
    <n v="6000"/>
  </r>
  <r>
    <s v="INV4878"/>
    <x v="82"/>
    <x v="3"/>
    <x v="46"/>
    <n v="1950"/>
    <n v="6"/>
    <n v="11700"/>
    <x v="0"/>
    <n v="2340"/>
    <n v="14040"/>
  </r>
  <r>
    <s v="INV0638"/>
    <x v="83"/>
    <x v="1"/>
    <x v="1"/>
    <n v="400"/>
    <n v="10"/>
    <n v="4000"/>
    <x v="2"/>
    <n v="480"/>
    <n v="4800"/>
  </r>
  <r>
    <s v="INV0639"/>
    <x v="83"/>
    <x v="3"/>
    <x v="3"/>
    <n v="800"/>
    <n v="10"/>
    <n v="8000"/>
    <x v="2"/>
    <n v="960"/>
    <n v="9600"/>
  </r>
  <r>
    <s v="INV0640"/>
    <x v="83"/>
    <x v="3"/>
    <x v="21"/>
    <n v="1700"/>
    <n v="8"/>
    <n v="13600"/>
    <x v="0"/>
    <n v="2040"/>
    <n v="16320"/>
  </r>
  <r>
    <s v="INV0641"/>
    <x v="83"/>
    <x v="3"/>
    <x v="4"/>
    <n v="1200"/>
    <n v="8"/>
    <n v="9600"/>
    <x v="1"/>
    <n v="1440"/>
    <n v="11520"/>
  </r>
  <r>
    <s v="INV0642"/>
    <x v="83"/>
    <x v="2"/>
    <x v="39"/>
    <n v="1750"/>
    <n v="10"/>
    <n v="17500"/>
    <x v="2"/>
    <n v="2100"/>
    <n v="21000"/>
  </r>
  <r>
    <s v="INV0643"/>
    <x v="83"/>
    <x v="3"/>
    <x v="21"/>
    <n v="1700"/>
    <n v="8"/>
    <n v="13600"/>
    <x v="0"/>
    <n v="2040"/>
    <n v="16320"/>
  </r>
  <r>
    <s v="INV0644"/>
    <x v="83"/>
    <x v="2"/>
    <x v="30"/>
    <n v="2880"/>
    <n v="1"/>
    <n v="2880"/>
    <x v="1"/>
    <n v="3456"/>
    <n v="3456"/>
  </r>
  <r>
    <s v="INV0645"/>
    <x v="83"/>
    <x v="3"/>
    <x v="4"/>
    <n v="1200"/>
    <n v="7"/>
    <n v="8400"/>
    <x v="0"/>
    <n v="1440"/>
    <n v="10080"/>
  </r>
  <r>
    <s v="INV0646"/>
    <x v="83"/>
    <x v="2"/>
    <x v="39"/>
    <n v="1750"/>
    <n v="2"/>
    <n v="3500"/>
    <x v="2"/>
    <n v="2100"/>
    <n v="4200"/>
  </r>
  <r>
    <s v="INV3073"/>
    <x v="83"/>
    <x v="0"/>
    <x v="8"/>
    <n v="3300"/>
    <n v="4"/>
    <n v="13200"/>
    <x v="1"/>
    <n v="3960"/>
    <n v="15840"/>
  </r>
  <r>
    <s v="INV3953"/>
    <x v="83"/>
    <x v="6"/>
    <x v="36"/>
    <n v="1000"/>
    <n v="7"/>
    <n v="7000"/>
    <x v="0"/>
    <n v="1200"/>
    <n v="8400"/>
  </r>
  <r>
    <s v="INV4034"/>
    <x v="83"/>
    <x v="8"/>
    <x v="26"/>
    <n v="8000"/>
    <n v="5"/>
    <n v="40000"/>
    <x v="2"/>
    <n v="9600"/>
    <n v="48000"/>
  </r>
  <r>
    <s v="INV4277"/>
    <x v="83"/>
    <x v="6"/>
    <x v="47"/>
    <n v="12000"/>
    <n v="4"/>
    <n v="48000"/>
    <x v="2"/>
    <n v="14400"/>
    <n v="57600"/>
  </r>
  <r>
    <s v="INV4348"/>
    <x v="83"/>
    <x v="0"/>
    <x v="0"/>
    <n v="60000"/>
    <n v="6"/>
    <n v="360000"/>
    <x v="1"/>
    <n v="72000"/>
    <n v="432000"/>
  </r>
  <r>
    <s v="INV4451"/>
    <x v="83"/>
    <x v="5"/>
    <x v="11"/>
    <n v="400"/>
    <n v="2"/>
    <n v="800"/>
    <x v="1"/>
    <n v="480"/>
    <n v="960"/>
  </r>
  <r>
    <s v="INV4502"/>
    <x v="83"/>
    <x v="6"/>
    <x v="35"/>
    <n v="2000"/>
    <n v="7"/>
    <n v="14000"/>
    <x v="0"/>
    <n v="2400"/>
    <n v="16800"/>
  </r>
  <r>
    <s v="INV4707"/>
    <x v="83"/>
    <x v="0"/>
    <x v="0"/>
    <n v="60000"/>
    <n v="4"/>
    <n v="240000"/>
    <x v="1"/>
    <n v="72000"/>
    <n v="288000"/>
  </r>
  <r>
    <s v="INV4768"/>
    <x v="83"/>
    <x v="6"/>
    <x v="13"/>
    <n v="8000"/>
    <n v="4"/>
    <n v="32000"/>
    <x v="1"/>
    <n v="9600"/>
    <n v="38400"/>
  </r>
  <r>
    <s v="INV4916"/>
    <x v="83"/>
    <x v="7"/>
    <x v="37"/>
    <n v="2000"/>
    <n v="3"/>
    <n v="6000"/>
    <x v="1"/>
    <n v="2400"/>
    <n v="7200"/>
  </r>
  <r>
    <s v="INV0647"/>
    <x v="84"/>
    <x v="1"/>
    <x v="5"/>
    <n v="3000"/>
    <n v="3"/>
    <n v="9000"/>
    <x v="2"/>
    <n v="3600"/>
    <n v="10800"/>
  </r>
  <r>
    <s v="INV0648"/>
    <x v="84"/>
    <x v="3"/>
    <x v="21"/>
    <n v="1700"/>
    <n v="6"/>
    <n v="10200"/>
    <x v="0"/>
    <n v="2040"/>
    <n v="12240"/>
  </r>
  <r>
    <s v="INV0649"/>
    <x v="84"/>
    <x v="2"/>
    <x v="30"/>
    <n v="2880"/>
    <n v="10"/>
    <n v="28800"/>
    <x v="1"/>
    <n v="3456"/>
    <n v="34560"/>
  </r>
  <r>
    <s v="INV0650"/>
    <x v="84"/>
    <x v="3"/>
    <x v="29"/>
    <n v="6900"/>
    <n v="1"/>
    <n v="6900"/>
    <x v="1"/>
    <n v="8280"/>
    <n v="8280"/>
  </r>
  <r>
    <s v="INV0651"/>
    <x v="84"/>
    <x v="2"/>
    <x v="6"/>
    <n v="2880"/>
    <n v="5"/>
    <n v="14400"/>
    <x v="0"/>
    <n v="3456"/>
    <n v="17280"/>
  </r>
  <r>
    <s v="INV4048"/>
    <x v="84"/>
    <x v="8"/>
    <x v="26"/>
    <n v="8000"/>
    <n v="1"/>
    <n v="8000"/>
    <x v="0"/>
    <n v="9600"/>
    <n v="9600"/>
  </r>
  <r>
    <s v="INV4144"/>
    <x v="84"/>
    <x v="7"/>
    <x v="34"/>
    <n v="2000"/>
    <n v="2"/>
    <n v="4000"/>
    <x v="2"/>
    <n v="2400"/>
    <n v="4800"/>
  </r>
  <r>
    <s v="INV4253"/>
    <x v="84"/>
    <x v="6"/>
    <x v="35"/>
    <n v="2000"/>
    <n v="7"/>
    <n v="14000"/>
    <x v="2"/>
    <n v="2400"/>
    <n v="16800"/>
  </r>
  <r>
    <s v="INV4397"/>
    <x v="84"/>
    <x v="5"/>
    <x v="25"/>
    <n v="3000"/>
    <n v="1"/>
    <n v="3000"/>
    <x v="2"/>
    <n v="3600"/>
    <n v="3600"/>
  </r>
  <r>
    <s v="INV4468"/>
    <x v="84"/>
    <x v="6"/>
    <x v="35"/>
    <n v="2000"/>
    <n v="3"/>
    <n v="6000"/>
    <x v="0"/>
    <n v="2400"/>
    <n v="7200"/>
  </r>
  <r>
    <s v="INV4481"/>
    <x v="84"/>
    <x v="0"/>
    <x v="20"/>
    <n v="35000"/>
    <n v="9"/>
    <n v="315000"/>
    <x v="2"/>
    <n v="42000"/>
    <n v="378000"/>
  </r>
  <r>
    <s v="INV4526"/>
    <x v="84"/>
    <x v="7"/>
    <x v="16"/>
    <n v="1000"/>
    <n v="4"/>
    <n v="4000"/>
    <x v="0"/>
    <n v="1200"/>
    <n v="4800"/>
  </r>
  <r>
    <s v="INV4696"/>
    <x v="84"/>
    <x v="3"/>
    <x v="33"/>
    <n v="4000"/>
    <n v="9"/>
    <n v="36000"/>
    <x v="0"/>
    <n v="4800"/>
    <n v="43200"/>
  </r>
  <r>
    <s v="INV4711"/>
    <x v="84"/>
    <x v="7"/>
    <x v="27"/>
    <n v="2500"/>
    <n v="5"/>
    <n v="12500"/>
    <x v="2"/>
    <n v="3000"/>
    <n v="15000"/>
  </r>
  <r>
    <s v="INV4775"/>
    <x v="84"/>
    <x v="8"/>
    <x v="28"/>
    <n v="10000"/>
    <n v="3"/>
    <n v="30000"/>
    <x v="1"/>
    <n v="12000"/>
    <n v="36000"/>
  </r>
  <r>
    <s v="INV4783"/>
    <x v="84"/>
    <x v="8"/>
    <x v="26"/>
    <n v="8000"/>
    <n v="1"/>
    <n v="8000"/>
    <x v="2"/>
    <n v="9600"/>
    <n v="9600"/>
  </r>
  <r>
    <s v="INV4850"/>
    <x v="84"/>
    <x v="7"/>
    <x v="34"/>
    <n v="2000"/>
    <n v="5"/>
    <n v="10000"/>
    <x v="1"/>
    <n v="2400"/>
    <n v="12000"/>
  </r>
  <r>
    <s v="INV4894"/>
    <x v="84"/>
    <x v="6"/>
    <x v="15"/>
    <n v="500"/>
    <n v="2"/>
    <n v="1000"/>
    <x v="0"/>
    <n v="600"/>
    <n v="1200"/>
  </r>
  <r>
    <s v="INV0652"/>
    <x v="85"/>
    <x v="2"/>
    <x v="2"/>
    <n v="2880"/>
    <n v="6"/>
    <n v="17280"/>
    <x v="2"/>
    <n v="3456"/>
    <n v="20736"/>
  </r>
  <r>
    <s v="INV0653"/>
    <x v="85"/>
    <x v="1"/>
    <x v="5"/>
    <n v="3000"/>
    <n v="5"/>
    <n v="15000"/>
    <x v="2"/>
    <n v="3600"/>
    <n v="18000"/>
  </r>
  <r>
    <s v="INV0654"/>
    <x v="85"/>
    <x v="2"/>
    <x v="2"/>
    <n v="2880"/>
    <n v="5"/>
    <n v="14400"/>
    <x v="1"/>
    <n v="3456"/>
    <n v="17280"/>
  </r>
  <r>
    <s v="INV0655"/>
    <x v="85"/>
    <x v="2"/>
    <x v="30"/>
    <n v="2880"/>
    <n v="8"/>
    <n v="23040"/>
    <x v="1"/>
    <n v="3456"/>
    <n v="27648"/>
  </r>
  <r>
    <s v="INV0656"/>
    <x v="85"/>
    <x v="2"/>
    <x v="39"/>
    <n v="1750"/>
    <n v="10"/>
    <n v="17500"/>
    <x v="0"/>
    <n v="2100"/>
    <n v="21000"/>
  </r>
  <r>
    <s v="INV0657"/>
    <x v="85"/>
    <x v="3"/>
    <x v="21"/>
    <n v="1700"/>
    <n v="10"/>
    <n v="17000"/>
    <x v="0"/>
    <n v="2040"/>
    <n v="20400"/>
  </r>
  <r>
    <s v="INV3292"/>
    <x v="85"/>
    <x v="0"/>
    <x v="8"/>
    <n v="3300"/>
    <n v="10"/>
    <n v="33000"/>
    <x v="2"/>
    <n v="3960"/>
    <n v="39600"/>
  </r>
  <r>
    <s v="INV3642"/>
    <x v="85"/>
    <x v="0"/>
    <x v="19"/>
    <n v="48000"/>
    <n v="3"/>
    <n v="144000"/>
    <x v="2"/>
    <n v="57600"/>
    <n v="172800"/>
  </r>
  <r>
    <s v="INV4004"/>
    <x v="85"/>
    <x v="3"/>
    <x v="12"/>
    <n v="2500"/>
    <n v="2"/>
    <n v="5000"/>
    <x v="2"/>
    <n v="3000"/>
    <n v="6000"/>
  </r>
  <r>
    <s v="INV4035"/>
    <x v="85"/>
    <x v="0"/>
    <x v="41"/>
    <n v="50000"/>
    <n v="7"/>
    <n v="350000"/>
    <x v="0"/>
    <n v="60000"/>
    <n v="420000"/>
  </r>
  <r>
    <s v="INV4097"/>
    <x v="85"/>
    <x v="7"/>
    <x v="16"/>
    <n v="1000"/>
    <n v="8"/>
    <n v="8000"/>
    <x v="1"/>
    <n v="1200"/>
    <n v="9600"/>
  </r>
  <r>
    <s v="INV4107"/>
    <x v="85"/>
    <x v="5"/>
    <x v="11"/>
    <n v="400"/>
    <n v="6"/>
    <n v="2400"/>
    <x v="2"/>
    <n v="480"/>
    <n v="2880"/>
  </r>
  <r>
    <s v="INV4534"/>
    <x v="85"/>
    <x v="0"/>
    <x v="0"/>
    <n v="60000"/>
    <n v="3"/>
    <n v="180000"/>
    <x v="0"/>
    <n v="72000"/>
    <n v="216000"/>
  </r>
  <r>
    <s v="INV4590"/>
    <x v="85"/>
    <x v="6"/>
    <x v="35"/>
    <n v="2000"/>
    <n v="2"/>
    <n v="4000"/>
    <x v="2"/>
    <n v="2400"/>
    <n v="4800"/>
  </r>
  <r>
    <s v="INV4649"/>
    <x v="85"/>
    <x v="0"/>
    <x v="41"/>
    <n v="50000"/>
    <n v="3"/>
    <n v="150000"/>
    <x v="2"/>
    <n v="60000"/>
    <n v="180000"/>
  </r>
  <r>
    <s v="INV4856"/>
    <x v="85"/>
    <x v="0"/>
    <x v="20"/>
    <n v="35000"/>
    <n v="2"/>
    <n v="70000"/>
    <x v="0"/>
    <n v="42000"/>
    <n v="84000"/>
  </r>
  <r>
    <s v="INV4858"/>
    <x v="85"/>
    <x v="0"/>
    <x v="20"/>
    <n v="35000"/>
    <n v="3"/>
    <n v="105000"/>
    <x v="0"/>
    <n v="42000"/>
    <n v="126000"/>
  </r>
  <r>
    <s v="INV4889"/>
    <x v="85"/>
    <x v="8"/>
    <x v="26"/>
    <n v="8000"/>
    <n v="9"/>
    <n v="72000"/>
    <x v="1"/>
    <n v="9600"/>
    <n v="86400"/>
  </r>
  <r>
    <s v="INV0658"/>
    <x v="86"/>
    <x v="0"/>
    <x v="19"/>
    <n v="48000"/>
    <n v="6"/>
    <n v="288000"/>
    <x v="0"/>
    <n v="57600"/>
    <n v="345600"/>
  </r>
  <r>
    <s v="INV0659"/>
    <x v="86"/>
    <x v="3"/>
    <x v="21"/>
    <n v="1700"/>
    <n v="10"/>
    <n v="17000"/>
    <x v="1"/>
    <n v="2040"/>
    <n v="20400"/>
  </r>
  <r>
    <s v="INV0660"/>
    <x v="86"/>
    <x v="1"/>
    <x v="5"/>
    <n v="3000"/>
    <n v="10"/>
    <n v="30000"/>
    <x v="2"/>
    <n v="3600"/>
    <n v="36000"/>
  </r>
  <r>
    <s v="INV0661"/>
    <x v="86"/>
    <x v="2"/>
    <x v="39"/>
    <n v="1750"/>
    <n v="2"/>
    <n v="3500"/>
    <x v="1"/>
    <n v="2100"/>
    <n v="4200"/>
  </r>
  <r>
    <s v="INV0662"/>
    <x v="86"/>
    <x v="0"/>
    <x v="22"/>
    <n v="6000"/>
    <n v="9"/>
    <n v="54000"/>
    <x v="2"/>
    <n v="7200"/>
    <n v="64800"/>
  </r>
  <r>
    <s v="INV0663"/>
    <x v="86"/>
    <x v="2"/>
    <x v="2"/>
    <n v="2880"/>
    <n v="10"/>
    <n v="28800"/>
    <x v="0"/>
    <n v="3456"/>
    <n v="34560"/>
  </r>
  <r>
    <s v="INV0664"/>
    <x v="86"/>
    <x v="0"/>
    <x v="22"/>
    <n v="6000"/>
    <n v="7"/>
    <n v="42000"/>
    <x v="0"/>
    <n v="7200"/>
    <n v="50400"/>
  </r>
  <r>
    <s v="INV0665"/>
    <x v="86"/>
    <x v="2"/>
    <x v="6"/>
    <n v="2880"/>
    <n v="6"/>
    <n v="17280"/>
    <x v="1"/>
    <n v="3456"/>
    <n v="20736"/>
  </r>
  <r>
    <s v="INV3210"/>
    <x v="86"/>
    <x v="0"/>
    <x v="23"/>
    <n v="600"/>
    <n v="2"/>
    <n v="1200"/>
    <x v="0"/>
    <n v="720"/>
    <n v="1440"/>
  </r>
  <r>
    <s v="INV3775"/>
    <x v="86"/>
    <x v="3"/>
    <x v="21"/>
    <n v="1700"/>
    <n v="9"/>
    <n v="15300"/>
    <x v="0"/>
    <n v="2040"/>
    <n v="18360"/>
  </r>
  <r>
    <s v="INV4051"/>
    <x v="86"/>
    <x v="0"/>
    <x v="0"/>
    <n v="60000"/>
    <n v="6"/>
    <n v="360000"/>
    <x v="1"/>
    <n v="72000"/>
    <n v="432000"/>
  </r>
  <r>
    <s v="INV4156"/>
    <x v="86"/>
    <x v="8"/>
    <x v="38"/>
    <n v="2000"/>
    <n v="3"/>
    <n v="6000"/>
    <x v="1"/>
    <n v="2400"/>
    <n v="7200"/>
  </r>
  <r>
    <s v="INV4286"/>
    <x v="86"/>
    <x v="6"/>
    <x v="13"/>
    <n v="8000"/>
    <n v="3"/>
    <n v="24000"/>
    <x v="0"/>
    <n v="9600"/>
    <n v="28800"/>
  </r>
  <r>
    <s v="INV4296"/>
    <x v="86"/>
    <x v="6"/>
    <x v="36"/>
    <n v="1000"/>
    <n v="7"/>
    <n v="7000"/>
    <x v="1"/>
    <n v="1200"/>
    <n v="8400"/>
  </r>
  <r>
    <s v="INV4368"/>
    <x v="86"/>
    <x v="0"/>
    <x v="20"/>
    <n v="35000"/>
    <n v="3"/>
    <n v="105000"/>
    <x v="2"/>
    <n v="42000"/>
    <n v="126000"/>
  </r>
  <r>
    <s v="INV4412"/>
    <x v="86"/>
    <x v="0"/>
    <x v="43"/>
    <n v="62000"/>
    <n v="5"/>
    <n v="310000"/>
    <x v="0"/>
    <n v="74400"/>
    <n v="372000"/>
  </r>
  <r>
    <s v="INV4555"/>
    <x v="86"/>
    <x v="0"/>
    <x v="43"/>
    <n v="62000"/>
    <n v="4"/>
    <n v="248000"/>
    <x v="0"/>
    <n v="74400"/>
    <n v="297600"/>
  </r>
  <r>
    <s v="INV4568"/>
    <x v="86"/>
    <x v="0"/>
    <x v="0"/>
    <n v="60000"/>
    <n v="3"/>
    <n v="180000"/>
    <x v="0"/>
    <n v="72000"/>
    <n v="216000"/>
  </r>
  <r>
    <s v="INV4664"/>
    <x v="86"/>
    <x v="8"/>
    <x v="28"/>
    <n v="10000"/>
    <n v="7"/>
    <n v="70000"/>
    <x v="1"/>
    <n v="12000"/>
    <n v="84000"/>
  </r>
  <r>
    <s v="INV4892"/>
    <x v="86"/>
    <x v="7"/>
    <x v="27"/>
    <n v="2500"/>
    <n v="7"/>
    <n v="17500"/>
    <x v="2"/>
    <n v="3000"/>
    <n v="21000"/>
  </r>
  <r>
    <s v="INV0666"/>
    <x v="87"/>
    <x v="1"/>
    <x v="5"/>
    <n v="3000"/>
    <n v="8"/>
    <n v="24000"/>
    <x v="1"/>
    <n v="3600"/>
    <n v="28800"/>
  </r>
  <r>
    <s v="INV0667"/>
    <x v="87"/>
    <x v="3"/>
    <x v="3"/>
    <n v="800"/>
    <n v="4"/>
    <n v="3200"/>
    <x v="0"/>
    <n v="960"/>
    <n v="3840"/>
  </r>
  <r>
    <s v="INV0668"/>
    <x v="87"/>
    <x v="2"/>
    <x v="6"/>
    <n v="2880"/>
    <n v="1"/>
    <n v="2880"/>
    <x v="0"/>
    <n v="3456"/>
    <n v="3456"/>
  </r>
  <r>
    <s v="INV0669"/>
    <x v="87"/>
    <x v="3"/>
    <x v="21"/>
    <n v="1700"/>
    <n v="7"/>
    <n v="11900"/>
    <x v="1"/>
    <n v="2040"/>
    <n v="14280"/>
  </r>
  <r>
    <s v="INV0670"/>
    <x v="87"/>
    <x v="0"/>
    <x v="9"/>
    <n v="500"/>
    <n v="7"/>
    <n v="3500"/>
    <x v="1"/>
    <n v="600"/>
    <n v="4200"/>
  </r>
  <r>
    <s v="INV0671"/>
    <x v="87"/>
    <x v="2"/>
    <x v="6"/>
    <n v="2880"/>
    <n v="2"/>
    <n v="5760"/>
    <x v="1"/>
    <n v="3456"/>
    <n v="6912"/>
  </r>
  <r>
    <s v="INV0672"/>
    <x v="87"/>
    <x v="3"/>
    <x v="21"/>
    <n v="1700"/>
    <n v="9"/>
    <n v="15300"/>
    <x v="2"/>
    <n v="2040"/>
    <n v="18360"/>
  </r>
  <r>
    <s v="INV0673"/>
    <x v="87"/>
    <x v="3"/>
    <x v="21"/>
    <n v="1700"/>
    <n v="9"/>
    <n v="15300"/>
    <x v="0"/>
    <n v="2040"/>
    <n v="18360"/>
  </r>
  <r>
    <s v="INV3309"/>
    <x v="87"/>
    <x v="0"/>
    <x v="8"/>
    <n v="3300"/>
    <n v="10"/>
    <n v="33000"/>
    <x v="1"/>
    <n v="3960"/>
    <n v="39600"/>
  </r>
  <r>
    <s v="INV3332"/>
    <x v="87"/>
    <x v="3"/>
    <x v="21"/>
    <n v="1700"/>
    <n v="7"/>
    <n v="11900"/>
    <x v="2"/>
    <n v="2040"/>
    <n v="14280"/>
  </r>
  <r>
    <s v="INV3514"/>
    <x v="87"/>
    <x v="3"/>
    <x v="21"/>
    <n v="1700"/>
    <n v="3"/>
    <n v="5100"/>
    <x v="1"/>
    <n v="2040"/>
    <n v="6120"/>
  </r>
  <r>
    <s v="INV3540"/>
    <x v="87"/>
    <x v="3"/>
    <x v="3"/>
    <n v="800"/>
    <n v="6"/>
    <n v="4800"/>
    <x v="1"/>
    <n v="960"/>
    <n v="5760"/>
  </r>
  <r>
    <s v="INV3575"/>
    <x v="87"/>
    <x v="0"/>
    <x v="19"/>
    <n v="48000"/>
    <n v="1"/>
    <n v="48000"/>
    <x v="2"/>
    <n v="57600"/>
    <n v="57600"/>
  </r>
  <r>
    <s v="INV3814"/>
    <x v="87"/>
    <x v="4"/>
    <x v="45"/>
    <n v="120"/>
    <n v="10"/>
    <n v="1200"/>
    <x v="1"/>
    <n v="144"/>
    <n v="1440"/>
  </r>
  <r>
    <s v="INV3962"/>
    <x v="87"/>
    <x v="7"/>
    <x v="16"/>
    <n v="1000"/>
    <n v="10"/>
    <n v="10000"/>
    <x v="0"/>
    <n v="1200"/>
    <n v="12000"/>
  </r>
  <r>
    <s v="INV4044"/>
    <x v="87"/>
    <x v="7"/>
    <x v="34"/>
    <n v="2000"/>
    <n v="10"/>
    <n v="20000"/>
    <x v="1"/>
    <n v="2400"/>
    <n v="24000"/>
  </r>
  <r>
    <s v="INV4244"/>
    <x v="87"/>
    <x v="6"/>
    <x v="47"/>
    <n v="12000"/>
    <n v="4"/>
    <n v="48000"/>
    <x v="1"/>
    <n v="14400"/>
    <n v="57600"/>
  </r>
  <r>
    <s v="INV4456"/>
    <x v="87"/>
    <x v="7"/>
    <x v="16"/>
    <n v="1000"/>
    <n v="5"/>
    <n v="5000"/>
    <x v="2"/>
    <n v="1200"/>
    <n v="6000"/>
  </r>
  <r>
    <s v="INV4464"/>
    <x v="87"/>
    <x v="7"/>
    <x v="27"/>
    <n v="2500"/>
    <n v="5"/>
    <n v="12500"/>
    <x v="2"/>
    <n v="3000"/>
    <n v="15000"/>
  </r>
  <r>
    <s v="INV4507"/>
    <x v="87"/>
    <x v="3"/>
    <x v="12"/>
    <n v="2500"/>
    <n v="3"/>
    <n v="7500"/>
    <x v="1"/>
    <n v="3000"/>
    <n v="9000"/>
  </r>
  <r>
    <s v="INV4653"/>
    <x v="87"/>
    <x v="7"/>
    <x v="27"/>
    <n v="2500"/>
    <n v="7"/>
    <n v="17500"/>
    <x v="2"/>
    <n v="3000"/>
    <n v="21000"/>
  </r>
  <r>
    <s v="INV4936"/>
    <x v="87"/>
    <x v="6"/>
    <x v="13"/>
    <n v="8000"/>
    <n v="10"/>
    <n v="80000"/>
    <x v="2"/>
    <n v="9600"/>
    <n v="96000"/>
  </r>
  <r>
    <s v="INV0674"/>
    <x v="88"/>
    <x v="2"/>
    <x v="6"/>
    <n v="2880"/>
    <n v="5"/>
    <n v="14400"/>
    <x v="1"/>
    <n v="3456"/>
    <n v="17280"/>
  </r>
  <r>
    <s v="INV0675"/>
    <x v="88"/>
    <x v="3"/>
    <x v="21"/>
    <n v="1700"/>
    <n v="2"/>
    <n v="3400"/>
    <x v="2"/>
    <n v="2040"/>
    <n v="4080"/>
  </r>
  <r>
    <s v="INV0676"/>
    <x v="88"/>
    <x v="2"/>
    <x v="2"/>
    <n v="2880"/>
    <n v="3"/>
    <n v="8640"/>
    <x v="2"/>
    <n v="3456"/>
    <n v="10368"/>
  </r>
  <r>
    <s v="INV0677"/>
    <x v="88"/>
    <x v="1"/>
    <x v="5"/>
    <n v="3000"/>
    <n v="6"/>
    <n v="18000"/>
    <x v="1"/>
    <n v="3600"/>
    <n v="21600"/>
  </r>
  <r>
    <s v="INV0678"/>
    <x v="88"/>
    <x v="1"/>
    <x v="5"/>
    <n v="3000"/>
    <n v="6"/>
    <n v="18000"/>
    <x v="1"/>
    <n v="3600"/>
    <n v="21600"/>
  </r>
  <r>
    <s v="INV0679"/>
    <x v="88"/>
    <x v="3"/>
    <x v="3"/>
    <n v="800"/>
    <n v="9"/>
    <n v="7200"/>
    <x v="0"/>
    <n v="960"/>
    <n v="8640"/>
  </r>
  <r>
    <s v="INV0680"/>
    <x v="88"/>
    <x v="2"/>
    <x v="39"/>
    <n v="1750"/>
    <n v="6"/>
    <n v="10500"/>
    <x v="0"/>
    <n v="2100"/>
    <n v="12600"/>
  </r>
  <r>
    <s v="INV0681"/>
    <x v="88"/>
    <x v="1"/>
    <x v="5"/>
    <n v="3000"/>
    <n v="2"/>
    <n v="6000"/>
    <x v="2"/>
    <n v="3600"/>
    <n v="7200"/>
  </r>
  <r>
    <s v="INV2838"/>
    <x v="88"/>
    <x v="0"/>
    <x v="24"/>
    <n v="1900"/>
    <n v="6"/>
    <n v="11400"/>
    <x v="1"/>
    <n v="2280"/>
    <n v="13680"/>
  </r>
  <r>
    <s v="INV3161"/>
    <x v="88"/>
    <x v="4"/>
    <x v="45"/>
    <n v="120"/>
    <n v="4"/>
    <n v="480"/>
    <x v="0"/>
    <n v="144"/>
    <n v="576"/>
  </r>
  <r>
    <s v="INV3236"/>
    <x v="88"/>
    <x v="0"/>
    <x v="23"/>
    <n v="600"/>
    <n v="7"/>
    <n v="4200"/>
    <x v="0"/>
    <n v="720"/>
    <n v="5040"/>
  </r>
  <r>
    <s v="INV3340"/>
    <x v="88"/>
    <x v="0"/>
    <x v="9"/>
    <n v="500"/>
    <n v="9"/>
    <n v="4500"/>
    <x v="2"/>
    <n v="600"/>
    <n v="5400"/>
  </r>
  <r>
    <s v="INV4106"/>
    <x v="88"/>
    <x v="7"/>
    <x v="16"/>
    <n v="1000"/>
    <n v="9"/>
    <n v="9000"/>
    <x v="2"/>
    <n v="1200"/>
    <n v="10800"/>
  </r>
  <r>
    <s v="INV4254"/>
    <x v="88"/>
    <x v="5"/>
    <x v="40"/>
    <n v="13000"/>
    <n v="7"/>
    <n v="91000"/>
    <x v="2"/>
    <n v="15600"/>
    <n v="109200"/>
  </r>
  <r>
    <s v="INV4421"/>
    <x v="88"/>
    <x v="7"/>
    <x v="32"/>
    <n v="1000"/>
    <n v="8"/>
    <n v="8000"/>
    <x v="0"/>
    <n v="1200"/>
    <n v="9600"/>
  </r>
  <r>
    <s v="INV4422"/>
    <x v="88"/>
    <x v="6"/>
    <x v="35"/>
    <n v="2000"/>
    <n v="5"/>
    <n v="10000"/>
    <x v="0"/>
    <n v="2400"/>
    <n v="12000"/>
  </r>
  <r>
    <s v="INV4591"/>
    <x v="88"/>
    <x v="0"/>
    <x v="43"/>
    <n v="62000"/>
    <n v="8"/>
    <n v="496000"/>
    <x v="0"/>
    <n v="74400"/>
    <n v="595200"/>
  </r>
  <r>
    <s v="INV4594"/>
    <x v="88"/>
    <x v="7"/>
    <x v="37"/>
    <n v="2000"/>
    <n v="6"/>
    <n v="12000"/>
    <x v="2"/>
    <n v="2400"/>
    <n v="14400"/>
  </r>
  <r>
    <s v="INV4619"/>
    <x v="88"/>
    <x v="0"/>
    <x v="0"/>
    <n v="60000"/>
    <n v="2"/>
    <n v="120000"/>
    <x v="0"/>
    <n v="72000"/>
    <n v="144000"/>
  </r>
  <r>
    <s v="INV4829"/>
    <x v="88"/>
    <x v="8"/>
    <x v="28"/>
    <n v="10000"/>
    <n v="8"/>
    <n v="80000"/>
    <x v="0"/>
    <n v="12000"/>
    <n v="96000"/>
  </r>
  <r>
    <s v="INV4831"/>
    <x v="88"/>
    <x v="3"/>
    <x v="46"/>
    <n v="1950"/>
    <n v="6"/>
    <n v="11700"/>
    <x v="1"/>
    <n v="2340"/>
    <n v="14040"/>
  </r>
  <r>
    <s v="INV4885"/>
    <x v="88"/>
    <x v="5"/>
    <x v="14"/>
    <n v="2800"/>
    <n v="5"/>
    <n v="14000"/>
    <x v="2"/>
    <n v="3360"/>
    <n v="16800"/>
  </r>
  <r>
    <s v="INV4911"/>
    <x v="88"/>
    <x v="6"/>
    <x v="13"/>
    <n v="8000"/>
    <n v="3"/>
    <n v="24000"/>
    <x v="2"/>
    <n v="9600"/>
    <n v="28800"/>
  </r>
  <r>
    <s v="INV0682"/>
    <x v="89"/>
    <x v="0"/>
    <x v="0"/>
    <n v="60000"/>
    <n v="5"/>
    <n v="300000"/>
    <x v="0"/>
    <n v="72000"/>
    <n v="360000"/>
  </r>
  <r>
    <s v="INV0683"/>
    <x v="89"/>
    <x v="2"/>
    <x v="39"/>
    <n v="1750"/>
    <n v="3"/>
    <n v="5250"/>
    <x v="1"/>
    <n v="2100"/>
    <n v="6300"/>
  </r>
  <r>
    <s v="INV0684"/>
    <x v="89"/>
    <x v="2"/>
    <x v="2"/>
    <n v="2880"/>
    <n v="10"/>
    <n v="28800"/>
    <x v="2"/>
    <n v="3456"/>
    <n v="34560"/>
  </r>
  <r>
    <s v="INV0685"/>
    <x v="89"/>
    <x v="3"/>
    <x v="21"/>
    <n v="1700"/>
    <n v="8"/>
    <n v="13600"/>
    <x v="1"/>
    <n v="2040"/>
    <n v="16320"/>
  </r>
  <r>
    <s v="INV0686"/>
    <x v="89"/>
    <x v="2"/>
    <x v="30"/>
    <n v="2880"/>
    <n v="8"/>
    <n v="23040"/>
    <x v="0"/>
    <n v="3456"/>
    <n v="27648"/>
  </r>
  <r>
    <s v="INV0687"/>
    <x v="89"/>
    <x v="0"/>
    <x v="0"/>
    <n v="60000"/>
    <n v="5"/>
    <n v="300000"/>
    <x v="2"/>
    <n v="72000"/>
    <n v="360000"/>
  </r>
  <r>
    <s v="INV0688"/>
    <x v="89"/>
    <x v="2"/>
    <x v="2"/>
    <n v="2880"/>
    <n v="7"/>
    <n v="20160"/>
    <x v="1"/>
    <n v="3456"/>
    <n v="24192"/>
  </r>
  <r>
    <s v="INV0689"/>
    <x v="90"/>
    <x v="2"/>
    <x v="30"/>
    <n v="2880"/>
    <n v="8"/>
    <n v="23040"/>
    <x v="2"/>
    <n v="3456"/>
    <n v="27648"/>
  </r>
  <r>
    <s v="INV0690"/>
    <x v="90"/>
    <x v="2"/>
    <x v="2"/>
    <n v="2880"/>
    <n v="9"/>
    <n v="25920"/>
    <x v="2"/>
    <n v="3456"/>
    <n v="31104"/>
  </r>
  <r>
    <s v="INV0691"/>
    <x v="90"/>
    <x v="3"/>
    <x v="29"/>
    <n v="6900"/>
    <n v="7"/>
    <n v="48300"/>
    <x v="1"/>
    <n v="8280"/>
    <n v="57960"/>
  </r>
  <r>
    <s v="INV0692"/>
    <x v="90"/>
    <x v="2"/>
    <x v="39"/>
    <n v="1750"/>
    <n v="5"/>
    <n v="8750"/>
    <x v="2"/>
    <n v="2100"/>
    <n v="10500"/>
  </r>
  <r>
    <s v="INV0693"/>
    <x v="90"/>
    <x v="2"/>
    <x v="30"/>
    <n v="2880"/>
    <n v="8"/>
    <n v="23040"/>
    <x v="1"/>
    <n v="3456"/>
    <n v="27648"/>
  </r>
  <r>
    <s v="INV0694"/>
    <x v="90"/>
    <x v="0"/>
    <x v="9"/>
    <n v="500"/>
    <n v="9"/>
    <n v="4500"/>
    <x v="2"/>
    <n v="600"/>
    <n v="5400"/>
  </r>
  <r>
    <s v="INV0695"/>
    <x v="90"/>
    <x v="2"/>
    <x v="2"/>
    <n v="2880"/>
    <n v="5"/>
    <n v="14400"/>
    <x v="1"/>
    <n v="3456"/>
    <n v="17280"/>
  </r>
  <r>
    <s v="INV0696"/>
    <x v="90"/>
    <x v="3"/>
    <x v="4"/>
    <n v="1200"/>
    <n v="3"/>
    <n v="3600"/>
    <x v="1"/>
    <n v="1440"/>
    <n v="4320"/>
  </r>
  <r>
    <s v="INV3118"/>
    <x v="90"/>
    <x v="4"/>
    <x v="45"/>
    <n v="120"/>
    <n v="2"/>
    <n v="240"/>
    <x v="0"/>
    <n v="144"/>
    <n v="288"/>
  </r>
  <r>
    <s v="INV3180"/>
    <x v="90"/>
    <x v="0"/>
    <x v="23"/>
    <n v="600"/>
    <n v="3"/>
    <n v="1800"/>
    <x v="2"/>
    <n v="720"/>
    <n v="2160"/>
  </r>
  <r>
    <s v="INV3863"/>
    <x v="90"/>
    <x v="0"/>
    <x v="24"/>
    <n v="1900"/>
    <n v="10"/>
    <n v="19000"/>
    <x v="2"/>
    <n v="2280"/>
    <n v="22800"/>
  </r>
  <r>
    <s v="INV0697"/>
    <x v="91"/>
    <x v="1"/>
    <x v="1"/>
    <n v="400"/>
    <n v="8"/>
    <n v="3200"/>
    <x v="2"/>
    <n v="480"/>
    <n v="3840"/>
  </r>
  <r>
    <s v="INV0698"/>
    <x v="91"/>
    <x v="0"/>
    <x v="0"/>
    <n v="60000"/>
    <n v="9"/>
    <n v="540000"/>
    <x v="2"/>
    <n v="72000"/>
    <n v="648000"/>
  </r>
  <r>
    <s v="INV0699"/>
    <x v="91"/>
    <x v="1"/>
    <x v="5"/>
    <n v="3000"/>
    <n v="7"/>
    <n v="21000"/>
    <x v="1"/>
    <n v="3600"/>
    <n v="25200"/>
  </r>
  <r>
    <s v="INV0700"/>
    <x v="91"/>
    <x v="2"/>
    <x v="30"/>
    <n v="2880"/>
    <n v="6"/>
    <n v="17280"/>
    <x v="1"/>
    <n v="3456"/>
    <n v="20736"/>
  </r>
  <r>
    <s v="INV0701"/>
    <x v="91"/>
    <x v="3"/>
    <x v="3"/>
    <n v="800"/>
    <n v="10"/>
    <n v="8000"/>
    <x v="0"/>
    <n v="960"/>
    <n v="9600"/>
  </r>
  <r>
    <s v="INV0702"/>
    <x v="91"/>
    <x v="3"/>
    <x v="29"/>
    <n v="6900"/>
    <n v="2"/>
    <n v="13800"/>
    <x v="2"/>
    <n v="8280"/>
    <n v="16560"/>
  </r>
  <r>
    <s v="INV0703"/>
    <x v="91"/>
    <x v="3"/>
    <x v="29"/>
    <n v="6900"/>
    <n v="1"/>
    <n v="6900"/>
    <x v="1"/>
    <n v="8280"/>
    <n v="8280"/>
  </r>
  <r>
    <s v="INV2801"/>
    <x v="91"/>
    <x v="0"/>
    <x v="24"/>
    <n v="1900"/>
    <n v="7"/>
    <n v="13300"/>
    <x v="2"/>
    <n v="2280"/>
    <n v="15960"/>
  </r>
  <r>
    <s v="INV2918"/>
    <x v="91"/>
    <x v="3"/>
    <x v="21"/>
    <n v="1700"/>
    <n v="10"/>
    <n v="17000"/>
    <x v="1"/>
    <n v="2040"/>
    <n v="20400"/>
  </r>
  <r>
    <s v="INV3319"/>
    <x v="91"/>
    <x v="0"/>
    <x v="31"/>
    <n v="3600"/>
    <n v="6"/>
    <n v="21600"/>
    <x v="1"/>
    <n v="4320"/>
    <n v="25920"/>
  </r>
  <r>
    <s v="INV3388"/>
    <x v="91"/>
    <x v="0"/>
    <x v="9"/>
    <n v="500"/>
    <n v="8"/>
    <n v="4000"/>
    <x v="1"/>
    <n v="600"/>
    <n v="4800"/>
  </r>
  <r>
    <s v="INV3848"/>
    <x v="91"/>
    <x v="4"/>
    <x v="10"/>
    <n v="9100"/>
    <n v="6"/>
    <n v="54600"/>
    <x v="2"/>
    <n v="10920"/>
    <n v="65520"/>
  </r>
  <r>
    <s v="INV0704"/>
    <x v="92"/>
    <x v="2"/>
    <x v="39"/>
    <n v="1750"/>
    <n v="7"/>
    <n v="12250"/>
    <x v="1"/>
    <n v="2100"/>
    <n v="14700"/>
  </r>
  <r>
    <s v="INV0705"/>
    <x v="92"/>
    <x v="1"/>
    <x v="7"/>
    <n v="5200"/>
    <n v="5"/>
    <n v="26000"/>
    <x v="2"/>
    <n v="6240"/>
    <n v="31200"/>
  </r>
  <r>
    <s v="INV0706"/>
    <x v="92"/>
    <x v="0"/>
    <x v="22"/>
    <n v="6000"/>
    <n v="3"/>
    <n v="18000"/>
    <x v="2"/>
    <n v="7200"/>
    <n v="21600"/>
  </r>
  <r>
    <s v="INV0707"/>
    <x v="92"/>
    <x v="3"/>
    <x v="29"/>
    <n v="6900"/>
    <n v="2"/>
    <n v="13800"/>
    <x v="2"/>
    <n v="8280"/>
    <n v="16560"/>
  </r>
  <r>
    <s v="INV0708"/>
    <x v="92"/>
    <x v="3"/>
    <x v="29"/>
    <n v="6900"/>
    <n v="3"/>
    <n v="20700"/>
    <x v="2"/>
    <n v="8280"/>
    <n v="24840"/>
  </r>
  <r>
    <s v="INV3551"/>
    <x v="92"/>
    <x v="3"/>
    <x v="21"/>
    <n v="1700"/>
    <n v="7"/>
    <n v="11900"/>
    <x v="2"/>
    <n v="2040"/>
    <n v="14280"/>
  </r>
  <r>
    <s v="INV3605"/>
    <x v="92"/>
    <x v="3"/>
    <x v="21"/>
    <n v="1700"/>
    <n v="10"/>
    <n v="17000"/>
    <x v="0"/>
    <n v="2040"/>
    <n v="20400"/>
  </r>
  <r>
    <s v="INV0709"/>
    <x v="93"/>
    <x v="1"/>
    <x v="5"/>
    <n v="3000"/>
    <n v="10"/>
    <n v="30000"/>
    <x v="1"/>
    <n v="3600"/>
    <n v="36000"/>
  </r>
  <r>
    <s v="INV0710"/>
    <x v="93"/>
    <x v="3"/>
    <x v="4"/>
    <n v="1200"/>
    <n v="8"/>
    <n v="9600"/>
    <x v="1"/>
    <n v="1440"/>
    <n v="11520"/>
  </r>
  <r>
    <s v="INV0711"/>
    <x v="93"/>
    <x v="0"/>
    <x v="9"/>
    <n v="500"/>
    <n v="7"/>
    <n v="3500"/>
    <x v="1"/>
    <n v="600"/>
    <n v="4200"/>
  </r>
  <r>
    <s v="INV0712"/>
    <x v="93"/>
    <x v="0"/>
    <x v="22"/>
    <n v="6000"/>
    <n v="3"/>
    <n v="18000"/>
    <x v="2"/>
    <n v="7200"/>
    <n v="21600"/>
  </r>
  <r>
    <s v="INV0713"/>
    <x v="93"/>
    <x v="1"/>
    <x v="5"/>
    <n v="3000"/>
    <n v="1"/>
    <n v="3000"/>
    <x v="1"/>
    <n v="3600"/>
    <n v="3600"/>
  </r>
  <r>
    <s v="INV0714"/>
    <x v="93"/>
    <x v="3"/>
    <x v="3"/>
    <n v="800"/>
    <n v="4"/>
    <n v="3200"/>
    <x v="0"/>
    <n v="960"/>
    <n v="3840"/>
  </r>
  <r>
    <s v="INV3084"/>
    <x v="93"/>
    <x v="0"/>
    <x v="9"/>
    <n v="500"/>
    <n v="3"/>
    <n v="1500"/>
    <x v="0"/>
    <n v="600"/>
    <n v="1800"/>
  </r>
  <r>
    <s v="INV3257"/>
    <x v="93"/>
    <x v="0"/>
    <x v="8"/>
    <n v="3300"/>
    <n v="7"/>
    <n v="23100"/>
    <x v="2"/>
    <n v="3960"/>
    <n v="27720"/>
  </r>
  <r>
    <s v="INV3267"/>
    <x v="93"/>
    <x v="4"/>
    <x v="10"/>
    <n v="9100"/>
    <n v="8"/>
    <n v="72800"/>
    <x v="2"/>
    <n v="10920"/>
    <n v="87360"/>
  </r>
  <r>
    <s v="INV3419"/>
    <x v="93"/>
    <x v="0"/>
    <x v="24"/>
    <n v="1900"/>
    <n v="4"/>
    <n v="7600"/>
    <x v="2"/>
    <n v="2280"/>
    <n v="9120"/>
  </r>
  <r>
    <s v="INV0715"/>
    <x v="94"/>
    <x v="0"/>
    <x v="9"/>
    <n v="500"/>
    <n v="1"/>
    <n v="500"/>
    <x v="0"/>
    <n v="600"/>
    <n v="600"/>
  </r>
  <r>
    <s v="INV0716"/>
    <x v="94"/>
    <x v="3"/>
    <x v="21"/>
    <n v="1700"/>
    <n v="6"/>
    <n v="10200"/>
    <x v="1"/>
    <n v="2040"/>
    <n v="12240"/>
  </r>
  <r>
    <s v="INV0717"/>
    <x v="94"/>
    <x v="3"/>
    <x v="21"/>
    <n v="1700"/>
    <n v="3"/>
    <n v="5100"/>
    <x v="2"/>
    <n v="2040"/>
    <n v="6120"/>
  </r>
  <r>
    <s v="INV0718"/>
    <x v="94"/>
    <x v="3"/>
    <x v="4"/>
    <n v="1200"/>
    <n v="7"/>
    <n v="8400"/>
    <x v="0"/>
    <n v="1440"/>
    <n v="10080"/>
  </r>
  <r>
    <s v="INV0719"/>
    <x v="94"/>
    <x v="0"/>
    <x v="0"/>
    <n v="60000"/>
    <n v="7"/>
    <n v="420000"/>
    <x v="2"/>
    <n v="72000"/>
    <n v="504000"/>
  </r>
  <r>
    <s v="INV0720"/>
    <x v="94"/>
    <x v="0"/>
    <x v="9"/>
    <n v="500"/>
    <n v="8"/>
    <n v="4000"/>
    <x v="0"/>
    <n v="600"/>
    <n v="4800"/>
  </r>
  <r>
    <s v="INV0721"/>
    <x v="94"/>
    <x v="1"/>
    <x v="7"/>
    <n v="5200"/>
    <n v="1"/>
    <n v="5200"/>
    <x v="2"/>
    <n v="6240"/>
    <n v="6240"/>
  </r>
  <r>
    <s v="INV3634"/>
    <x v="94"/>
    <x v="0"/>
    <x v="24"/>
    <n v="1900"/>
    <n v="9"/>
    <n v="17100"/>
    <x v="1"/>
    <n v="2280"/>
    <n v="20520"/>
  </r>
  <r>
    <s v="INV3707"/>
    <x v="94"/>
    <x v="0"/>
    <x v="31"/>
    <n v="3600"/>
    <n v="7"/>
    <n v="25200"/>
    <x v="1"/>
    <n v="4320"/>
    <n v="30240"/>
  </r>
  <r>
    <s v="INV3924"/>
    <x v="94"/>
    <x v="0"/>
    <x v="9"/>
    <n v="500"/>
    <n v="2"/>
    <n v="1000"/>
    <x v="0"/>
    <n v="600"/>
    <n v="1200"/>
  </r>
  <r>
    <s v="INV0722"/>
    <x v="95"/>
    <x v="2"/>
    <x v="39"/>
    <n v="1750"/>
    <n v="5"/>
    <n v="8750"/>
    <x v="2"/>
    <n v="2100"/>
    <n v="10500"/>
  </r>
  <r>
    <s v="INV0723"/>
    <x v="95"/>
    <x v="0"/>
    <x v="9"/>
    <n v="500"/>
    <n v="7"/>
    <n v="3500"/>
    <x v="2"/>
    <n v="600"/>
    <n v="4200"/>
  </r>
  <r>
    <s v="INV0724"/>
    <x v="95"/>
    <x v="1"/>
    <x v="5"/>
    <n v="3000"/>
    <n v="7"/>
    <n v="21000"/>
    <x v="1"/>
    <n v="3600"/>
    <n v="25200"/>
  </r>
  <r>
    <s v="INV0725"/>
    <x v="95"/>
    <x v="0"/>
    <x v="19"/>
    <n v="48000"/>
    <n v="10"/>
    <n v="480000"/>
    <x v="1"/>
    <n v="57600"/>
    <n v="576000"/>
  </r>
  <r>
    <s v="INV0726"/>
    <x v="95"/>
    <x v="2"/>
    <x v="30"/>
    <n v="2880"/>
    <n v="5"/>
    <n v="14400"/>
    <x v="0"/>
    <n v="3456"/>
    <n v="17280"/>
  </r>
  <r>
    <s v="INV0727"/>
    <x v="95"/>
    <x v="2"/>
    <x v="2"/>
    <n v="2880"/>
    <n v="2"/>
    <n v="5760"/>
    <x v="2"/>
    <n v="3456"/>
    <n v="6912"/>
  </r>
  <r>
    <s v="INV0728"/>
    <x v="95"/>
    <x v="3"/>
    <x v="3"/>
    <n v="800"/>
    <n v="3"/>
    <n v="2400"/>
    <x v="0"/>
    <n v="960"/>
    <n v="2880"/>
  </r>
  <r>
    <s v="INV0729"/>
    <x v="95"/>
    <x v="3"/>
    <x v="3"/>
    <n v="800"/>
    <n v="9"/>
    <n v="7200"/>
    <x v="1"/>
    <n v="960"/>
    <n v="8640"/>
  </r>
  <r>
    <s v="INV0730"/>
    <x v="95"/>
    <x v="0"/>
    <x v="9"/>
    <n v="500"/>
    <n v="5"/>
    <n v="2500"/>
    <x v="2"/>
    <n v="600"/>
    <n v="3000"/>
  </r>
  <r>
    <s v="INV2953"/>
    <x v="95"/>
    <x v="0"/>
    <x v="24"/>
    <n v="1900"/>
    <n v="6"/>
    <n v="11400"/>
    <x v="0"/>
    <n v="2280"/>
    <n v="13680"/>
  </r>
  <r>
    <s v="INV3706"/>
    <x v="95"/>
    <x v="0"/>
    <x v="23"/>
    <n v="600"/>
    <n v="4"/>
    <n v="2400"/>
    <x v="1"/>
    <n v="720"/>
    <n v="2880"/>
  </r>
  <r>
    <s v="INV3749"/>
    <x v="95"/>
    <x v="0"/>
    <x v="19"/>
    <n v="48000"/>
    <n v="9"/>
    <n v="432000"/>
    <x v="2"/>
    <n v="57600"/>
    <n v="518400"/>
  </r>
  <r>
    <s v="INV0731"/>
    <x v="96"/>
    <x v="2"/>
    <x v="39"/>
    <n v="1750"/>
    <n v="2"/>
    <n v="3500"/>
    <x v="2"/>
    <n v="2100"/>
    <n v="4200"/>
  </r>
  <r>
    <s v="INV0732"/>
    <x v="96"/>
    <x v="1"/>
    <x v="7"/>
    <n v="5200"/>
    <n v="1"/>
    <n v="5200"/>
    <x v="0"/>
    <n v="6240"/>
    <n v="6240"/>
  </r>
  <r>
    <s v="INV0733"/>
    <x v="96"/>
    <x v="0"/>
    <x v="9"/>
    <n v="500"/>
    <n v="1"/>
    <n v="500"/>
    <x v="1"/>
    <n v="600"/>
    <n v="600"/>
  </r>
  <r>
    <s v="INV0734"/>
    <x v="96"/>
    <x v="3"/>
    <x v="3"/>
    <n v="800"/>
    <n v="9"/>
    <n v="7200"/>
    <x v="1"/>
    <n v="960"/>
    <n v="8640"/>
  </r>
  <r>
    <s v="INV0735"/>
    <x v="96"/>
    <x v="2"/>
    <x v="6"/>
    <n v="2880"/>
    <n v="3"/>
    <n v="8640"/>
    <x v="2"/>
    <n v="3456"/>
    <n v="10368"/>
  </r>
  <r>
    <s v="INV0736"/>
    <x v="96"/>
    <x v="1"/>
    <x v="1"/>
    <n v="400"/>
    <n v="9"/>
    <n v="3600"/>
    <x v="1"/>
    <n v="480"/>
    <n v="4320"/>
  </r>
  <r>
    <s v="INV2762"/>
    <x v="96"/>
    <x v="0"/>
    <x v="8"/>
    <n v="3300"/>
    <n v="7"/>
    <n v="23100"/>
    <x v="1"/>
    <n v="3960"/>
    <n v="27720"/>
  </r>
  <r>
    <s v="INV3301"/>
    <x v="96"/>
    <x v="3"/>
    <x v="21"/>
    <n v="1700"/>
    <n v="7"/>
    <n v="11900"/>
    <x v="2"/>
    <n v="2040"/>
    <n v="14280"/>
  </r>
  <r>
    <s v="INV3448"/>
    <x v="96"/>
    <x v="3"/>
    <x v="21"/>
    <n v="1700"/>
    <n v="10"/>
    <n v="17000"/>
    <x v="0"/>
    <n v="2040"/>
    <n v="20400"/>
  </r>
  <r>
    <s v="INV3451"/>
    <x v="96"/>
    <x v="3"/>
    <x v="21"/>
    <n v="1700"/>
    <n v="1"/>
    <n v="1700"/>
    <x v="1"/>
    <n v="2040"/>
    <n v="2040"/>
  </r>
  <r>
    <s v="INV0737"/>
    <x v="97"/>
    <x v="2"/>
    <x v="30"/>
    <n v="2880"/>
    <n v="7"/>
    <n v="20160"/>
    <x v="1"/>
    <n v="3456"/>
    <n v="24192"/>
  </r>
  <r>
    <s v="INV0738"/>
    <x v="97"/>
    <x v="3"/>
    <x v="4"/>
    <n v="1200"/>
    <n v="10"/>
    <n v="12000"/>
    <x v="1"/>
    <n v="1440"/>
    <n v="14400"/>
  </r>
  <r>
    <s v="INV0739"/>
    <x v="97"/>
    <x v="3"/>
    <x v="21"/>
    <n v="1700"/>
    <n v="2"/>
    <n v="3400"/>
    <x v="0"/>
    <n v="2040"/>
    <n v="4080"/>
  </r>
  <r>
    <s v="INV0740"/>
    <x v="97"/>
    <x v="0"/>
    <x v="9"/>
    <n v="500"/>
    <n v="6"/>
    <n v="3000"/>
    <x v="1"/>
    <n v="600"/>
    <n v="3600"/>
  </r>
  <r>
    <s v="INV0741"/>
    <x v="97"/>
    <x v="2"/>
    <x v="6"/>
    <n v="2880"/>
    <n v="6"/>
    <n v="17280"/>
    <x v="0"/>
    <n v="3456"/>
    <n v="20736"/>
  </r>
  <r>
    <s v="INV0742"/>
    <x v="97"/>
    <x v="0"/>
    <x v="0"/>
    <n v="60000"/>
    <n v="10"/>
    <n v="600000"/>
    <x v="0"/>
    <n v="72000"/>
    <n v="720000"/>
  </r>
  <r>
    <s v="INV2991"/>
    <x v="97"/>
    <x v="3"/>
    <x v="21"/>
    <n v="1700"/>
    <n v="1"/>
    <n v="1700"/>
    <x v="1"/>
    <n v="2040"/>
    <n v="2040"/>
  </r>
  <r>
    <s v="INV3060"/>
    <x v="97"/>
    <x v="0"/>
    <x v="31"/>
    <n v="3600"/>
    <n v="8"/>
    <n v="28800"/>
    <x v="2"/>
    <n v="4320"/>
    <n v="34560"/>
  </r>
  <r>
    <s v="INV3306"/>
    <x v="97"/>
    <x v="4"/>
    <x v="45"/>
    <n v="120"/>
    <n v="5"/>
    <n v="600"/>
    <x v="2"/>
    <n v="144"/>
    <n v="720"/>
  </r>
  <r>
    <s v="INV0743"/>
    <x v="98"/>
    <x v="0"/>
    <x v="9"/>
    <n v="500"/>
    <n v="4"/>
    <n v="2000"/>
    <x v="1"/>
    <n v="600"/>
    <n v="2400"/>
  </r>
  <r>
    <s v="INV0744"/>
    <x v="98"/>
    <x v="2"/>
    <x v="2"/>
    <n v="2880"/>
    <n v="5"/>
    <n v="14400"/>
    <x v="2"/>
    <n v="3456"/>
    <n v="17280"/>
  </r>
  <r>
    <s v="INV0745"/>
    <x v="98"/>
    <x v="1"/>
    <x v="5"/>
    <n v="3000"/>
    <n v="1"/>
    <n v="3000"/>
    <x v="1"/>
    <n v="3600"/>
    <n v="3600"/>
  </r>
  <r>
    <s v="INV0746"/>
    <x v="98"/>
    <x v="3"/>
    <x v="4"/>
    <n v="1200"/>
    <n v="6"/>
    <n v="7200"/>
    <x v="1"/>
    <n v="1440"/>
    <n v="8640"/>
  </r>
  <r>
    <s v="INV0747"/>
    <x v="98"/>
    <x v="0"/>
    <x v="22"/>
    <n v="6000"/>
    <n v="5"/>
    <n v="30000"/>
    <x v="1"/>
    <n v="7200"/>
    <n v="36000"/>
  </r>
  <r>
    <s v="INV0748"/>
    <x v="98"/>
    <x v="0"/>
    <x v="9"/>
    <n v="500"/>
    <n v="4"/>
    <n v="2000"/>
    <x v="0"/>
    <n v="600"/>
    <n v="2400"/>
  </r>
  <r>
    <s v="INV2865"/>
    <x v="98"/>
    <x v="0"/>
    <x v="24"/>
    <n v="1900"/>
    <n v="7"/>
    <n v="13300"/>
    <x v="0"/>
    <n v="2280"/>
    <n v="15960"/>
  </r>
  <r>
    <s v="INV3220"/>
    <x v="98"/>
    <x v="0"/>
    <x v="24"/>
    <n v="1900"/>
    <n v="1"/>
    <n v="1900"/>
    <x v="1"/>
    <n v="2280"/>
    <n v="2280"/>
  </r>
  <r>
    <s v="INV0749"/>
    <x v="99"/>
    <x v="1"/>
    <x v="1"/>
    <n v="400"/>
    <n v="4"/>
    <n v="1600"/>
    <x v="1"/>
    <n v="480"/>
    <n v="1920"/>
  </r>
  <r>
    <s v="INV0750"/>
    <x v="99"/>
    <x v="0"/>
    <x v="19"/>
    <n v="48000"/>
    <n v="7"/>
    <n v="336000"/>
    <x v="1"/>
    <n v="57600"/>
    <n v="403200"/>
  </r>
  <r>
    <s v="INV0751"/>
    <x v="99"/>
    <x v="1"/>
    <x v="5"/>
    <n v="3000"/>
    <n v="2"/>
    <n v="6000"/>
    <x v="1"/>
    <n v="3600"/>
    <n v="7200"/>
  </r>
  <r>
    <s v="INV0752"/>
    <x v="99"/>
    <x v="1"/>
    <x v="5"/>
    <n v="3000"/>
    <n v="7"/>
    <n v="21000"/>
    <x v="0"/>
    <n v="3600"/>
    <n v="25200"/>
  </r>
  <r>
    <s v="INV0753"/>
    <x v="99"/>
    <x v="0"/>
    <x v="22"/>
    <n v="6000"/>
    <n v="3"/>
    <n v="18000"/>
    <x v="2"/>
    <n v="7200"/>
    <n v="21600"/>
  </r>
  <r>
    <s v="INV0754"/>
    <x v="99"/>
    <x v="2"/>
    <x v="39"/>
    <n v="1750"/>
    <n v="4"/>
    <n v="7000"/>
    <x v="0"/>
    <n v="2100"/>
    <n v="8400"/>
  </r>
  <r>
    <s v="INV0755"/>
    <x v="99"/>
    <x v="0"/>
    <x v="22"/>
    <n v="6000"/>
    <n v="1"/>
    <n v="6000"/>
    <x v="2"/>
    <n v="7200"/>
    <n v="7200"/>
  </r>
  <r>
    <s v="INV0756"/>
    <x v="99"/>
    <x v="0"/>
    <x v="19"/>
    <n v="48000"/>
    <n v="4"/>
    <n v="192000"/>
    <x v="0"/>
    <n v="57600"/>
    <n v="230400"/>
  </r>
  <r>
    <s v="INV3223"/>
    <x v="99"/>
    <x v="0"/>
    <x v="24"/>
    <n v="1900"/>
    <n v="3"/>
    <n v="5700"/>
    <x v="2"/>
    <n v="2280"/>
    <n v="6840"/>
  </r>
  <r>
    <s v="INV3466"/>
    <x v="99"/>
    <x v="0"/>
    <x v="19"/>
    <n v="48000"/>
    <n v="2"/>
    <n v="96000"/>
    <x v="2"/>
    <n v="57600"/>
    <n v="115200"/>
  </r>
  <r>
    <s v="INV3536"/>
    <x v="99"/>
    <x v="0"/>
    <x v="23"/>
    <n v="600"/>
    <n v="1"/>
    <n v="600"/>
    <x v="1"/>
    <n v="720"/>
    <n v="720"/>
  </r>
  <r>
    <s v="INV0757"/>
    <x v="100"/>
    <x v="0"/>
    <x v="9"/>
    <n v="500"/>
    <n v="2"/>
    <n v="1000"/>
    <x v="0"/>
    <n v="600"/>
    <n v="1200"/>
  </r>
  <r>
    <s v="INV0758"/>
    <x v="100"/>
    <x v="2"/>
    <x v="30"/>
    <n v="2880"/>
    <n v="4"/>
    <n v="11520"/>
    <x v="2"/>
    <n v="3456"/>
    <n v="13824"/>
  </r>
  <r>
    <s v="INV0759"/>
    <x v="100"/>
    <x v="1"/>
    <x v="1"/>
    <n v="400"/>
    <n v="7"/>
    <n v="2800"/>
    <x v="2"/>
    <n v="480"/>
    <n v="3360"/>
  </r>
  <r>
    <s v="INV0760"/>
    <x v="100"/>
    <x v="1"/>
    <x v="7"/>
    <n v="5200"/>
    <n v="10"/>
    <n v="52000"/>
    <x v="1"/>
    <n v="6240"/>
    <n v="62400"/>
  </r>
  <r>
    <s v="INV0761"/>
    <x v="100"/>
    <x v="2"/>
    <x v="2"/>
    <n v="2880"/>
    <n v="10"/>
    <n v="28800"/>
    <x v="2"/>
    <n v="3456"/>
    <n v="34560"/>
  </r>
  <r>
    <s v="INV0762"/>
    <x v="100"/>
    <x v="3"/>
    <x v="21"/>
    <n v="1700"/>
    <n v="9"/>
    <n v="15300"/>
    <x v="0"/>
    <n v="2040"/>
    <n v="18360"/>
  </r>
  <r>
    <s v="INV0763"/>
    <x v="100"/>
    <x v="3"/>
    <x v="21"/>
    <n v="1700"/>
    <n v="1"/>
    <n v="1700"/>
    <x v="0"/>
    <n v="2040"/>
    <n v="2040"/>
  </r>
  <r>
    <s v="INV0764"/>
    <x v="100"/>
    <x v="3"/>
    <x v="29"/>
    <n v="6900"/>
    <n v="4"/>
    <n v="27600"/>
    <x v="1"/>
    <n v="8280"/>
    <n v="33120"/>
  </r>
  <r>
    <s v="INV0765"/>
    <x v="100"/>
    <x v="0"/>
    <x v="19"/>
    <n v="48000"/>
    <n v="5"/>
    <n v="240000"/>
    <x v="2"/>
    <n v="57600"/>
    <n v="288000"/>
  </r>
  <r>
    <s v="INV2771"/>
    <x v="100"/>
    <x v="0"/>
    <x v="24"/>
    <n v="1900"/>
    <n v="6"/>
    <n v="11400"/>
    <x v="1"/>
    <n v="2280"/>
    <n v="13680"/>
  </r>
  <r>
    <s v="INV2973"/>
    <x v="100"/>
    <x v="0"/>
    <x v="9"/>
    <n v="500"/>
    <n v="9"/>
    <n v="4500"/>
    <x v="2"/>
    <n v="600"/>
    <n v="5400"/>
  </r>
  <r>
    <s v="INV3075"/>
    <x v="100"/>
    <x v="0"/>
    <x v="19"/>
    <n v="48000"/>
    <n v="3"/>
    <n v="144000"/>
    <x v="2"/>
    <n v="57600"/>
    <n v="172800"/>
  </r>
  <r>
    <s v="INV3155"/>
    <x v="100"/>
    <x v="4"/>
    <x v="10"/>
    <n v="9100"/>
    <n v="7"/>
    <n v="63700"/>
    <x v="2"/>
    <n v="10920"/>
    <n v="76440"/>
  </r>
  <r>
    <s v="INV3225"/>
    <x v="100"/>
    <x v="0"/>
    <x v="8"/>
    <n v="3300"/>
    <n v="3"/>
    <n v="9900"/>
    <x v="1"/>
    <n v="3960"/>
    <n v="11880"/>
  </r>
  <r>
    <s v="INV0766"/>
    <x v="101"/>
    <x v="2"/>
    <x v="6"/>
    <n v="2880"/>
    <n v="10"/>
    <n v="28800"/>
    <x v="1"/>
    <n v="3456"/>
    <n v="34560"/>
  </r>
  <r>
    <s v="INV0767"/>
    <x v="101"/>
    <x v="0"/>
    <x v="22"/>
    <n v="6000"/>
    <n v="10"/>
    <n v="60000"/>
    <x v="1"/>
    <n v="7200"/>
    <n v="72000"/>
  </r>
  <r>
    <s v="INV0768"/>
    <x v="101"/>
    <x v="0"/>
    <x v="22"/>
    <n v="6000"/>
    <n v="7"/>
    <n v="42000"/>
    <x v="1"/>
    <n v="7200"/>
    <n v="50400"/>
  </r>
  <r>
    <s v="INV0769"/>
    <x v="101"/>
    <x v="1"/>
    <x v="7"/>
    <n v="5200"/>
    <n v="2"/>
    <n v="10400"/>
    <x v="2"/>
    <n v="6240"/>
    <n v="12480"/>
  </r>
  <r>
    <s v="INV0770"/>
    <x v="101"/>
    <x v="2"/>
    <x v="39"/>
    <n v="1750"/>
    <n v="10"/>
    <n v="17500"/>
    <x v="0"/>
    <n v="2100"/>
    <n v="21000"/>
  </r>
  <r>
    <s v="INV0771"/>
    <x v="101"/>
    <x v="1"/>
    <x v="7"/>
    <n v="5200"/>
    <n v="10"/>
    <n v="52000"/>
    <x v="1"/>
    <n v="6240"/>
    <n v="62400"/>
  </r>
  <r>
    <s v="INV0772"/>
    <x v="101"/>
    <x v="0"/>
    <x v="22"/>
    <n v="6000"/>
    <n v="8"/>
    <n v="48000"/>
    <x v="2"/>
    <n v="7200"/>
    <n v="57600"/>
  </r>
  <r>
    <s v="INV3921"/>
    <x v="101"/>
    <x v="0"/>
    <x v="9"/>
    <n v="500"/>
    <n v="2"/>
    <n v="1000"/>
    <x v="0"/>
    <n v="600"/>
    <n v="1200"/>
  </r>
  <r>
    <s v="INV0773"/>
    <x v="102"/>
    <x v="2"/>
    <x v="39"/>
    <n v="1750"/>
    <n v="1"/>
    <n v="1750"/>
    <x v="1"/>
    <n v="2100"/>
    <n v="2100"/>
  </r>
  <r>
    <s v="INV0774"/>
    <x v="102"/>
    <x v="1"/>
    <x v="1"/>
    <n v="400"/>
    <n v="3"/>
    <n v="1200"/>
    <x v="0"/>
    <n v="480"/>
    <n v="1440"/>
  </r>
  <r>
    <s v="INV0775"/>
    <x v="102"/>
    <x v="2"/>
    <x v="30"/>
    <n v="2880"/>
    <n v="10"/>
    <n v="28800"/>
    <x v="0"/>
    <n v="3456"/>
    <n v="34560"/>
  </r>
  <r>
    <s v="INV0776"/>
    <x v="102"/>
    <x v="0"/>
    <x v="19"/>
    <n v="48000"/>
    <n v="2"/>
    <n v="96000"/>
    <x v="0"/>
    <n v="57600"/>
    <n v="115200"/>
  </r>
  <r>
    <s v="INV0777"/>
    <x v="102"/>
    <x v="1"/>
    <x v="7"/>
    <n v="5200"/>
    <n v="1"/>
    <n v="5200"/>
    <x v="1"/>
    <n v="6240"/>
    <n v="6240"/>
  </r>
  <r>
    <s v="INV0778"/>
    <x v="102"/>
    <x v="3"/>
    <x v="4"/>
    <n v="1200"/>
    <n v="8"/>
    <n v="9600"/>
    <x v="1"/>
    <n v="1440"/>
    <n v="11520"/>
  </r>
  <r>
    <s v="INV0779"/>
    <x v="102"/>
    <x v="1"/>
    <x v="1"/>
    <n v="400"/>
    <n v="2"/>
    <n v="800"/>
    <x v="1"/>
    <n v="480"/>
    <n v="960"/>
  </r>
  <r>
    <s v="INV0780"/>
    <x v="102"/>
    <x v="2"/>
    <x v="6"/>
    <n v="2880"/>
    <n v="10"/>
    <n v="28800"/>
    <x v="1"/>
    <n v="3456"/>
    <n v="34560"/>
  </r>
  <r>
    <s v="INV0781"/>
    <x v="102"/>
    <x v="1"/>
    <x v="5"/>
    <n v="3000"/>
    <n v="8"/>
    <n v="24000"/>
    <x v="2"/>
    <n v="3600"/>
    <n v="28800"/>
  </r>
  <r>
    <s v="INV2952"/>
    <x v="102"/>
    <x v="0"/>
    <x v="9"/>
    <n v="500"/>
    <n v="8"/>
    <n v="4000"/>
    <x v="0"/>
    <n v="600"/>
    <n v="4800"/>
  </r>
  <r>
    <s v="INV3285"/>
    <x v="102"/>
    <x v="4"/>
    <x v="10"/>
    <n v="9100"/>
    <n v="10"/>
    <n v="91000"/>
    <x v="0"/>
    <n v="10920"/>
    <n v="109200"/>
  </r>
  <r>
    <s v="INV3638"/>
    <x v="102"/>
    <x v="0"/>
    <x v="23"/>
    <n v="600"/>
    <n v="2"/>
    <n v="1200"/>
    <x v="0"/>
    <n v="720"/>
    <n v="1440"/>
  </r>
  <r>
    <s v="INV3769"/>
    <x v="102"/>
    <x v="3"/>
    <x v="21"/>
    <n v="1700"/>
    <n v="10"/>
    <n v="17000"/>
    <x v="1"/>
    <n v="2040"/>
    <n v="20400"/>
  </r>
  <r>
    <s v="INV3825"/>
    <x v="102"/>
    <x v="3"/>
    <x v="3"/>
    <n v="800"/>
    <n v="4"/>
    <n v="3200"/>
    <x v="2"/>
    <n v="960"/>
    <n v="3840"/>
  </r>
  <r>
    <s v="INV0782"/>
    <x v="103"/>
    <x v="2"/>
    <x v="6"/>
    <n v="2880"/>
    <n v="3"/>
    <n v="8640"/>
    <x v="2"/>
    <n v="3456"/>
    <n v="10368"/>
  </r>
  <r>
    <s v="INV0783"/>
    <x v="103"/>
    <x v="3"/>
    <x v="29"/>
    <n v="6900"/>
    <n v="3"/>
    <n v="20700"/>
    <x v="0"/>
    <n v="8280"/>
    <n v="24840"/>
  </r>
  <r>
    <s v="INV0784"/>
    <x v="103"/>
    <x v="1"/>
    <x v="5"/>
    <n v="3000"/>
    <n v="9"/>
    <n v="27000"/>
    <x v="1"/>
    <n v="3600"/>
    <n v="32400"/>
  </r>
  <r>
    <s v="INV0785"/>
    <x v="103"/>
    <x v="2"/>
    <x v="6"/>
    <n v="2880"/>
    <n v="5"/>
    <n v="14400"/>
    <x v="2"/>
    <n v="3456"/>
    <n v="17280"/>
  </r>
  <r>
    <s v="INV0786"/>
    <x v="103"/>
    <x v="1"/>
    <x v="1"/>
    <n v="400"/>
    <n v="10"/>
    <n v="4000"/>
    <x v="1"/>
    <n v="480"/>
    <n v="4800"/>
  </r>
  <r>
    <s v="INV0787"/>
    <x v="103"/>
    <x v="3"/>
    <x v="3"/>
    <n v="800"/>
    <n v="2"/>
    <n v="1600"/>
    <x v="2"/>
    <n v="960"/>
    <n v="1920"/>
  </r>
  <r>
    <s v="INV0788"/>
    <x v="103"/>
    <x v="0"/>
    <x v="9"/>
    <n v="500"/>
    <n v="2"/>
    <n v="1000"/>
    <x v="1"/>
    <n v="600"/>
    <n v="1200"/>
  </r>
  <r>
    <s v="INV0789"/>
    <x v="103"/>
    <x v="0"/>
    <x v="9"/>
    <n v="500"/>
    <n v="9"/>
    <n v="4500"/>
    <x v="1"/>
    <n v="600"/>
    <n v="5400"/>
  </r>
  <r>
    <s v="INV2948"/>
    <x v="103"/>
    <x v="3"/>
    <x v="21"/>
    <n v="1700"/>
    <n v="7"/>
    <n v="11900"/>
    <x v="2"/>
    <n v="2040"/>
    <n v="14280"/>
  </r>
  <r>
    <s v="INV3026"/>
    <x v="103"/>
    <x v="0"/>
    <x v="24"/>
    <n v="1900"/>
    <n v="2"/>
    <n v="3800"/>
    <x v="2"/>
    <n v="2280"/>
    <n v="4560"/>
  </r>
  <r>
    <s v="INV3411"/>
    <x v="103"/>
    <x v="4"/>
    <x v="10"/>
    <n v="9100"/>
    <n v="8"/>
    <n v="72800"/>
    <x v="0"/>
    <n v="10920"/>
    <n v="87360"/>
  </r>
  <r>
    <s v="INV0790"/>
    <x v="104"/>
    <x v="3"/>
    <x v="29"/>
    <n v="6900"/>
    <n v="4"/>
    <n v="27600"/>
    <x v="2"/>
    <n v="8280"/>
    <n v="33120"/>
  </r>
  <r>
    <s v="INV0791"/>
    <x v="104"/>
    <x v="0"/>
    <x v="9"/>
    <n v="500"/>
    <n v="2"/>
    <n v="1000"/>
    <x v="2"/>
    <n v="600"/>
    <n v="1200"/>
  </r>
  <r>
    <s v="INV0792"/>
    <x v="104"/>
    <x v="0"/>
    <x v="22"/>
    <n v="6000"/>
    <n v="10"/>
    <n v="60000"/>
    <x v="1"/>
    <n v="7200"/>
    <n v="72000"/>
  </r>
  <r>
    <s v="INV0793"/>
    <x v="104"/>
    <x v="3"/>
    <x v="21"/>
    <n v="1700"/>
    <n v="2"/>
    <n v="3400"/>
    <x v="1"/>
    <n v="2040"/>
    <n v="4080"/>
  </r>
  <r>
    <s v="INV0794"/>
    <x v="104"/>
    <x v="3"/>
    <x v="3"/>
    <n v="800"/>
    <n v="9"/>
    <n v="7200"/>
    <x v="0"/>
    <n v="960"/>
    <n v="8640"/>
  </r>
  <r>
    <s v="INV0795"/>
    <x v="104"/>
    <x v="2"/>
    <x v="30"/>
    <n v="2880"/>
    <n v="9"/>
    <n v="25920"/>
    <x v="2"/>
    <n v="3456"/>
    <n v="31104"/>
  </r>
  <r>
    <s v="INV0796"/>
    <x v="104"/>
    <x v="3"/>
    <x v="21"/>
    <n v="1700"/>
    <n v="9"/>
    <n v="15300"/>
    <x v="2"/>
    <n v="2040"/>
    <n v="18360"/>
  </r>
  <r>
    <s v="INV2997"/>
    <x v="104"/>
    <x v="0"/>
    <x v="19"/>
    <n v="48000"/>
    <n v="8"/>
    <n v="384000"/>
    <x v="0"/>
    <n v="57600"/>
    <n v="460800"/>
  </r>
  <r>
    <s v="INV0797"/>
    <x v="105"/>
    <x v="1"/>
    <x v="7"/>
    <n v="5200"/>
    <n v="10"/>
    <n v="52000"/>
    <x v="0"/>
    <n v="6240"/>
    <n v="62400"/>
  </r>
  <r>
    <s v="INV0798"/>
    <x v="105"/>
    <x v="3"/>
    <x v="29"/>
    <n v="6900"/>
    <n v="2"/>
    <n v="13800"/>
    <x v="1"/>
    <n v="8280"/>
    <n v="16560"/>
  </r>
  <r>
    <s v="INV0799"/>
    <x v="105"/>
    <x v="3"/>
    <x v="3"/>
    <n v="800"/>
    <n v="7"/>
    <n v="5600"/>
    <x v="2"/>
    <n v="960"/>
    <n v="6720"/>
  </r>
  <r>
    <s v="INV0800"/>
    <x v="105"/>
    <x v="1"/>
    <x v="7"/>
    <n v="5200"/>
    <n v="10"/>
    <n v="52000"/>
    <x v="1"/>
    <n v="6240"/>
    <n v="62400"/>
  </r>
  <r>
    <s v="INV0801"/>
    <x v="105"/>
    <x v="0"/>
    <x v="19"/>
    <n v="48000"/>
    <n v="1"/>
    <n v="48000"/>
    <x v="0"/>
    <n v="57600"/>
    <n v="57600"/>
  </r>
  <r>
    <s v="INV0802"/>
    <x v="105"/>
    <x v="0"/>
    <x v="0"/>
    <n v="60000"/>
    <n v="3"/>
    <n v="180000"/>
    <x v="2"/>
    <n v="72000"/>
    <n v="216000"/>
  </r>
  <r>
    <s v="INV0803"/>
    <x v="105"/>
    <x v="2"/>
    <x v="2"/>
    <n v="2880"/>
    <n v="7"/>
    <n v="20160"/>
    <x v="0"/>
    <n v="3456"/>
    <n v="24192"/>
  </r>
  <r>
    <s v="INV3617"/>
    <x v="105"/>
    <x v="3"/>
    <x v="3"/>
    <n v="800"/>
    <n v="2"/>
    <n v="1600"/>
    <x v="1"/>
    <n v="960"/>
    <n v="1920"/>
  </r>
  <r>
    <s v="INV3810"/>
    <x v="105"/>
    <x v="0"/>
    <x v="9"/>
    <n v="500"/>
    <n v="9"/>
    <n v="4500"/>
    <x v="1"/>
    <n v="600"/>
    <n v="5400"/>
  </r>
  <r>
    <s v="INV3941"/>
    <x v="105"/>
    <x v="0"/>
    <x v="24"/>
    <n v="1900"/>
    <n v="9"/>
    <n v="17100"/>
    <x v="2"/>
    <n v="2280"/>
    <n v="20520"/>
  </r>
  <r>
    <s v="INV0804"/>
    <x v="106"/>
    <x v="0"/>
    <x v="22"/>
    <n v="6000"/>
    <n v="1"/>
    <n v="6000"/>
    <x v="2"/>
    <n v="7200"/>
    <n v="7200"/>
  </r>
  <r>
    <s v="INV0805"/>
    <x v="106"/>
    <x v="3"/>
    <x v="3"/>
    <n v="800"/>
    <n v="2"/>
    <n v="1600"/>
    <x v="1"/>
    <n v="960"/>
    <n v="1920"/>
  </r>
  <r>
    <s v="INV0806"/>
    <x v="106"/>
    <x v="2"/>
    <x v="30"/>
    <n v="2880"/>
    <n v="6"/>
    <n v="17280"/>
    <x v="1"/>
    <n v="3456"/>
    <n v="20736"/>
  </r>
  <r>
    <s v="INV0807"/>
    <x v="106"/>
    <x v="1"/>
    <x v="5"/>
    <n v="3000"/>
    <n v="3"/>
    <n v="9000"/>
    <x v="0"/>
    <n v="3600"/>
    <n v="10800"/>
  </r>
  <r>
    <s v="INV0808"/>
    <x v="106"/>
    <x v="0"/>
    <x v="9"/>
    <n v="500"/>
    <n v="9"/>
    <n v="4500"/>
    <x v="1"/>
    <n v="600"/>
    <n v="5400"/>
  </r>
  <r>
    <s v="INV0809"/>
    <x v="106"/>
    <x v="2"/>
    <x v="2"/>
    <n v="2880"/>
    <n v="10"/>
    <n v="28800"/>
    <x v="0"/>
    <n v="3456"/>
    <n v="34560"/>
  </r>
  <r>
    <s v="INV0810"/>
    <x v="106"/>
    <x v="2"/>
    <x v="2"/>
    <n v="2880"/>
    <n v="4"/>
    <n v="11520"/>
    <x v="0"/>
    <n v="3456"/>
    <n v="13824"/>
  </r>
  <r>
    <s v="INV0811"/>
    <x v="106"/>
    <x v="0"/>
    <x v="19"/>
    <n v="48000"/>
    <n v="8"/>
    <n v="384000"/>
    <x v="0"/>
    <n v="57600"/>
    <n v="460800"/>
  </r>
  <r>
    <s v="INV0812"/>
    <x v="106"/>
    <x v="2"/>
    <x v="39"/>
    <n v="1750"/>
    <n v="10"/>
    <n v="17500"/>
    <x v="1"/>
    <n v="2100"/>
    <n v="21000"/>
  </r>
  <r>
    <s v="INV2852"/>
    <x v="106"/>
    <x v="4"/>
    <x v="10"/>
    <n v="9100"/>
    <n v="2"/>
    <n v="18200"/>
    <x v="1"/>
    <n v="10920"/>
    <n v="21840"/>
  </r>
  <r>
    <s v="INV3093"/>
    <x v="106"/>
    <x v="0"/>
    <x v="19"/>
    <n v="48000"/>
    <n v="6"/>
    <n v="288000"/>
    <x v="1"/>
    <n v="57600"/>
    <n v="345600"/>
  </r>
  <r>
    <s v="INV3454"/>
    <x v="106"/>
    <x v="0"/>
    <x v="23"/>
    <n v="600"/>
    <n v="4"/>
    <n v="2400"/>
    <x v="2"/>
    <n v="720"/>
    <n v="2880"/>
  </r>
  <r>
    <s v="INV3697"/>
    <x v="106"/>
    <x v="0"/>
    <x v="23"/>
    <n v="600"/>
    <n v="5"/>
    <n v="3000"/>
    <x v="2"/>
    <n v="720"/>
    <n v="3600"/>
  </r>
  <r>
    <s v="INV3925"/>
    <x v="106"/>
    <x v="0"/>
    <x v="19"/>
    <n v="48000"/>
    <n v="7"/>
    <n v="336000"/>
    <x v="1"/>
    <n v="57600"/>
    <n v="403200"/>
  </r>
  <r>
    <s v="INV0813"/>
    <x v="107"/>
    <x v="0"/>
    <x v="9"/>
    <n v="500"/>
    <n v="9"/>
    <n v="4500"/>
    <x v="0"/>
    <n v="600"/>
    <n v="5400"/>
  </r>
  <r>
    <s v="INV0814"/>
    <x v="107"/>
    <x v="0"/>
    <x v="0"/>
    <n v="60000"/>
    <n v="10"/>
    <n v="600000"/>
    <x v="1"/>
    <n v="72000"/>
    <n v="720000"/>
  </r>
  <r>
    <s v="INV0815"/>
    <x v="107"/>
    <x v="0"/>
    <x v="19"/>
    <n v="48000"/>
    <n v="3"/>
    <n v="144000"/>
    <x v="0"/>
    <n v="57600"/>
    <n v="172800"/>
  </r>
  <r>
    <s v="INV0816"/>
    <x v="107"/>
    <x v="0"/>
    <x v="9"/>
    <n v="500"/>
    <n v="9"/>
    <n v="4500"/>
    <x v="1"/>
    <n v="600"/>
    <n v="5400"/>
  </r>
  <r>
    <s v="INV0817"/>
    <x v="107"/>
    <x v="3"/>
    <x v="29"/>
    <n v="6900"/>
    <n v="4"/>
    <n v="27600"/>
    <x v="0"/>
    <n v="8280"/>
    <n v="33120"/>
  </r>
  <r>
    <s v="INV0818"/>
    <x v="107"/>
    <x v="0"/>
    <x v="19"/>
    <n v="48000"/>
    <n v="6"/>
    <n v="288000"/>
    <x v="2"/>
    <n v="57600"/>
    <n v="345600"/>
  </r>
  <r>
    <s v="INV0819"/>
    <x v="107"/>
    <x v="0"/>
    <x v="9"/>
    <n v="500"/>
    <n v="6"/>
    <n v="3000"/>
    <x v="1"/>
    <n v="600"/>
    <n v="3600"/>
  </r>
  <r>
    <s v="INV0820"/>
    <x v="107"/>
    <x v="3"/>
    <x v="21"/>
    <n v="1700"/>
    <n v="4"/>
    <n v="6800"/>
    <x v="0"/>
    <n v="2040"/>
    <n v="8160"/>
  </r>
  <r>
    <s v="INV3007"/>
    <x v="107"/>
    <x v="0"/>
    <x v="19"/>
    <n v="48000"/>
    <n v="3"/>
    <n v="144000"/>
    <x v="1"/>
    <n v="57600"/>
    <n v="172800"/>
  </r>
  <r>
    <s v="INV3098"/>
    <x v="107"/>
    <x v="3"/>
    <x v="3"/>
    <n v="800"/>
    <n v="2"/>
    <n v="1600"/>
    <x v="0"/>
    <n v="960"/>
    <n v="1920"/>
  </r>
  <r>
    <s v="INV3447"/>
    <x v="107"/>
    <x v="0"/>
    <x v="23"/>
    <n v="600"/>
    <n v="6"/>
    <n v="3600"/>
    <x v="1"/>
    <n v="720"/>
    <n v="4320"/>
  </r>
  <r>
    <s v="INV3792"/>
    <x v="107"/>
    <x v="0"/>
    <x v="31"/>
    <n v="3600"/>
    <n v="8"/>
    <n v="28800"/>
    <x v="1"/>
    <n v="4320"/>
    <n v="34560"/>
  </r>
  <r>
    <s v="INV3809"/>
    <x v="107"/>
    <x v="0"/>
    <x v="24"/>
    <n v="1900"/>
    <n v="2"/>
    <n v="3800"/>
    <x v="0"/>
    <n v="2280"/>
    <n v="4560"/>
  </r>
  <r>
    <s v="INV0821"/>
    <x v="108"/>
    <x v="0"/>
    <x v="0"/>
    <n v="60000"/>
    <n v="3"/>
    <n v="180000"/>
    <x v="2"/>
    <n v="72000"/>
    <n v="216000"/>
  </r>
  <r>
    <s v="INV0822"/>
    <x v="108"/>
    <x v="3"/>
    <x v="3"/>
    <n v="800"/>
    <n v="8"/>
    <n v="6400"/>
    <x v="1"/>
    <n v="960"/>
    <n v="7680"/>
  </r>
  <r>
    <s v="INV0823"/>
    <x v="108"/>
    <x v="2"/>
    <x v="6"/>
    <n v="2880"/>
    <n v="3"/>
    <n v="8640"/>
    <x v="1"/>
    <n v="3456"/>
    <n v="10368"/>
  </r>
  <r>
    <s v="INV0824"/>
    <x v="108"/>
    <x v="2"/>
    <x v="2"/>
    <n v="2880"/>
    <n v="5"/>
    <n v="14400"/>
    <x v="1"/>
    <n v="3456"/>
    <n v="17280"/>
  </r>
  <r>
    <s v="INV0825"/>
    <x v="108"/>
    <x v="0"/>
    <x v="9"/>
    <n v="500"/>
    <n v="9"/>
    <n v="4500"/>
    <x v="1"/>
    <n v="600"/>
    <n v="5400"/>
  </r>
  <r>
    <s v="INV0826"/>
    <x v="108"/>
    <x v="3"/>
    <x v="21"/>
    <n v="1700"/>
    <n v="10"/>
    <n v="17000"/>
    <x v="1"/>
    <n v="2040"/>
    <n v="20400"/>
  </r>
  <r>
    <s v="INV0827"/>
    <x v="108"/>
    <x v="1"/>
    <x v="7"/>
    <n v="5200"/>
    <n v="4"/>
    <n v="20800"/>
    <x v="2"/>
    <n v="6240"/>
    <n v="24960"/>
  </r>
  <r>
    <s v="INV0828"/>
    <x v="108"/>
    <x v="2"/>
    <x v="6"/>
    <n v="2880"/>
    <n v="8"/>
    <n v="23040"/>
    <x v="2"/>
    <n v="3456"/>
    <n v="27648"/>
  </r>
  <r>
    <s v="INV0829"/>
    <x v="108"/>
    <x v="1"/>
    <x v="5"/>
    <n v="3000"/>
    <n v="5"/>
    <n v="15000"/>
    <x v="2"/>
    <n v="3600"/>
    <n v="18000"/>
  </r>
  <r>
    <s v="INV0830"/>
    <x v="108"/>
    <x v="2"/>
    <x v="39"/>
    <n v="1750"/>
    <n v="1"/>
    <n v="1750"/>
    <x v="0"/>
    <n v="2100"/>
    <n v="2100"/>
  </r>
  <r>
    <s v="INV2908"/>
    <x v="108"/>
    <x v="4"/>
    <x v="10"/>
    <n v="9100"/>
    <n v="7"/>
    <n v="63700"/>
    <x v="0"/>
    <n v="10920"/>
    <n v="76440"/>
  </r>
  <r>
    <s v="INV3504"/>
    <x v="108"/>
    <x v="4"/>
    <x v="45"/>
    <n v="120"/>
    <n v="4"/>
    <n v="480"/>
    <x v="0"/>
    <n v="144"/>
    <n v="576"/>
  </r>
  <r>
    <s v="INV3640"/>
    <x v="108"/>
    <x v="0"/>
    <x v="19"/>
    <n v="48000"/>
    <n v="8"/>
    <n v="384000"/>
    <x v="0"/>
    <n v="57600"/>
    <n v="460800"/>
  </r>
  <r>
    <s v="INV0831"/>
    <x v="109"/>
    <x v="3"/>
    <x v="3"/>
    <n v="800"/>
    <n v="4"/>
    <n v="3200"/>
    <x v="1"/>
    <n v="960"/>
    <n v="3840"/>
  </r>
  <r>
    <s v="INV0832"/>
    <x v="109"/>
    <x v="2"/>
    <x v="2"/>
    <n v="2880"/>
    <n v="3"/>
    <n v="8640"/>
    <x v="1"/>
    <n v="3456"/>
    <n v="10368"/>
  </r>
  <r>
    <s v="INV0833"/>
    <x v="109"/>
    <x v="1"/>
    <x v="7"/>
    <n v="5200"/>
    <n v="6"/>
    <n v="31200"/>
    <x v="2"/>
    <n v="6240"/>
    <n v="37440"/>
  </r>
  <r>
    <s v="INV0834"/>
    <x v="109"/>
    <x v="1"/>
    <x v="1"/>
    <n v="400"/>
    <n v="8"/>
    <n v="3200"/>
    <x v="2"/>
    <n v="480"/>
    <n v="3840"/>
  </r>
  <r>
    <s v="INV0835"/>
    <x v="109"/>
    <x v="0"/>
    <x v="0"/>
    <n v="60000"/>
    <n v="8"/>
    <n v="480000"/>
    <x v="2"/>
    <n v="72000"/>
    <n v="576000"/>
  </r>
  <r>
    <s v="INV0836"/>
    <x v="109"/>
    <x v="3"/>
    <x v="3"/>
    <n v="800"/>
    <n v="8"/>
    <n v="6400"/>
    <x v="1"/>
    <n v="960"/>
    <n v="7680"/>
  </r>
  <r>
    <s v="INV3702"/>
    <x v="109"/>
    <x v="0"/>
    <x v="24"/>
    <n v="1900"/>
    <n v="3"/>
    <n v="5700"/>
    <x v="2"/>
    <n v="2280"/>
    <n v="6840"/>
  </r>
  <r>
    <s v="INV0837"/>
    <x v="110"/>
    <x v="2"/>
    <x v="2"/>
    <n v="2880"/>
    <n v="3"/>
    <n v="8640"/>
    <x v="0"/>
    <n v="3456"/>
    <n v="10368"/>
  </r>
  <r>
    <s v="INV0838"/>
    <x v="110"/>
    <x v="3"/>
    <x v="29"/>
    <n v="6900"/>
    <n v="7"/>
    <n v="48300"/>
    <x v="0"/>
    <n v="8280"/>
    <n v="57960"/>
  </r>
  <r>
    <s v="INV0839"/>
    <x v="110"/>
    <x v="2"/>
    <x v="39"/>
    <n v="1750"/>
    <n v="9"/>
    <n v="15750"/>
    <x v="0"/>
    <n v="2100"/>
    <n v="18900"/>
  </r>
  <r>
    <s v="INV0840"/>
    <x v="110"/>
    <x v="2"/>
    <x v="39"/>
    <n v="1750"/>
    <n v="5"/>
    <n v="8750"/>
    <x v="1"/>
    <n v="2100"/>
    <n v="10500"/>
  </r>
  <r>
    <s v="INV0841"/>
    <x v="110"/>
    <x v="0"/>
    <x v="19"/>
    <n v="48000"/>
    <n v="10"/>
    <n v="480000"/>
    <x v="0"/>
    <n v="57600"/>
    <n v="576000"/>
  </r>
  <r>
    <s v="INV0842"/>
    <x v="110"/>
    <x v="0"/>
    <x v="9"/>
    <n v="500"/>
    <n v="5"/>
    <n v="2500"/>
    <x v="0"/>
    <n v="600"/>
    <n v="3000"/>
  </r>
  <r>
    <s v="INV3110"/>
    <x v="110"/>
    <x v="0"/>
    <x v="9"/>
    <n v="500"/>
    <n v="9"/>
    <n v="4500"/>
    <x v="2"/>
    <n v="600"/>
    <n v="5400"/>
  </r>
  <r>
    <s v="INV3191"/>
    <x v="110"/>
    <x v="0"/>
    <x v="9"/>
    <n v="500"/>
    <n v="10"/>
    <n v="5000"/>
    <x v="0"/>
    <n v="600"/>
    <n v="6000"/>
  </r>
  <r>
    <s v="INV3380"/>
    <x v="110"/>
    <x v="4"/>
    <x v="10"/>
    <n v="9100"/>
    <n v="2"/>
    <n v="18200"/>
    <x v="0"/>
    <n v="10920"/>
    <n v="21840"/>
  </r>
  <r>
    <s v="INV3493"/>
    <x v="110"/>
    <x v="4"/>
    <x v="45"/>
    <n v="120"/>
    <n v="3"/>
    <n v="360"/>
    <x v="1"/>
    <n v="144"/>
    <n v="432"/>
  </r>
  <r>
    <s v="INV3509"/>
    <x v="110"/>
    <x v="0"/>
    <x v="9"/>
    <n v="500"/>
    <n v="9"/>
    <n v="4500"/>
    <x v="0"/>
    <n v="600"/>
    <n v="5400"/>
  </r>
  <r>
    <s v="INV3579"/>
    <x v="110"/>
    <x v="0"/>
    <x v="31"/>
    <n v="3600"/>
    <n v="2"/>
    <n v="7200"/>
    <x v="1"/>
    <n v="4320"/>
    <n v="8640"/>
  </r>
  <r>
    <s v="INV3596"/>
    <x v="110"/>
    <x v="0"/>
    <x v="8"/>
    <n v="3300"/>
    <n v="1"/>
    <n v="3300"/>
    <x v="0"/>
    <n v="3960"/>
    <n v="3960"/>
  </r>
  <r>
    <s v="INV3932"/>
    <x v="110"/>
    <x v="0"/>
    <x v="23"/>
    <n v="600"/>
    <n v="7"/>
    <n v="4200"/>
    <x v="1"/>
    <n v="720"/>
    <n v="5040"/>
  </r>
  <r>
    <s v="INV0843"/>
    <x v="111"/>
    <x v="2"/>
    <x v="39"/>
    <n v="1750"/>
    <n v="7"/>
    <n v="12250"/>
    <x v="0"/>
    <n v="2100"/>
    <n v="14700"/>
  </r>
  <r>
    <s v="INV0844"/>
    <x v="111"/>
    <x v="0"/>
    <x v="19"/>
    <n v="48000"/>
    <n v="6"/>
    <n v="288000"/>
    <x v="2"/>
    <n v="57600"/>
    <n v="345600"/>
  </r>
  <r>
    <s v="INV0845"/>
    <x v="111"/>
    <x v="1"/>
    <x v="5"/>
    <n v="3000"/>
    <n v="1"/>
    <n v="3000"/>
    <x v="2"/>
    <n v="3600"/>
    <n v="3600"/>
  </r>
  <r>
    <s v="INV0846"/>
    <x v="111"/>
    <x v="3"/>
    <x v="3"/>
    <n v="800"/>
    <n v="3"/>
    <n v="2400"/>
    <x v="1"/>
    <n v="960"/>
    <n v="2880"/>
  </r>
  <r>
    <s v="INV0847"/>
    <x v="111"/>
    <x v="3"/>
    <x v="4"/>
    <n v="1200"/>
    <n v="5"/>
    <n v="6000"/>
    <x v="2"/>
    <n v="1440"/>
    <n v="7200"/>
  </r>
  <r>
    <s v="INV0848"/>
    <x v="111"/>
    <x v="2"/>
    <x v="2"/>
    <n v="2880"/>
    <n v="6"/>
    <n v="17280"/>
    <x v="1"/>
    <n v="3456"/>
    <n v="20736"/>
  </r>
  <r>
    <s v="INV0849"/>
    <x v="111"/>
    <x v="0"/>
    <x v="0"/>
    <n v="60000"/>
    <n v="9"/>
    <n v="540000"/>
    <x v="0"/>
    <n v="72000"/>
    <n v="648000"/>
  </r>
  <r>
    <s v="INV0850"/>
    <x v="111"/>
    <x v="3"/>
    <x v="3"/>
    <n v="800"/>
    <n v="5"/>
    <n v="4000"/>
    <x v="2"/>
    <n v="960"/>
    <n v="4800"/>
  </r>
  <r>
    <s v="INV0851"/>
    <x v="111"/>
    <x v="0"/>
    <x v="9"/>
    <n v="500"/>
    <n v="9"/>
    <n v="4500"/>
    <x v="0"/>
    <n v="600"/>
    <n v="5400"/>
  </r>
  <r>
    <s v="INV3136"/>
    <x v="111"/>
    <x v="3"/>
    <x v="3"/>
    <n v="800"/>
    <n v="10"/>
    <n v="8000"/>
    <x v="1"/>
    <n v="960"/>
    <n v="9600"/>
  </r>
  <r>
    <s v="INV3566"/>
    <x v="111"/>
    <x v="4"/>
    <x v="10"/>
    <n v="9100"/>
    <n v="1"/>
    <n v="9100"/>
    <x v="1"/>
    <n v="10920"/>
    <n v="10920"/>
  </r>
  <r>
    <s v="INV0852"/>
    <x v="112"/>
    <x v="2"/>
    <x v="39"/>
    <n v="1750"/>
    <n v="8"/>
    <n v="14000"/>
    <x v="1"/>
    <n v="2100"/>
    <n v="16800"/>
  </r>
  <r>
    <s v="INV0853"/>
    <x v="112"/>
    <x v="0"/>
    <x v="9"/>
    <n v="500"/>
    <n v="2"/>
    <n v="1000"/>
    <x v="0"/>
    <n v="600"/>
    <n v="1200"/>
  </r>
  <r>
    <s v="INV0854"/>
    <x v="112"/>
    <x v="1"/>
    <x v="7"/>
    <n v="5200"/>
    <n v="5"/>
    <n v="26000"/>
    <x v="1"/>
    <n v="6240"/>
    <n v="31200"/>
  </r>
  <r>
    <s v="INV0855"/>
    <x v="112"/>
    <x v="3"/>
    <x v="29"/>
    <n v="6900"/>
    <n v="7"/>
    <n v="48300"/>
    <x v="2"/>
    <n v="8280"/>
    <n v="57960"/>
  </r>
  <r>
    <s v="INV0856"/>
    <x v="112"/>
    <x v="2"/>
    <x v="2"/>
    <n v="2880"/>
    <n v="3"/>
    <n v="8640"/>
    <x v="1"/>
    <n v="3456"/>
    <n v="10368"/>
  </r>
  <r>
    <s v="INV0857"/>
    <x v="112"/>
    <x v="0"/>
    <x v="0"/>
    <n v="60000"/>
    <n v="10"/>
    <n v="600000"/>
    <x v="0"/>
    <n v="72000"/>
    <n v="720000"/>
  </r>
  <r>
    <s v="INV0858"/>
    <x v="112"/>
    <x v="2"/>
    <x v="6"/>
    <n v="2880"/>
    <n v="5"/>
    <n v="14400"/>
    <x v="0"/>
    <n v="3456"/>
    <n v="17280"/>
  </r>
  <r>
    <s v="INV0859"/>
    <x v="112"/>
    <x v="0"/>
    <x v="0"/>
    <n v="60000"/>
    <n v="5"/>
    <n v="300000"/>
    <x v="0"/>
    <n v="72000"/>
    <n v="360000"/>
  </r>
  <r>
    <s v="INV0860"/>
    <x v="112"/>
    <x v="0"/>
    <x v="19"/>
    <n v="48000"/>
    <n v="6"/>
    <n v="288000"/>
    <x v="1"/>
    <n v="57600"/>
    <n v="345600"/>
  </r>
  <r>
    <s v="INV2815"/>
    <x v="112"/>
    <x v="3"/>
    <x v="21"/>
    <n v="1700"/>
    <n v="2"/>
    <n v="3400"/>
    <x v="0"/>
    <n v="2040"/>
    <n v="4080"/>
  </r>
  <r>
    <s v="INV2901"/>
    <x v="112"/>
    <x v="0"/>
    <x v="9"/>
    <n v="500"/>
    <n v="7"/>
    <n v="3500"/>
    <x v="1"/>
    <n v="600"/>
    <n v="4200"/>
  </r>
  <r>
    <s v="INV3169"/>
    <x v="112"/>
    <x v="4"/>
    <x v="45"/>
    <n v="120"/>
    <n v="6"/>
    <n v="720"/>
    <x v="2"/>
    <n v="144"/>
    <n v="864"/>
  </r>
  <r>
    <s v="INV3548"/>
    <x v="112"/>
    <x v="0"/>
    <x v="8"/>
    <n v="3300"/>
    <n v="4"/>
    <n v="13200"/>
    <x v="0"/>
    <n v="3960"/>
    <n v="15840"/>
  </r>
  <r>
    <s v="INV3748"/>
    <x v="112"/>
    <x v="4"/>
    <x v="45"/>
    <n v="120"/>
    <n v="9"/>
    <n v="1080"/>
    <x v="1"/>
    <n v="144"/>
    <n v="1296"/>
  </r>
  <r>
    <s v="INV3797"/>
    <x v="112"/>
    <x v="0"/>
    <x v="31"/>
    <n v="3600"/>
    <n v="8"/>
    <n v="28800"/>
    <x v="0"/>
    <n v="4320"/>
    <n v="34560"/>
  </r>
  <r>
    <s v="INV0861"/>
    <x v="113"/>
    <x v="0"/>
    <x v="9"/>
    <n v="500"/>
    <n v="2"/>
    <n v="1000"/>
    <x v="1"/>
    <n v="600"/>
    <n v="1200"/>
  </r>
  <r>
    <s v="INV0862"/>
    <x v="113"/>
    <x v="3"/>
    <x v="4"/>
    <n v="1200"/>
    <n v="8"/>
    <n v="9600"/>
    <x v="2"/>
    <n v="1440"/>
    <n v="11520"/>
  </r>
  <r>
    <s v="INV0863"/>
    <x v="113"/>
    <x v="3"/>
    <x v="3"/>
    <n v="800"/>
    <n v="6"/>
    <n v="4800"/>
    <x v="0"/>
    <n v="960"/>
    <n v="5760"/>
  </r>
  <r>
    <s v="INV0864"/>
    <x v="113"/>
    <x v="0"/>
    <x v="0"/>
    <n v="60000"/>
    <n v="8"/>
    <n v="480000"/>
    <x v="2"/>
    <n v="72000"/>
    <n v="576000"/>
  </r>
  <r>
    <s v="INV0865"/>
    <x v="113"/>
    <x v="3"/>
    <x v="29"/>
    <n v="6900"/>
    <n v="1"/>
    <n v="6900"/>
    <x v="1"/>
    <n v="8280"/>
    <n v="8280"/>
  </r>
  <r>
    <s v="INV0866"/>
    <x v="113"/>
    <x v="3"/>
    <x v="4"/>
    <n v="1200"/>
    <n v="3"/>
    <n v="3600"/>
    <x v="1"/>
    <n v="1440"/>
    <n v="4320"/>
  </r>
  <r>
    <s v="INV0867"/>
    <x v="113"/>
    <x v="1"/>
    <x v="5"/>
    <n v="3000"/>
    <n v="4"/>
    <n v="12000"/>
    <x v="2"/>
    <n v="3600"/>
    <n v="14400"/>
  </r>
  <r>
    <s v="INV0868"/>
    <x v="113"/>
    <x v="0"/>
    <x v="19"/>
    <n v="48000"/>
    <n v="2"/>
    <n v="96000"/>
    <x v="2"/>
    <n v="57600"/>
    <n v="115200"/>
  </r>
  <r>
    <s v="INV0869"/>
    <x v="113"/>
    <x v="3"/>
    <x v="21"/>
    <n v="1700"/>
    <n v="3"/>
    <n v="5100"/>
    <x v="2"/>
    <n v="2040"/>
    <n v="6120"/>
  </r>
  <r>
    <s v="INV0870"/>
    <x v="113"/>
    <x v="0"/>
    <x v="19"/>
    <n v="48000"/>
    <n v="10"/>
    <n v="480000"/>
    <x v="1"/>
    <n v="57600"/>
    <n v="576000"/>
  </r>
  <r>
    <s v="INV3461"/>
    <x v="113"/>
    <x v="0"/>
    <x v="8"/>
    <n v="3300"/>
    <n v="6"/>
    <n v="19800"/>
    <x v="0"/>
    <n v="3960"/>
    <n v="23760"/>
  </r>
  <r>
    <s v="INV3649"/>
    <x v="113"/>
    <x v="3"/>
    <x v="21"/>
    <n v="1700"/>
    <n v="9"/>
    <n v="15300"/>
    <x v="0"/>
    <n v="2040"/>
    <n v="18360"/>
  </r>
  <r>
    <s v="INV3808"/>
    <x v="113"/>
    <x v="0"/>
    <x v="23"/>
    <n v="600"/>
    <n v="10"/>
    <n v="6000"/>
    <x v="2"/>
    <n v="720"/>
    <n v="7200"/>
  </r>
  <r>
    <s v="INV3927"/>
    <x v="113"/>
    <x v="0"/>
    <x v="23"/>
    <n v="600"/>
    <n v="9"/>
    <n v="5400"/>
    <x v="1"/>
    <n v="720"/>
    <n v="6480"/>
  </r>
  <r>
    <s v="INV0871"/>
    <x v="114"/>
    <x v="3"/>
    <x v="21"/>
    <n v="1700"/>
    <n v="10"/>
    <n v="17000"/>
    <x v="0"/>
    <n v="2040"/>
    <n v="20400"/>
  </r>
  <r>
    <s v="INV0872"/>
    <x v="114"/>
    <x v="0"/>
    <x v="22"/>
    <n v="6000"/>
    <n v="9"/>
    <n v="54000"/>
    <x v="1"/>
    <n v="7200"/>
    <n v="64800"/>
  </r>
  <r>
    <s v="INV0873"/>
    <x v="114"/>
    <x v="1"/>
    <x v="7"/>
    <n v="5200"/>
    <n v="5"/>
    <n v="26000"/>
    <x v="1"/>
    <n v="6240"/>
    <n v="31200"/>
  </r>
  <r>
    <s v="INV0874"/>
    <x v="114"/>
    <x v="1"/>
    <x v="5"/>
    <n v="3000"/>
    <n v="6"/>
    <n v="18000"/>
    <x v="1"/>
    <n v="3600"/>
    <n v="21600"/>
  </r>
  <r>
    <s v="INV0875"/>
    <x v="114"/>
    <x v="3"/>
    <x v="4"/>
    <n v="1200"/>
    <n v="3"/>
    <n v="3600"/>
    <x v="0"/>
    <n v="1440"/>
    <n v="4320"/>
  </r>
  <r>
    <s v="INV0876"/>
    <x v="114"/>
    <x v="3"/>
    <x v="21"/>
    <n v="1700"/>
    <n v="10"/>
    <n v="17000"/>
    <x v="1"/>
    <n v="2040"/>
    <n v="20400"/>
  </r>
  <r>
    <s v="INV2874"/>
    <x v="114"/>
    <x v="3"/>
    <x v="3"/>
    <n v="800"/>
    <n v="1"/>
    <n v="800"/>
    <x v="2"/>
    <n v="960"/>
    <n v="960"/>
  </r>
  <r>
    <s v="INV2904"/>
    <x v="114"/>
    <x v="0"/>
    <x v="31"/>
    <n v="3600"/>
    <n v="7"/>
    <n v="25200"/>
    <x v="0"/>
    <n v="4320"/>
    <n v="30240"/>
  </r>
  <r>
    <s v="INV3107"/>
    <x v="114"/>
    <x v="0"/>
    <x v="19"/>
    <n v="48000"/>
    <n v="3"/>
    <n v="144000"/>
    <x v="2"/>
    <n v="57600"/>
    <n v="172800"/>
  </r>
  <r>
    <s v="INV3164"/>
    <x v="114"/>
    <x v="0"/>
    <x v="24"/>
    <n v="1900"/>
    <n v="1"/>
    <n v="1900"/>
    <x v="2"/>
    <n v="2280"/>
    <n v="2280"/>
  </r>
  <r>
    <s v="INV3176"/>
    <x v="114"/>
    <x v="0"/>
    <x v="31"/>
    <n v="3600"/>
    <n v="1"/>
    <n v="3600"/>
    <x v="2"/>
    <n v="4320"/>
    <n v="4320"/>
  </r>
  <r>
    <s v="INV0877"/>
    <x v="115"/>
    <x v="3"/>
    <x v="3"/>
    <n v="800"/>
    <n v="8"/>
    <n v="6400"/>
    <x v="0"/>
    <n v="960"/>
    <n v="7680"/>
  </r>
  <r>
    <s v="INV0878"/>
    <x v="115"/>
    <x v="0"/>
    <x v="0"/>
    <n v="60000"/>
    <n v="5"/>
    <n v="300000"/>
    <x v="1"/>
    <n v="72000"/>
    <n v="360000"/>
  </r>
  <r>
    <s v="INV0879"/>
    <x v="115"/>
    <x v="0"/>
    <x v="22"/>
    <n v="6000"/>
    <n v="3"/>
    <n v="18000"/>
    <x v="1"/>
    <n v="7200"/>
    <n v="21600"/>
  </r>
  <r>
    <s v="INV0880"/>
    <x v="115"/>
    <x v="0"/>
    <x v="9"/>
    <n v="500"/>
    <n v="2"/>
    <n v="1000"/>
    <x v="0"/>
    <n v="600"/>
    <n v="1200"/>
  </r>
  <r>
    <s v="INV0881"/>
    <x v="115"/>
    <x v="1"/>
    <x v="5"/>
    <n v="3000"/>
    <n v="1"/>
    <n v="3000"/>
    <x v="0"/>
    <n v="3600"/>
    <n v="3600"/>
  </r>
  <r>
    <s v="INV3317"/>
    <x v="115"/>
    <x v="0"/>
    <x v="8"/>
    <n v="3300"/>
    <n v="6"/>
    <n v="19800"/>
    <x v="0"/>
    <n v="3960"/>
    <n v="23760"/>
  </r>
  <r>
    <s v="INV3422"/>
    <x v="115"/>
    <x v="4"/>
    <x v="10"/>
    <n v="9100"/>
    <n v="6"/>
    <n v="54600"/>
    <x v="2"/>
    <n v="10920"/>
    <n v="65520"/>
  </r>
  <r>
    <s v="INV3598"/>
    <x v="115"/>
    <x v="0"/>
    <x v="8"/>
    <n v="3300"/>
    <n v="10"/>
    <n v="33000"/>
    <x v="0"/>
    <n v="3960"/>
    <n v="39600"/>
  </r>
  <r>
    <s v="INV0882"/>
    <x v="116"/>
    <x v="2"/>
    <x v="6"/>
    <n v="2880"/>
    <n v="10"/>
    <n v="28800"/>
    <x v="1"/>
    <n v="3456"/>
    <n v="34560"/>
  </r>
  <r>
    <s v="INV0883"/>
    <x v="116"/>
    <x v="1"/>
    <x v="1"/>
    <n v="400"/>
    <n v="2"/>
    <n v="800"/>
    <x v="0"/>
    <n v="480"/>
    <n v="960"/>
  </r>
  <r>
    <s v="INV0884"/>
    <x v="116"/>
    <x v="2"/>
    <x v="6"/>
    <n v="2880"/>
    <n v="3"/>
    <n v="8640"/>
    <x v="1"/>
    <n v="3456"/>
    <n v="10368"/>
  </r>
  <r>
    <s v="INV0885"/>
    <x v="116"/>
    <x v="2"/>
    <x v="39"/>
    <n v="1750"/>
    <n v="4"/>
    <n v="7000"/>
    <x v="0"/>
    <n v="2100"/>
    <n v="8400"/>
  </r>
  <r>
    <s v="INV0886"/>
    <x v="116"/>
    <x v="1"/>
    <x v="1"/>
    <n v="400"/>
    <n v="7"/>
    <n v="2800"/>
    <x v="1"/>
    <n v="480"/>
    <n v="3360"/>
  </r>
  <r>
    <s v="INV3122"/>
    <x v="116"/>
    <x v="0"/>
    <x v="24"/>
    <n v="1900"/>
    <n v="1"/>
    <n v="1900"/>
    <x v="1"/>
    <n v="2280"/>
    <n v="2280"/>
  </r>
  <r>
    <s v="INV3364"/>
    <x v="116"/>
    <x v="0"/>
    <x v="23"/>
    <n v="600"/>
    <n v="6"/>
    <n v="3600"/>
    <x v="0"/>
    <n v="720"/>
    <n v="4320"/>
  </r>
  <r>
    <s v="INV3452"/>
    <x v="116"/>
    <x v="0"/>
    <x v="8"/>
    <n v="3300"/>
    <n v="9"/>
    <n v="29700"/>
    <x v="2"/>
    <n v="3960"/>
    <n v="35640"/>
  </r>
  <r>
    <s v="INV3534"/>
    <x v="116"/>
    <x v="3"/>
    <x v="21"/>
    <n v="1700"/>
    <n v="10"/>
    <n v="17000"/>
    <x v="2"/>
    <n v="2040"/>
    <n v="20400"/>
  </r>
  <r>
    <s v="INV3619"/>
    <x v="116"/>
    <x v="4"/>
    <x v="45"/>
    <n v="120"/>
    <n v="1"/>
    <n v="120"/>
    <x v="1"/>
    <n v="144"/>
    <n v="144"/>
  </r>
  <r>
    <s v="INV0887"/>
    <x v="117"/>
    <x v="2"/>
    <x v="30"/>
    <n v="2880"/>
    <n v="2"/>
    <n v="5760"/>
    <x v="1"/>
    <n v="3456"/>
    <n v="6912"/>
  </r>
  <r>
    <s v="INV0888"/>
    <x v="117"/>
    <x v="1"/>
    <x v="5"/>
    <n v="3000"/>
    <n v="10"/>
    <n v="30000"/>
    <x v="2"/>
    <n v="3600"/>
    <n v="36000"/>
  </r>
  <r>
    <s v="INV0889"/>
    <x v="117"/>
    <x v="3"/>
    <x v="4"/>
    <n v="1200"/>
    <n v="6"/>
    <n v="7200"/>
    <x v="2"/>
    <n v="1440"/>
    <n v="8640"/>
  </r>
  <r>
    <s v="INV0890"/>
    <x v="117"/>
    <x v="2"/>
    <x v="2"/>
    <n v="2880"/>
    <n v="4"/>
    <n v="11520"/>
    <x v="0"/>
    <n v="3456"/>
    <n v="13824"/>
  </r>
  <r>
    <s v="INV0891"/>
    <x v="117"/>
    <x v="2"/>
    <x v="2"/>
    <n v="2880"/>
    <n v="9"/>
    <n v="25920"/>
    <x v="0"/>
    <n v="3456"/>
    <n v="31104"/>
  </r>
  <r>
    <s v="INV0892"/>
    <x v="117"/>
    <x v="3"/>
    <x v="21"/>
    <n v="1700"/>
    <n v="6"/>
    <n v="10200"/>
    <x v="1"/>
    <n v="2040"/>
    <n v="12240"/>
  </r>
  <r>
    <s v="INV0893"/>
    <x v="117"/>
    <x v="2"/>
    <x v="30"/>
    <n v="2880"/>
    <n v="6"/>
    <n v="17280"/>
    <x v="0"/>
    <n v="3456"/>
    <n v="20736"/>
  </r>
  <r>
    <s v="INV0894"/>
    <x v="117"/>
    <x v="2"/>
    <x v="39"/>
    <n v="1750"/>
    <n v="1"/>
    <n v="1750"/>
    <x v="0"/>
    <n v="2100"/>
    <n v="2100"/>
  </r>
  <r>
    <s v="INV0895"/>
    <x v="117"/>
    <x v="3"/>
    <x v="21"/>
    <n v="1700"/>
    <n v="4"/>
    <n v="6800"/>
    <x v="2"/>
    <n v="2040"/>
    <n v="8160"/>
  </r>
  <r>
    <s v="INV3400"/>
    <x v="117"/>
    <x v="0"/>
    <x v="24"/>
    <n v="1900"/>
    <n v="10"/>
    <n v="19000"/>
    <x v="2"/>
    <n v="2280"/>
    <n v="22800"/>
  </r>
  <r>
    <s v="INV3401"/>
    <x v="117"/>
    <x v="0"/>
    <x v="31"/>
    <n v="3600"/>
    <n v="6"/>
    <n v="21600"/>
    <x v="1"/>
    <n v="4320"/>
    <n v="25920"/>
  </r>
  <r>
    <s v="INV3545"/>
    <x v="117"/>
    <x v="0"/>
    <x v="24"/>
    <n v="1900"/>
    <n v="9"/>
    <n v="17100"/>
    <x v="1"/>
    <n v="2280"/>
    <n v="20520"/>
  </r>
  <r>
    <s v="INV3669"/>
    <x v="117"/>
    <x v="0"/>
    <x v="9"/>
    <n v="500"/>
    <n v="4"/>
    <n v="2000"/>
    <x v="2"/>
    <n v="600"/>
    <n v="2400"/>
  </r>
  <r>
    <s v="INV3811"/>
    <x v="117"/>
    <x v="0"/>
    <x v="24"/>
    <n v="1900"/>
    <n v="6"/>
    <n v="11400"/>
    <x v="2"/>
    <n v="2280"/>
    <n v="13680"/>
  </r>
  <r>
    <s v="INV0896"/>
    <x v="118"/>
    <x v="0"/>
    <x v="0"/>
    <n v="60000"/>
    <n v="1"/>
    <n v="60000"/>
    <x v="1"/>
    <n v="72000"/>
    <n v="72000"/>
  </r>
  <r>
    <s v="INV0897"/>
    <x v="118"/>
    <x v="2"/>
    <x v="39"/>
    <n v="1750"/>
    <n v="7"/>
    <n v="12250"/>
    <x v="2"/>
    <n v="2100"/>
    <n v="14700"/>
  </r>
  <r>
    <s v="INV0898"/>
    <x v="118"/>
    <x v="0"/>
    <x v="22"/>
    <n v="6000"/>
    <n v="6"/>
    <n v="36000"/>
    <x v="1"/>
    <n v="7200"/>
    <n v="43200"/>
  </r>
  <r>
    <s v="INV0899"/>
    <x v="118"/>
    <x v="3"/>
    <x v="3"/>
    <n v="800"/>
    <n v="10"/>
    <n v="8000"/>
    <x v="1"/>
    <n v="960"/>
    <n v="9600"/>
  </r>
  <r>
    <s v="INV0900"/>
    <x v="118"/>
    <x v="2"/>
    <x v="6"/>
    <n v="2880"/>
    <n v="8"/>
    <n v="23040"/>
    <x v="0"/>
    <n v="3456"/>
    <n v="27648"/>
  </r>
  <r>
    <s v="INV2841"/>
    <x v="118"/>
    <x v="0"/>
    <x v="23"/>
    <n v="600"/>
    <n v="6"/>
    <n v="3600"/>
    <x v="2"/>
    <n v="720"/>
    <n v="4320"/>
  </r>
  <r>
    <s v="INV3031"/>
    <x v="118"/>
    <x v="0"/>
    <x v="24"/>
    <n v="1900"/>
    <n v="9"/>
    <n v="17100"/>
    <x v="2"/>
    <n v="2280"/>
    <n v="20520"/>
  </r>
  <r>
    <s v="INV3399"/>
    <x v="118"/>
    <x v="4"/>
    <x v="10"/>
    <n v="9100"/>
    <n v="7"/>
    <n v="63700"/>
    <x v="2"/>
    <n v="10920"/>
    <n v="76440"/>
  </r>
  <r>
    <s v="INV3442"/>
    <x v="118"/>
    <x v="0"/>
    <x v="24"/>
    <n v="1900"/>
    <n v="4"/>
    <n v="7600"/>
    <x v="1"/>
    <n v="2280"/>
    <n v="9120"/>
  </r>
  <r>
    <s v="INV3468"/>
    <x v="118"/>
    <x v="0"/>
    <x v="9"/>
    <n v="500"/>
    <n v="1"/>
    <n v="500"/>
    <x v="2"/>
    <n v="600"/>
    <n v="600"/>
  </r>
  <r>
    <s v="INV3717"/>
    <x v="118"/>
    <x v="0"/>
    <x v="24"/>
    <n v="1900"/>
    <n v="8"/>
    <n v="15200"/>
    <x v="0"/>
    <n v="2280"/>
    <n v="18240"/>
  </r>
  <r>
    <s v="INV0901"/>
    <x v="119"/>
    <x v="2"/>
    <x v="30"/>
    <n v="2880"/>
    <n v="2"/>
    <n v="5760"/>
    <x v="2"/>
    <n v="3456"/>
    <n v="6912"/>
  </r>
  <r>
    <s v="INV0902"/>
    <x v="119"/>
    <x v="1"/>
    <x v="5"/>
    <n v="3000"/>
    <n v="4"/>
    <n v="12000"/>
    <x v="0"/>
    <n v="3600"/>
    <n v="14400"/>
  </r>
  <r>
    <s v="INV0903"/>
    <x v="119"/>
    <x v="3"/>
    <x v="21"/>
    <n v="1700"/>
    <n v="7"/>
    <n v="11900"/>
    <x v="1"/>
    <n v="2040"/>
    <n v="14280"/>
  </r>
  <r>
    <s v="INV0904"/>
    <x v="119"/>
    <x v="0"/>
    <x v="19"/>
    <n v="48000"/>
    <n v="1"/>
    <n v="48000"/>
    <x v="2"/>
    <n v="57600"/>
    <n v="57600"/>
  </r>
  <r>
    <s v="INV0905"/>
    <x v="119"/>
    <x v="2"/>
    <x v="30"/>
    <n v="2880"/>
    <n v="1"/>
    <n v="2880"/>
    <x v="1"/>
    <n v="3456"/>
    <n v="3456"/>
  </r>
  <r>
    <s v="INV3528"/>
    <x v="119"/>
    <x v="0"/>
    <x v="19"/>
    <n v="48000"/>
    <n v="9"/>
    <n v="432000"/>
    <x v="2"/>
    <n v="57600"/>
    <n v="518400"/>
  </r>
  <r>
    <s v="INV3570"/>
    <x v="119"/>
    <x v="0"/>
    <x v="9"/>
    <n v="500"/>
    <n v="1"/>
    <n v="500"/>
    <x v="1"/>
    <n v="600"/>
    <n v="600"/>
  </r>
  <r>
    <s v="INV3800"/>
    <x v="119"/>
    <x v="4"/>
    <x v="10"/>
    <n v="9100"/>
    <n v="6"/>
    <n v="54600"/>
    <x v="1"/>
    <n v="10920"/>
    <n v="65520"/>
  </r>
  <r>
    <s v="INV3885"/>
    <x v="119"/>
    <x v="0"/>
    <x v="19"/>
    <n v="48000"/>
    <n v="9"/>
    <n v="432000"/>
    <x v="2"/>
    <n v="57600"/>
    <n v="518400"/>
  </r>
  <r>
    <s v="INV3895"/>
    <x v="119"/>
    <x v="0"/>
    <x v="9"/>
    <n v="500"/>
    <n v="10"/>
    <n v="5000"/>
    <x v="1"/>
    <n v="600"/>
    <n v="6000"/>
  </r>
  <r>
    <s v="INV0906"/>
    <x v="120"/>
    <x v="1"/>
    <x v="5"/>
    <n v="3000"/>
    <n v="4"/>
    <n v="12000"/>
    <x v="2"/>
    <n v="3600"/>
    <n v="14400"/>
  </r>
  <r>
    <s v="INV0907"/>
    <x v="120"/>
    <x v="3"/>
    <x v="29"/>
    <n v="6900"/>
    <n v="9"/>
    <n v="62100"/>
    <x v="0"/>
    <n v="8280"/>
    <n v="74520"/>
  </r>
  <r>
    <s v="INV0908"/>
    <x v="120"/>
    <x v="2"/>
    <x v="6"/>
    <n v="2880"/>
    <n v="1"/>
    <n v="2880"/>
    <x v="2"/>
    <n v="3456"/>
    <n v="3456"/>
  </r>
  <r>
    <s v="INV0909"/>
    <x v="120"/>
    <x v="2"/>
    <x v="2"/>
    <n v="2880"/>
    <n v="7"/>
    <n v="20160"/>
    <x v="2"/>
    <n v="3456"/>
    <n v="24192"/>
  </r>
  <r>
    <s v="INV0910"/>
    <x v="120"/>
    <x v="0"/>
    <x v="19"/>
    <n v="48000"/>
    <n v="6"/>
    <n v="288000"/>
    <x v="1"/>
    <n v="57600"/>
    <n v="345600"/>
  </r>
  <r>
    <s v="INV0911"/>
    <x v="120"/>
    <x v="0"/>
    <x v="19"/>
    <n v="48000"/>
    <n v="9"/>
    <n v="432000"/>
    <x v="2"/>
    <n v="57600"/>
    <n v="518400"/>
  </r>
  <r>
    <s v="INV0912"/>
    <x v="120"/>
    <x v="1"/>
    <x v="7"/>
    <n v="5200"/>
    <n v="1"/>
    <n v="5200"/>
    <x v="0"/>
    <n v="6240"/>
    <n v="6240"/>
  </r>
  <r>
    <s v="INV0913"/>
    <x v="120"/>
    <x v="2"/>
    <x v="39"/>
    <n v="1750"/>
    <n v="2"/>
    <n v="3500"/>
    <x v="1"/>
    <n v="2100"/>
    <n v="4200"/>
  </r>
  <r>
    <s v="INV0914"/>
    <x v="120"/>
    <x v="3"/>
    <x v="4"/>
    <n v="1200"/>
    <n v="2"/>
    <n v="2400"/>
    <x v="2"/>
    <n v="1440"/>
    <n v="2880"/>
  </r>
  <r>
    <s v="INV3204"/>
    <x v="120"/>
    <x v="0"/>
    <x v="31"/>
    <n v="3600"/>
    <n v="2"/>
    <n v="7200"/>
    <x v="1"/>
    <n v="4320"/>
    <n v="8640"/>
  </r>
  <r>
    <s v="INV3574"/>
    <x v="120"/>
    <x v="0"/>
    <x v="19"/>
    <n v="48000"/>
    <n v="6"/>
    <n v="288000"/>
    <x v="2"/>
    <n v="57600"/>
    <n v="345600"/>
  </r>
  <r>
    <s v="INV3881"/>
    <x v="120"/>
    <x v="0"/>
    <x v="8"/>
    <n v="3300"/>
    <n v="7"/>
    <n v="23100"/>
    <x v="0"/>
    <n v="3960"/>
    <n v="27720"/>
  </r>
  <r>
    <s v="INV0915"/>
    <x v="121"/>
    <x v="3"/>
    <x v="21"/>
    <n v="1700"/>
    <n v="9"/>
    <n v="15300"/>
    <x v="1"/>
    <n v="2040"/>
    <n v="18360"/>
  </r>
  <r>
    <s v="INV0916"/>
    <x v="121"/>
    <x v="0"/>
    <x v="0"/>
    <n v="60000"/>
    <n v="1"/>
    <n v="60000"/>
    <x v="0"/>
    <n v="72000"/>
    <n v="72000"/>
  </r>
  <r>
    <s v="INV0917"/>
    <x v="121"/>
    <x v="2"/>
    <x v="30"/>
    <n v="2880"/>
    <n v="1"/>
    <n v="2880"/>
    <x v="0"/>
    <n v="3456"/>
    <n v="3456"/>
  </r>
  <r>
    <s v="INV0918"/>
    <x v="121"/>
    <x v="1"/>
    <x v="7"/>
    <n v="5200"/>
    <n v="5"/>
    <n v="26000"/>
    <x v="2"/>
    <n v="6240"/>
    <n v="31200"/>
  </r>
  <r>
    <s v="INV0919"/>
    <x v="121"/>
    <x v="0"/>
    <x v="22"/>
    <n v="6000"/>
    <n v="5"/>
    <n v="30000"/>
    <x v="1"/>
    <n v="7200"/>
    <n v="36000"/>
  </r>
  <r>
    <s v="INV0920"/>
    <x v="121"/>
    <x v="1"/>
    <x v="1"/>
    <n v="400"/>
    <n v="4"/>
    <n v="1600"/>
    <x v="0"/>
    <n v="480"/>
    <n v="1920"/>
  </r>
  <r>
    <s v="INV2836"/>
    <x v="121"/>
    <x v="3"/>
    <x v="21"/>
    <n v="1700"/>
    <n v="4"/>
    <n v="6800"/>
    <x v="1"/>
    <n v="2040"/>
    <n v="8160"/>
  </r>
  <r>
    <s v="INV3428"/>
    <x v="121"/>
    <x v="0"/>
    <x v="19"/>
    <n v="48000"/>
    <n v="3"/>
    <n v="144000"/>
    <x v="2"/>
    <n v="57600"/>
    <n v="172800"/>
  </r>
  <r>
    <s v="INV3553"/>
    <x v="121"/>
    <x v="3"/>
    <x v="3"/>
    <n v="800"/>
    <n v="1"/>
    <n v="800"/>
    <x v="1"/>
    <n v="960"/>
    <n v="960"/>
  </r>
  <r>
    <s v="INV3902"/>
    <x v="121"/>
    <x v="4"/>
    <x v="45"/>
    <n v="120"/>
    <n v="7"/>
    <n v="840"/>
    <x v="1"/>
    <n v="144"/>
    <n v="1008"/>
  </r>
  <r>
    <s v="INV0921"/>
    <x v="122"/>
    <x v="3"/>
    <x v="21"/>
    <n v="1700"/>
    <n v="5"/>
    <n v="8500"/>
    <x v="2"/>
    <n v="2040"/>
    <n v="10200"/>
  </r>
  <r>
    <s v="INV0922"/>
    <x v="122"/>
    <x v="3"/>
    <x v="3"/>
    <n v="800"/>
    <n v="3"/>
    <n v="2400"/>
    <x v="2"/>
    <n v="960"/>
    <n v="2880"/>
  </r>
  <r>
    <s v="INV0923"/>
    <x v="122"/>
    <x v="1"/>
    <x v="1"/>
    <n v="400"/>
    <n v="1"/>
    <n v="400"/>
    <x v="2"/>
    <n v="480"/>
    <n v="480"/>
  </r>
  <r>
    <s v="INV0924"/>
    <x v="122"/>
    <x v="0"/>
    <x v="9"/>
    <n v="500"/>
    <n v="5"/>
    <n v="2500"/>
    <x v="1"/>
    <n v="600"/>
    <n v="3000"/>
  </r>
  <r>
    <s v="INV0925"/>
    <x v="122"/>
    <x v="0"/>
    <x v="0"/>
    <n v="60000"/>
    <n v="5"/>
    <n v="300000"/>
    <x v="2"/>
    <n v="72000"/>
    <n v="360000"/>
  </r>
  <r>
    <s v="INV0926"/>
    <x v="122"/>
    <x v="0"/>
    <x v="22"/>
    <n v="6000"/>
    <n v="2"/>
    <n v="12000"/>
    <x v="1"/>
    <n v="7200"/>
    <n v="14400"/>
  </r>
  <r>
    <s v="INV0927"/>
    <x v="122"/>
    <x v="2"/>
    <x v="6"/>
    <n v="2880"/>
    <n v="1"/>
    <n v="2880"/>
    <x v="0"/>
    <n v="3456"/>
    <n v="3456"/>
  </r>
  <r>
    <s v="INV0928"/>
    <x v="122"/>
    <x v="0"/>
    <x v="0"/>
    <n v="60000"/>
    <n v="7"/>
    <n v="420000"/>
    <x v="1"/>
    <n v="72000"/>
    <n v="504000"/>
  </r>
  <r>
    <s v="INV3383"/>
    <x v="122"/>
    <x v="3"/>
    <x v="3"/>
    <n v="800"/>
    <n v="9"/>
    <n v="7200"/>
    <x v="0"/>
    <n v="960"/>
    <n v="8640"/>
  </r>
  <r>
    <s v="INV3459"/>
    <x v="122"/>
    <x v="0"/>
    <x v="19"/>
    <n v="48000"/>
    <n v="2"/>
    <n v="96000"/>
    <x v="2"/>
    <n v="57600"/>
    <n v="115200"/>
  </r>
  <r>
    <s v="INV3529"/>
    <x v="122"/>
    <x v="0"/>
    <x v="23"/>
    <n v="600"/>
    <n v="5"/>
    <n v="3000"/>
    <x v="2"/>
    <n v="720"/>
    <n v="3600"/>
  </r>
  <r>
    <s v="INV3826"/>
    <x v="122"/>
    <x v="0"/>
    <x v="23"/>
    <n v="600"/>
    <n v="6"/>
    <n v="3600"/>
    <x v="0"/>
    <n v="720"/>
    <n v="4320"/>
  </r>
  <r>
    <s v="INV0929"/>
    <x v="123"/>
    <x v="2"/>
    <x v="6"/>
    <n v="2880"/>
    <n v="5"/>
    <n v="14400"/>
    <x v="1"/>
    <n v="3456"/>
    <n v="17280"/>
  </r>
  <r>
    <s v="INV0930"/>
    <x v="123"/>
    <x v="0"/>
    <x v="9"/>
    <n v="500"/>
    <n v="7"/>
    <n v="3500"/>
    <x v="2"/>
    <n v="600"/>
    <n v="4200"/>
  </r>
  <r>
    <s v="INV0931"/>
    <x v="123"/>
    <x v="0"/>
    <x v="9"/>
    <n v="500"/>
    <n v="2"/>
    <n v="1000"/>
    <x v="0"/>
    <n v="600"/>
    <n v="1200"/>
  </r>
  <r>
    <s v="INV0932"/>
    <x v="123"/>
    <x v="0"/>
    <x v="22"/>
    <n v="6000"/>
    <n v="1"/>
    <n v="6000"/>
    <x v="0"/>
    <n v="7200"/>
    <n v="7200"/>
  </r>
  <r>
    <s v="INV0933"/>
    <x v="123"/>
    <x v="2"/>
    <x v="39"/>
    <n v="1750"/>
    <n v="1"/>
    <n v="1750"/>
    <x v="0"/>
    <n v="2100"/>
    <n v="2100"/>
  </r>
  <r>
    <s v="INV0934"/>
    <x v="123"/>
    <x v="0"/>
    <x v="19"/>
    <n v="48000"/>
    <n v="5"/>
    <n v="240000"/>
    <x v="2"/>
    <n v="57600"/>
    <n v="288000"/>
  </r>
  <r>
    <s v="INV0935"/>
    <x v="123"/>
    <x v="1"/>
    <x v="7"/>
    <n v="5200"/>
    <n v="2"/>
    <n v="10400"/>
    <x v="2"/>
    <n v="6240"/>
    <n v="12480"/>
  </r>
  <r>
    <s v="INV0936"/>
    <x v="123"/>
    <x v="0"/>
    <x v="19"/>
    <n v="48000"/>
    <n v="8"/>
    <n v="384000"/>
    <x v="0"/>
    <n v="57600"/>
    <n v="460800"/>
  </r>
  <r>
    <s v="INV2881"/>
    <x v="123"/>
    <x v="0"/>
    <x v="24"/>
    <n v="1900"/>
    <n v="1"/>
    <n v="1900"/>
    <x v="2"/>
    <n v="2280"/>
    <n v="2280"/>
  </r>
  <r>
    <s v="INV3149"/>
    <x v="123"/>
    <x v="0"/>
    <x v="8"/>
    <n v="3300"/>
    <n v="5"/>
    <n v="16500"/>
    <x v="1"/>
    <n v="3960"/>
    <n v="19800"/>
  </r>
  <r>
    <s v="INV3339"/>
    <x v="123"/>
    <x v="0"/>
    <x v="19"/>
    <n v="48000"/>
    <n v="2"/>
    <n v="96000"/>
    <x v="0"/>
    <n v="57600"/>
    <n v="115200"/>
  </r>
  <r>
    <s v="INV3581"/>
    <x v="123"/>
    <x v="0"/>
    <x v="24"/>
    <n v="1900"/>
    <n v="5"/>
    <n v="9500"/>
    <x v="2"/>
    <n v="2280"/>
    <n v="11400"/>
  </r>
  <r>
    <s v="INV0937"/>
    <x v="124"/>
    <x v="1"/>
    <x v="7"/>
    <n v="5200"/>
    <n v="5"/>
    <n v="26000"/>
    <x v="0"/>
    <n v="6240"/>
    <n v="31200"/>
  </r>
  <r>
    <s v="INV0938"/>
    <x v="124"/>
    <x v="3"/>
    <x v="29"/>
    <n v="6900"/>
    <n v="8"/>
    <n v="55200"/>
    <x v="1"/>
    <n v="8280"/>
    <n v="66240"/>
  </r>
  <r>
    <s v="INV0939"/>
    <x v="124"/>
    <x v="2"/>
    <x v="39"/>
    <n v="1750"/>
    <n v="5"/>
    <n v="8750"/>
    <x v="1"/>
    <n v="2100"/>
    <n v="10500"/>
  </r>
  <r>
    <s v="INV0940"/>
    <x v="124"/>
    <x v="0"/>
    <x v="0"/>
    <n v="60000"/>
    <n v="9"/>
    <n v="540000"/>
    <x v="1"/>
    <n v="72000"/>
    <n v="648000"/>
  </r>
  <r>
    <s v="INV0941"/>
    <x v="124"/>
    <x v="0"/>
    <x v="0"/>
    <n v="60000"/>
    <n v="5"/>
    <n v="300000"/>
    <x v="0"/>
    <n v="72000"/>
    <n v="360000"/>
  </r>
  <r>
    <s v="INV2923"/>
    <x v="124"/>
    <x v="0"/>
    <x v="24"/>
    <n v="1900"/>
    <n v="8"/>
    <n v="15200"/>
    <x v="2"/>
    <n v="2280"/>
    <n v="18240"/>
  </r>
  <r>
    <s v="INV3296"/>
    <x v="124"/>
    <x v="0"/>
    <x v="24"/>
    <n v="1900"/>
    <n v="3"/>
    <n v="5700"/>
    <x v="0"/>
    <n v="2280"/>
    <n v="6840"/>
  </r>
  <r>
    <s v="INV3408"/>
    <x v="124"/>
    <x v="0"/>
    <x v="24"/>
    <n v="1900"/>
    <n v="7"/>
    <n v="13300"/>
    <x v="1"/>
    <n v="2280"/>
    <n v="15960"/>
  </r>
  <r>
    <s v="INV0942"/>
    <x v="125"/>
    <x v="0"/>
    <x v="9"/>
    <n v="500"/>
    <n v="4"/>
    <n v="2000"/>
    <x v="1"/>
    <n v="600"/>
    <n v="2400"/>
  </r>
  <r>
    <s v="INV0943"/>
    <x v="125"/>
    <x v="1"/>
    <x v="1"/>
    <n v="400"/>
    <n v="10"/>
    <n v="4000"/>
    <x v="0"/>
    <n v="480"/>
    <n v="4800"/>
  </r>
  <r>
    <s v="INV0944"/>
    <x v="125"/>
    <x v="0"/>
    <x v="9"/>
    <n v="500"/>
    <n v="9"/>
    <n v="4500"/>
    <x v="2"/>
    <n v="600"/>
    <n v="5400"/>
  </r>
  <r>
    <s v="INV0945"/>
    <x v="125"/>
    <x v="1"/>
    <x v="7"/>
    <n v="5200"/>
    <n v="9"/>
    <n v="46800"/>
    <x v="0"/>
    <n v="6240"/>
    <n v="56160"/>
  </r>
  <r>
    <s v="INV0946"/>
    <x v="125"/>
    <x v="0"/>
    <x v="22"/>
    <n v="6000"/>
    <n v="10"/>
    <n v="60000"/>
    <x v="2"/>
    <n v="7200"/>
    <n v="72000"/>
  </r>
  <r>
    <s v="INV0947"/>
    <x v="125"/>
    <x v="2"/>
    <x v="2"/>
    <n v="2880"/>
    <n v="10"/>
    <n v="28800"/>
    <x v="1"/>
    <n v="3456"/>
    <n v="34560"/>
  </r>
  <r>
    <s v="INV0948"/>
    <x v="125"/>
    <x v="2"/>
    <x v="39"/>
    <n v="1750"/>
    <n v="6"/>
    <n v="10500"/>
    <x v="2"/>
    <n v="2100"/>
    <n v="12600"/>
  </r>
  <r>
    <s v="INV0949"/>
    <x v="125"/>
    <x v="0"/>
    <x v="0"/>
    <n v="60000"/>
    <n v="3"/>
    <n v="180000"/>
    <x v="2"/>
    <n v="72000"/>
    <n v="216000"/>
  </r>
  <r>
    <s v="INV3131"/>
    <x v="125"/>
    <x v="0"/>
    <x v="31"/>
    <n v="3600"/>
    <n v="10"/>
    <n v="36000"/>
    <x v="0"/>
    <n v="4320"/>
    <n v="43200"/>
  </r>
  <r>
    <s v="INV3264"/>
    <x v="125"/>
    <x v="0"/>
    <x v="8"/>
    <n v="3300"/>
    <n v="8"/>
    <n v="26400"/>
    <x v="2"/>
    <n v="3960"/>
    <n v="31680"/>
  </r>
  <r>
    <s v="INV3329"/>
    <x v="125"/>
    <x v="0"/>
    <x v="9"/>
    <n v="500"/>
    <n v="5"/>
    <n v="2500"/>
    <x v="2"/>
    <n v="600"/>
    <n v="3000"/>
  </r>
  <r>
    <s v="INV0950"/>
    <x v="126"/>
    <x v="0"/>
    <x v="9"/>
    <n v="500"/>
    <n v="7"/>
    <n v="3500"/>
    <x v="2"/>
    <n v="600"/>
    <n v="4200"/>
  </r>
  <r>
    <s v="INV0951"/>
    <x v="126"/>
    <x v="3"/>
    <x v="3"/>
    <n v="800"/>
    <n v="8"/>
    <n v="6400"/>
    <x v="0"/>
    <n v="960"/>
    <n v="7680"/>
  </r>
  <r>
    <s v="INV0952"/>
    <x v="126"/>
    <x v="0"/>
    <x v="0"/>
    <n v="60000"/>
    <n v="9"/>
    <n v="540000"/>
    <x v="0"/>
    <n v="72000"/>
    <n v="648000"/>
  </r>
  <r>
    <s v="INV0953"/>
    <x v="126"/>
    <x v="0"/>
    <x v="22"/>
    <n v="6000"/>
    <n v="7"/>
    <n v="42000"/>
    <x v="0"/>
    <n v="7200"/>
    <n v="50400"/>
  </r>
  <r>
    <s v="INV0954"/>
    <x v="126"/>
    <x v="0"/>
    <x v="9"/>
    <n v="500"/>
    <n v="2"/>
    <n v="1000"/>
    <x v="0"/>
    <n v="600"/>
    <n v="1200"/>
  </r>
  <r>
    <s v="INV0955"/>
    <x v="126"/>
    <x v="1"/>
    <x v="1"/>
    <n v="400"/>
    <n v="1"/>
    <n v="400"/>
    <x v="2"/>
    <n v="480"/>
    <n v="480"/>
  </r>
  <r>
    <s v="INV0956"/>
    <x v="126"/>
    <x v="2"/>
    <x v="30"/>
    <n v="2880"/>
    <n v="1"/>
    <n v="2880"/>
    <x v="1"/>
    <n v="3456"/>
    <n v="3456"/>
  </r>
  <r>
    <s v="INV0957"/>
    <x v="126"/>
    <x v="2"/>
    <x v="6"/>
    <n v="2880"/>
    <n v="9"/>
    <n v="25920"/>
    <x v="0"/>
    <n v="3456"/>
    <n v="31104"/>
  </r>
  <r>
    <s v="INV0958"/>
    <x v="126"/>
    <x v="0"/>
    <x v="19"/>
    <n v="48000"/>
    <n v="9"/>
    <n v="432000"/>
    <x v="2"/>
    <n v="57600"/>
    <n v="518400"/>
  </r>
  <r>
    <s v="INV0959"/>
    <x v="126"/>
    <x v="1"/>
    <x v="7"/>
    <n v="5200"/>
    <n v="9"/>
    <n v="46800"/>
    <x v="1"/>
    <n v="6240"/>
    <n v="56160"/>
  </r>
  <r>
    <s v="INV3623"/>
    <x v="126"/>
    <x v="4"/>
    <x v="10"/>
    <n v="9100"/>
    <n v="7"/>
    <n v="63700"/>
    <x v="1"/>
    <n v="10920"/>
    <n v="76440"/>
  </r>
  <r>
    <s v="INV3838"/>
    <x v="126"/>
    <x v="4"/>
    <x v="10"/>
    <n v="9100"/>
    <n v="3"/>
    <n v="27300"/>
    <x v="0"/>
    <n v="10920"/>
    <n v="32760"/>
  </r>
  <r>
    <s v="INV0960"/>
    <x v="127"/>
    <x v="3"/>
    <x v="29"/>
    <n v="6900"/>
    <n v="3"/>
    <n v="20700"/>
    <x v="1"/>
    <n v="8280"/>
    <n v="24840"/>
  </r>
  <r>
    <s v="INV0961"/>
    <x v="127"/>
    <x v="0"/>
    <x v="19"/>
    <n v="48000"/>
    <n v="3"/>
    <n v="144000"/>
    <x v="1"/>
    <n v="57600"/>
    <n v="172800"/>
  </r>
  <r>
    <s v="INV0962"/>
    <x v="127"/>
    <x v="3"/>
    <x v="29"/>
    <n v="6900"/>
    <n v="3"/>
    <n v="20700"/>
    <x v="1"/>
    <n v="8280"/>
    <n v="24840"/>
  </r>
  <r>
    <s v="INV0963"/>
    <x v="127"/>
    <x v="0"/>
    <x v="19"/>
    <n v="48000"/>
    <n v="8"/>
    <n v="384000"/>
    <x v="0"/>
    <n v="57600"/>
    <n v="460800"/>
  </r>
  <r>
    <s v="INV0964"/>
    <x v="127"/>
    <x v="0"/>
    <x v="19"/>
    <n v="48000"/>
    <n v="10"/>
    <n v="480000"/>
    <x v="1"/>
    <n v="57600"/>
    <n v="576000"/>
  </r>
  <r>
    <s v="INV0965"/>
    <x v="127"/>
    <x v="3"/>
    <x v="29"/>
    <n v="6900"/>
    <n v="7"/>
    <n v="48300"/>
    <x v="2"/>
    <n v="8280"/>
    <n v="57960"/>
  </r>
  <r>
    <s v="INV0966"/>
    <x v="127"/>
    <x v="3"/>
    <x v="21"/>
    <n v="1700"/>
    <n v="5"/>
    <n v="8500"/>
    <x v="1"/>
    <n v="2040"/>
    <n v="10200"/>
  </r>
  <r>
    <s v="INV3091"/>
    <x v="127"/>
    <x v="0"/>
    <x v="9"/>
    <n v="500"/>
    <n v="2"/>
    <n v="1000"/>
    <x v="1"/>
    <n v="600"/>
    <n v="1200"/>
  </r>
  <r>
    <s v="INV3675"/>
    <x v="127"/>
    <x v="4"/>
    <x v="10"/>
    <n v="9100"/>
    <n v="8"/>
    <n v="72800"/>
    <x v="1"/>
    <n v="10920"/>
    <n v="87360"/>
  </r>
  <r>
    <s v="INV3853"/>
    <x v="127"/>
    <x v="3"/>
    <x v="21"/>
    <n v="1700"/>
    <n v="10"/>
    <n v="17000"/>
    <x v="1"/>
    <n v="2040"/>
    <n v="20400"/>
  </r>
  <r>
    <s v="INV3880"/>
    <x v="127"/>
    <x v="4"/>
    <x v="10"/>
    <n v="9100"/>
    <n v="7"/>
    <n v="63700"/>
    <x v="0"/>
    <n v="10920"/>
    <n v="76440"/>
  </r>
  <r>
    <s v="INV0967"/>
    <x v="128"/>
    <x v="3"/>
    <x v="29"/>
    <n v="6900"/>
    <n v="3"/>
    <n v="20700"/>
    <x v="2"/>
    <n v="8280"/>
    <n v="24840"/>
  </r>
  <r>
    <s v="INV0968"/>
    <x v="128"/>
    <x v="2"/>
    <x v="30"/>
    <n v="2880"/>
    <n v="10"/>
    <n v="28800"/>
    <x v="2"/>
    <n v="3456"/>
    <n v="34560"/>
  </r>
  <r>
    <s v="INV0969"/>
    <x v="128"/>
    <x v="0"/>
    <x v="9"/>
    <n v="500"/>
    <n v="10"/>
    <n v="5000"/>
    <x v="2"/>
    <n v="600"/>
    <n v="6000"/>
  </r>
  <r>
    <s v="INV0970"/>
    <x v="128"/>
    <x v="0"/>
    <x v="19"/>
    <n v="48000"/>
    <n v="1"/>
    <n v="48000"/>
    <x v="0"/>
    <n v="57600"/>
    <n v="57600"/>
  </r>
  <r>
    <s v="INV0971"/>
    <x v="128"/>
    <x v="0"/>
    <x v="0"/>
    <n v="60000"/>
    <n v="9"/>
    <n v="540000"/>
    <x v="1"/>
    <n v="72000"/>
    <n v="648000"/>
  </r>
  <r>
    <s v="INV0972"/>
    <x v="128"/>
    <x v="0"/>
    <x v="22"/>
    <n v="6000"/>
    <n v="9"/>
    <n v="54000"/>
    <x v="0"/>
    <n v="7200"/>
    <n v="64800"/>
  </r>
  <r>
    <s v="INV0973"/>
    <x v="128"/>
    <x v="1"/>
    <x v="5"/>
    <n v="3000"/>
    <n v="2"/>
    <n v="6000"/>
    <x v="1"/>
    <n v="3600"/>
    <n v="7200"/>
  </r>
  <r>
    <s v="INV0974"/>
    <x v="128"/>
    <x v="0"/>
    <x v="0"/>
    <n v="60000"/>
    <n v="3"/>
    <n v="180000"/>
    <x v="1"/>
    <n v="72000"/>
    <n v="216000"/>
  </r>
  <r>
    <s v="INV0975"/>
    <x v="128"/>
    <x v="3"/>
    <x v="29"/>
    <n v="6900"/>
    <n v="5"/>
    <n v="34500"/>
    <x v="0"/>
    <n v="8280"/>
    <n v="41400"/>
  </r>
  <r>
    <s v="INV0976"/>
    <x v="128"/>
    <x v="3"/>
    <x v="3"/>
    <n v="800"/>
    <n v="6"/>
    <n v="4800"/>
    <x v="0"/>
    <n v="960"/>
    <n v="5760"/>
  </r>
  <r>
    <s v="INV3114"/>
    <x v="128"/>
    <x v="0"/>
    <x v="23"/>
    <n v="600"/>
    <n v="4"/>
    <n v="2400"/>
    <x v="0"/>
    <n v="720"/>
    <n v="2880"/>
  </r>
  <r>
    <s v="INV3124"/>
    <x v="128"/>
    <x v="0"/>
    <x v="19"/>
    <n v="48000"/>
    <n v="5"/>
    <n v="240000"/>
    <x v="2"/>
    <n v="57600"/>
    <n v="288000"/>
  </r>
  <r>
    <s v="INV3348"/>
    <x v="128"/>
    <x v="4"/>
    <x v="10"/>
    <n v="9100"/>
    <n v="3"/>
    <n v="27300"/>
    <x v="2"/>
    <n v="10920"/>
    <n v="32760"/>
  </r>
  <r>
    <s v="INV3576"/>
    <x v="128"/>
    <x v="0"/>
    <x v="19"/>
    <n v="48000"/>
    <n v="2"/>
    <n v="96000"/>
    <x v="2"/>
    <n v="57600"/>
    <n v="115200"/>
  </r>
  <r>
    <s v="INV3703"/>
    <x v="128"/>
    <x v="3"/>
    <x v="3"/>
    <n v="800"/>
    <n v="8"/>
    <n v="6400"/>
    <x v="1"/>
    <n v="960"/>
    <n v="7680"/>
  </r>
  <r>
    <s v="INV0977"/>
    <x v="129"/>
    <x v="0"/>
    <x v="22"/>
    <n v="6000"/>
    <n v="5"/>
    <n v="30000"/>
    <x v="0"/>
    <n v="7200"/>
    <n v="36000"/>
  </r>
  <r>
    <s v="INV0978"/>
    <x v="129"/>
    <x v="1"/>
    <x v="5"/>
    <n v="3000"/>
    <n v="5"/>
    <n v="15000"/>
    <x v="2"/>
    <n v="3600"/>
    <n v="18000"/>
  </r>
  <r>
    <s v="INV0979"/>
    <x v="129"/>
    <x v="0"/>
    <x v="22"/>
    <n v="6000"/>
    <n v="1"/>
    <n v="6000"/>
    <x v="2"/>
    <n v="7200"/>
    <n v="7200"/>
  </r>
  <r>
    <s v="INV0980"/>
    <x v="129"/>
    <x v="0"/>
    <x v="9"/>
    <n v="500"/>
    <n v="8"/>
    <n v="4000"/>
    <x v="0"/>
    <n v="600"/>
    <n v="4800"/>
  </r>
  <r>
    <s v="INV0981"/>
    <x v="129"/>
    <x v="3"/>
    <x v="3"/>
    <n v="800"/>
    <n v="3"/>
    <n v="2400"/>
    <x v="0"/>
    <n v="960"/>
    <n v="2880"/>
  </r>
  <r>
    <s v="INV3345"/>
    <x v="129"/>
    <x v="4"/>
    <x v="10"/>
    <n v="9100"/>
    <n v="9"/>
    <n v="81900"/>
    <x v="1"/>
    <n v="10920"/>
    <n v="98280"/>
  </r>
  <r>
    <s v="INV3417"/>
    <x v="129"/>
    <x v="0"/>
    <x v="9"/>
    <n v="500"/>
    <n v="4"/>
    <n v="2000"/>
    <x v="1"/>
    <n v="600"/>
    <n v="2400"/>
  </r>
  <r>
    <s v="INV0982"/>
    <x v="130"/>
    <x v="1"/>
    <x v="5"/>
    <n v="3000"/>
    <n v="3"/>
    <n v="9000"/>
    <x v="2"/>
    <n v="3600"/>
    <n v="10800"/>
  </r>
  <r>
    <s v="INV0983"/>
    <x v="130"/>
    <x v="2"/>
    <x v="39"/>
    <n v="1750"/>
    <n v="6"/>
    <n v="10500"/>
    <x v="0"/>
    <n v="2100"/>
    <n v="12600"/>
  </r>
  <r>
    <s v="INV0984"/>
    <x v="130"/>
    <x v="3"/>
    <x v="4"/>
    <n v="1200"/>
    <n v="5"/>
    <n v="6000"/>
    <x v="0"/>
    <n v="1440"/>
    <n v="7200"/>
  </r>
  <r>
    <s v="INV0985"/>
    <x v="130"/>
    <x v="0"/>
    <x v="22"/>
    <n v="6000"/>
    <n v="9"/>
    <n v="54000"/>
    <x v="2"/>
    <n v="7200"/>
    <n v="64800"/>
  </r>
  <r>
    <s v="INV0986"/>
    <x v="130"/>
    <x v="2"/>
    <x v="39"/>
    <n v="1750"/>
    <n v="7"/>
    <n v="12250"/>
    <x v="0"/>
    <n v="2100"/>
    <n v="14700"/>
  </r>
  <r>
    <s v="INV0987"/>
    <x v="130"/>
    <x v="3"/>
    <x v="29"/>
    <n v="6900"/>
    <n v="3"/>
    <n v="20700"/>
    <x v="2"/>
    <n v="8280"/>
    <n v="24840"/>
  </r>
  <r>
    <s v="INV0988"/>
    <x v="130"/>
    <x v="3"/>
    <x v="4"/>
    <n v="1200"/>
    <n v="2"/>
    <n v="2400"/>
    <x v="2"/>
    <n v="1440"/>
    <n v="2880"/>
  </r>
  <r>
    <s v="INV0989"/>
    <x v="130"/>
    <x v="1"/>
    <x v="5"/>
    <n v="3000"/>
    <n v="7"/>
    <n v="21000"/>
    <x v="2"/>
    <n v="3600"/>
    <n v="25200"/>
  </r>
  <r>
    <s v="INV0990"/>
    <x v="130"/>
    <x v="2"/>
    <x v="30"/>
    <n v="2880"/>
    <n v="7"/>
    <n v="20160"/>
    <x v="1"/>
    <n v="3456"/>
    <n v="24192"/>
  </r>
  <r>
    <s v="INV0991"/>
    <x v="130"/>
    <x v="3"/>
    <x v="4"/>
    <n v="1200"/>
    <n v="1"/>
    <n v="1200"/>
    <x v="1"/>
    <n v="1440"/>
    <n v="1440"/>
  </r>
  <r>
    <s v="INV3871"/>
    <x v="130"/>
    <x v="3"/>
    <x v="21"/>
    <n v="1700"/>
    <n v="1"/>
    <n v="1700"/>
    <x v="1"/>
    <n v="2040"/>
    <n v="2040"/>
  </r>
  <r>
    <s v="INV0992"/>
    <x v="131"/>
    <x v="0"/>
    <x v="9"/>
    <n v="500"/>
    <n v="3"/>
    <n v="1500"/>
    <x v="2"/>
    <n v="600"/>
    <n v="1800"/>
  </r>
  <r>
    <s v="INV0993"/>
    <x v="131"/>
    <x v="2"/>
    <x v="6"/>
    <n v="2880"/>
    <n v="9"/>
    <n v="25920"/>
    <x v="2"/>
    <n v="3456"/>
    <n v="31104"/>
  </r>
  <r>
    <s v="INV0994"/>
    <x v="131"/>
    <x v="3"/>
    <x v="3"/>
    <n v="800"/>
    <n v="10"/>
    <n v="8000"/>
    <x v="0"/>
    <n v="960"/>
    <n v="9600"/>
  </r>
  <r>
    <s v="INV0995"/>
    <x v="131"/>
    <x v="0"/>
    <x v="19"/>
    <n v="48000"/>
    <n v="2"/>
    <n v="96000"/>
    <x v="2"/>
    <n v="57600"/>
    <n v="115200"/>
  </r>
  <r>
    <s v="INV0996"/>
    <x v="131"/>
    <x v="3"/>
    <x v="3"/>
    <n v="800"/>
    <n v="7"/>
    <n v="5600"/>
    <x v="2"/>
    <n v="960"/>
    <n v="6720"/>
  </r>
  <r>
    <s v="INV0997"/>
    <x v="131"/>
    <x v="0"/>
    <x v="22"/>
    <n v="6000"/>
    <n v="10"/>
    <n v="60000"/>
    <x v="1"/>
    <n v="7200"/>
    <n v="72000"/>
  </r>
  <r>
    <s v="INV0998"/>
    <x v="131"/>
    <x v="3"/>
    <x v="29"/>
    <n v="6900"/>
    <n v="1"/>
    <n v="6900"/>
    <x v="1"/>
    <n v="8280"/>
    <n v="8280"/>
  </r>
  <r>
    <s v="INV0999"/>
    <x v="131"/>
    <x v="0"/>
    <x v="19"/>
    <n v="48000"/>
    <n v="5"/>
    <n v="240000"/>
    <x v="1"/>
    <n v="57600"/>
    <n v="288000"/>
  </r>
  <r>
    <s v="INV1000"/>
    <x v="131"/>
    <x v="0"/>
    <x v="9"/>
    <n v="500"/>
    <n v="4"/>
    <n v="2000"/>
    <x v="0"/>
    <n v="600"/>
    <n v="2400"/>
  </r>
  <r>
    <s v="INV3106"/>
    <x v="131"/>
    <x v="4"/>
    <x v="10"/>
    <n v="9100"/>
    <n v="2"/>
    <n v="18200"/>
    <x v="0"/>
    <n v="10920"/>
    <n v="21840"/>
  </r>
  <r>
    <s v="INV3144"/>
    <x v="131"/>
    <x v="0"/>
    <x v="9"/>
    <n v="500"/>
    <n v="8"/>
    <n v="4000"/>
    <x v="0"/>
    <n v="600"/>
    <n v="4800"/>
  </r>
  <r>
    <s v="INV3435"/>
    <x v="131"/>
    <x v="0"/>
    <x v="8"/>
    <n v="3300"/>
    <n v="7"/>
    <n v="23100"/>
    <x v="1"/>
    <n v="3960"/>
    <n v="27720"/>
  </r>
  <r>
    <s v="INV3939"/>
    <x v="131"/>
    <x v="0"/>
    <x v="19"/>
    <n v="48000"/>
    <n v="1"/>
    <n v="48000"/>
    <x v="2"/>
    <n v="57600"/>
    <n v="57600"/>
  </r>
  <r>
    <s v="INV1001"/>
    <x v="132"/>
    <x v="2"/>
    <x v="39"/>
    <n v="1750"/>
    <n v="6"/>
    <n v="10500"/>
    <x v="1"/>
    <n v="2100"/>
    <n v="12600"/>
  </r>
  <r>
    <s v="INV1002"/>
    <x v="132"/>
    <x v="1"/>
    <x v="7"/>
    <n v="5200"/>
    <n v="9"/>
    <n v="46800"/>
    <x v="2"/>
    <n v="6240"/>
    <n v="56160"/>
  </r>
  <r>
    <s v="INV1003"/>
    <x v="132"/>
    <x v="3"/>
    <x v="3"/>
    <n v="800"/>
    <n v="8"/>
    <n v="6400"/>
    <x v="1"/>
    <n v="960"/>
    <n v="7680"/>
  </r>
  <r>
    <s v="INV1004"/>
    <x v="132"/>
    <x v="2"/>
    <x v="6"/>
    <n v="2880"/>
    <n v="6"/>
    <n v="17280"/>
    <x v="0"/>
    <n v="3456"/>
    <n v="20736"/>
  </r>
  <r>
    <s v="INV1005"/>
    <x v="132"/>
    <x v="2"/>
    <x v="2"/>
    <n v="2880"/>
    <n v="3"/>
    <n v="8640"/>
    <x v="2"/>
    <n v="3456"/>
    <n v="10368"/>
  </r>
  <r>
    <s v="INV1006"/>
    <x v="132"/>
    <x v="3"/>
    <x v="21"/>
    <n v="1700"/>
    <n v="8"/>
    <n v="13600"/>
    <x v="0"/>
    <n v="2040"/>
    <n v="16320"/>
  </r>
  <r>
    <s v="INV1007"/>
    <x v="132"/>
    <x v="1"/>
    <x v="1"/>
    <n v="400"/>
    <n v="8"/>
    <n v="3200"/>
    <x v="1"/>
    <n v="480"/>
    <n v="3840"/>
  </r>
  <r>
    <s v="INV1008"/>
    <x v="132"/>
    <x v="3"/>
    <x v="21"/>
    <n v="1700"/>
    <n v="4"/>
    <n v="6800"/>
    <x v="0"/>
    <n v="2040"/>
    <n v="8160"/>
  </r>
  <r>
    <s v="INV1009"/>
    <x v="132"/>
    <x v="0"/>
    <x v="22"/>
    <n v="6000"/>
    <n v="5"/>
    <n v="30000"/>
    <x v="2"/>
    <n v="7200"/>
    <n v="36000"/>
  </r>
  <r>
    <s v="INV2839"/>
    <x v="132"/>
    <x v="3"/>
    <x v="3"/>
    <n v="800"/>
    <n v="1"/>
    <n v="800"/>
    <x v="2"/>
    <n v="960"/>
    <n v="960"/>
  </r>
  <r>
    <s v="INV3627"/>
    <x v="132"/>
    <x v="0"/>
    <x v="23"/>
    <n v="600"/>
    <n v="8"/>
    <n v="4800"/>
    <x v="0"/>
    <n v="720"/>
    <n v="5760"/>
  </r>
  <r>
    <s v="INV1010"/>
    <x v="133"/>
    <x v="3"/>
    <x v="3"/>
    <n v="800"/>
    <n v="7"/>
    <n v="5600"/>
    <x v="0"/>
    <n v="960"/>
    <n v="6720"/>
  </r>
  <r>
    <s v="INV1011"/>
    <x v="133"/>
    <x v="3"/>
    <x v="29"/>
    <n v="6900"/>
    <n v="2"/>
    <n v="13800"/>
    <x v="2"/>
    <n v="8280"/>
    <n v="16560"/>
  </r>
  <r>
    <s v="INV1012"/>
    <x v="133"/>
    <x v="1"/>
    <x v="1"/>
    <n v="400"/>
    <n v="3"/>
    <n v="1200"/>
    <x v="0"/>
    <n v="480"/>
    <n v="1440"/>
  </r>
  <r>
    <s v="INV1013"/>
    <x v="133"/>
    <x v="2"/>
    <x v="6"/>
    <n v="2880"/>
    <n v="6"/>
    <n v="17280"/>
    <x v="1"/>
    <n v="3456"/>
    <n v="20736"/>
  </r>
  <r>
    <s v="INV1014"/>
    <x v="133"/>
    <x v="1"/>
    <x v="5"/>
    <n v="3000"/>
    <n v="4"/>
    <n v="12000"/>
    <x v="1"/>
    <n v="3600"/>
    <n v="14400"/>
  </r>
  <r>
    <s v="INV1015"/>
    <x v="133"/>
    <x v="3"/>
    <x v="29"/>
    <n v="6900"/>
    <n v="5"/>
    <n v="34500"/>
    <x v="0"/>
    <n v="8280"/>
    <n v="41400"/>
  </r>
  <r>
    <s v="INV1016"/>
    <x v="133"/>
    <x v="1"/>
    <x v="1"/>
    <n v="400"/>
    <n v="5"/>
    <n v="2000"/>
    <x v="0"/>
    <n v="480"/>
    <n v="2400"/>
  </r>
  <r>
    <s v="INV3005"/>
    <x v="133"/>
    <x v="0"/>
    <x v="9"/>
    <n v="500"/>
    <n v="7"/>
    <n v="3500"/>
    <x v="0"/>
    <n v="600"/>
    <n v="4200"/>
  </r>
  <r>
    <s v="INV3646"/>
    <x v="133"/>
    <x v="3"/>
    <x v="3"/>
    <n v="800"/>
    <n v="10"/>
    <n v="8000"/>
    <x v="1"/>
    <n v="960"/>
    <n v="9600"/>
  </r>
  <r>
    <s v="INV3919"/>
    <x v="133"/>
    <x v="4"/>
    <x v="10"/>
    <n v="9100"/>
    <n v="4"/>
    <n v="36400"/>
    <x v="1"/>
    <n v="10920"/>
    <n v="43680"/>
  </r>
  <r>
    <s v="INV1017"/>
    <x v="134"/>
    <x v="2"/>
    <x v="39"/>
    <n v="1750"/>
    <n v="2"/>
    <n v="3500"/>
    <x v="2"/>
    <n v="2100"/>
    <n v="4200"/>
  </r>
  <r>
    <s v="INV1018"/>
    <x v="134"/>
    <x v="0"/>
    <x v="0"/>
    <n v="60000"/>
    <n v="8"/>
    <n v="480000"/>
    <x v="2"/>
    <n v="72000"/>
    <n v="576000"/>
  </r>
  <r>
    <s v="INV1019"/>
    <x v="134"/>
    <x v="2"/>
    <x v="30"/>
    <n v="2880"/>
    <n v="2"/>
    <n v="5760"/>
    <x v="1"/>
    <n v="3456"/>
    <n v="6912"/>
  </r>
  <r>
    <s v="INV1020"/>
    <x v="134"/>
    <x v="2"/>
    <x v="6"/>
    <n v="2880"/>
    <n v="4"/>
    <n v="11520"/>
    <x v="1"/>
    <n v="3456"/>
    <n v="13824"/>
  </r>
  <r>
    <s v="INV1021"/>
    <x v="134"/>
    <x v="1"/>
    <x v="1"/>
    <n v="400"/>
    <n v="3"/>
    <n v="1200"/>
    <x v="2"/>
    <n v="480"/>
    <n v="1440"/>
  </r>
  <r>
    <s v="INV1022"/>
    <x v="134"/>
    <x v="2"/>
    <x v="30"/>
    <n v="2880"/>
    <n v="2"/>
    <n v="5760"/>
    <x v="1"/>
    <n v="3456"/>
    <n v="6912"/>
  </r>
  <r>
    <s v="INV2965"/>
    <x v="134"/>
    <x v="0"/>
    <x v="24"/>
    <n v="1900"/>
    <n v="3"/>
    <n v="5700"/>
    <x v="0"/>
    <n v="2280"/>
    <n v="6840"/>
  </r>
  <r>
    <s v="INV3833"/>
    <x v="134"/>
    <x v="3"/>
    <x v="3"/>
    <n v="800"/>
    <n v="1"/>
    <n v="800"/>
    <x v="2"/>
    <n v="960"/>
    <n v="960"/>
  </r>
  <r>
    <s v="INV1023"/>
    <x v="135"/>
    <x v="2"/>
    <x v="6"/>
    <n v="2880"/>
    <n v="7"/>
    <n v="20160"/>
    <x v="1"/>
    <n v="3456"/>
    <n v="24192"/>
  </r>
  <r>
    <s v="INV1024"/>
    <x v="135"/>
    <x v="2"/>
    <x v="39"/>
    <n v="1750"/>
    <n v="9"/>
    <n v="15750"/>
    <x v="0"/>
    <n v="2100"/>
    <n v="18900"/>
  </r>
  <r>
    <s v="INV1025"/>
    <x v="135"/>
    <x v="0"/>
    <x v="22"/>
    <n v="6000"/>
    <n v="10"/>
    <n v="60000"/>
    <x v="1"/>
    <n v="7200"/>
    <n v="72000"/>
  </r>
  <r>
    <s v="INV1026"/>
    <x v="135"/>
    <x v="3"/>
    <x v="3"/>
    <n v="800"/>
    <n v="7"/>
    <n v="5600"/>
    <x v="1"/>
    <n v="960"/>
    <n v="6720"/>
  </r>
  <r>
    <s v="INV1027"/>
    <x v="135"/>
    <x v="1"/>
    <x v="7"/>
    <n v="5200"/>
    <n v="9"/>
    <n v="46800"/>
    <x v="2"/>
    <n v="6240"/>
    <n v="56160"/>
  </r>
  <r>
    <s v="INV1028"/>
    <x v="135"/>
    <x v="2"/>
    <x v="2"/>
    <n v="2880"/>
    <n v="1"/>
    <n v="2880"/>
    <x v="0"/>
    <n v="3456"/>
    <n v="3456"/>
  </r>
  <r>
    <s v="INV1029"/>
    <x v="135"/>
    <x v="1"/>
    <x v="7"/>
    <n v="5200"/>
    <n v="8"/>
    <n v="41600"/>
    <x v="2"/>
    <n v="6240"/>
    <n v="49920"/>
  </r>
  <r>
    <s v="INV3314"/>
    <x v="135"/>
    <x v="3"/>
    <x v="21"/>
    <n v="1700"/>
    <n v="4"/>
    <n v="6800"/>
    <x v="2"/>
    <n v="2040"/>
    <n v="8160"/>
  </r>
  <r>
    <s v="INV3650"/>
    <x v="135"/>
    <x v="4"/>
    <x v="45"/>
    <n v="120"/>
    <n v="8"/>
    <n v="960"/>
    <x v="1"/>
    <n v="144"/>
    <n v="1152"/>
  </r>
  <r>
    <s v="INV3942"/>
    <x v="135"/>
    <x v="3"/>
    <x v="3"/>
    <n v="800"/>
    <n v="8"/>
    <n v="6400"/>
    <x v="2"/>
    <n v="960"/>
    <n v="7680"/>
  </r>
  <r>
    <s v="INV1030"/>
    <x v="136"/>
    <x v="2"/>
    <x v="2"/>
    <n v="2880"/>
    <n v="7"/>
    <n v="20160"/>
    <x v="1"/>
    <n v="3456"/>
    <n v="24192"/>
  </r>
  <r>
    <s v="INV1031"/>
    <x v="136"/>
    <x v="0"/>
    <x v="22"/>
    <n v="6000"/>
    <n v="10"/>
    <n v="60000"/>
    <x v="0"/>
    <n v="7200"/>
    <n v="72000"/>
  </r>
  <r>
    <s v="INV1032"/>
    <x v="136"/>
    <x v="0"/>
    <x v="0"/>
    <n v="60000"/>
    <n v="1"/>
    <n v="60000"/>
    <x v="0"/>
    <n v="72000"/>
    <n v="72000"/>
  </r>
  <r>
    <s v="INV1033"/>
    <x v="136"/>
    <x v="1"/>
    <x v="7"/>
    <n v="5200"/>
    <n v="4"/>
    <n v="20800"/>
    <x v="1"/>
    <n v="6240"/>
    <n v="24960"/>
  </r>
  <r>
    <s v="INV1034"/>
    <x v="136"/>
    <x v="2"/>
    <x v="6"/>
    <n v="2880"/>
    <n v="10"/>
    <n v="28800"/>
    <x v="1"/>
    <n v="3456"/>
    <n v="34560"/>
  </r>
  <r>
    <s v="INV1035"/>
    <x v="136"/>
    <x v="3"/>
    <x v="4"/>
    <n v="1200"/>
    <n v="2"/>
    <n v="2400"/>
    <x v="2"/>
    <n v="1440"/>
    <n v="2880"/>
  </r>
  <r>
    <s v="INV1036"/>
    <x v="136"/>
    <x v="2"/>
    <x v="6"/>
    <n v="2880"/>
    <n v="6"/>
    <n v="17280"/>
    <x v="0"/>
    <n v="3456"/>
    <n v="20736"/>
  </r>
  <r>
    <s v="INV1037"/>
    <x v="136"/>
    <x v="2"/>
    <x v="30"/>
    <n v="2880"/>
    <n v="2"/>
    <n v="5760"/>
    <x v="1"/>
    <n v="3456"/>
    <n v="6912"/>
  </r>
  <r>
    <s v="INV1038"/>
    <x v="136"/>
    <x v="1"/>
    <x v="7"/>
    <n v="5200"/>
    <n v="4"/>
    <n v="20800"/>
    <x v="2"/>
    <n v="6240"/>
    <n v="24960"/>
  </r>
  <r>
    <s v="INV3213"/>
    <x v="136"/>
    <x v="0"/>
    <x v="9"/>
    <n v="500"/>
    <n v="1"/>
    <n v="500"/>
    <x v="1"/>
    <n v="600"/>
    <n v="600"/>
  </r>
  <r>
    <s v="INV3240"/>
    <x v="136"/>
    <x v="3"/>
    <x v="21"/>
    <n v="1700"/>
    <n v="3"/>
    <n v="5100"/>
    <x v="0"/>
    <n v="2040"/>
    <n v="6120"/>
  </r>
  <r>
    <s v="INV3290"/>
    <x v="136"/>
    <x v="0"/>
    <x v="23"/>
    <n v="600"/>
    <n v="3"/>
    <n v="1800"/>
    <x v="1"/>
    <n v="720"/>
    <n v="2160"/>
  </r>
  <r>
    <s v="INV3295"/>
    <x v="136"/>
    <x v="0"/>
    <x v="9"/>
    <n v="500"/>
    <n v="8"/>
    <n v="4000"/>
    <x v="2"/>
    <n v="600"/>
    <n v="4800"/>
  </r>
  <r>
    <s v="INV3873"/>
    <x v="136"/>
    <x v="0"/>
    <x v="19"/>
    <n v="48000"/>
    <n v="1"/>
    <n v="48000"/>
    <x v="2"/>
    <n v="57600"/>
    <n v="57600"/>
  </r>
  <r>
    <s v="INV1039"/>
    <x v="137"/>
    <x v="2"/>
    <x v="39"/>
    <n v="1750"/>
    <n v="6"/>
    <n v="10500"/>
    <x v="1"/>
    <n v="2100"/>
    <n v="12600"/>
  </r>
  <r>
    <s v="INV1040"/>
    <x v="137"/>
    <x v="2"/>
    <x v="30"/>
    <n v="2880"/>
    <n v="9"/>
    <n v="25920"/>
    <x v="1"/>
    <n v="3456"/>
    <n v="31104"/>
  </r>
  <r>
    <s v="INV1041"/>
    <x v="137"/>
    <x v="3"/>
    <x v="21"/>
    <n v="1700"/>
    <n v="9"/>
    <n v="15300"/>
    <x v="2"/>
    <n v="2040"/>
    <n v="18360"/>
  </r>
  <r>
    <s v="INV1042"/>
    <x v="137"/>
    <x v="3"/>
    <x v="3"/>
    <n v="800"/>
    <n v="10"/>
    <n v="8000"/>
    <x v="2"/>
    <n v="960"/>
    <n v="9600"/>
  </r>
  <r>
    <s v="INV1043"/>
    <x v="137"/>
    <x v="3"/>
    <x v="29"/>
    <n v="6900"/>
    <n v="5"/>
    <n v="34500"/>
    <x v="2"/>
    <n v="8280"/>
    <n v="41400"/>
  </r>
  <r>
    <s v="INV1044"/>
    <x v="137"/>
    <x v="2"/>
    <x v="2"/>
    <n v="2880"/>
    <n v="8"/>
    <n v="23040"/>
    <x v="2"/>
    <n v="3456"/>
    <n v="27648"/>
  </r>
  <r>
    <s v="INV1045"/>
    <x v="137"/>
    <x v="0"/>
    <x v="0"/>
    <n v="60000"/>
    <n v="8"/>
    <n v="480000"/>
    <x v="1"/>
    <n v="72000"/>
    <n v="576000"/>
  </r>
  <r>
    <s v="INV3418"/>
    <x v="137"/>
    <x v="0"/>
    <x v="31"/>
    <n v="3600"/>
    <n v="4"/>
    <n v="14400"/>
    <x v="1"/>
    <n v="4320"/>
    <n v="17280"/>
  </r>
  <r>
    <s v="INV3735"/>
    <x v="137"/>
    <x v="0"/>
    <x v="23"/>
    <n v="600"/>
    <n v="3"/>
    <n v="1800"/>
    <x v="2"/>
    <n v="720"/>
    <n v="2160"/>
  </r>
  <r>
    <s v="INV3756"/>
    <x v="137"/>
    <x v="0"/>
    <x v="23"/>
    <n v="600"/>
    <n v="3"/>
    <n v="1800"/>
    <x v="2"/>
    <n v="720"/>
    <n v="2160"/>
  </r>
  <r>
    <s v="INV1046"/>
    <x v="138"/>
    <x v="2"/>
    <x v="2"/>
    <n v="2880"/>
    <n v="5"/>
    <n v="14400"/>
    <x v="0"/>
    <n v="3456"/>
    <n v="17280"/>
  </r>
  <r>
    <s v="INV1047"/>
    <x v="138"/>
    <x v="3"/>
    <x v="3"/>
    <n v="800"/>
    <n v="5"/>
    <n v="4000"/>
    <x v="1"/>
    <n v="960"/>
    <n v="4800"/>
  </r>
  <r>
    <s v="INV1048"/>
    <x v="138"/>
    <x v="3"/>
    <x v="3"/>
    <n v="800"/>
    <n v="10"/>
    <n v="8000"/>
    <x v="2"/>
    <n v="960"/>
    <n v="9600"/>
  </r>
  <r>
    <s v="INV1049"/>
    <x v="138"/>
    <x v="0"/>
    <x v="0"/>
    <n v="60000"/>
    <n v="4"/>
    <n v="240000"/>
    <x v="2"/>
    <n v="72000"/>
    <n v="288000"/>
  </r>
  <r>
    <s v="INV1050"/>
    <x v="138"/>
    <x v="0"/>
    <x v="19"/>
    <n v="48000"/>
    <n v="8"/>
    <n v="384000"/>
    <x v="0"/>
    <n v="57600"/>
    <n v="460800"/>
  </r>
  <r>
    <s v="INV1051"/>
    <x v="138"/>
    <x v="0"/>
    <x v="9"/>
    <n v="500"/>
    <n v="1"/>
    <n v="500"/>
    <x v="1"/>
    <n v="600"/>
    <n v="600"/>
  </r>
  <r>
    <s v="INV1052"/>
    <x v="138"/>
    <x v="1"/>
    <x v="7"/>
    <n v="5200"/>
    <n v="4"/>
    <n v="20800"/>
    <x v="0"/>
    <n v="6240"/>
    <n v="24960"/>
  </r>
  <r>
    <s v="INV1053"/>
    <x v="138"/>
    <x v="2"/>
    <x v="39"/>
    <n v="1750"/>
    <n v="2"/>
    <n v="3500"/>
    <x v="1"/>
    <n v="2100"/>
    <n v="4200"/>
  </r>
  <r>
    <s v="INV3255"/>
    <x v="138"/>
    <x v="0"/>
    <x v="9"/>
    <n v="500"/>
    <n v="10"/>
    <n v="5000"/>
    <x v="2"/>
    <n v="600"/>
    <n v="6000"/>
  </r>
  <r>
    <s v="INV3429"/>
    <x v="138"/>
    <x v="3"/>
    <x v="21"/>
    <n v="1700"/>
    <n v="2"/>
    <n v="3400"/>
    <x v="0"/>
    <n v="2040"/>
    <n v="4080"/>
  </r>
  <r>
    <s v="INV1054"/>
    <x v="139"/>
    <x v="2"/>
    <x v="2"/>
    <n v="2880"/>
    <n v="2"/>
    <n v="5760"/>
    <x v="0"/>
    <n v="3456"/>
    <n v="6912"/>
  </r>
  <r>
    <s v="INV1055"/>
    <x v="139"/>
    <x v="0"/>
    <x v="9"/>
    <n v="500"/>
    <n v="7"/>
    <n v="3500"/>
    <x v="0"/>
    <n v="600"/>
    <n v="4200"/>
  </r>
  <r>
    <s v="INV1056"/>
    <x v="139"/>
    <x v="2"/>
    <x v="30"/>
    <n v="2880"/>
    <n v="6"/>
    <n v="17280"/>
    <x v="2"/>
    <n v="3456"/>
    <n v="20736"/>
  </r>
  <r>
    <s v="INV1057"/>
    <x v="139"/>
    <x v="3"/>
    <x v="3"/>
    <n v="800"/>
    <n v="6"/>
    <n v="4800"/>
    <x v="1"/>
    <n v="960"/>
    <n v="5760"/>
  </r>
  <r>
    <s v="INV1058"/>
    <x v="139"/>
    <x v="3"/>
    <x v="21"/>
    <n v="1700"/>
    <n v="8"/>
    <n v="13600"/>
    <x v="0"/>
    <n v="2040"/>
    <n v="16320"/>
  </r>
  <r>
    <s v="INV1059"/>
    <x v="139"/>
    <x v="3"/>
    <x v="21"/>
    <n v="1700"/>
    <n v="1"/>
    <n v="1700"/>
    <x v="2"/>
    <n v="2040"/>
    <n v="2040"/>
  </r>
  <r>
    <s v="INV2770"/>
    <x v="139"/>
    <x v="3"/>
    <x v="21"/>
    <n v="1700"/>
    <n v="10"/>
    <n v="17000"/>
    <x v="0"/>
    <n v="2040"/>
    <n v="20400"/>
  </r>
  <r>
    <s v="INV2867"/>
    <x v="139"/>
    <x v="4"/>
    <x v="45"/>
    <n v="120"/>
    <n v="3"/>
    <n v="360"/>
    <x v="2"/>
    <n v="144"/>
    <n v="432"/>
  </r>
  <r>
    <s v="INV3564"/>
    <x v="139"/>
    <x v="0"/>
    <x v="19"/>
    <n v="48000"/>
    <n v="8"/>
    <n v="384000"/>
    <x v="0"/>
    <n v="57600"/>
    <n v="460800"/>
  </r>
  <r>
    <s v="INV1060"/>
    <x v="140"/>
    <x v="1"/>
    <x v="1"/>
    <n v="400"/>
    <n v="8"/>
    <n v="3200"/>
    <x v="0"/>
    <n v="480"/>
    <n v="3840"/>
  </r>
  <r>
    <s v="INV1061"/>
    <x v="140"/>
    <x v="1"/>
    <x v="7"/>
    <n v="5200"/>
    <n v="8"/>
    <n v="41600"/>
    <x v="2"/>
    <n v="6240"/>
    <n v="49920"/>
  </r>
  <r>
    <s v="INV1062"/>
    <x v="140"/>
    <x v="0"/>
    <x v="9"/>
    <n v="500"/>
    <n v="1"/>
    <n v="500"/>
    <x v="0"/>
    <n v="600"/>
    <n v="600"/>
  </r>
  <r>
    <s v="INV1063"/>
    <x v="140"/>
    <x v="2"/>
    <x v="39"/>
    <n v="1750"/>
    <n v="7"/>
    <n v="12250"/>
    <x v="1"/>
    <n v="2100"/>
    <n v="14700"/>
  </r>
  <r>
    <s v="INV1064"/>
    <x v="140"/>
    <x v="3"/>
    <x v="4"/>
    <n v="1200"/>
    <n v="8"/>
    <n v="9600"/>
    <x v="2"/>
    <n v="1440"/>
    <n v="11520"/>
  </r>
  <r>
    <s v="INV1065"/>
    <x v="140"/>
    <x v="3"/>
    <x v="4"/>
    <n v="1200"/>
    <n v="9"/>
    <n v="10800"/>
    <x v="2"/>
    <n v="1440"/>
    <n v="12960"/>
  </r>
  <r>
    <s v="INV1066"/>
    <x v="140"/>
    <x v="3"/>
    <x v="3"/>
    <n v="800"/>
    <n v="10"/>
    <n v="8000"/>
    <x v="0"/>
    <n v="960"/>
    <n v="9600"/>
  </r>
  <r>
    <s v="INV1067"/>
    <x v="140"/>
    <x v="1"/>
    <x v="5"/>
    <n v="3000"/>
    <n v="9"/>
    <n v="27000"/>
    <x v="1"/>
    <n v="3600"/>
    <n v="32400"/>
  </r>
  <r>
    <s v="INV1068"/>
    <x v="140"/>
    <x v="2"/>
    <x v="30"/>
    <n v="2880"/>
    <n v="9"/>
    <n v="25920"/>
    <x v="1"/>
    <n v="3456"/>
    <n v="31104"/>
  </r>
  <r>
    <s v="INV1069"/>
    <x v="140"/>
    <x v="2"/>
    <x v="30"/>
    <n v="2880"/>
    <n v="8"/>
    <n v="23040"/>
    <x v="1"/>
    <n v="3456"/>
    <n v="27648"/>
  </r>
  <r>
    <s v="INV3331"/>
    <x v="140"/>
    <x v="0"/>
    <x v="8"/>
    <n v="3300"/>
    <n v="1"/>
    <n v="3300"/>
    <x v="0"/>
    <n v="3960"/>
    <n v="3960"/>
  </r>
  <r>
    <s v="INV3857"/>
    <x v="140"/>
    <x v="4"/>
    <x v="45"/>
    <n v="120"/>
    <n v="8"/>
    <n v="960"/>
    <x v="1"/>
    <n v="144"/>
    <n v="1152"/>
  </r>
  <r>
    <s v="INV3937"/>
    <x v="140"/>
    <x v="0"/>
    <x v="24"/>
    <n v="1900"/>
    <n v="3"/>
    <n v="5700"/>
    <x v="0"/>
    <n v="2280"/>
    <n v="6840"/>
  </r>
  <r>
    <s v="INV1070"/>
    <x v="141"/>
    <x v="1"/>
    <x v="7"/>
    <n v="5200"/>
    <n v="1"/>
    <n v="5200"/>
    <x v="2"/>
    <n v="6240"/>
    <n v="6240"/>
  </r>
  <r>
    <s v="INV1071"/>
    <x v="141"/>
    <x v="3"/>
    <x v="21"/>
    <n v="1700"/>
    <n v="2"/>
    <n v="3400"/>
    <x v="0"/>
    <n v="2040"/>
    <n v="4080"/>
  </r>
  <r>
    <s v="INV1072"/>
    <x v="141"/>
    <x v="0"/>
    <x v="9"/>
    <n v="500"/>
    <n v="10"/>
    <n v="5000"/>
    <x v="1"/>
    <n v="600"/>
    <n v="6000"/>
  </r>
  <r>
    <s v="INV1073"/>
    <x v="141"/>
    <x v="3"/>
    <x v="4"/>
    <n v="1200"/>
    <n v="3"/>
    <n v="3600"/>
    <x v="1"/>
    <n v="1440"/>
    <n v="4320"/>
  </r>
  <r>
    <s v="INV1074"/>
    <x v="141"/>
    <x v="2"/>
    <x v="2"/>
    <n v="2880"/>
    <n v="7"/>
    <n v="20160"/>
    <x v="0"/>
    <n v="3456"/>
    <n v="24192"/>
  </r>
  <r>
    <s v="INV1075"/>
    <x v="141"/>
    <x v="2"/>
    <x v="39"/>
    <n v="1750"/>
    <n v="4"/>
    <n v="7000"/>
    <x v="2"/>
    <n v="2100"/>
    <n v="8400"/>
  </r>
  <r>
    <s v="INV2927"/>
    <x v="141"/>
    <x v="3"/>
    <x v="21"/>
    <n v="1700"/>
    <n v="10"/>
    <n v="17000"/>
    <x v="2"/>
    <n v="2040"/>
    <n v="20400"/>
  </r>
  <r>
    <s v="INV3048"/>
    <x v="141"/>
    <x v="4"/>
    <x v="45"/>
    <n v="120"/>
    <n v="3"/>
    <n v="360"/>
    <x v="0"/>
    <n v="144"/>
    <n v="432"/>
  </r>
  <r>
    <s v="INV3074"/>
    <x v="141"/>
    <x v="0"/>
    <x v="8"/>
    <n v="3300"/>
    <n v="3"/>
    <n v="9900"/>
    <x v="1"/>
    <n v="3960"/>
    <n v="11880"/>
  </r>
  <r>
    <s v="INV3100"/>
    <x v="141"/>
    <x v="0"/>
    <x v="9"/>
    <n v="500"/>
    <n v="2"/>
    <n v="1000"/>
    <x v="2"/>
    <n v="600"/>
    <n v="1200"/>
  </r>
  <r>
    <s v="INV3652"/>
    <x v="141"/>
    <x v="0"/>
    <x v="8"/>
    <n v="3300"/>
    <n v="2"/>
    <n v="6600"/>
    <x v="1"/>
    <n v="3960"/>
    <n v="7920"/>
  </r>
  <r>
    <s v="INV1076"/>
    <x v="142"/>
    <x v="3"/>
    <x v="29"/>
    <n v="6900"/>
    <n v="10"/>
    <n v="69000"/>
    <x v="0"/>
    <n v="8280"/>
    <n v="82800"/>
  </r>
  <r>
    <s v="INV1077"/>
    <x v="142"/>
    <x v="2"/>
    <x v="39"/>
    <n v="1750"/>
    <n v="6"/>
    <n v="10500"/>
    <x v="2"/>
    <n v="2100"/>
    <n v="12600"/>
  </r>
  <r>
    <s v="INV1078"/>
    <x v="142"/>
    <x v="0"/>
    <x v="19"/>
    <n v="48000"/>
    <n v="4"/>
    <n v="192000"/>
    <x v="2"/>
    <n v="57600"/>
    <n v="230400"/>
  </r>
  <r>
    <s v="INV1079"/>
    <x v="142"/>
    <x v="3"/>
    <x v="21"/>
    <n v="1700"/>
    <n v="10"/>
    <n v="17000"/>
    <x v="0"/>
    <n v="2040"/>
    <n v="20400"/>
  </r>
  <r>
    <s v="INV1080"/>
    <x v="142"/>
    <x v="3"/>
    <x v="3"/>
    <n v="800"/>
    <n v="5"/>
    <n v="4000"/>
    <x v="0"/>
    <n v="960"/>
    <n v="4800"/>
  </r>
  <r>
    <s v="INV3824"/>
    <x v="142"/>
    <x v="4"/>
    <x v="45"/>
    <n v="120"/>
    <n v="9"/>
    <n v="1080"/>
    <x v="2"/>
    <n v="144"/>
    <n v="1296"/>
  </r>
  <r>
    <s v="INV3929"/>
    <x v="142"/>
    <x v="0"/>
    <x v="8"/>
    <n v="3300"/>
    <n v="10"/>
    <n v="33000"/>
    <x v="0"/>
    <n v="3960"/>
    <n v="39600"/>
  </r>
  <r>
    <s v="INV1081"/>
    <x v="143"/>
    <x v="0"/>
    <x v="19"/>
    <n v="48000"/>
    <n v="5"/>
    <n v="240000"/>
    <x v="1"/>
    <n v="57600"/>
    <n v="288000"/>
  </r>
  <r>
    <s v="INV1082"/>
    <x v="143"/>
    <x v="3"/>
    <x v="21"/>
    <n v="1700"/>
    <n v="8"/>
    <n v="13600"/>
    <x v="0"/>
    <n v="2040"/>
    <n v="16320"/>
  </r>
  <r>
    <s v="INV1083"/>
    <x v="143"/>
    <x v="3"/>
    <x v="4"/>
    <n v="1200"/>
    <n v="9"/>
    <n v="10800"/>
    <x v="1"/>
    <n v="1440"/>
    <n v="12960"/>
  </r>
  <r>
    <s v="INV1084"/>
    <x v="143"/>
    <x v="3"/>
    <x v="21"/>
    <n v="1700"/>
    <n v="5"/>
    <n v="8500"/>
    <x v="2"/>
    <n v="2040"/>
    <n v="10200"/>
  </r>
  <r>
    <s v="INV1085"/>
    <x v="143"/>
    <x v="0"/>
    <x v="19"/>
    <n v="48000"/>
    <n v="5"/>
    <n v="240000"/>
    <x v="2"/>
    <n v="57600"/>
    <n v="288000"/>
  </r>
  <r>
    <s v="INV1086"/>
    <x v="143"/>
    <x v="0"/>
    <x v="19"/>
    <n v="48000"/>
    <n v="6"/>
    <n v="288000"/>
    <x v="2"/>
    <n v="57600"/>
    <n v="345600"/>
  </r>
  <r>
    <s v="INV1087"/>
    <x v="143"/>
    <x v="3"/>
    <x v="29"/>
    <n v="6900"/>
    <n v="7"/>
    <n v="48300"/>
    <x v="1"/>
    <n v="8280"/>
    <n v="57960"/>
  </r>
  <r>
    <s v="INV1088"/>
    <x v="143"/>
    <x v="0"/>
    <x v="19"/>
    <n v="48000"/>
    <n v="2"/>
    <n v="96000"/>
    <x v="0"/>
    <n v="57600"/>
    <n v="115200"/>
  </r>
  <r>
    <s v="INV1089"/>
    <x v="143"/>
    <x v="2"/>
    <x v="6"/>
    <n v="2880"/>
    <n v="6"/>
    <n v="17280"/>
    <x v="0"/>
    <n v="3456"/>
    <n v="20736"/>
  </r>
  <r>
    <s v="INV1090"/>
    <x v="143"/>
    <x v="3"/>
    <x v="21"/>
    <n v="1700"/>
    <n v="4"/>
    <n v="6800"/>
    <x v="1"/>
    <n v="2040"/>
    <n v="8160"/>
  </r>
  <r>
    <s v="INV3079"/>
    <x v="143"/>
    <x v="0"/>
    <x v="31"/>
    <n v="3600"/>
    <n v="2"/>
    <n v="7200"/>
    <x v="2"/>
    <n v="4320"/>
    <n v="8640"/>
  </r>
  <r>
    <s v="INV3508"/>
    <x v="143"/>
    <x v="0"/>
    <x v="9"/>
    <n v="500"/>
    <n v="5"/>
    <n v="2500"/>
    <x v="2"/>
    <n v="600"/>
    <n v="3000"/>
  </r>
  <r>
    <s v="INV1091"/>
    <x v="144"/>
    <x v="0"/>
    <x v="19"/>
    <n v="48000"/>
    <n v="6"/>
    <n v="288000"/>
    <x v="0"/>
    <n v="57600"/>
    <n v="345600"/>
  </r>
  <r>
    <s v="INV1092"/>
    <x v="144"/>
    <x v="2"/>
    <x v="6"/>
    <n v="2880"/>
    <n v="10"/>
    <n v="28800"/>
    <x v="0"/>
    <n v="3456"/>
    <n v="34560"/>
  </r>
  <r>
    <s v="INV1093"/>
    <x v="144"/>
    <x v="1"/>
    <x v="1"/>
    <n v="400"/>
    <n v="7"/>
    <n v="2800"/>
    <x v="0"/>
    <n v="480"/>
    <n v="3360"/>
  </r>
  <r>
    <s v="INV1094"/>
    <x v="144"/>
    <x v="0"/>
    <x v="19"/>
    <n v="48000"/>
    <n v="3"/>
    <n v="144000"/>
    <x v="1"/>
    <n v="57600"/>
    <n v="172800"/>
  </r>
  <r>
    <s v="INV1095"/>
    <x v="144"/>
    <x v="1"/>
    <x v="5"/>
    <n v="3000"/>
    <n v="2"/>
    <n v="6000"/>
    <x v="2"/>
    <n v="3600"/>
    <n v="7200"/>
  </r>
  <r>
    <s v="INV1096"/>
    <x v="144"/>
    <x v="3"/>
    <x v="29"/>
    <n v="6900"/>
    <n v="7"/>
    <n v="48300"/>
    <x v="0"/>
    <n v="8280"/>
    <n v="57960"/>
  </r>
  <r>
    <s v="INV1097"/>
    <x v="144"/>
    <x v="0"/>
    <x v="0"/>
    <n v="60000"/>
    <n v="1"/>
    <n v="60000"/>
    <x v="0"/>
    <n v="72000"/>
    <n v="72000"/>
  </r>
  <r>
    <s v="INV1098"/>
    <x v="144"/>
    <x v="0"/>
    <x v="9"/>
    <n v="500"/>
    <n v="8"/>
    <n v="4000"/>
    <x v="0"/>
    <n v="600"/>
    <n v="4800"/>
  </r>
  <r>
    <s v="INV3409"/>
    <x v="144"/>
    <x v="0"/>
    <x v="23"/>
    <n v="600"/>
    <n v="7"/>
    <n v="4200"/>
    <x v="2"/>
    <n v="720"/>
    <n v="5040"/>
  </r>
  <r>
    <s v="INV3772"/>
    <x v="144"/>
    <x v="0"/>
    <x v="9"/>
    <n v="500"/>
    <n v="10"/>
    <n v="5000"/>
    <x v="1"/>
    <n v="600"/>
    <n v="6000"/>
  </r>
  <r>
    <s v="INV1099"/>
    <x v="145"/>
    <x v="1"/>
    <x v="1"/>
    <n v="400"/>
    <n v="7"/>
    <n v="2800"/>
    <x v="1"/>
    <n v="480"/>
    <n v="3360"/>
  </r>
  <r>
    <s v="INV1100"/>
    <x v="145"/>
    <x v="1"/>
    <x v="5"/>
    <n v="3000"/>
    <n v="7"/>
    <n v="21000"/>
    <x v="0"/>
    <n v="3600"/>
    <n v="25200"/>
  </r>
  <r>
    <s v="INV1101"/>
    <x v="145"/>
    <x v="3"/>
    <x v="29"/>
    <n v="6900"/>
    <n v="8"/>
    <n v="55200"/>
    <x v="2"/>
    <n v="8280"/>
    <n v="66240"/>
  </r>
  <r>
    <s v="INV1102"/>
    <x v="145"/>
    <x v="2"/>
    <x v="2"/>
    <n v="2880"/>
    <n v="5"/>
    <n v="14400"/>
    <x v="0"/>
    <n v="3456"/>
    <n v="17280"/>
  </r>
  <r>
    <s v="INV1103"/>
    <x v="145"/>
    <x v="2"/>
    <x v="39"/>
    <n v="1750"/>
    <n v="10"/>
    <n v="17500"/>
    <x v="1"/>
    <n v="2100"/>
    <n v="21000"/>
  </r>
  <r>
    <s v="INV1104"/>
    <x v="145"/>
    <x v="0"/>
    <x v="9"/>
    <n v="500"/>
    <n v="1"/>
    <n v="500"/>
    <x v="2"/>
    <n v="600"/>
    <n v="600"/>
  </r>
  <r>
    <s v="INV1105"/>
    <x v="145"/>
    <x v="2"/>
    <x v="30"/>
    <n v="2880"/>
    <n v="4"/>
    <n v="11520"/>
    <x v="0"/>
    <n v="3456"/>
    <n v="13824"/>
  </r>
  <r>
    <s v="INV1106"/>
    <x v="145"/>
    <x v="1"/>
    <x v="1"/>
    <n v="400"/>
    <n v="9"/>
    <n v="3600"/>
    <x v="1"/>
    <n v="480"/>
    <n v="4320"/>
  </r>
  <r>
    <s v="INV1107"/>
    <x v="145"/>
    <x v="1"/>
    <x v="5"/>
    <n v="3000"/>
    <n v="4"/>
    <n v="12000"/>
    <x v="2"/>
    <n v="3600"/>
    <n v="14400"/>
  </r>
  <r>
    <s v="INV1108"/>
    <x v="145"/>
    <x v="1"/>
    <x v="1"/>
    <n v="400"/>
    <n v="7"/>
    <n v="2800"/>
    <x v="0"/>
    <n v="480"/>
    <n v="3360"/>
  </r>
  <r>
    <s v="INV2796"/>
    <x v="145"/>
    <x v="0"/>
    <x v="8"/>
    <n v="3300"/>
    <n v="8"/>
    <n v="26400"/>
    <x v="1"/>
    <n v="3960"/>
    <n v="31680"/>
  </r>
  <r>
    <s v="INV2943"/>
    <x v="145"/>
    <x v="3"/>
    <x v="21"/>
    <n v="1700"/>
    <n v="1"/>
    <n v="1700"/>
    <x v="2"/>
    <n v="2040"/>
    <n v="2040"/>
  </r>
  <r>
    <s v="INV3019"/>
    <x v="145"/>
    <x v="0"/>
    <x v="31"/>
    <n v="3600"/>
    <n v="4"/>
    <n v="14400"/>
    <x v="1"/>
    <n v="4320"/>
    <n v="17280"/>
  </r>
  <r>
    <s v="INV1109"/>
    <x v="146"/>
    <x v="0"/>
    <x v="19"/>
    <n v="48000"/>
    <n v="7"/>
    <n v="336000"/>
    <x v="0"/>
    <n v="57600"/>
    <n v="403200"/>
  </r>
  <r>
    <s v="INV1110"/>
    <x v="146"/>
    <x v="3"/>
    <x v="4"/>
    <n v="1200"/>
    <n v="8"/>
    <n v="9600"/>
    <x v="1"/>
    <n v="1440"/>
    <n v="11520"/>
  </r>
  <r>
    <s v="INV1111"/>
    <x v="146"/>
    <x v="3"/>
    <x v="4"/>
    <n v="1200"/>
    <n v="10"/>
    <n v="12000"/>
    <x v="0"/>
    <n v="1440"/>
    <n v="14400"/>
  </r>
  <r>
    <s v="INV1112"/>
    <x v="146"/>
    <x v="1"/>
    <x v="5"/>
    <n v="3000"/>
    <n v="3"/>
    <n v="9000"/>
    <x v="1"/>
    <n v="3600"/>
    <n v="10800"/>
  </r>
  <r>
    <s v="INV1113"/>
    <x v="146"/>
    <x v="1"/>
    <x v="5"/>
    <n v="3000"/>
    <n v="8"/>
    <n v="24000"/>
    <x v="2"/>
    <n v="3600"/>
    <n v="28800"/>
  </r>
  <r>
    <s v="INV1114"/>
    <x v="146"/>
    <x v="2"/>
    <x v="6"/>
    <n v="2880"/>
    <n v="2"/>
    <n v="5760"/>
    <x v="2"/>
    <n v="3456"/>
    <n v="6912"/>
  </r>
  <r>
    <s v="INV1115"/>
    <x v="146"/>
    <x v="2"/>
    <x v="39"/>
    <n v="1750"/>
    <n v="9"/>
    <n v="15750"/>
    <x v="0"/>
    <n v="2100"/>
    <n v="18900"/>
  </r>
  <r>
    <s v="INV1116"/>
    <x v="146"/>
    <x v="1"/>
    <x v="7"/>
    <n v="5200"/>
    <n v="5"/>
    <n v="26000"/>
    <x v="2"/>
    <n v="6240"/>
    <n v="31200"/>
  </r>
  <r>
    <s v="INV1117"/>
    <x v="146"/>
    <x v="3"/>
    <x v="21"/>
    <n v="1700"/>
    <n v="8"/>
    <n v="13600"/>
    <x v="1"/>
    <n v="2040"/>
    <n v="16320"/>
  </r>
  <r>
    <s v="INV1118"/>
    <x v="146"/>
    <x v="0"/>
    <x v="19"/>
    <n v="48000"/>
    <n v="9"/>
    <n v="432000"/>
    <x v="2"/>
    <n v="57600"/>
    <n v="518400"/>
  </r>
  <r>
    <s v="INV2982"/>
    <x v="146"/>
    <x v="4"/>
    <x v="10"/>
    <n v="9100"/>
    <n v="1"/>
    <n v="9100"/>
    <x v="0"/>
    <n v="10920"/>
    <n v="10920"/>
  </r>
  <r>
    <s v="INV3587"/>
    <x v="146"/>
    <x v="0"/>
    <x v="9"/>
    <n v="500"/>
    <n v="1"/>
    <n v="500"/>
    <x v="1"/>
    <n v="600"/>
    <n v="600"/>
  </r>
  <r>
    <s v="INV3751"/>
    <x v="146"/>
    <x v="0"/>
    <x v="9"/>
    <n v="500"/>
    <n v="2"/>
    <n v="1000"/>
    <x v="0"/>
    <n v="600"/>
    <n v="1200"/>
  </r>
  <r>
    <s v="INV3914"/>
    <x v="146"/>
    <x v="0"/>
    <x v="8"/>
    <n v="3300"/>
    <n v="7"/>
    <n v="23100"/>
    <x v="1"/>
    <n v="3960"/>
    <n v="27720"/>
  </r>
  <r>
    <s v="INV1119"/>
    <x v="147"/>
    <x v="3"/>
    <x v="21"/>
    <n v="1700"/>
    <n v="6"/>
    <n v="10200"/>
    <x v="0"/>
    <n v="2040"/>
    <n v="12240"/>
  </r>
  <r>
    <s v="INV1120"/>
    <x v="147"/>
    <x v="1"/>
    <x v="5"/>
    <n v="3000"/>
    <n v="6"/>
    <n v="18000"/>
    <x v="0"/>
    <n v="3600"/>
    <n v="21600"/>
  </r>
  <r>
    <s v="INV1121"/>
    <x v="147"/>
    <x v="2"/>
    <x v="39"/>
    <n v="1750"/>
    <n v="7"/>
    <n v="12250"/>
    <x v="2"/>
    <n v="2100"/>
    <n v="14700"/>
  </r>
  <r>
    <s v="INV1122"/>
    <x v="147"/>
    <x v="3"/>
    <x v="21"/>
    <n v="1700"/>
    <n v="5"/>
    <n v="8500"/>
    <x v="2"/>
    <n v="2040"/>
    <n v="10200"/>
  </r>
  <r>
    <s v="INV1123"/>
    <x v="147"/>
    <x v="1"/>
    <x v="5"/>
    <n v="3000"/>
    <n v="4"/>
    <n v="12000"/>
    <x v="0"/>
    <n v="3600"/>
    <n v="14400"/>
  </r>
  <r>
    <s v="INV1124"/>
    <x v="147"/>
    <x v="3"/>
    <x v="21"/>
    <n v="1700"/>
    <n v="3"/>
    <n v="5100"/>
    <x v="1"/>
    <n v="2040"/>
    <n v="6120"/>
  </r>
  <r>
    <s v="INV1125"/>
    <x v="147"/>
    <x v="2"/>
    <x v="6"/>
    <n v="2880"/>
    <n v="6"/>
    <n v="17280"/>
    <x v="1"/>
    <n v="3456"/>
    <n v="20736"/>
  </r>
  <r>
    <s v="INV1126"/>
    <x v="147"/>
    <x v="3"/>
    <x v="4"/>
    <n v="1200"/>
    <n v="4"/>
    <n v="4800"/>
    <x v="2"/>
    <n v="1440"/>
    <n v="5760"/>
  </r>
  <r>
    <s v="INV1127"/>
    <x v="147"/>
    <x v="2"/>
    <x v="6"/>
    <n v="2880"/>
    <n v="2"/>
    <n v="5760"/>
    <x v="1"/>
    <n v="3456"/>
    <n v="6912"/>
  </r>
  <r>
    <s v="INV1128"/>
    <x v="147"/>
    <x v="1"/>
    <x v="1"/>
    <n v="400"/>
    <n v="9"/>
    <n v="3600"/>
    <x v="1"/>
    <n v="480"/>
    <n v="4320"/>
  </r>
  <r>
    <s v="INV3178"/>
    <x v="147"/>
    <x v="0"/>
    <x v="24"/>
    <n v="1900"/>
    <n v="4"/>
    <n v="7600"/>
    <x v="2"/>
    <n v="2280"/>
    <n v="9120"/>
  </r>
  <r>
    <s v="INV3437"/>
    <x v="147"/>
    <x v="0"/>
    <x v="8"/>
    <n v="3300"/>
    <n v="2"/>
    <n v="6600"/>
    <x v="2"/>
    <n v="3960"/>
    <n v="7920"/>
  </r>
  <r>
    <s v="INV1129"/>
    <x v="148"/>
    <x v="0"/>
    <x v="22"/>
    <n v="6000"/>
    <n v="10"/>
    <n v="60000"/>
    <x v="1"/>
    <n v="7200"/>
    <n v="72000"/>
  </r>
  <r>
    <s v="INV1130"/>
    <x v="148"/>
    <x v="2"/>
    <x v="6"/>
    <n v="2880"/>
    <n v="1"/>
    <n v="2880"/>
    <x v="2"/>
    <n v="3456"/>
    <n v="3456"/>
  </r>
  <r>
    <s v="INV1131"/>
    <x v="148"/>
    <x v="1"/>
    <x v="1"/>
    <n v="400"/>
    <n v="3"/>
    <n v="1200"/>
    <x v="0"/>
    <n v="480"/>
    <n v="1440"/>
  </r>
  <r>
    <s v="INV1132"/>
    <x v="148"/>
    <x v="1"/>
    <x v="5"/>
    <n v="3000"/>
    <n v="6"/>
    <n v="18000"/>
    <x v="0"/>
    <n v="3600"/>
    <n v="21600"/>
  </r>
  <r>
    <s v="INV1133"/>
    <x v="148"/>
    <x v="0"/>
    <x v="19"/>
    <n v="48000"/>
    <n v="6"/>
    <n v="288000"/>
    <x v="0"/>
    <n v="57600"/>
    <n v="345600"/>
  </r>
  <r>
    <s v="INV1134"/>
    <x v="148"/>
    <x v="2"/>
    <x v="39"/>
    <n v="1750"/>
    <n v="1"/>
    <n v="1750"/>
    <x v="0"/>
    <n v="2100"/>
    <n v="2100"/>
  </r>
  <r>
    <s v="INV2833"/>
    <x v="148"/>
    <x v="0"/>
    <x v="31"/>
    <n v="3600"/>
    <n v="6"/>
    <n v="21600"/>
    <x v="1"/>
    <n v="4320"/>
    <n v="25920"/>
  </r>
  <r>
    <s v="INV1135"/>
    <x v="149"/>
    <x v="1"/>
    <x v="7"/>
    <n v="5200"/>
    <n v="4"/>
    <n v="20800"/>
    <x v="0"/>
    <n v="6240"/>
    <n v="24960"/>
  </r>
  <r>
    <s v="INV1136"/>
    <x v="149"/>
    <x v="1"/>
    <x v="5"/>
    <n v="3000"/>
    <n v="10"/>
    <n v="30000"/>
    <x v="0"/>
    <n v="3600"/>
    <n v="36000"/>
  </r>
  <r>
    <s v="INV1137"/>
    <x v="149"/>
    <x v="2"/>
    <x v="30"/>
    <n v="2880"/>
    <n v="10"/>
    <n v="28800"/>
    <x v="2"/>
    <n v="3456"/>
    <n v="34560"/>
  </r>
  <r>
    <s v="INV1138"/>
    <x v="149"/>
    <x v="1"/>
    <x v="1"/>
    <n v="400"/>
    <n v="4"/>
    <n v="1600"/>
    <x v="2"/>
    <n v="480"/>
    <n v="1920"/>
  </r>
  <r>
    <s v="INV1139"/>
    <x v="149"/>
    <x v="1"/>
    <x v="5"/>
    <n v="3000"/>
    <n v="2"/>
    <n v="6000"/>
    <x v="2"/>
    <n v="3600"/>
    <n v="7200"/>
  </r>
  <r>
    <s v="INV1140"/>
    <x v="149"/>
    <x v="0"/>
    <x v="9"/>
    <n v="500"/>
    <n v="8"/>
    <n v="4000"/>
    <x v="1"/>
    <n v="600"/>
    <n v="4800"/>
  </r>
  <r>
    <s v="INV1141"/>
    <x v="149"/>
    <x v="3"/>
    <x v="21"/>
    <n v="1700"/>
    <n v="7"/>
    <n v="11900"/>
    <x v="0"/>
    <n v="2040"/>
    <n v="14280"/>
  </r>
  <r>
    <s v="INV3066"/>
    <x v="149"/>
    <x v="3"/>
    <x v="3"/>
    <n v="800"/>
    <n v="6"/>
    <n v="4800"/>
    <x v="2"/>
    <n v="960"/>
    <n v="5760"/>
  </r>
  <r>
    <s v="INV3360"/>
    <x v="149"/>
    <x v="3"/>
    <x v="21"/>
    <n v="1700"/>
    <n v="4"/>
    <n v="6800"/>
    <x v="0"/>
    <n v="2040"/>
    <n v="8160"/>
  </r>
  <r>
    <s v="INV3860"/>
    <x v="149"/>
    <x v="0"/>
    <x v="9"/>
    <n v="500"/>
    <n v="6"/>
    <n v="3000"/>
    <x v="2"/>
    <n v="600"/>
    <n v="3600"/>
  </r>
  <r>
    <s v="INV1142"/>
    <x v="150"/>
    <x v="1"/>
    <x v="5"/>
    <n v="3000"/>
    <n v="4"/>
    <n v="12000"/>
    <x v="2"/>
    <n v="3600"/>
    <n v="14400"/>
  </r>
  <r>
    <s v="INV1143"/>
    <x v="150"/>
    <x v="3"/>
    <x v="29"/>
    <n v="6900"/>
    <n v="7"/>
    <n v="48300"/>
    <x v="1"/>
    <n v="8280"/>
    <n v="57960"/>
  </r>
  <r>
    <s v="INV1144"/>
    <x v="150"/>
    <x v="0"/>
    <x v="19"/>
    <n v="48000"/>
    <n v="10"/>
    <n v="480000"/>
    <x v="0"/>
    <n v="57600"/>
    <n v="576000"/>
  </r>
  <r>
    <s v="INV1145"/>
    <x v="150"/>
    <x v="3"/>
    <x v="21"/>
    <n v="1700"/>
    <n v="3"/>
    <n v="5100"/>
    <x v="0"/>
    <n v="2040"/>
    <n v="6120"/>
  </r>
  <r>
    <s v="INV1146"/>
    <x v="150"/>
    <x v="2"/>
    <x v="6"/>
    <n v="2880"/>
    <n v="7"/>
    <n v="20160"/>
    <x v="1"/>
    <n v="3456"/>
    <n v="24192"/>
  </r>
  <r>
    <s v="INV1147"/>
    <x v="150"/>
    <x v="1"/>
    <x v="1"/>
    <n v="400"/>
    <n v="10"/>
    <n v="4000"/>
    <x v="0"/>
    <n v="480"/>
    <n v="4800"/>
  </r>
  <r>
    <s v="INV1148"/>
    <x v="150"/>
    <x v="1"/>
    <x v="5"/>
    <n v="3000"/>
    <n v="6"/>
    <n v="18000"/>
    <x v="1"/>
    <n v="3600"/>
    <n v="21600"/>
  </r>
  <r>
    <s v="INV1149"/>
    <x v="151"/>
    <x v="2"/>
    <x v="2"/>
    <n v="2880"/>
    <n v="5"/>
    <n v="14400"/>
    <x v="0"/>
    <n v="3456"/>
    <n v="17280"/>
  </r>
  <r>
    <s v="INV1150"/>
    <x v="151"/>
    <x v="3"/>
    <x v="4"/>
    <n v="1200"/>
    <n v="5"/>
    <n v="6000"/>
    <x v="1"/>
    <n v="1440"/>
    <n v="7200"/>
  </r>
  <r>
    <s v="INV1151"/>
    <x v="151"/>
    <x v="2"/>
    <x v="30"/>
    <n v="2880"/>
    <n v="1"/>
    <n v="2880"/>
    <x v="1"/>
    <n v="3456"/>
    <n v="3456"/>
  </r>
  <r>
    <s v="INV1152"/>
    <x v="151"/>
    <x v="3"/>
    <x v="21"/>
    <n v="1700"/>
    <n v="5"/>
    <n v="8500"/>
    <x v="0"/>
    <n v="2040"/>
    <n v="10200"/>
  </r>
  <r>
    <s v="INV1153"/>
    <x v="151"/>
    <x v="2"/>
    <x v="30"/>
    <n v="2880"/>
    <n v="1"/>
    <n v="2880"/>
    <x v="1"/>
    <n v="3456"/>
    <n v="3456"/>
  </r>
  <r>
    <s v="INV1154"/>
    <x v="151"/>
    <x v="2"/>
    <x v="2"/>
    <n v="2880"/>
    <n v="1"/>
    <n v="2880"/>
    <x v="1"/>
    <n v="3456"/>
    <n v="3456"/>
  </r>
  <r>
    <s v="INV1155"/>
    <x v="151"/>
    <x v="0"/>
    <x v="9"/>
    <n v="500"/>
    <n v="2"/>
    <n v="1000"/>
    <x v="1"/>
    <n v="600"/>
    <n v="1200"/>
  </r>
  <r>
    <s v="INV2891"/>
    <x v="151"/>
    <x v="0"/>
    <x v="19"/>
    <n v="48000"/>
    <n v="7"/>
    <n v="336000"/>
    <x v="2"/>
    <n v="57600"/>
    <n v="403200"/>
  </r>
  <r>
    <s v="INV3513"/>
    <x v="151"/>
    <x v="0"/>
    <x v="9"/>
    <n v="500"/>
    <n v="10"/>
    <n v="5000"/>
    <x v="1"/>
    <n v="600"/>
    <n v="6000"/>
  </r>
  <r>
    <s v="INV1156"/>
    <x v="152"/>
    <x v="2"/>
    <x v="2"/>
    <n v="2880"/>
    <n v="8"/>
    <n v="23040"/>
    <x v="0"/>
    <n v="3456"/>
    <n v="27648"/>
  </r>
  <r>
    <s v="INV1157"/>
    <x v="152"/>
    <x v="1"/>
    <x v="5"/>
    <n v="3000"/>
    <n v="7"/>
    <n v="21000"/>
    <x v="1"/>
    <n v="3600"/>
    <n v="25200"/>
  </r>
  <r>
    <s v="INV1158"/>
    <x v="152"/>
    <x v="0"/>
    <x v="9"/>
    <n v="500"/>
    <n v="5"/>
    <n v="2500"/>
    <x v="2"/>
    <n v="600"/>
    <n v="3000"/>
  </r>
  <r>
    <s v="INV1159"/>
    <x v="152"/>
    <x v="1"/>
    <x v="1"/>
    <n v="400"/>
    <n v="2"/>
    <n v="800"/>
    <x v="0"/>
    <n v="480"/>
    <n v="960"/>
  </r>
  <r>
    <s v="INV1160"/>
    <x v="152"/>
    <x v="1"/>
    <x v="1"/>
    <n v="400"/>
    <n v="1"/>
    <n v="400"/>
    <x v="0"/>
    <n v="480"/>
    <n v="480"/>
  </r>
  <r>
    <s v="INV2847"/>
    <x v="152"/>
    <x v="0"/>
    <x v="23"/>
    <n v="600"/>
    <n v="3"/>
    <n v="1800"/>
    <x v="2"/>
    <n v="720"/>
    <n v="2160"/>
  </r>
  <r>
    <s v="INV1161"/>
    <x v="153"/>
    <x v="0"/>
    <x v="19"/>
    <n v="48000"/>
    <n v="3"/>
    <n v="144000"/>
    <x v="0"/>
    <n v="57600"/>
    <n v="172800"/>
  </r>
  <r>
    <s v="INV1162"/>
    <x v="153"/>
    <x v="2"/>
    <x v="30"/>
    <n v="2880"/>
    <n v="2"/>
    <n v="5760"/>
    <x v="1"/>
    <n v="3456"/>
    <n v="6912"/>
  </r>
  <r>
    <s v="INV1163"/>
    <x v="153"/>
    <x v="1"/>
    <x v="1"/>
    <n v="400"/>
    <n v="3"/>
    <n v="1200"/>
    <x v="1"/>
    <n v="480"/>
    <n v="1440"/>
  </r>
  <r>
    <s v="INV1164"/>
    <x v="153"/>
    <x v="1"/>
    <x v="1"/>
    <n v="400"/>
    <n v="3"/>
    <n v="1200"/>
    <x v="0"/>
    <n v="480"/>
    <n v="1440"/>
  </r>
  <r>
    <s v="INV1165"/>
    <x v="153"/>
    <x v="2"/>
    <x v="2"/>
    <n v="2880"/>
    <n v="7"/>
    <n v="20160"/>
    <x v="2"/>
    <n v="3456"/>
    <n v="24192"/>
  </r>
  <r>
    <s v="INV1166"/>
    <x v="153"/>
    <x v="3"/>
    <x v="29"/>
    <n v="6900"/>
    <n v="7"/>
    <n v="48300"/>
    <x v="2"/>
    <n v="8280"/>
    <n v="57960"/>
  </r>
  <r>
    <s v="INV1167"/>
    <x v="153"/>
    <x v="2"/>
    <x v="6"/>
    <n v="2880"/>
    <n v="5"/>
    <n v="14400"/>
    <x v="1"/>
    <n v="3456"/>
    <n v="17280"/>
  </r>
  <r>
    <s v="INV1168"/>
    <x v="153"/>
    <x v="1"/>
    <x v="1"/>
    <n v="400"/>
    <n v="5"/>
    <n v="2000"/>
    <x v="0"/>
    <n v="480"/>
    <n v="2400"/>
  </r>
  <r>
    <s v="INV1169"/>
    <x v="153"/>
    <x v="0"/>
    <x v="9"/>
    <n v="500"/>
    <n v="7"/>
    <n v="3500"/>
    <x v="0"/>
    <n v="600"/>
    <n v="4200"/>
  </r>
  <r>
    <s v="INV3434"/>
    <x v="153"/>
    <x v="0"/>
    <x v="24"/>
    <n v="1900"/>
    <n v="8"/>
    <n v="15200"/>
    <x v="2"/>
    <n v="2280"/>
    <n v="18240"/>
  </r>
  <r>
    <s v="INV3845"/>
    <x v="153"/>
    <x v="3"/>
    <x v="3"/>
    <n v="800"/>
    <n v="8"/>
    <n v="6400"/>
    <x v="0"/>
    <n v="960"/>
    <n v="7680"/>
  </r>
  <r>
    <s v="INV1170"/>
    <x v="154"/>
    <x v="3"/>
    <x v="3"/>
    <n v="800"/>
    <n v="7"/>
    <n v="5600"/>
    <x v="1"/>
    <n v="960"/>
    <n v="6720"/>
  </r>
  <r>
    <s v="INV1171"/>
    <x v="154"/>
    <x v="0"/>
    <x v="9"/>
    <n v="500"/>
    <n v="7"/>
    <n v="3500"/>
    <x v="2"/>
    <n v="600"/>
    <n v="4200"/>
  </r>
  <r>
    <s v="INV1172"/>
    <x v="154"/>
    <x v="0"/>
    <x v="9"/>
    <n v="500"/>
    <n v="9"/>
    <n v="4500"/>
    <x v="1"/>
    <n v="600"/>
    <n v="5400"/>
  </r>
  <r>
    <s v="INV1173"/>
    <x v="154"/>
    <x v="0"/>
    <x v="9"/>
    <n v="500"/>
    <n v="6"/>
    <n v="3000"/>
    <x v="2"/>
    <n v="600"/>
    <n v="3600"/>
  </r>
  <r>
    <s v="INV1174"/>
    <x v="154"/>
    <x v="1"/>
    <x v="1"/>
    <n v="400"/>
    <n v="2"/>
    <n v="800"/>
    <x v="0"/>
    <n v="480"/>
    <n v="960"/>
  </r>
  <r>
    <s v="INV1175"/>
    <x v="154"/>
    <x v="2"/>
    <x v="39"/>
    <n v="1750"/>
    <n v="3"/>
    <n v="5250"/>
    <x v="0"/>
    <n v="2100"/>
    <n v="6300"/>
  </r>
  <r>
    <s v="INV1176"/>
    <x v="154"/>
    <x v="1"/>
    <x v="7"/>
    <n v="5200"/>
    <n v="4"/>
    <n v="20800"/>
    <x v="1"/>
    <n v="6240"/>
    <n v="24960"/>
  </r>
  <r>
    <s v="INV1177"/>
    <x v="154"/>
    <x v="1"/>
    <x v="7"/>
    <n v="5200"/>
    <n v="3"/>
    <n v="15600"/>
    <x v="0"/>
    <n v="6240"/>
    <n v="18720"/>
  </r>
  <r>
    <s v="INV1178"/>
    <x v="154"/>
    <x v="1"/>
    <x v="5"/>
    <n v="3000"/>
    <n v="6"/>
    <n v="18000"/>
    <x v="1"/>
    <n v="3600"/>
    <n v="21600"/>
  </r>
  <r>
    <s v="INV1179"/>
    <x v="154"/>
    <x v="0"/>
    <x v="22"/>
    <n v="6000"/>
    <n v="7"/>
    <n v="42000"/>
    <x v="2"/>
    <n v="7200"/>
    <n v="50400"/>
  </r>
  <r>
    <s v="INV2753"/>
    <x v="154"/>
    <x v="0"/>
    <x v="24"/>
    <n v="1900"/>
    <n v="3"/>
    <n v="5700"/>
    <x v="1"/>
    <n v="2280"/>
    <n v="6840"/>
  </r>
  <r>
    <s v="INV3370"/>
    <x v="154"/>
    <x v="3"/>
    <x v="3"/>
    <n v="800"/>
    <n v="8"/>
    <n v="6400"/>
    <x v="2"/>
    <n v="960"/>
    <n v="7680"/>
  </r>
  <r>
    <s v="INV3557"/>
    <x v="154"/>
    <x v="0"/>
    <x v="24"/>
    <n v="1900"/>
    <n v="4"/>
    <n v="7600"/>
    <x v="0"/>
    <n v="2280"/>
    <n v="9120"/>
  </r>
  <r>
    <s v="INV3663"/>
    <x v="154"/>
    <x v="4"/>
    <x v="45"/>
    <n v="120"/>
    <n v="9"/>
    <n v="1080"/>
    <x v="0"/>
    <n v="144"/>
    <n v="1296"/>
  </r>
  <r>
    <s v="INV1180"/>
    <x v="155"/>
    <x v="3"/>
    <x v="4"/>
    <n v="1200"/>
    <n v="10"/>
    <n v="12000"/>
    <x v="1"/>
    <n v="1440"/>
    <n v="14400"/>
  </r>
  <r>
    <s v="INV1181"/>
    <x v="155"/>
    <x v="1"/>
    <x v="7"/>
    <n v="5200"/>
    <n v="10"/>
    <n v="52000"/>
    <x v="0"/>
    <n v="6240"/>
    <n v="62400"/>
  </r>
  <r>
    <s v="INV1182"/>
    <x v="155"/>
    <x v="3"/>
    <x v="29"/>
    <n v="6900"/>
    <n v="2"/>
    <n v="13800"/>
    <x v="0"/>
    <n v="8280"/>
    <n v="16560"/>
  </r>
  <r>
    <s v="INV1183"/>
    <x v="155"/>
    <x v="3"/>
    <x v="4"/>
    <n v="1200"/>
    <n v="8"/>
    <n v="9600"/>
    <x v="1"/>
    <n v="1440"/>
    <n v="11520"/>
  </r>
  <r>
    <s v="INV1184"/>
    <x v="155"/>
    <x v="0"/>
    <x v="19"/>
    <n v="48000"/>
    <n v="6"/>
    <n v="288000"/>
    <x v="0"/>
    <n v="57600"/>
    <n v="345600"/>
  </r>
  <r>
    <s v="INV1185"/>
    <x v="155"/>
    <x v="3"/>
    <x v="29"/>
    <n v="6900"/>
    <n v="8"/>
    <n v="55200"/>
    <x v="1"/>
    <n v="8280"/>
    <n v="66240"/>
  </r>
  <r>
    <s v="INV1186"/>
    <x v="155"/>
    <x v="3"/>
    <x v="21"/>
    <n v="1700"/>
    <n v="4"/>
    <n v="6800"/>
    <x v="0"/>
    <n v="2040"/>
    <n v="8160"/>
  </r>
  <r>
    <s v="INV2757"/>
    <x v="155"/>
    <x v="3"/>
    <x v="21"/>
    <n v="1700"/>
    <n v="6"/>
    <n v="10200"/>
    <x v="2"/>
    <n v="2040"/>
    <n v="12240"/>
  </r>
  <r>
    <s v="INV3197"/>
    <x v="155"/>
    <x v="0"/>
    <x v="8"/>
    <n v="3300"/>
    <n v="9"/>
    <n v="29700"/>
    <x v="2"/>
    <n v="3960"/>
    <n v="35640"/>
  </r>
  <r>
    <s v="INV3813"/>
    <x v="155"/>
    <x v="3"/>
    <x v="3"/>
    <n v="800"/>
    <n v="5"/>
    <n v="4000"/>
    <x v="0"/>
    <n v="960"/>
    <n v="4800"/>
  </r>
  <r>
    <s v="INV1187"/>
    <x v="156"/>
    <x v="1"/>
    <x v="1"/>
    <n v="400"/>
    <n v="10"/>
    <n v="4000"/>
    <x v="0"/>
    <n v="480"/>
    <n v="4800"/>
  </r>
  <r>
    <s v="INV1188"/>
    <x v="156"/>
    <x v="2"/>
    <x v="39"/>
    <n v="1750"/>
    <n v="9"/>
    <n v="15750"/>
    <x v="0"/>
    <n v="2100"/>
    <n v="18900"/>
  </r>
  <r>
    <s v="INV1189"/>
    <x v="156"/>
    <x v="0"/>
    <x v="19"/>
    <n v="48000"/>
    <n v="3"/>
    <n v="144000"/>
    <x v="2"/>
    <n v="57600"/>
    <n v="172800"/>
  </r>
  <r>
    <s v="INV1190"/>
    <x v="156"/>
    <x v="3"/>
    <x v="21"/>
    <n v="1700"/>
    <n v="7"/>
    <n v="11900"/>
    <x v="0"/>
    <n v="2040"/>
    <n v="14280"/>
  </r>
  <r>
    <s v="INV1191"/>
    <x v="156"/>
    <x v="0"/>
    <x v="9"/>
    <n v="500"/>
    <n v="9"/>
    <n v="4500"/>
    <x v="0"/>
    <n v="600"/>
    <n v="5400"/>
  </r>
  <r>
    <s v="INV1192"/>
    <x v="156"/>
    <x v="2"/>
    <x v="6"/>
    <n v="2880"/>
    <n v="9"/>
    <n v="25920"/>
    <x v="2"/>
    <n v="3456"/>
    <n v="31104"/>
  </r>
  <r>
    <s v="INV1193"/>
    <x v="156"/>
    <x v="0"/>
    <x v="19"/>
    <n v="48000"/>
    <n v="1"/>
    <n v="48000"/>
    <x v="0"/>
    <n v="57600"/>
    <n v="57600"/>
  </r>
  <r>
    <s v="INV1194"/>
    <x v="156"/>
    <x v="2"/>
    <x v="2"/>
    <n v="2880"/>
    <n v="5"/>
    <n v="14400"/>
    <x v="2"/>
    <n v="3456"/>
    <n v="17280"/>
  </r>
  <r>
    <s v="INV1195"/>
    <x v="156"/>
    <x v="2"/>
    <x v="6"/>
    <n v="2880"/>
    <n v="4"/>
    <n v="11520"/>
    <x v="2"/>
    <n v="3456"/>
    <n v="13824"/>
  </r>
  <r>
    <s v="INV2840"/>
    <x v="156"/>
    <x v="0"/>
    <x v="19"/>
    <n v="48000"/>
    <n v="3"/>
    <n v="144000"/>
    <x v="0"/>
    <n v="57600"/>
    <n v="172800"/>
  </r>
  <r>
    <s v="INV3023"/>
    <x v="156"/>
    <x v="0"/>
    <x v="8"/>
    <n v="3300"/>
    <n v="1"/>
    <n v="3300"/>
    <x v="2"/>
    <n v="3960"/>
    <n v="3960"/>
  </r>
  <r>
    <s v="INV3163"/>
    <x v="156"/>
    <x v="4"/>
    <x v="10"/>
    <n v="9100"/>
    <n v="9"/>
    <n v="81900"/>
    <x v="0"/>
    <n v="10920"/>
    <n v="98280"/>
  </r>
  <r>
    <s v="INV3171"/>
    <x v="156"/>
    <x v="0"/>
    <x v="8"/>
    <n v="3300"/>
    <n v="5"/>
    <n v="16500"/>
    <x v="2"/>
    <n v="3960"/>
    <n v="19800"/>
  </r>
  <r>
    <s v="INV3323"/>
    <x v="156"/>
    <x v="4"/>
    <x v="45"/>
    <n v="120"/>
    <n v="1"/>
    <n v="120"/>
    <x v="2"/>
    <n v="144"/>
    <n v="144"/>
  </r>
  <r>
    <s v="INV3456"/>
    <x v="156"/>
    <x v="0"/>
    <x v="23"/>
    <n v="600"/>
    <n v="3"/>
    <n v="1800"/>
    <x v="1"/>
    <n v="720"/>
    <n v="2160"/>
  </r>
  <r>
    <s v="INV3903"/>
    <x v="156"/>
    <x v="3"/>
    <x v="3"/>
    <n v="800"/>
    <n v="3"/>
    <n v="2400"/>
    <x v="0"/>
    <n v="960"/>
    <n v="2880"/>
  </r>
  <r>
    <s v="INV1196"/>
    <x v="157"/>
    <x v="1"/>
    <x v="7"/>
    <n v="5200"/>
    <n v="1"/>
    <n v="5200"/>
    <x v="0"/>
    <n v="6240"/>
    <n v="6240"/>
  </r>
  <r>
    <s v="INV1197"/>
    <x v="157"/>
    <x v="0"/>
    <x v="22"/>
    <n v="6000"/>
    <n v="9"/>
    <n v="54000"/>
    <x v="0"/>
    <n v="7200"/>
    <n v="64800"/>
  </r>
  <r>
    <s v="INV1198"/>
    <x v="157"/>
    <x v="0"/>
    <x v="22"/>
    <n v="6000"/>
    <n v="1"/>
    <n v="6000"/>
    <x v="0"/>
    <n v="7200"/>
    <n v="7200"/>
  </r>
  <r>
    <s v="INV1199"/>
    <x v="157"/>
    <x v="2"/>
    <x v="6"/>
    <n v="2880"/>
    <n v="5"/>
    <n v="14400"/>
    <x v="1"/>
    <n v="3456"/>
    <n v="17280"/>
  </r>
  <r>
    <s v="INV1200"/>
    <x v="157"/>
    <x v="0"/>
    <x v="0"/>
    <n v="60000"/>
    <n v="2"/>
    <n v="120000"/>
    <x v="1"/>
    <n v="72000"/>
    <n v="144000"/>
  </r>
  <r>
    <s v="INV1201"/>
    <x v="157"/>
    <x v="2"/>
    <x v="2"/>
    <n v="2880"/>
    <n v="3"/>
    <n v="8640"/>
    <x v="2"/>
    <n v="3456"/>
    <n v="10368"/>
  </r>
  <r>
    <s v="INV3443"/>
    <x v="157"/>
    <x v="0"/>
    <x v="23"/>
    <n v="600"/>
    <n v="6"/>
    <n v="3600"/>
    <x v="1"/>
    <n v="720"/>
    <n v="4320"/>
  </r>
  <r>
    <s v="INV3866"/>
    <x v="157"/>
    <x v="0"/>
    <x v="31"/>
    <n v="3600"/>
    <n v="7"/>
    <n v="25200"/>
    <x v="0"/>
    <n v="4320"/>
    <n v="30240"/>
  </r>
  <r>
    <s v="INV1202"/>
    <x v="158"/>
    <x v="3"/>
    <x v="4"/>
    <n v="1200"/>
    <n v="2"/>
    <n v="2400"/>
    <x v="0"/>
    <n v="1440"/>
    <n v="2880"/>
  </r>
  <r>
    <s v="INV1203"/>
    <x v="158"/>
    <x v="3"/>
    <x v="29"/>
    <n v="6900"/>
    <n v="9"/>
    <n v="62100"/>
    <x v="1"/>
    <n v="8280"/>
    <n v="74520"/>
  </r>
  <r>
    <s v="INV1204"/>
    <x v="158"/>
    <x v="1"/>
    <x v="1"/>
    <n v="400"/>
    <n v="4"/>
    <n v="1600"/>
    <x v="0"/>
    <n v="480"/>
    <n v="1920"/>
  </r>
  <r>
    <s v="INV1205"/>
    <x v="158"/>
    <x v="0"/>
    <x v="0"/>
    <n v="60000"/>
    <n v="2"/>
    <n v="120000"/>
    <x v="0"/>
    <n v="72000"/>
    <n v="144000"/>
  </r>
  <r>
    <s v="INV1206"/>
    <x v="158"/>
    <x v="0"/>
    <x v="9"/>
    <n v="500"/>
    <n v="6"/>
    <n v="3000"/>
    <x v="0"/>
    <n v="600"/>
    <n v="3600"/>
  </r>
  <r>
    <s v="INV1207"/>
    <x v="158"/>
    <x v="1"/>
    <x v="1"/>
    <n v="400"/>
    <n v="2"/>
    <n v="800"/>
    <x v="2"/>
    <n v="480"/>
    <n v="960"/>
  </r>
  <r>
    <s v="INV2871"/>
    <x v="158"/>
    <x v="0"/>
    <x v="24"/>
    <n v="1900"/>
    <n v="10"/>
    <n v="19000"/>
    <x v="1"/>
    <n v="2280"/>
    <n v="22800"/>
  </r>
  <r>
    <s v="INV2883"/>
    <x v="158"/>
    <x v="3"/>
    <x v="3"/>
    <n v="800"/>
    <n v="10"/>
    <n v="8000"/>
    <x v="2"/>
    <n v="960"/>
    <n v="9600"/>
  </r>
  <r>
    <s v="INV2896"/>
    <x v="158"/>
    <x v="4"/>
    <x v="45"/>
    <n v="120"/>
    <n v="2"/>
    <n v="240"/>
    <x v="1"/>
    <n v="144"/>
    <n v="288"/>
  </r>
  <r>
    <s v="INV3830"/>
    <x v="158"/>
    <x v="0"/>
    <x v="9"/>
    <n v="500"/>
    <n v="4"/>
    <n v="2000"/>
    <x v="1"/>
    <n v="600"/>
    <n v="2400"/>
  </r>
  <r>
    <s v="INV3869"/>
    <x v="158"/>
    <x v="0"/>
    <x v="19"/>
    <n v="48000"/>
    <n v="8"/>
    <n v="384000"/>
    <x v="2"/>
    <n v="57600"/>
    <n v="460800"/>
  </r>
  <r>
    <s v="INV1208"/>
    <x v="159"/>
    <x v="3"/>
    <x v="29"/>
    <n v="6900"/>
    <n v="4"/>
    <n v="27600"/>
    <x v="0"/>
    <n v="8280"/>
    <n v="33120"/>
  </r>
  <r>
    <s v="INV1209"/>
    <x v="159"/>
    <x v="3"/>
    <x v="3"/>
    <n v="800"/>
    <n v="10"/>
    <n v="8000"/>
    <x v="0"/>
    <n v="960"/>
    <n v="9600"/>
  </r>
  <r>
    <s v="INV1210"/>
    <x v="159"/>
    <x v="1"/>
    <x v="5"/>
    <n v="3000"/>
    <n v="6"/>
    <n v="18000"/>
    <x v="2"/>
    <n v="3600"/>
    <n v="21600"/>
  </r>
  <r>
    <s v="INV1211"/>
    <x v="159"/>
    <x v="1"/>
    <x v="5"/>
    <n v="3000"/>
    <n v="8"/>
    <n v="24000"/>
    <x v="1"/>
    <n v="3600"/>
    <n v="28800"/>
  </r>
  <r>
    <s v="INV1212"/>
    <x v="159"/>
    <x v="2"/>
    <x v="2"/>
    <n v="2880"/>
    <n v="1"/>
    <n v="2880"/>
    <x v="2"/>
    <n v="3456"/>
    <n v="3456"/>
  </r>
  <r>
    <s v="INV1213"/>
    <x v="159"/>
    <x v="0"/>
    <x v="22"/>
    <n v="6000"/>
    <n v="2"/>
    <n v="12000"/>
    <x v="1"/>
    <n v="7200"/>
    <n v="14400"/>
  </r>
  <r>
    <s v="INV1214"/>
    <x v="159"/>
    <x v="3"/>
    <x v="4"/>
    <n v="1200"/>
    <n v="2"/>
    <n v="2400"/>
    <x v="0"/>
    <n v="1440"/>
    <n v="2880"/>
  </r>
  <r>
    <s v="INV2979"/>
    <x v="159"/>
    <x v="0"/>
    <x v="8"/>
    <n v="3300"/>
    <n v="5"/>
    <n v="16500"/>
    <x v="2"/>
    <n v="3960"/>
    <n v="19800"/>
  </r>
  <r>
    <s v="INV3253"/>
    <x v="159"/>
    <x v="4"/>
    <x v="45"/>
    <n v="120"/>
    <n v="6"/>
    <n v="720"/>
    <x v="2"/>
    <n v="144"/>
    <n v="864"/>
  </r>
  <r>
    <s v="INV1215"/>
    <x v="160"/>
    <x v="3"/>
    <x v="29"/>
    <n v="6900"/>
    <n v="8"/>
    <n v="55200"/>
    <x v="0"/>
    <n v="8280"/>
    <n v="66240"/>
  </r>
  <r>
    <s v="INV1216"/>
    <x v="160"/>
    <x v="2"/>
    <x v="39"/>
    <n v="1750"/>
    <n v="1"/>
    <n v="1750"/>
    <x v="2"/>
    <n v="2100"/>
    <n v="2100"/>
  </r>
  <r>
    <s v="INV1217"/>
    <x v="160"/>
    <x v="3"/>
    <x v="21"/>
    <n v="1700"/>
    <n v="5"/>
    <n v="8500"/>
    <x v="2"/>
    <n v="2040"/>
    <n v="10200"/>
  </r>
  <r>
    <s v="INV1218"/>
    <x v="160"/>
    <x v="1"/>
    <x v="7"/>
    <n v="5200"/>
    <n v="10"/>
    <n v="52000"/>
    <x v="1"/>
    <n v="6240"/>
    <n v="62400"/>
  </r>
  <r>
    <s v="INV1219"/>
    <x v="160"/>
    <x v="3"/>
    <x v="29"/>
    <n v="6900"/>
    <n v="6"/>
    <n v="41400"/>
    <x v="2"/>
    <n v="8280"/>
    <n v="49680"/>
  </r>
  <r>
    <s v="INV1220"/>
    <x v="160"/>
    <x v="2"/>
    <x v="2"/>
    <n v="2880"/>
    <n v="9"/>
    <n v="25920"/>
    <x v="1"/>
    <n v="3456"/>
    <n v="31104"/>
  </r>
  <r>
    <s v="INV1221"/>
    <x v="160"/>
    <x v="3"/>
    <x v="3"/>
    <n v="800"/>
    <n v="2"/>
    <n v="1600"/>
    <x v="1"/>
    <n v="960"/>
    <n v="1920"/>
  </r>
  <r>
    <s v="INV1222"/>
    <x v="160"/>
    <x v="2"/>
    <x v="6"/>
    <n v="2880"/>
    <n v="7"/>
    <n v="20160"/>
    <x v="0"/>
    <n v="3456"/>
    <n v="24192"/>
  </r>
  <r>
    <s v="INV1223"/>
    <x v="160"/>
    <x v="1"/>
    <x v="1"/>
    <n v="400"/>
    <n v="10"/>
    <n v="4000"/>
    <x v="1"/>
    <n v="480"/>
    <n v="4800"/>
  </r>
  <r>
    <s v="INV3029"/>
    <x v="160"/>
    <x v="0"/>
    <x v="23"/>
    <n v="600"/>
    <n v="9"/>
    <n v="5400"/>
    <x v="0"/>
    <n v="720"/>
    <n v="6480"/>
  </r>
  <r>
    <s v="INV3130"/>
    <x v="160"/>
    <x v="0"/>
    <x v="23"/>
    <n v="600"/>
    <n v="8"/>
    <n v="4800"/>
    <x v="2"/>
    <n v="720"/>
    <n v="5760"/>
  </r>
  <r>
    <s v="INV3194"/>
    <x v="160"/>
    <x v="4"/>
    <x v="10"/>
    <n v="9100"/>
    <n v="6"/>
    <n v="54600"/>
    <x v="0"/>
    <n v="10920"/>
    <n v="65520"/>
  </r>
  <r>
    <s v="INV1224"/>
    <x v="161"/>
    <x v="0"/>
    <x v="19"/>
    <n v="48000"/>
    <n v="1"/>
    <n v="48000"/>
    <x v="0"/>
    <n v="57600"/>
    <n v="57600"/>
  </r>
  <r>
    <s v="INV1225"/>
    <x v="161"/>
    <x v="2"/>
    <x v="30"/>
    <n v="2880"/>
    <n v="10"/>
    <n v="28800"/>
    <x v="2"/>
    <n v="3456"/>
    <n v="34560"/>
  </r>
  <r>
    <s v="INV1226"/>
    <x v="161"/>
    <x v="0"/>
    <x v="0"/>
    <n v="60000"/>
    <n v="5"/>
    <n v="300000"/>
    <x v="1"/>
    <n v="72000"/>
    <n v="360000"/>
  </r>
  <r>
    <s v="INV1227"/>
    <x v="161"/>
    <x v="2"/>
    <x v="30"/>
    <n v="2880"/>
    <n v="1"/>
    <n v="2880"/>
    <x v="1"/>
    <n v="3456"/>
    <n v="3456"/>
  </r>
  <r>
    <s v="INV1228"/>
    <x v="161"/>
    <x v="1"/>
    <x v="5"/>
    <n v="3000"/>
    <n v="6"/>
    <n v="18000"/>
    <x v="0"/>
    <n v="3600"/>
    <n v="21600"/>
  </r>
  <r>
    <s v="INV1229"/>
    <x v="161"/>
    <x v="0"/>
    <x v="9"/>
    <n v="500"/>
    <n v="2"/>
    <n v="1000"/>
    <x v="1"/>
    <n v="600"/>
    <n v="1200"/>
  </r>
  <r>
    <s v="INV1230"/>
    <x v="161"/>
    <x v="0"/>
    <x v="22"/>
    <n v="6000"/>
    <n v="1"/>
    <n v="6000"/>
    <x v="0"/>
    <n v="7200"/>
    <n v="7200"/>
  </r>
  <r>
    <s v="INV1231"/>
    <x v="161"/>
    <x v="1"/>
    <x v="7"/>
    <n v="5200"/>
    <n v="4"/>
    <n v="20800"/>
    <x v="0"/>
    <n v="6240"/>
    <n v="24960"/>
  </r>
  <r>
    <s v="INV2792"/>
    <x v="161"/>
    <x v="4"/>
    <x v="10"/>
    <n v="9100"/>
    <n v="5"/>
    <n v="45500"/>
    <x v="0"/>
    <n v="10920"/>
    <n v="54600"/>
  </r>
  <r>
    <s v="INV3046"/>
    <x v="161"/>
    <x v="0"/>
    <x v="23"/>
    <n v="600"/>
    <n v="4"/>
    <n v="2400"/>
    <x v="2"/>
    <n v="720"/>
    <n v="2880"/>
  </r>
  <r>
    <s v="INV3125"/>
    <x v="161"/>
    <x v="0"/>
    <x v="9"/>
    <n v="500"/>
    <n v="1"/>
    <n v="500"/>
    <x v="0"/>
    <n v="600"/>
    <n v="600"/>
  </r>
  <r>
    <s v="INV1232"/>
    <x v="162"/>
    <x v="0"/>
    <x v="19"/>
    <n v="48000"/>
    <n v="2"/>
    <n v="96000"/>
    <x v="1"/>
    <n v="57600"/>
    <n v="115200"/>
  </r>
  <r>
    <s v="INV1233"/>
    <x v="162"/>
    <x v="2"/>
    <x v="30"/>
    <n v="2880"/>
    <n v="6"/>
    <n v="17280"/>
    <x v="2"/>
    <n v="3456"/>
    <n v="20736"/>
  </r>
  <r>
    <s v="INV1234"/>
    <x v="162"/>
    <x v="0"/>
    <x v="9"/>
    <n v="500"/>
    <n v="7"/>
    <n v="3500"/>
    <x v="2"/>
    <n v="600"/>
    <n v="4200"/>
  </r>
  <r>
    <s v="INV1235"/>
    <x v="162"/>
    <x v="3"/>
    <x v="4"/>
    <n v="1200"/>
    <n v="2"/>
    <n v="2400"/>
    <x v="2"/>
    <n v="1440"/>
    <n v="2880"/>
  </r>
  <r>
    <s v="INV1236"/>
    <x v="162"/>
    <x v="3"/>
    <x v="4"/>
    <n v="1200"/>
    <n v="3"/>
    <n v="3600"/>
    <x v="0"/>
    <n v="1440"/>
    <n v="4320"/>
  </r>
  <r>
    <s v="INV1237"/>
    <x v="162"/>
    <x v="1"/>
    <x v="7"/>
    <n v="5200"/>
    <n v="7"/>
    <n v="36400"/>
    <x v="1"/>
    <n v="6240"/>
    <n v="43680"/>
  </r>
  <r>
    <s v="INV3086"/>
    <x v="162"/>
    <x v="4"/>
    <x v="10"/>
    <n v="9100"/>
    <n v="9"/>
    <n v="81900"/>
    <x v="1"/>
    <n v="10920"/>
    <n v="98280"/>
  </r>
  <r>
    <s v="INV3913"/>
    <x v="162"/>
    <x v="0"/>
    <x v="19"/>
    <n v="48000"/>
    <n v="2"/>
    <n v="96000"/>
    <x v="2"/>
    <n v="57600"/>
    <n v="115200"/>
  </r>
  <r>
    <s v="INV3931"/>
    <x v="162"/>
    <x v="3"/>
    <x v="3"/>
    <n v="800"/>
    <n v="2"/>
    <n v="1600"/>
    <x v="0"/>
    <n v="960"/>
    <n v="1920"/>
  </r>
  <r>
    <s v="INV1238"/>
    <x v="163"/>
    <x v="2"/>
    <x v="30"/>
    <n v="2880"/>
    <n v="6"/>
    <n v="17280"/>
    <x v="2"/>
    <n v="3456"/>
    <n v="20736"/>
  </r>
  <r>
    <s v="INV1239"/>
    <x v="163"/>
    <x v="3"/>
    <x v="21"/>
    <n v="1700"/>
    <n v="10"/>
    <n v="17000"/>
    <x v="2"/>
    <n v="2040"/>
    <n v="20400"/>
  </r>
  <r>
    <s v="INV1240"/>
    <x v="163"/>
    <x v="0"/>
    <x v="0"/>
    <n v="60000"/>
    <n v="4"/>
    <n v="240000"/>
    <x v="0"/>
    <n v="72000"/>
    <n v="288000"/>
  </r>
  <r>
    <s v="INV1241"/>
    <x v="163"/>
    <x v="2"/>
    <x v="6"/>
    <n v="2880"/>
    <n v="8"/>
    <n v="23040"/>
    <x v="1"/>
    <n v="3456"/>
    <n v="27648"/>
  </r>
  <r>
    <s v="INV1242"/>
    <x v="163"/>
    <x v="0"/>
    <x v="22"/>
    <n v="6000"/>
    <n v="6"/>
    <n v="36000"/>
    <x v="1"/>
    <n v="7200"/>
    <n v="43200"/>
  </r>
  <r>
    <s v="INV1243"/>
    <x v="163"/>
    <x v="2"/>
    <x v="30"/>
    <n v="2880"/>
    <n v="4"/>
    <n v="11520"/>
    <x v="0"/>
    <n v="3456"/>
    <n v="13824"/>
  </r>
  <r>
    <s v="INV1244"/>
    <x v="163"/>
    <x v="3"/>
    <x v="29"/>
    <n v="6900"/>
    <n v="1"/>
    <n v="6900"/>
    <x v="2"/>
    <n v="8280"/>
    <n v="8280"/>
  </r>
  <r>
    <s v="INV3067"/>
    <x v="163"/>
    <x v="0"/>
    <x v="24"/>
    <n v="1900"/>
    <n v="9"/>
    <n v="17100"/>
    <x v="0"/>
    <n v="2280"/>
    <n v="20520"/>
  </r>
  <r>
    <s v="INV3105"/>
    <x v="163"/>
    <x v="0"/>
    <x v="19"/>
    <n v="48000"/>
    <n v="10"/>
    <n v="480000"/>
    <x v="2"/>
    <n v="57600"/>
    <n v="576000"/>
  </r>
  <r>
    <s v="INV3269"/>
    <x v="163"/>
    <x v="0"/>
    <x v="31"/>
    <n v="3600"/>
    <n v="4"/>
    <n v="14400"/>
    <x v="0"/>
    <n v="4320"/>
    <n v="17280"/>
  </r>
  <r>
    <s v="INV3367"/>
    <x v="163"/>
    <x v="4"/>
    <x v="45"/>
    <n v="120"/>
    <n v="5"/>
    <n v="600"/>
    <x v="1"/>
    <n v="144"/>
    <n v="720"/>
  </r>
  <r>
    <s v="INV1245"/>
    <x v="164"/>
    <x v="3"/>
    <x v="4"/>
    <n v="1200"/>
    <n v="8"/>
    <n v="9600"/>
    <x v="0"/>
    <n v="1440"/>
    <n v="11520"/>
  </r>
  <r>
    <s v="INV1246"/>
    <x v="164"/>
    <x v="3"/>
    <x v="29"/>
    <n v="6900"/>
    <n v="3"/>
    <n v="20700"/>
    <x v="2"/>
    <n v="8280"/>
    <n v="24840"/>
  </r>
  <r>
    <s v="INV1247"/>
    <x v="164"/>
    <x v="2"/>
    <x v="39"/>
    <n v="1750"/>
    <n v="5"/>
    <n v="8750"/>
    <x v="2"/>
    <n v="2100"/>
    <n v="10500"/>
  </r>
  <r>
    <s v="INV1248"/>
    <x v="164"/>
    <x v="3"/>
    <x v="3"/>
    <n v="800"/>
    <n v="7"/>
    <n v="5600"/>
    <x v="1"/>
    <n v="960"/>
    <n v="6720"/>
  </r>
  <r>
    <s v="INV1249"/>
    <x v="164"/>
    <x v="1"/>
    <x v="1"/>
    <n v="400"/>
    <n v="7"/>
    <n v="2800"/>
    <x v="2"/>
    <n v="480"/>
    <n v="3360"/>
  </r>
  <r>
    <s v="INV1250"/>
    <x v="164"/>
    <x v="1"/>
    <x v="5"/>
    <n v="3000"/>
    <n v="8"/>
    <n v="24000"/>
    <x v="1"/>
    <n v="3600"/>
    <n v="28800"/>
  </r>
  <r>
    <s v="INV1251"/>
    <x v="164"/>
    <x v="2"/>
    <x v="2"/>
    <n v="2880"/>
    <n v="1"/>
    <n v="2880"/>
    <x v="2"/>
    <n v="3456"/>
    <n v="3456"/>
  </r>
  <r>
    <s v="INV3099"/>
    <x v="164"/>
    <x v="0"/>
    <x v="23"/>
    <n v="600"/>
    <n v="2"/>
    <n v="1200"/>
    <x v="1"/>
    <n v="720"/>
    <n v="1440"/>
  </r>
  <r>
    <s v="INV3664"/>
    <x v="164"/>
    <x v="0"/>
    <x v="19"/>
    <n v="48000"/>
    <n v="8"/>
    <n v="384000"/>
    <x v="0"/>
    <n v="57600"/>
    <n v="460800"/>
  </r>
  <r>
    <s v="INV3668"/>
    <x v="164"/>
    <x v="0"/>
    <x v="24"/>
    <n v="1900"/>
    <n v="6"/>
    <n v="11400"/>
    <x v="2"/>
    <n v="2280"/>
    <n v="13680"/>
  </r>
  <r>
    <s v="INV1252"/>
    <x v="165"/>
    <x v="2"/>
    <x v="39"/>
    <n v="1750"/>
    <n v="9"/>
    <n v="15750"/>
    <x v="2"/>
    <n v="2100"/>
    <n v="18900"/>
  </r>
  <r>
    <s v="INV1253"/>
    <x v="165"/>
    <x v="0"/>
    <x v="0"/>
    <n v="60000"/>
    <n v="9"/>
    <n v="540000"/>
    <x v="2"/>
    <n v="72000"/>
    <n v="648000"/>
  </r>
  <r>
    <s v="INV1254"/>
    <x v="165"/>
    <x v="3"/>
    <x v="21"/>
    <n v="1700"/>
    <n v="10"/>
    <n v="17000"/>
    <x v="1"/>
    <n v="2040"/>
    <n v="20400"/>
  </r>
  <r>
    <s v="INV1255"/>
    <x v="165"/>
    <x v="3"/>
    <x v="3"/>
    <n v="800"/>
    <n v="5"/>
    <n v="4000"/>
    <x v="1"/>
    <n v="960"/>
    <n v="4800"/>
  </r>
  <r>
    <s v="INV1256"/>
    <x v="165"/>
    <x v="0"/>
    <x v="0"/>
    <n v="60000"/>
    <n v="6"/>
    <n v="360000"/>
    <x v="1"/>
    <n v="72000"/>
    <n v="432000"/>
  </r>
  <r>
    <s v="INV1257"/>
    <x v="165"/>
    <x v="1"/>
    <x v="7"/>
    <n v="5200"/>
    <n v="7"/>
    <n v="36400"/>
    <x v="2"/>
    <n v="6240"/>
    <n v="43680"/>
  </r>
  <r>
    <s v="INV1258"/>
    <x v="165"/>
    <x v="1"/>
    <x v="1"/>
    <n v="400"/>
    <n v="1"/>
    <n v="400"/>
    <x v="2"/>
    <n v="480"/>
    <n v="480"/>
  </r>
  <r>
    <s v="INV1259"/>
    <x v="165"/>
    <x v="2"/>
    <x v="39"/>
    <n v="1750"/>
    <n v="3"/>
    <n v="5250"/>
    <x v="0"/>
    <n v="2100"/>
    <n v="6300"/>
  </r>
  <r>
    <s v="INV1260"/>
    <x v="165"/>
    <x v="0"/>
    <x v="19"/>
    <n v="48000"/>
    <n v="5"/>
    <n v="240000"/>
    <x v="0"/>
    <n v="57600"/>
    <n v="288000"/>
  </r>
  <r>
    <s v="INV2751"/>
    <x v="165"/>
    <x v="3"/>
    <x v="3"/>
    <n v="800"/>
    <n v="7"/>
    <n v="5600"/>
    <x v="0"/>
    <n v="960"/>
    <n v="6720"/>
  </r>
  <r>
    <s v="INV2884"/>
    <x v="165"/>
    <x v="0"/>
    <x v="23"/>
    <n v="600"/>
    <n v="2"/>
    <n v="1200"/>
    <x v="1"/>
    <n v="720"/>
    <n v="1440"/>
  </r>
  <r>
    <s v="INV3397"/>
    <x v="165"/>
    <x v="0"/>
    <x v="31"/>
    <n v="3600"/>
    <n v="6"/>
    <n v="21600"/>
    <x v="1"/>
    <n v="4320"/>
    <n v="25920"/>
  </r>
  <r>
    <s v="INV1261"/>
    <x v="166"/>
    <x v="3"/>
    <x v="29"/>
    <n v="6900"/>
    <n v="2"/>
    <n v="13800"/>
    <x v="1"/>
    <n v="8280"/>
    <n v="16560"/>
  </r>
  <r>
    <s v="INV1262"/>
    <x v="166"/>
    <x v="0"/>
    <x v="22"/>
    <n v="6000"/>
    <n v="9"/>
    <n v="54000"/>
    <x v="0"/>
    <n v="7200"/>
    <n v="64800"/>
  </r>
  <r>
    <s v="INV1263"/>
    <x v="166"/>
    <x v="0"/>
    <x v="9"/>
    <n v="500"/>
    <n v="5"/>
    <n v="2500"/>
    <x v="1"/>
    <n v="600"/>
    <n v="3000"/>
  </r>
  <r>
    <s v="INV1264"/>
    <x v="166"/>
    <x v="1"/>
    <x v="1"/>
    <n v="400"/>
    <n v="3"/>
    <n v="1200"/>
    <x v="1"/>
    <n v="480"/>
    <n v="1440"/>
  </r>
  <r>
    <s v="INV1265"/>
    <x v="166"/>
    <x v="3"/>
    <x v="3"/>
    <n v="800"/>
    <n v="9"/>
    <n v="7200"/>
    <x v="0"/>
    <n v="960"/>
    <n v="8640"/>
  </r>
  <r>
    <s v="INV1266"/>
    <x v="166"/>
    <x v="3"/>
    <x v="21"/>
    <n v="1700"/>
    <n v="4"/>
    <n v="6800"/>
    <x v="0"/>
    <n v="2040"/>
    <n v="8160"/>
  </r>
  <r>
    <s v="INV1267"/>
    <x v="166"/>
    <x v="2"/>
    <x v="6"/>
    <n v="2880"/>
    <n v="8"/>
    <n v="23040"/>
    <x v="2"/>
    <n v="3456"/>
    <n v="27648"/>
  </r>
  <r>
    <s v="INV1268"/>
    <x v="166"/>
    <x v="0"/>
    <x v="9"/>
    <n v="500"/>
    <n v="4"/>
    <n v="2000"/>
    <x v="1"/>
    <n v="600"/>
    <n v="2400"/>
  </r>
  <r>
    <s v="INV1269"/>
    <x v="166"/>
    <x v="3"/>
    <x v="21"/>
    <n v="1700"/>
    <n v="5"/>
    <n v="8500"/>
    <x v="1"/>
    <n v="2040"/>
    <n v="10200"/>
  </r>
  <r>
    <s v="INV2787"/>
    <x v="166"/>
    <x v="4"/>
    <x v="45"/>
    <n v="120"/>
    <n v="9"/>
    <n v="1080"/>
    <x v="2"/>
    <n v="144"/>
    <n v="1296"/>
  </r>
  <r>
    <s v="INV2951"/>
    <x v="166"/>
    <x v="0"/>
    <x v="23"/>
    <n v="600"/>
    <n v="2"/>
    <n v="1200"/>
    <x v="1"/>
    <n v="720"/>
    <n v="1440"/>
  </r>
  <r>
    <s v="INV3718"/>
    <x v="166"/>
    <x v="0"/>
    <x v="23"/>
    <n v="600"/>
    <n v="8"/>
    <n v="4800"/>
    <x v="1"/>
    <n v="720"/>
    <n v="5760"/>
  </r>
  <r>
    <s v="INV3784"/>
    <x v="166"/>
    <x v="0"/>
    <x v="8"/>
    <n v="3300"/>
    <n v="3"/>
    <n v="9900"/>
    <x v="1"/>
    <n v="3960"/>
    <n v="11880"/>
  </r>
  <r>
    <s v="INV1270"/>
    <x v="167"/>
    <x v="1"/>
    <x v="7"/>
    <n v="5200"/>
    <n v="8"/>
    <n v="41600"/>
    <x v="1"/>
    <n v="6240"/>
    <n v="49920"/>
  </r>
  <r>
    <s v="INV1271"/>
    <x v="167"/>
    <x v="3"/>
    <x v="21"/>
    <n v="1700"/>
    <n v="3"/>
    <n v="5100"/>
    <x v="0"/>
    <n v="2040"/>
    <n v="6120"/>
  </r>
  <r>
    <s v="INV1272"/>
    <x v="167"/>
    <x v="3"/>
    <x v="21"/>
    <n v="1700"/>
    <n v="10"/>
    <n v="17000"/>
    <x v="0"/>
    <n v="2040"/>
    <n v="20400"/>
  </r>
  <r>
    <s v="INV1273"/>
    <x v="167"/>
    <x v="3"/>
    <x v="4"/>
    <n v="1200"/>
    <n v="10"/>
    <n v="12000"/>
    <x v="2"/>
    <n v="1440"/>
    <n v="14400"/>
  </r>
  <r>
    <s v="INV1274"/>
    <x v="167"/>
    <x v="2"/>
    <x v="30"/>
    <n v="2880"/>
    <n v="1"/>
    <n v="2880"/>
    <x v="1"/>
    <n v="3456"/>
    <n v="3456"/>
  </r>
  <r>
    <s v="INV1275"/>
    <x v="167"/>
    <x v="2"/>
    <x v="30"/>
    <n v="2880"/>
    <n v="1"/>
    <n v="2880"/>
    <x v="2"/>
    <n v="3456"/>
    <n v="3456"/>
  </r>
  <r>
    <s v="INV1276"/>
    <x v="167"/>
    <x v="1"/>
    <x v="5"/>
    <n v="3000"/>
    <n v="7"/>
    <n v="21000"/>
    <x v="1"/>
    <n v="3600"/>
    <n v="25200"/>
  </r>
  <r>
    <s v="INV1277"/>
    <x v="167"/>
    <x v="3"/>
    <x v="29"/>
    <n v="6900"/>
    <n v="3"/>
    <n v="20700"/>
    <x v="1"/>
    <n v="8280"/>
    <n v="24840"/>
  </r>
  <r>
    <s v="INV2807"/>
    <x v="167"/>
    <x v="4"/>
    <x v="45"/>
    <n v="120"/>
    <n v="2"/>
    <n v="240"/>
    <x v="1"/>
    <n v="144"/>
    <n v="288"/>
  </r>
  <r>
    <s v="INV2910"/>
    <x v="167"/>
    <x v="0"/>
    <x v="31"/>
    <n v="3600"/>
    <n v="8"/>
    <n v="28800"/>
    <x v="0"/>
    <n v="4320"/>
    <n v="34560"/>
  </r>
  <r>
    <s v="INV3167"/>
    <x v="167"/>
    <x v="4"/>
    <x v="45"/>
    <n v="120"/>
    <n v="4"/>
    <n v="480"/>
    <x v="1"/>
    <n v="144"/>
    <n v="576"/>
  </r>
  <r>
    <s v="INV3186"/>
    <x v="167"/>
    <x v="0"/>
    <x v="19"/>
    <n v="48000"/>
    <n v="6"/>
    <n v="288000"/>
    <x v="2"/>
    <n v="57600"/>
    <n v="345600"/>
  </r>
  <r>
    <s v="INV3248"/>
    <x v="167"/>
    <x v="0"/>
    <x v="8"/>
    <n v="3300"/>
    <n v="3"/>
    <n v="9900"/>
    <x v="2"/>
    <n v="3960"/>
    <n v="11880"/>
  </r>
  <r>
    <s v="INV3362"/>
    <x v="167"/>
    <x v="4"/>
    <x v="45"/>
    <n v="120"/>
    <n v="5"/>
    <n v="600"/>
    <x v="0"/>
    <n v="144"/>
    <n v="720"/>
  </r>
  <r>
    <s v="INV3592"/>
    <x v="167"/>
    <x v="0"/>
    <x v="19"/>
    <n v="48000"/>
    <n v="8"/>
    <n v="384000"/>
    <x v="2"/>
    <n v="57600"/>
    <n v="460800"/>
  </r>
  <r>
    <s v="INV3840"/>
    <x v="167"/>
    <x v="0"/>
    <x v="31"/>
    <n v="3600"/>
    <n v="3"/>
    <n v="10800"/>
    <x v="0"/>
    <n v="4320"/>
    <n v="12960"/>
  </r>
  <r>
    <s v="INV3909"/>
    <x v="167"/>
    <x v="0"/>
    <x v="24"/>
    <n v="1900"/>
    <n v="10"/>
    <n v="19000"/>
    <x v="1"/>
    <n v="2280"/>
    <n v="22800"/>
  </r>
  <r>
    <s v="INV1278"/>
    <x v="168"/>
    <x v="3"/>
    <x v="21"/>
    <n v="1700"/>
    <n v="6"/>
    <n v="10200"/>
    <x v="2"/>
    <n v="2040"/>
    <n v="12240"/>
  </r>
  <r>
    <s v="INV1279"/>
    <x v="168"/>
    <x v="3"/>
    <x v="29"/>
    <n v="6900"/>
    <n v="1"/>
    <n v="6900"/>
    <x v="1"/>
    <n v="8280"/>
    <n v="8280"/>
  </r>
  <r>
    <s v="INV1280"/>
    <x v="168"/>
    <x v="3"/>
    <x v="21"/>
    <n v="1700"/>
    <n v="10"/>
    <n v="17000"/>
    <x v="0"/>
    <n v="2040"/>
    <n v="20400"/>
  </r>
  <r>
    <s v="INV1281"/>
    <x v="168"/>
    <x v="3"/>
    <x v="3"/>
    <n v="800"/>
    <n v="6"/>
    <n v="4800"/>
    <x v="1"/>
    <n v="960"/>
    <n v="5760"/>
  </r>
  <r>
    <s v="INV1282"/>
    <x v="168"/>
    <x v="3"/>
    <x v="4"/>
    <n v="1200"/>
    <n v="9"/>
    <n v="10800"/>
    <x v="1"/>
    <n v="1440"/>
    <n v="12960"/>
  </r>
  <r>
    <s v="INV1283"/>
    <x v="168"/>
    <x v="3"/>
    <x v="21"/>
    <n v="1700"/>
    <n v="10"/>
    <n v="17000"/>
    <x v="0"/>
    <n v="2040"/>
    <n v="20400"/>
  </r>
  <r>
    <s v="INV3628"/>
    <x v="168"/>
    <x v="4"/>
    <x v="10"/>
    <n v="9100"/>
    <n v="8"/>
    <n v="72800"/>
    <x v="0"/>
    <n v="10920"/>
    <n v="87360"/>
  </r>
  <r>
    <s v="INV3795"/>
    <x v="168"/>
    <x v="0"/>
    <x v="31"/>
    <n v="3600"/>
    <n v="2"/>
    <n v="7200"/>
    <x v="2"/>
    <n v="4320"/>
    <n v="8640"/>
  </r>
  <r>
    <s v="INV1284"/>
    <x v="169"/>
    <x v="0"/>
    <x v="9"/>
    <n v="500"/>
    <n v="7"/>
    <n v="3500"/>
    <x v="2"/>
    <n v="600"/>
    <n v="4200"/>
  </r>
  <r>
    <s v="INV1285"/>
    <x v="169"/>
    <x v="3"/>
    <x v="3"/>
    <n v="800"/>
    <n v="5"/>
    <n v="4000"/>
    <x v="0"/>
    <n v="960"/>
    <n v="4800"/>
  </r>
  <r>
    <s v="INV1286"/>
    <x v="169"/>
    <x v="3"/>
    <x v="21"/>
    <n v="1700"/>
    <n v="10"/>
    <n v="17000"/>
    <x v="1"/>
    <n v="2040"/>
    <n v="20400"/>
  </r>
  <r>
    <s v="INV1287"/>
    <x v="169"/>
    <x v="2"/>
    <x v="39"/>
    <n v="1750"/>
    <n v="3"/>
    <n v="5250"/>
    <x v="2"/>
    <n v="2100"/>
    <n v="6300"/>
  </r>
  <r>
    <s v="INV1288"/>
    <x v="169"/>
    <x v="2"/>
    <x v="6"/>
    <n v="2880"/>
    <n v="8"/>
    <n v="23040"/>
    <x v="0"/>
    <n v="3456"/>
    <n v="27648"/>
  </r>
  <r>
    <s v="INV1289"/>
    <x v="169"/>
    <x v="0"/>
    <x v="22"/>
    <n v="6000"/>
    <n v="7"/>
    <n v="42000"/>
    <x v="0"/>
    <n v="7200"/>
    <n v="50400"/>
  </r>
  <r>
    <s v="INV1290"/>
    <x v="169"/>
    <x v="0"/>
    <x v="0"/>
    <n v="60000"/>
    <n v="5"/>
    <n v="300000"/>
    <x v="0"/>
    <n v="72000"/>
    <n v="360000"/>
  </r>
  <r>
    <s v="INV1291"/>
    <x v="169"/>
    <x v="0"/>
    <x v="19"/>
    <n v="48000"/>
    <n v="7"/>
    <n v="336000"/>
    <x v="0"/>
    <n v="57600"/>
    <n v="403200"/>
  </r>
  <r>
    <s v="INV3133"/>
    <x v="169"/>
    <x v="3"/>
    <x v="3"/>
    <n v="800"/>
    <n v="5"/>
    <n v="4000"/>
    <x v="0"/>
    <n v="960"/>
    <n v="4800"/>
  </r>
  <r>
    <s v="INV3407"/>
    <x v="169"/>
    <x v="0"/>
    <x v="19"/>
    <n v="48000"/>
    <n v="9"/>
    <n v="432000"/>
    <x v="2"/>
    <n v="57600"/>
    <n v="518400"/>
  </r>
  <r>
    <s v="INV3721"/>
    <x v="169"/>
    <x v="4"/>
    <x v="45"/>
    <n v="120"/>
    <n v="5"/>
    <n v="600"/>
    <x v="1"/>
    <n v="144"/>
    <n v="720"/>
  </r>
  <r>
    <s v="INV1292"/>
    <x v="170"/>
    <x v="1"/>
    <x v="7"/>
    <n v="5200"/>
    <n v="10"/>
    <n v="52000"/>
    <x v="0"/>
    <n v="6240"/>
    <n v="62400"/>
  </r>
  <r>
    <s v="INV1293"/>
    <x v="170"/>
    <x v="3"/>
    <x v="21"/>
    <n v="1700"/>
    <n v="4"/>
    <n v="6800"/>
    <x v="2"/>
    <n v="2040"/>
    <n v="8160"/>
  </r>
  <r>
    <s v="INV1294"/>
    <x v="170"/>
    <x v="3"/>
    <x v="29"/>
    <n v="6900"/>
    <n v="7"/>
    <n v="48300"/>
    <x v="1"/>
    <n v="8280"/>
    <n v="57960"/>
  </r>
  <r>
    <s v="INV1295"/>
    <x v="170"/>
    <x v="2"/>
    <x v="30"/>
    <n v="2880"/>
    <n v="1"/>
    <n v="2880"/>
    <x v="2"/>
    <n v="3456"/>
    <n v="3456"/>
  </r>
  <r>
    <s v="INV1296"/>
    <x v="170"/>
    <x v="1"/>
    <x v="1"/>
    <n v="400"/>
    <n v="2"/>
    <n v="800"/>
    <x v="0"/>
    <n v="480"/>
    <n v="960"/>
  </r>
  <r>
    <s v="INV1297"/>
    <x v="170"/>
    <x v="0"/>
    <x v="19"/>
    <n v="48000"/>
    <n v="1"/>
    <n v="48000"/>
    <x v="1"/>
    <n v="57600"/>
    <n v="57600"/>
  </r>
  <r>
    <s v="INV1298"/>
    <x v="170"/>
    <x v="2"/>
    <x v="6"/>
    <n v="2880"/>
    <n v="6"/>
    <n v="17280"/>
    <x v="1"/>
    <n v="3456"/>
    <n v="20736"/>
  </r>
  <r>
    <s v="INV1299"/>
    <x v="170"/>
    <x v="0"/>
    <x v="22"/>
    <n v="6000"/>
    <n v="10"/>
    <n v="60000"/>
    <x v="0"/>
    <n v="7200"/>
    <n v="72000"/>
  </r>
  <r>
    <s v="INV2972"/>
    <x v="170"/>
    <x v="3"/>
    <x v="3"/>
    <n v="800"/>
    <n v="8"/>
    <n v="6400"/>
    <x v="0"/>
    <n v="960"/>
    <n v="7680"/>
  </r>
  <r>
    <s v="INV3776"/>
    <x v="170"/>
    <x v="0"/>
    <x v="9"/>
    <n v="500"/>
    <n v="1"/>
    <n v="500"/>
    <x v="2"/>
    <n v="600"/>
    <n v="600"/>
  </r>
  <r>
    <s v="INV3819"/>
    <x v="170"/>
    <x v="0"/>
    <x v="24"/>
    <n v="1900"/>
    <n v="6"/>
    <n v="11400"/>
    <x v="1"/>
    <n v="2280"/>
    <n v="13680"/>
  </r>
  <r>
    <s v="INV1300"/>
    <x v="171"/>
    <x v="0"/>
    <x v="9"/>
    <n v="500"/>
    <n v="5"/>
    <n v="2500"/>
    <x v="2"/>
    <n v="600"/>
    <n v="3000"/>
  </r>
  <r>
    <s v="INV1301"/>
    <x v="171"/>
    <x v="0"/>
    <x v="19"/>
    <n v="48000"/>
    <n v="6"/>
    <n v="288000"/>
    <x v="0"/>
    <n v="57600"/>
    <n v="345600"/>
  </r>
  <r>
    <s v="INV1302"/>
    <x v="171"/>
    <x v="2"/>
    <x v="6"/>
    <n v="2880"/>
    <n v="4"/>
    <n v="11520"/>
    <x v="1"/>
    <n v="3456"/>
    <n v="13824"/>
  </r>
  <r>
    <s v="INV1303"/>
    <x v="171"/>
    <x v="3"/>
    <x v="29"/>
    <n v="6900"/>
    <n v="9"/>
    <n v="62100"/>
    <x v="0"/>
    <n v="8280"/>
    <n v="74520"/>
  </r>
  <r>
    <s v="INV1304"/>
    <x v="171"/>
    <x v="0"/>
    <x v="9"/>
    <n v="500"/>
    <n v="9"/>
    <n v="4500"/>
    <x v="1"/>
    <n v="600"/>
    <n v="5400"/>
  </r>
  <r>
    <s v="INV1305"/>
    <x v="171"/>
    <x v="3"/>
    <x v="21"/>
    <n v="1700"/>
    <n v="2"/>
    <n v="3400"/>
    <x v="0"/>
    <n v="2040"/>
    <n v="4080"/>
  </r>
  <r>
    <s v="INV1306"/>
    <x v="171"/>
    <x v="0"/>
    <x v="0"/>
    <n v="60000"/>
    <n v="4"/>
    <n v="240000"/>
    <x v="0"/>
    <n v="72000"/>
    <n v="288000"/>
  </r>
  <r>
    <s v="INV1307"/>
    <x v="171"/>
    <x v="0"/>
    <x v="9"/>
    <n v="500"/>
    <n v="9"/>
    <n v="4500"/>
    <x v="2"/>
    <n v="600"/>
    <n v="5400"/>
  </r>
  <r>
    <s v="INV2873"/>
    <x v="171"/>
    <x v="4"/>
    <x v="45"/>
    <n v="120"/>
    <n v="3"/>
    <n v="360"/>
    <x v="2"/>
    <n v="144"/>
    <n v="432"/>
  </r>
  <r>
    <s v="INV3049"/>
    <x v="171"/>
    <x v="3"/>
    <x v="3"/>
    <n v="800"/>
    <n v="8"/>
    <n v="6400"/>
    <x v="1"/>
    <n v="960"/>
    <n v="7680"/>
  </r>
  <r>
    <s v="INV1308"/>
    <x v="172"/>
    <x v="3"/>
    <x v="4"/>
    <n v="1200"/>
    <n v="3"/>
    <n v="3600"/>
    <x v="0"/>
    <n v="1440"/>
    <n v="4320"/>
  </r>
  <r>
    <s v="INV1309"/>
    <x v="172"/>
    <x v="3"/>
    <x v="4"/>
    <n v="1200"/>
    <n v="6"/>
    <n v="7200"/>
    <x v="0"/>
    <n v="1440"/>
    <n v="8640"/>
  </r>
  <r>
    <s v="INV1310"/>
    <x v="172"/>
    <x v="2"/>
    <x v="6"/>
    <n v="2880"/>
    <n v="2"/>
    <n v="5760"/>
    <x v="1"/>
    <n v="3456"/>
    <n v="6912"/>
  </r>
  <r>
    <s v="INV1311"/>
    <x v="172"/>
    <x v="3"/>
    <x v="3"/>
    <n v="800"/>
    <n v="10"/>
    <n v="8000"/>
    <x v="1"/>
    <n v="960"/>
    <n v="9600"/>
  </r>
  <r>
    <s v="INV1312"/>
    <x v="172"/>
    <x v="3"/>
    <x v="21"/>
    <n v="1700"/>
    <n v="3"/>
    <n v="5100"/>
    <x v="0"/>
    <n v="2040"/>
    <n v="6120"/>
  </r>
  <r>
    <s v="INV1313"/>
    <x v="172"/>
    <x v="0"/>
    <x v="9"/>
    <n v="500"/>
    <n v="4"/>
    <n v="2000"/>
    <x v="2"/>
    <n v="600"/>
    <n v="2400"/>
  </r>
  <r>
    <s v="INV1314"/>
    <x v="172"/>
    <x v="3"/>
    <x v="3"/>
    <n v="800"/>
    <n v="8"/>
    <n v="6400"/>
    <x v="0"/>
    <n v="960"/>
    <n v="7680"/>
  </r>
  <r>
    <s v="INV2789"/>
    <x v="172"/>
    <x v="0"/>
    <x v="24"/>
    <n v="1900"/>
    <n v="4"/>
    <n v="7600"/>
    <x v="2"/>
    <n v="2280"/>
    <n v="9120"/>
  </r>
  <r>
    <s v="INV2886"/>
    <x v="172"/>
    <x v="0"/>
    <x v="24"/>
    <n v="1900"/>
    <n v="7"/>
    <n v="13300"/>
    <x v="1"/>
    <n v="2280"/>
    <n v="15960"/>
  </r>
  <r>
    <s v="INV2920"/>
    <x v="172"/>
    <x v="3"/>
    <x v="3"/>
    <n v="800"/>
    <n v="6"/>
    <n v="4800"/>
    <x v="0"/>
    <n v="960"/>
    <n v="5760"/>
  </r>
  <r>
    <s v="INV3182"/>
    <x v="172"/>
    <x v="4"/>
    <x v="10"/>
    <n v="9100"/>
    <n v="8"/>
    <n v="72800"/>
    <x v="2"/>
    <n v="10920"/>
    <n v="87360"/>
  </r>
  <r>
    <s v="INV3231"/>
    <x v="172"/>
    <x v="0"/>
    <x v="8"/>
    <n v="3300"/>
    <n v="9"/>
    <n v="29700"/>
    <x v="2"/>
    <n v="3960"/>
    <n v="35640"/>
  </r>
  <r>
    <s v="INV3308"/>
    <x v="172"/>
    <x v="0"/>
    <x v="23"/>
    <n v="600"/>
    <n v="6"/>
    <n v="3600"/>
    <x v="0"/>
    <n v="720"/>
    <n v="4320"/>
  </r>
  <r>
    <s v="INV1315"/>
    <x v="173"/>
    <x v="2"/>
    <x v="6"/>
    <n v="2880"/>
    <n v="7"/>
    <n v="20160"/>
    <x v="1"/>
    <n v="3456"/>
    <n v="24192"/>
  </r>
  <r>
    <s v="INV1316"/>
    <x v="173"/>
    <x v="1"/>
    <x v="1"/>
    <n v="400"/>
    <n v="10"/>
    <n v="4000"/>
    <x v="1"/>
    <n v="480"/>
    <n v="4800"/>
  </r>
  <r>
    <s v="INV1317"/>
    <x v="173"/>
    <x v="0"/>
    <x v="22"/>
    <n v="6000"/>
    <n v="8"/>
    <n v="48000"/>
    <x v="0"/>
    <n v="7200"/>
    <n v="57600"/>
  </r>
  <r>
    <s v="INV1318"/>
    <x v="173"/>
    <x v="3"/>
    <x v="3"/>
    <n v="800"/>
    <n v="10"/>
    <n v="8000"/>
    <x v="2"/>
    <n v="960"/>
    <n v="9600"/>
  </r>
  <r>
    <s v="INV1319"/>
    <x v="173"/>
    <x v="0"/>
    <x v="0"/>
    <n v="60000"/>
    <n v="2"/>
    <n v="120000"/>
    <x v="0"/>
    <n v="72000"/>
    <n v="144000"/>
  </r>
  <r>
    <s v="INV1320"/>
    <x v="173"/>
    <x v="2"/>
    <x v="39"/>
    <n v="1750"/>
    <n v="7"/>
    <n v="12250"/>
    <x v="0"/>
    <n v="2100"/>
    <n v="14700"/>
  </r>
  <r>
    <s v="INV1321"/>
    <x v="173"/>
    <x v="1"/>
    <x v="5"/>
    <n v="3000"/>
    <n v="1"/>
    <n v="3000"/>
    <x v="0"/>
    <n v="3600"/>
    <n v="3600"/>
  </r>
  <r>
    <s v="INV1322"/>
    <x v="173"/>
    <x v="3"/>
    <x v="29"/>
    <n v="6900"/>
    <n v="8"/>
    <n v="55200"/>
    <x v="2"/>
    <n v="8280"/>
    <n v="66240"/>
  </r>
  <r>
    <s v="INV1323"/>
    <x v="173"/>
    <x v="2"/>
    <x v="2"/>
    <n v="2880"/>
    <n v="4"/>
    <n v="11520"/>
    <x v="2"/>
    <n v="3456"/>
    <n v="13824"/>
  </r>
  <r>
    <s v="INV1324"/>
    <x v="173"/>
    <x v="1"/>
    <x v="5"/>
    <n v="3000"/>
    <n v="8"/>
    <n v="24000"/>
    <x v="0"/>
    <n v="3600"/>
    <n v="28800"/>
  </r>
  <r>
    <s v="INV2822"/>
    <x v="173"/>
    <x v="0"/>
    <x v="24"/>
    <n v="1900"/>
    <n v="2"/>
    <n v="3800"/>
    <x v="1"/>
    <n v="2280"/>
    <n v="4560"/>
  </r>
  <r>
    <s v="INV3387"/>
    <x v="173"/>
    <x v="3"/>
    <x v="21"/>
    <n v="1700"/>
    <n v="6"/>
    <n v="10200"/>
    <x v="0"/>
    <n v="2040"/>
    <n v="12240"/>
  </r>
  <r>
    <s v="INV3690"/>
    <x v="173"/>
    <x v="0"/>
    <x v="31"/>
    <n v="3600"/>
    <n v="2"/>
    <n v="7200"/>
    <x v="0"/>
    <n v="4320"/>
    <n v="8640"/>
  </r>
  <r>
    <s v="INV1325"/>
    <x v="174"/>
    <x v="2"/>
    <x v="6"/>
    <n v="2880"/>
    <n v="2"/>
    <n v="5760"/>
    <x v="0"/>
    <n v="3456"/>
    <n v="6912"/>
  </r>
  <r>
    <s v="INV1326"/>
    <x v="174"/>
    <x v="0"/>
    <x v="9"/>
    <n v="500"/>
    <n v="10"/>
    <n v="5000"/>
    <x v="1"/>
    <n v="600"/>
    <n v="6000"/>
  </r>
  <r>
    <s v="INV1327"/>
    <x v="174"/>
    <x v="2"/>
    <x v="30"/>
    <n v="2880"/>
    <n v="2"/>
    <n v="5760"/>
    <x v="0"/>
    <n v="3456"/>
    <n v="6912"/>
  </r>
  <r>
    <s v="INV1328"/>
    <x v="174"/>
    <x v="3"/>
    <x v="3"/>
    <n v="800"/>
    <n v="7"/>
    <n v="5600"/>
    <x v="0"/>
    <n v="960"/>
    <n v="6720"/>
  </r>
  <r>
    <s v="INV1329"/>
    <x v="174"/>
    <x v="0"/>
    <x v="9"/>
    <n v="500"/>
    <n v="4"/>
    <n v="2000"/>
    <x v="2"/>
    <n v="600"/>
    <n v="2400"/>
  </r>
  <r>
    <s v="INV1330"/>
    <x v="174"/>
    <x v="2"/>
    <x v="39"/>
    <n v="1750"/>
    <n v="1"/>
    <n v="1750"/>
    <x v="2"/>
    <n v="2100"/>
    <n v="2100"/>
  </r>
  <r>
    <s v="INV1331"/>
    <x v="174"/>
    <x v="2"/>
    <x v="39"/>
    <n v="1750"/>
    <n v="9"/>
    <n v="15750"/>
    <x v="1"/>
    <n v="2100"/>
    <n v="18900"/>
  </r>
  <r>
    <s v="INV1332"/>
    <x v="174"/>
    <x v="3"/>
    <x v="4"/>
    <n v="1200"/>
    <n v="1"/>
    <n v="1200"/>
    <x v="2"/>
    <n v="1440"/>
    <n v="1440"/>
  </r>
  <r>
    <s v="INV2879"/>
    <x v="174"/>
    <x v="3"/>
    <x v="3"/>
    <n v="800"/>
    <n v="9"/>
    <n v="7200"/>
    <x v="0"/>
    <n v="960"/>
    <n v="8640"/>
  </r>
  <r>
    <s v="INV3271"/>
    <x v="174"/>
    <x v="3"/>
    <x v="21"/>
    <n v="1700"/>
    <n v="6"/>
    <n v="10200"/>
    <x v="2"/>
    <n v="2040"/>
    <n v="12240"/>
  </r>
  <r>
    <s v="INV3423"/>
    <x v="174"/>
    <x v="3"/>
    <x v="21"/>
    <n v="1700"/>
    <n v="1"/>
    <n v="1700"/>
    <x v="2"/>
    <n v="2040"/>
    <n v="2040"/>
  </r>
  <r>
    <s v="INV3872"/>
    <x v="174"/>
    <x v="0"/>
    <x v="8"/>
    <n v="3300"/>
    <n v="10"/>
    <n v="33000"/>
    <x v="1"/>
    <n v="3960"/>
    <n v="39600"/>
  </r>
  <r>
    <s v="INV1333"/>
    <x v="175"/>
    <x v="1"/>
    <x v="5"/>
    <n v="3000"/>
    <n v="3"/>
    <n v="9000"/>
    <x v="0"/>
    <n v="3600"/>
    <n v="10800"/>
  </r>
  <r>
    <s v="INV1334"/>
    <x v="175"/>
    <x v="0"/>
    <x v="22"/>
    <n v="6000"/>
    <n v="1"/>
    <n v="6000"/>
    <x v="2"/>
    <n v="7200"/>
    <n v="7200"/>
  </r>
  <r>
    <s v="INV1335"/>
    <x v="175"/>
    <x v="1"/>
    <x v="7"/>
    <n v="5200"/>
    <n v="7"/>
    <n v="36400"/>
    <x v="2"/>
    <n v="6240"/>
    <n v="43680"/>
  </r>
  <r>
    <s v="INV1336"/>
    <x v="175"/>
    <x v="2"/>
    <x v="6"/>
    <n v="2880"/>
    <n v="10"/>
    <n v="28800"/>
    <x v="1"/>
    <n v="3456"/>
    <n v="34560"/>
  </r>
  <r>
    <s v="INV1337"/>
    <x v="175"/>
    <x v="2"/>
    <x v="6"/>
    <n v="2880"/>
    <n v="3"/>
    <n v="8640"/>
    <x v="0"/>
    <n v="3456"/>
    <n v="10368"/>
  </r>
  <r>
    <s v="INV1338"/>
    <x v="175"/>
    <x v="1"/>
    <x v="7"/>
    <n v="5200"/>
    <n v="2"/>
    <n v="10400"/>
    <x v="2"/>
    <n v="6240"/>
    <n v="12480"/>
  </r>
  <r>
    <s v="INV1339"/>
    <x v="175"/>
    <x v="1"/>
    <x v="1"/>
    <n v="400"/>
    <n v="8"/>
    <n v="3200"/>
    <x v="2"/>
    <n v="480"/>
    <n v="3840"/>
  </r>
  <r>
    <s v="INV1340"/>
    <x v="175"/>
    <x v="1"/>
    <x v="7"/>
    <n v="5200"/>
    <n v="2"/>
    <n v="10400"/>
    <x v="1"/>
    <n v="6240"/>
    <n v="12480"/>
  </r>
  <r>
    <s v="INV1341"/>
    <x v="175"/>
    <x v="0"/>
    <x v="0"/>
    <n v="60000"/>
    <n v="6"/>
    <n v="360000"/>
    <x v="1"/>
    <n v="72000"/>
    <n v="432000"/>
  </r>
  <r>
    <s v="INV2812"/>
    <x v="175"/>
    <x v="0"/>
    <x v="24"/>
    <n v="1900"/>
    <n v="10"/>
    <n v="19000"/>
    <x v="0"/>
    <n v="2280"/>
    <n v="22800"/>
  </r>
  <r>
    <s v="INV3056"/>
    <x v="175"/>
    <x v="0"/>
    <x v="31"/>
    <n v="3600"/>
    <n v="6"/>
    <n v="21600"/>
    <x v="2"/>
    <n v="4320"/>
    <n v="25920"/>
  </r>
  <r>
    <s v="INV3177"/>
    <x v="175"/>
    <x v="0"/>
    <x v="24"/>
    <n v="1900"/>
    <n v="4"/>
    <n v="7600"/>
    <x v="2"/>
    <n v="2280"/>
    <n v="9120"/>
  </r>
  <r>
    <s v="INV3260"/>
    <x v="175"/>
    <x v="4"/>
    <x v="45"/>
    <n v="120"/>
    <n v="5"/>
    <n v="600"/>
    <x v="0"/>
    <n v="144"/>
    <n v="720"/>
  </r>
  <r>
    <s v="INV3877"/>
    <x v="175"/>
    <x v="4"/>
    <x v="45"/>
    <n v="120"/>
    <n v="3"/>
    <n v="360"/>
    <x v="2"/>
    <n v="144"/>
    <n v="432"/>
  </r>
  <r>
    <s v="INV1342"/>
    <x v="176"/>
    <x v="1"/>
    <x v="5"/>
    <n v="3000"/>
    <n v="5"/>
    <n v="15000"/>
    <x v="0"/>
    <n v="3600"/>
    <n v="18000"/>
  </r>
  <r>
    <s v="INV1343"/>
    <x v="176"/>
    <x v="2"/>
    <x v="30"/>
    <n v="2880"/>
    <n v="9"/>
    <n v="25920"/>
    <x v="0"/>
    <n v="3456"/>
    <n v="31104"/>
  </r>
  <r>
    <s v="INV1344"/>
    <x v="176"/>
    <x v="3"/>
    <x v="29"/>
    <n v="6900"/>
    <n v="3"/>
    <n v="20700"/>
    <x v="0"/>
    <n v="8280"/>
    <n v="24840"/>
  </r>
  <r>
    <s v="INV1345"/>
    <x v="176"/>
    <x v="3"/>
    <x v="29"/>
    <n v="6900"/>
    <n v="5"/>
    <n v="34500"/>
    <x v="2"/>
    <n v="8280"/>
    <n v="41400"/>
  </r>
  <r>
    <s v="INV1346"/>
    <x v="176"/>
    <x v="1"/>
    <x v="7"/>
    <n v="5200"/>
    <n v="5"/>
    <n v="26000"/>
    <x v="0"/>
    <n v="6240"/>
    <n v="31200"/>
  </r>
  <r>
    <s v="INV1347"/>
    <x v="176"/>
    <x v="3"/>
    <x v="3"/>
    <n v="800"/>
    <n v="3"/>
    <n v="2400"/>
    <x v="1"/>
    <n v="960"/>
    <n v="2880"/>
  </r>
  <r>
    <s v="INV1348"/>
    <x v="176"/>
    <x v="2"/>
    <x v="2"/>
    <n v="2880"/>
    <n v="7"/>
    <n v="20160"/>
    <x v="1"/>
    <n v="3456"/>
    <n v="24192"/>
  </r>
  <r>
    <s v="INV1349"/>
    <x v="176"/>
    <x v="2"/>
    <x v="39"/>
    <n v="1750"/>
    <n v="9"/>
    <n v="15750"/>
    <x v="1"/>
    <n v="2100"/>
    <n v="18900"/>
  </r>
  <r>
    <s v="INV1350"/>
    <x v="177"/>
    <x v="1"/>
    <x v="5"/>
    <n v="3000"/>
    <n v="1"/>
    <n v="3000"/>
    <x v="1"/>
    <n v="3600"/>
    <n v="3600"/>
  </r>
  <r>
    <s v="INV1351"/>
    <x v="177"/>
    <x v="1"/>
    <x v="1"/>
    <n v="400"/>
    <n v="1"/>
    <n v="400"/>
    <x v="1"/>
    <n v="480"/>
    <n v="480"/>
  </r>
  <r>
    <s v="INV1352"/>
    <x v="177"/>
    <x v="2"/>
    <x v="39"/>
    <n v="1750"/>
    <n v="2"/>
    <n v="3500"/>
    <x v="2"/>
    <n v="2100"/>
    <n v="4200"/>
  </r>
  <r>
    <s v="INV1353"/>
    <x v="177"/>
    <x v="3"/>
    <x v="21"/>
    <n v="1700"/>
    <n v="1"/>
    <n v="1700"/>
    <x v="0"/>
    <n v="2040"/>
    <n v="2040"/>
  </r>
  <r>
    <s v="INV1354"/>
    <x v="177"/>
    <x v="3"/>
    <x v="3"/>
    <n v="800"/>
    <n v="2"/>
    <n v="1600"/>
    <x v="1"/>
    <n v="960"/>
    <n v="1920"/>
  </r>
  <r>
    <s v="INV1355"/>
    <x v="177"/>
    <x v="0"/>
    <x v="9"/>
    <n v="500"/>
    <n v="5"/>
    <n v="2500"/>
    <x v="1"/>
    <n v="600"/>
    <n v="3000"/>
  </r>
  <r>
    <s v="INV1356"/>
    <x v="177"/>
    <x v="3"/>
    <x v="4"/>
    <n v="1200"/>
    <n v="4"/>
    <n v="4800"/>
    <x v="1"/>
    <n v="1440"/>
    <n v="5760"/>
  </r>
  <r>
    <s v="INV1357"/>
    <x v="177"/>
    <x v="2"/>
    <x v="2"/>
    <n v="2880"/>
    <n v="3"/>
    <n v="8640"/>
    <x v="1"/>
    <n v="3456"/>
    <n v="10368"/>
  </r>
  <r>
    <s v="INV1358"/>
    <x v="177"/>
    <x v="2"/>
    <x v="30"/>
    <n v="2880"/>
    <n v="1"/>
    <n v="2880"/>
    <x v="1"/>
    <n v="3456"/>
    <n v="3456"/>
  </r>
  <r>
    <s v="INV1359"/>
    <x v="177"/>
    <x v="3"/>
    <x v="3"/>
    <n v="800"/>
    <n v="4"/>
    <n v="3200"/>
    <x v="2"/>
    <n v="960"/>
    <n v="3840"/>
  </r>
  <r>
    <s v="INV2877"/>
    <x v="177"/>
    <x v="0"/>
    <x v="24"/>
    <n v="1900"/>
    <n v="5"/>
    <n v="9500"/>
    <x v="2"/>
    <n v="2280"/>
    <n v="11400"/>
  </r>
  <r>
    <s v="INV3519"/>
    <x v="177"/>
    <x v="0"/>
    <x v="8"/>
    <n v="3300"/>
    <n v="5"/>
    <n v="16500"/>
    <x v="2"/>
    <n v="3960"/>
    <n v="19800"/>
  </r>
  <r>
    <s v="INV1360"/>
    <x v="178"/>
    <x v="1"/>
    <x v="5"/>
    <n v="3000"/>
    <n v="10"/>
    <n v="30000"/>
    <x v="2"/>
    <n v="3600"/>
    <n v="36000"/>
  </r>
  <r>
    <s v="INV1361"/>
    <x v="178"/>
    <x v="3"/>
    <x v="3"/>
    <n v="800"/>
    <n v="7"/>
    <n v="5600"/>
    <x v="1"/>
    <n v="960"/>
    <n v="6720"/>
  </r>
  <r>
    <s v="INV1362"/>
    <x v="178"/>
    <x v="1"/>
    <x v="5"/>
    <n v="3000"/>
    <n v="4"/>
    <n v="12000"/>
    <x v="2"/>
    <n v="3600"/>
    <n v="14400"/>
  </r>
  <r>
    <s v="INV1363"/>
    <x v="178"/>
    <x v="2"/>
    <x v="39"/>
    <n v="1750"/>
    <n v="2"/>
    <n v="3500"/>
    <x v="0"/>
    <n v="2100"/>
    <n v="4200"/>
  </r>
  <r>
    <s v="INV1364"/>
    <x v="178"/>
    <x v="0"/>
    <x v="9"/>
    <n v="500"/>
    <n v="2"/>
    <n v="1000"/>
    <x v="0"/>
    <n v="600"/>
    <n v="1200"/>
  </r>
  <r>
    <s v="INV2956"/>
    <x v="178"/>
    <x v="0"/>
    <x v="19"/>
    <n v="48000"/>
    <n v="2"/>
    <n v="96000"/>
    <x v="1"/>
    <n v="57600"/>
    <n v="115200"/>
  </r>
  <r>
    <s v="INV3291"/>
    <x v="178"/>
    <x v="3"/>
    <x v="3"/>
    <n v="800"/>
    <n v="2"/>
    <n v="1600"/>
    <x v="0"/>
    <n v="960"/>
    <n v="1920"/>
  </r>
  <r>
    <s v="INV3656"/>
    <x v="178"/>
    <x v="0"/>
    <x v="9"/>
    <n v="500"/>
    <n v="7"/>
    <n v="3500"/>
    <x v="2"/>
    <n v="600"/>
    <n v="4200"/>
  </r>
  <r>
    <s v="INV3700"/>
    <x v="178"/>
    <x v="4"/>
    <x v="10"/>
    <n v="9100"/>
    <n v="6"/>
    <n v="54600"/>
    <x v="0"/>
    <n v="10920"/>
    <n v="65520"/>
  </r>
  <r>
    <s v="INV3893"/>
    <x v="178"/>
    <x v="0"/>
    <x v="19"/>
    <n v="48000"/>
    <n v="4"/>
    <n v="192000"/>
    <x v="1"/>
    <n v="57600"/>
    <n v="230400"/>
  </r>
  <r>
    <s v="INV1365"/>
    <x v="179"/>
    <x v="2"/>
    <x v="2"/>
    <n v="2880"/>
    <n v="1"/>
    <n v="2880"/>
    <x v="0"/>
    <n v="3456"/>
    <n v="3456"/>
  </r>
  <r>
    <s v="INV1366"/>
    <x v="179"/>
    <x v="2"/>
    <x v="39"/>
    <n v="1750"/>
    <n v="1"/>
    <n v="1750"/>
    <x v="0"/>
    <n v="2100"/>
    <n v="2100"/>
  </r>
  <r>
    <s v="INV1367"/>
    <x v="179"/>
    <x v="1"/>
    <x v="1"/>
    <n v="400"/>
    <n v="2"/>
    <n v="800"/>
    <x v="0"/>
    <n v="480"/>
    <n v="960"/>
  </r>
  <r>
    <s v="INV1368"/>
    <x v="179"/>
    <x v="3"/>
    <x v="4"/>
    <n v="1200"/>
    <n v="8"/>
    <n v="9600"/>
    <x v="2"/>
    <n v="1440"/>
    <n v="11520"/>
  </r>
  <r>
    <s v="INV1369"/>
    <x v="179"/>
    <x v="2"/>
    <x v="6"/>
    <n v="2880"/>
    <n v="4"/>
    <n v="11520"/>
    <x v="1"/>
    <n v="3456"/>
    <n v="13824"/>
  </r>
  <r>
    <s v="INV1370"/>
    <x v="179"/>
    <x v="2"/>
    <x v="39"/>
    <n v="1750"/>
    <n v="10"/>
    <n v="17500"/>
    <x v="1"/>
    <n v="2100"/>
    <n v="21000"/>
  </r>
  <r>
    <s v="INV1371"/>
    <x v="179"/>
    <x v="0"/>
    <x v="22"/>
    <n v="6000"/>
    <n v="8"/>
    <n v="48000"/>
    <x v="1"/>
    <n v="7200"/>
    <n v="57600"/>
  </r>
  <r>
    <s v="INV1372"/>
    <x v="179"/>
    <x v="3"/>
    <x v="4"/>
    <n v="1200"/>
    <n v="7"/>
    <n v="8400"/>
    <x v="0"/>
    <n v="1440"/>
    <n v="10080"/>
  </r>
  <r>
    <s v="INV1373"/>
    <x v="179"/>
    <x v="0"/>
    <x v="0"/>
    <n v="60000"/>
    <n v="4"/>
    <n v="240000"/>
    <x v="0"/>
    <n v="72000"/>
    <n v="288000"/>
  </r>
  <r>
    <s v="INV2795"/>
    <x v="179"/>
    <x v="3"/>
    <x v="21"/>
    <n v="1700"/>
    <n v="6"/>
    <n v="10200"/>
    <x v="0"/>
    <n v="2040"/>
    <n v="12240"/>
  </r>
  <r>
    <s v="INV3778"/>
    <x v="179"/>
    <x v="0"/>
    <x v="19"/>
    <n v="48000"/>
    <n v="9"/>
    <n v="432000"/>
    <x v="0"/>
    <n v="57600"/>
    <n v="518400"/>
  </r>
  <r>
    <s v="INV1374"/>
    <x v="180"/>
    <x v="1"/>
    <x v="1"/>
    <n v="400"/>
    <n v="8"/>
    <n v="3200"/>
    <x v="2"/>
    <n v="480"/>
    <n v="3840"/>
  </r>
  <r>
    <s v="INV1375"/>
    <x v="180"/>
    <x v="0"/>
    <x v="0"/>
    <n v="60000"/>
    <n v="5"/>
    <n v="300000"/>
    <x v="1"/>
    <n v="72000"/>
    <n v="360000"/>
  </r>
  <r>
    <s v="INV1376"/>
    <x v="180"/>
    <x v="1"/>
    <x v="1"/>
    <n v="400"/>
    <n v="6"/>
    <n v="2400"/>
    <x v="1"/>
    <n v="480"/>
    <n v="2880"/>
  </r>
  <r>
    <s v="INV1377"/>
    <x v="180"/>
    <x v="1"/>
    <x v="1"/>
    <n v="400"/>
    <n v="7"/>
    <n v="2800"/>
    <x v="1"/>
    <n v="480"/>
    <n v="3360"/>
  </r>
  <r>
    <s v="INV1378"/>
    <x v="180"/>
    <x v="0"/>
    <x v="22"/>
    <n v="6000"/>
    <n v="10"/>
    <n v="60000"/>
    <x v="1"/>
    <n v="7200"/>
    <n v="72000"/>
  </r>
  <r>
    <s v="INV1379"/>
    <x v="180"/>
    <x v="0"/>
    <x v="22"/>
    <n v="6000"/>
    <n v="2"/>
    <n v="12000"/>
    <x v="2"/>
    <n v="7200"/>
    <n v="14400"/>
  </r>
  <r>
    <s v="INV1380"/>
    <x v="180"/>
    <x v="2"/>
    <x v="39"/>
    <n v="1750"/>
    <n v="10"/>
    <n v="17500"/>
    <x v="1"/>
    <n v="2100"/>
    <n v="21000"/>
  </r>
  <r>
    <s v="INV1381"/>
    <x v="180"/>
    <x v="3"/>
    <x v="3"/>
    <n v="800"/>
    <n v="8"/>
    <n v="6400"/>
    <x v="2"/>
    <n v="960"/>
    <n v="7680"/>
  </r>
  <r>
    <s v="INV3111"/>
    <x v="180"/>
    <x v="0"/>
    <x v="19"/>
    <n v="48000"/>
    <n v="2"/>
    <n v="96000"/>
    <x v="2"/>
    <n v="57600"/>
    <n v="115200"/>
  </r>
  <r>
    <s v="INV1382"/>
    <x v="181"/>
    <x v="1"/>
    <x v="1"/>
    <n v="400"/>
    <n v="6"/>
    <n v="2400"/>
    <x v="0"/>
    <n v="480"/>
    <n v="2880"/>
  </r>
  <r>
    <s v="INV1383"/>
    <x v="181"/>
    <x v="2"/>
    <x v="6"/>
    <n v="2880"/>
    <n v="10"/>
    <n v="28800"/>
    <x v="2"/>
    <n v="3456"/>
    <n v="34560"/>
  </r>
  <r>
    <s v="INV1384"/>
    <x v="181"/>
    <x v="3"/>
    <x v="29"/>
    <n v="6900"/>
    <n v="8"/>
    <n v="55200"/>
    <x v="2"/>
    <n v="8280"/>
    <n v="66240"/>
  </r>
  <r>
    <s v="INV1385"/>
    <x v="181"/>
    <x v="3"/>
    <x v="4"/>
    <n v="1200"/>
    <n v="9"/>
    <n v="10800"/>
    <x v="1"/>
    <n v="1440"/>
    <n v="12960"/>
  </r>
  <r>
    <s v="INV1386"/>
    <x v="181"/>
    <x v="0"/>
    <x v="22"/>
    <n v="6000"/>
    <n v="9"/>
    <n v="54000"/>
    <x v="1"/>
    <n v="7200"/>
    <n v="64800"/>
  </r>
  <r>
    <s v="INV1387"/>
    <x v="181"/>
    <x v="1"/>
    <x v="5"/>
    <n v="3000"/>
    <n v="5"/>
    <n v="15000"/>
    <x v="0"/>
    <n v="3600"/>
    <n v="18000"/>
  </r>
  <r>
    <s v="INV1388"/>
    <x v="181"/>
    <x v="1"/>
    <x v="7"/>
    <n v="5200"/>
    <n v="6"/>
    <n v="31200"/>
    <x v="1"/>
    <n v="6240"/>
    <n v="37440"/>
  </r>
  <r>
    <s v="INV3061"/>
    <x v="181"/>
    <x v="4"/>
    <x v="45"/>
    <n v="120"/>
    <n v="9"/>
    <n v="1080"/>
    <x v="1"/>
    <n v="144"/>
    <n v="1296"/>
  </r>
  <r>
    <s v="INV3615"/>
    <x v="181"/>
    <x v="0"/>
    <x v="31"/>
    <n v="3600"/>
    <n v="9"/>
    <n v="32400"/>
    <x v="2"/>
    <n v="4320"/>
    <n v="38880"/>
  </r>
  <r>
    <s v="INV1389"/>
    <x v="182"/>
    <x v="0"/>
    <x v="0"/>
    <n v="60000"/>
    <n v="10"/>
    <n v="600000"/>
    <x v="2"/>
    <n v="72000"/>
    <n v="720000"/>
  </r>
  <r>
    <s v="INV1390"/>
    <x v="182"/>
    <x v="2"/>
    <x v="6"/>
    <n v="2880"/>
    <n v="6"/>
    <n v="17280"/>
    <x v="2"/>
    <n v="3456"/>
    <n v="20736"/>
  </r>
  <r>
    <s v="INV1391"/>
    <x v="182"/>
    <x v="0"/>
    <x v="9"/>
    <n v="500"/>
    <n v="10"/>
    <n v="5000"/>
    <x v="1"/>
    <n v="600"/>
    <n v="6000"/>
  </r>
  <r>
    <s v="INV1392"/>
    <x v="182"/>
    <x v="0"/>
    <x v="9"/>
    <n v="500"/>
    <n v="2"/>
    <n v="1000"/>
    <x v="1"/>
    <n v="600"/>
    <n v="1200"/>
  </r>
  <r>
    <s v="INV1393"/>
    <x v="182"/>
    <x v="2"/>
    <x v="2"/>
    <n v="2880"/>
    <n v="5"/>
    <n v="14400"/>
    <x v="1"/>
    <n v="3456"/>
    <n v="17280"/>
  </r>
  <r>
    <s v="INV1394"/>
    <x v="182"/>
    <x v="0"/>
    <x v="22"/>
    <n v="6000"/>
    <n v="8"/>
    <n v="48000"/>
    <x v="0"/>
    <n v="7200"/>
    <n v="57600"/>
  </r>
  <r>
    <s v="INV1395"/>
    <x v="182"/>
    <x v="2"/>
    <x v="6"/>
    <n v="2880"/>
    <n v="7"/>
    <n v="20160"/>
    <x v="0"/>
    <n v="3456"/>
    <n v="24192"/>
  </r>
  <r>
    <s v="INV1396"/>
    <x v="182"/>
    <x v="2"/>
    <x v="39"/>
    <n v="1750"/>
    <n v="1"/>
    <n v="1750"/>
    <x v="1"/>
    <n v="2100"/>
    <n v="2100"/>
  </r>
  <r>
    <s v="INV1397"/>
    <x v="182"/>
    <x v="3"/>
    <x v="21"/>
    <n v="1700"/>
    <n v="3"/>
    <n v="5100"/>
    <x v="2"/>
    <n v="2040"/>
    <n v="6120"/>
  </r>
  <r>
    <s v="INV3406"/>
    <x v="182"/>
    <x v="4"/>
    <x v="45"/>
    <n v="120"/>
    <n v="1"/>
    <n v="120"/>
    <x v="1"/>
    <n v="144"/>
    <n v="144"/>
  </r>
  <r>
    <s v="INV3738"/>
    <x v="182"/>
    <x v="3"/>
    <x v="21"/>
    <n v="1700"/>
    <n v="4"/>
    <n v="6800"/>
    <x v="1"/>
    <n v="2040"/>
    <n v="8160"/>
  </r>
  <r>
    <s v="INV1398"/>
    <x v="183"/>
    <x v="3"/>
    <x v="29"/>
    <n v="6900"/>
    <n v="1"/>
    <n v="6900"/>
    <x v="1"/>
    <n v="8280"/>
    <n v="8280"/>
  </r>
  <r>
    <s v="INV1399"/>
    <x v="183"/>
    <x v="1"/>
    <x v="5"/>
    <n v="3000"/>
    <n v="9"/>
    <n v="27000"/>
    <x v="2"/>
    <n v="3600"/>
    <n v="32400"/>
  </r>
  <r>
    <s v="INV1400"/>
    <x v="183"/>
    <x v="1"/>
    <x v="5"/>
    <n v="3000"/>
    <n v="9"/>
    <n v="27000"/>
    <x v="0"/>
    <n v="3600"/>
    <n v="32400"/>
  </r>
  <r>
    <s v="INV1401"/>
    <x v="183"/>
    <x v="1"/>
    <x v="7"/>
    <n v="5200"/>
    <n v="2"/>
    <n v="10400"/>
    <x v="2"/>
    <n v="6240"/>
    <n v="12480"/>
  </r>
  <r>
    <s v="INV1402"/>
    <x v="183"/>
    <x v="2"/>
    <x v="2"/>
    <n v="2880"/>
    <n v="2"/>
    <n v="5760"/>
    <x v="0"/>
    <n v="3456"/>
    <n v="6912"/>
  </r>
  <r>
    <s v="INV1403"/>
    <x v="183"/>
    <x v="2"/>
    <x v="30"/>
    <n v="2880"/>
    <n v="4"/>
    <n v="11520"/>
    <x v="2"/>
    <n v="3456"/>
    <n v="13824"/>
  </r>
  <r>
    <s v="INV1404"/>
    <x v="183"/>
    <x v="3"/>
    <x v="3"/>
    <n v="800"/>
    <n v="7"/>
    <n v="5600"/>
    <x v="2"/>
    <n v="960"/>
    <n v="6720"/>
  </r>
  <r>
    <s v="INV1405"/>
    <x v="183"/>
    <x v="0"/>
    <x v="22"/>
    <n v="6000"/>
    <n v="4"/>
    <n v="24000"/>
    <x v="2"/>
    <n v="7200"/>
    <n v="28800"/>
  </r>
  <r>
    <s v="INV1406"/>
    <x v="183"/>
    <x v="2"/>
    <x v="39"/>
    <n v="1750"/>
    <n v="9"/>
    <n v="15750"/>
    <x v="2"/>
    <n v="2100"/>
    <n v="18900"/>
  </r>
  <r>
    <s v="INV3500"/>
    <x v="183"/>
    <x v="0"/>
    <x v="31"/>
    <n v="3600"/>
    <n v="10"/>
    <n v="36000"/>
    <x v="2"/>
    <n v="4320"/>
    <n v="43200"/>
  </r>
  <r>
    <s v="INV3559"/>
    <x v="183"/>
    <x v="0"/>
    <x v="31"/>
    <n v="3600"/>
    <n v="8"/>
    <n v="28800"/>
    <x v="1"/>
    <n v="4320"/>
    <n v="34560"/>
  </r>
  <r>
    <s v="INV3659"/>
    <x v="183"/>
    <x v="4"/>
    <x v="10"/>
    <n v="9100"/>
    <n v="5"/>
    <n v="45500"/>
    <x v="0"/>
    <n v="10920"/>
    <n v="54600"/>
  </r>
  <r>
    <s v="INV3662"/>
    <x v="183"/>
    <x v="0"/>
    <x v="8"/>
    <n v="3300"/>
    <n v="6"/>
    <n v="19800"/>
    <x v="1"/>
    <n v="3960"/>
    <n v="23760"/>
  </r>
  <r>
    <s v="INV3679"/>
    <x v="183"/>
    <x v="0"/>
    <x v="24"/>
    <n v="1900"/>
    <n v="10"/>
    <n v="19000"/>
    <x v="0"/>
    <n v="2280"/>
    <n v="22800"/>
  </r>
  <r>
    <s v="INV3698"/>
    <x v="183"/>
    <x v="3"/>
    <x v="21"/>
    <n v="1700"/>
    <n v="8"/>
    <n v="13600"/>
    <x v="0"/>
    <n v="2040"/>
    <n v="16320"/>
  </r>
  <r>
    <s v="INV1407"/>
    <x v="184"/>
    <x v="1"/>
    <x v="5"/>
    <n v="3000"/>
    <n v="2"/>
    <n v="6000"/>
    <x v="0"/>
    <n v="3600"/>
    <n v="7200"/>
  </r>
  <r>
    <s v="INV1408"/>
    <x v="184"/>
    <x v="2"/>
    <x v="6"/>
    <n v="2880"/>
    <n v="1"/>
    <n v="2880"/>
    <x v="1"/>
    <n v="3456"/>
    <n v="3456"/>
  </r>
  <r>
    <s v="INV1409"/>
    <x v="184"/>
    <x v="1"/>
    <x v="1"/>
    <n v="400"/>
    <n v="7"/>
    <n v="2800"/>
    <x v="1"/>
    <n v="480"/>
    <n v="3360"/>
  </r>
  <r>
    <s v="INV1410"/>
    <x v="184"/>
    <x v="2"/>
    <x v="39"/>
    <n v="1750"/>
    <n v="8"/>
    <n v="14000"/>
    <x v="1"/>
    <n v="2100"/>
    <n v="16800"/>
  </r>
  <r>
    <s v="INV1411"/>
    <x v="184"/>
    <x v="2"/>
    <x v="6"/>
    <n v="2880"/>
    <n v="9"/>
    <n v="25920"/>
    <x v="1"/>
    <n v="3456"/>
    <n v="31104"/>
  </r>
  <r>
    <s v="INV1412"/>
    <x v="184"/>
    <x v="0"/>
    <x v="9"/>
    <n v="500"/>
    <n v="1"/>
    <n v="500"/>
    <x v="0"/>
    <n v="600"/>
    <n v="600"/>
  </r>
  <r>
    <s v="INV1413"/>
    <x v="184"/>
    <x v="0"/>
    <x v="0"/>
    <n v="60000"/>
    <n v="8"/>
    <n v="480000"/>
    <x v="1"/>
    <n v="72000"/>
    <n v="576000"/>
  </r>
  <r>
    <s v="INV1414"/>
    <x v="184"/>
    <x v="1"/>
    <x v="1"/>
    <n v="400"/>
    <n v="4"/>
    <n v="1600"/>
    <x v="0"/>
    <n v="480"/>
    <n v="1920"/>
  </r>
  <r>
    <s v="INV1415"/>
    <x v="184"/>
    <x v="1"/>
    <x v="7"/>
    <n v="5200"/>
    <n v="2"/>
    <n v="10400"/>
    <x v="0"/>
    <n v="6240"/>
    <n v="12480"/>
  </r>
  <r>
    <s v="INV2955"/>
    <x v="184"/>
    <x v="0"/>
    <x v="23"/>
    <n v="600"/>
    <n v="5"/>
    <n v="3000"/>
    <x v="2"/>
    <n v="720"/>
    <n v="3600"/>
  </r>
  <r>
    <s v="INV1416"/>
    <x v="185"/>
    <x v="0"/>
    <x v="22"/>
    <n v="6000"/>
    <n v="1"/>
    <n v="6000"/>
    <x v="1"/>
    <n v="7200"/>
    <n v="7200"/>
  </r>
  <r>
    <s v="INV1417"/>
    <x v="185"/>
    <x v="2"/>
    <x v="30"/>
    <n v="2880"/>
    <n v="7"/>
    <n v="20160"/>
    <x v="1"/>
    <n v="3456"/>
    <n v="24192"/>
  </r>
  <r>
    <s v="INV1418"/>
    <x v="185"/>
    <x v="3"/>
    <x v="4"/>
    <n v="1200"/>
    <n v="8"/>
    <n v="9600"/>
    <x v="2"/>
    <n v="1440"/>
    <n v="11520"/>
  </r>
  <r>
    <s v="INV1419"/>
    <x v="185"/>
    <x v="3"/>
    <x v="4"/>
    <n v="1200"/>
    <n v="1"/>
    <n v="1200"/>
    <x v="0"/>
    <n v="1440"/>
    <n v="1440"/>
  </r>
  <r>
    <s v="INV1420"/>
    <x v="185"/>
    <x v="0"/>
    <x v="0"/>
    <n v="60000"/>
    <n v="1"/>
    <n v="60000"/>
    <x v="2"/>
    <n v="72000"/>
    <n v="72000"/>
  </r>
  <r>
    <s v="INV3835"/>
    <x v="185"/>
    <x v="4"/>
    <x v="10"/>
    <n v="9100"/>
    <n v="1"/>
    <n v="9100"/>
    <x v="0"/>
    <n v="10920"/>
    <n v="10920"/>
  </r>
  <r>
    <s v="INV1421"/>
    <x v="186"/>
    <x v="2"/>
    <x v="2"/>
    <n v="2880"/>
    <n v="4"/>
    <n v="11520"/>
    <x v="1"/>
    <n v="3456"/>
    <n v="13824"/>
  </r>
  <r>
    <s v="INV1422"/>
    <x v="186"/>
    <x v="2"/>
    <x v="2"/>
    <n v="2880"/>
    <n v="6"/>
    <n v="17280"/>
    <x v="1"/>
    <n v="3456"/>
    <n v="20736"/>
  </r>
  <r>
    <s v="INV1423"/>
    <x v="186"/>
    <x v="3"/>
    <x v="21"/>
    <n v="1700"/>
    <n v="1"/>
    <n v="1700"/>
    <x v="1"/>
    <n v="2040"/>
    <n v="2040"/>
  </r>
  <r>
    <s v="INV1424"/>
    <x v="186"/>
    <x v="3"/>
    <x v="29"/>
    <n v="6900"/>
    <n v="7"/>
    <n v="48300"/>
    <x v="1"/>
    <n v="8280"/>
    <n v="57960"/>
  </r>
  <r>
    <s v="INV1425"/>
    <x v="186"/>
    <x v="0"/>
    <x v="22"/>
    <n v="6000"/>
    <n v="10"/>
    <n v="60000"/>
    <x v="2"/>
    <n v="7200"/>
    <n v="72000"/>
  </r>
  <r>
    <s v="INV1426"/>
    <x v="186"/>
    <x v="1"/>
    <x v="7"/>
    <n v="5200"/>
    <n v="5"/>
    <n v="26000"/>
    <x v="2"/>
    <n v="6240"/>
    <n v="31200"/>
  </r>
  <r>
    <s v="INV2808"/>
    <x v="186"/>
    <x v="0"/>
    <x v="31"/>
    <n v="3600"/>
    <n v="7"/>
    <n v="25200"/>
    <x v="2"/>
    <n v="4320"/>
    <n v="30240"/>
  </r>
  <r>
    <s v="INV2888"/>
    <x v="186"/>
    <x v="0"/>
    <x v="31"/>
    <n v="3600"/>
    <n v="7"/>
    <n v="25200"/>
    <x v="1"/>
    <n v="4320"/>
    <n v="30240"/>
  </r>
  <r>
    <s v="INV3410"/>
    <x v="186"/>
    <x v="0"/>
    <x v="31"/>
    <n v="3600"/>
    <n v="1"/>
    <n v="3600"/>
    <x v="0"/>
    <n v="4320"/>
    <n v="4320"/>
  </r>
  <r>
    <s v="INV3457"/>
    <x v="186"/>
    <x v="0"/>
    <x v="24"/>
    <n v="1900"/>
    <n v="2"/>
    <n v="3800"/>
    <x v="1"/>
    <n v="2280"/>
    <n v="4560"/>
  </r>
  <r>
    <s v="INV3680"/>
    <x v="186"/>
    <x v="3"/>
    <x v="3"/>
    <n v="800"/>
    <n v="8"/>
    <n v="6400"/>
    <x v="0"/>
    <n v="960"/>
    <n v="7680"/>
  </r>
  <r>
    <s v="INV1427"/>
    <x v="187"/>
    <x v="2"/>
    <x v="2"/>
    <n v="2880"/>
    <n v="3"/>
    <n v="8640"/>
    <x v="1"/>
    <n v="3456"/>
    <n v="10368"/>
  </r>
  <r>
    <s v="INV1428"/>
    <x v="187"/>
    <x v="2"/>
    <x v="2"/>
    <n v="2880"/>
    <n v="5"/>
    <n v="14400"/>
    <x v="1"/>
    <n v="3456"/>
    <n v="17280"/>
  </r>
  <r>
    <s v="INV1429"/>
    <x v="187"/>
    <x v="3"/>
    <x v="21"/>
    <n v="1700"/>
    <n v="6"/>
    <n v="10200"/>
    <x v="1"/>
    <n v="2040"/>
    <n v="12240"/>
  </r>
  <r>
    <s v="INV1430"/>
    <x v="187"/>
    <x v="3"/>
    <x v="4"/>
    <n v="1200"/>
    <n v="3"/>
    <n v="3600"/>
    <x v="1"/>
    <n v="1440"/>
    <n v="4320"/>
  </r>
  <r>
    <s v="INV1431"/>
    <x v="187"/>
    <x v="3"/>
    <x v="21"/>
    <n v="1700"/>
    <n v="8"/>
    <n v="13600"/>
    <x v="1"/>
    <n v="2040"/>
    <n v="16320"/>
  </r>
  <r>
    <s v="INV1432"/>
    <x v="187"/>
    <x v="1"/>
    <x v="1"/>
    <n v="400"/>
    <n v="1"/>
    <n v="400"/>
    <x v="2"/>
    <n v="480"/>
    <n v="480"/>
  </r>
  <r>
    <s v="INV1433"/>
    <x v="187"/>
    <x v="2"/>
    <x v="30"/>
    <n v="2880"/>
    <n v="10"/>
    <n v="28800"/>
    <x v="0"/>
    <n v="3456"/>
    <n v="34560"/>
  </r>
  <r>
    <s v="INV1434"/>
    <x v="187"/>
    <x v="2"/>
    <x v="6"/>
    <n v="2880"/>
    <n v="7"/>
    <n v="20160"/>
    <x v="2"/>
    <n v="3456"/>
    <n v="24192"/>
  </r>
  <r>
    <s v="INV2989"/>
    <x v="187"/>
    <x v="4"/>
    <x v="45"/>
    <n v="120"/>
    <n v="6"/>
    <n v="720"/>
    <x v="1"/>
    <n v="144"/>
    <n v="864"/>
  </r>
  <r>
    <s v="INV2998"/>
    <x v="187"/>
    <x v="0"/>
    <x v="19"/>
    <n v="48000"/>
    <n v="4"/>
    <n v="192000"/>
    <x v="0"/>
    <n v="57600"/>
    <n v="230400"/>
  </r>
  <r>
    <s v="INV2999"/>
    <x v="187"/>
    <x v="4"/>
    <x v="45"/>
    <n v="120"/>
    <n v="10"/>
    <n v="1200"/>
    <x v="2"/>
    <n v="144"/>
    <n v="1440"/>
  </r>
  <r>
    <s v="INV3518"/>
    <x v="187"/>
    <x v="0"/>
    <x v="31"/>
    <n v="3600"/>
    <n v="6"/>
    <n v="21600"/>
    <x v="1"/>
    <n v="4320"/>
    <n v="25920"/>
  </r>
  <r>
    <s v="INV3886"/>
    <x v="187"/>
    <x v="0"/>
    <x v="9"/>
    <n v="500"/>
    <n v="7"/>
    <n v="3500"/>
    <x v="2"/>
    <n v="600"/>
    <n v="4200"/>
  </r>
  <r>
    <s v="INV1435"/>
    <x v="188"/>
    <x v="2"/>
    <x v="30"/>
    <n v="2880"/>
    <n v="4"/>
    <n v="11520"/>
    <x v="1"/>
    <n v="3456"/>
    <n v="13824"/>
  </r>
  <r>
    <s v="INV1436"/>
    <x v="188"/>
    <x v="1"/>
    <x v="1"/>
    <n v="400"/>
    <n v="3"/>
    <n v="1200"/>
    <x v="0"/>
    <n v="480"/>
    <n v="1440"/>
  </r>
  <r>
    <s v="INV1437"/>
    <x v="188"/>
    <x v="3"/>
    <x v="21"/>
    <n v="1700"/>
    <n v="8"/>
    <n v="13600"/>
    <x v="2"/>
    <n v="2040"/>
    <n v="16320"/>
  </r>
  <r>
    <s v="INV1438"/>
    <x v="188"/>
    <x v="3"/>
    <x v="3"/>
    <n v="800"/>
    <n v="9"/>
    <n v="7200"/>
    <x v="2"/>
    <n v="960"/>
    <n v="8640"/>
  </r>
  <r>
    <s v="INV1439"/>
    <x v="188"/>
    <x v="1"/>
    <x v="5"/>
    <n v="3000"/>
    <n v="9"/>
    <n v="27000"/>
    <x v="0"/>
    <n v="3600"/>
    <n v="32400"/>
  </r>
  <r>
    <s v="INV1440"/>
    <x v="188"/>
    <x v="2"/>
    <x v="2"/>
    <n v="2880"/>
    <n v="10"/>
    <n v="28800"/>
    <x v="0"/>
    <n v="3456"/>
    <n v="34560"/>
  </r>
  <r>
    <s v="INV2803"/>
    <x v="188"/>
    <x v="4"/>
    <x v="45"/>
    <n v="120"/>
    <n v="6"/>
    <n v="720"/>
    <x v="2"/>
    <n v="144"/>
    <n v="864"/>
  </r>
  <r>
    <s v="INV3563"/>
    <x v="188"/>
    <x v="0"/>
    <x v="19"/>
    <n v="48000"/>
    <n v="2"/>
    <n v="96000"/>
    <x v="1"/>
    <n v="57600"/>
    <n v="115200"/>
  </r>
  <r>
    <s v="INV3686"/>
    <x v="188"/>
    <x v="4"/>
    <x v="10"/>
    <n v="9100"/>
    <n v="2"/>
    <n v="18200"/>
    <x v="1"/>
    <n v="10920"/>
    <n v="21840"/>
  </r>
  <r>
    <s v="INV1441"/>
    <x v="189"/>
    <x v="3"/>
    <x v="3"/>
    <n v="800"/>
    <n v="1"/>
    <n v="800"/>
    <x v="2"/>
    <n v="960"/>
    <n v="960"/>
  </r>
  <r>
    <s v="INV1442"/>
    <x v="189"/>
    <x v="0"/>
    <x v="0"/>
    <n v="60000"/>
    <n v="2"/>
    <n v="120000"/>
    <x v="0"/>
    <n v="72000"/>
    <n v="144000"/>
  </r>
  <r>
    <s v="INV1443"/>
    <x v="189"/>
    <x v="2"/>
    <x v="6"/>
    <n v="2880"/>
    <n v="5"/>
    <n v="14400"/>
    <x v="2"/>
    <n v="3456"/>
    <n v="17280"/>
  </r>
  <r>
    <s v="INV1444"/>
    <x v="189"/>
    <x v="2"/>
    <x v="39"/>
    <n v="1750"/>
    <n v="4"/>
    <n v="7000"/>
    <x v="1"/>
    <n v="2100"/>
    <n v="8400"/>
  </r>
  <r>
    <s v="INV1445"/>
    <x v="189"/>
    <x v="0"/>
    <x v="0"/>
    <n v="60000"/>
    <n v="2"/>
    <n v="120000"/>
    <x v="1"/>
    <n v="72000"/>
    <n v="144000"/>
  </r>
  <r>
    <s v="INV1446"/>
    <x v="189"/>
    <x v="1"/>
    <x v="5"/>
    <n v="3000"/>
    <n v="10"/>
    <n v="30000"/>
    <x v="2"/>
    <n v="3600"/>
    <n v="36000"/>
  </r>
  <r>
    <s v="INV1447"/>
    <x v="189"/>
    <x v="0"/>
    <x v="22"/>
    <n v="6000"/>
    <n v="8"/>
    <n v="48000"/>
    <x v="2"/>
    <n v="7200"/>
    <n v="57600"/>
  </r>
  <r>
    <s v="INV1448"/>
    <x v="189"/>
    <x v="0"/>
    <x v="9"/>
    <n v="500"/>
    <n v="3"/>
    <n v="1500"/>
    <x v="0"/>
    <n v="600"/>
    <n v="1800"/>
  </r>
  <r>
    <s v="INV1449"/>
    <x v="189"/>
    <x v="0"/>
    <x v="22"/>
    <n v="6000"/>
    <n v="1"/>
    <n v="6000"/>
    <x v="1"/>
    <n v="7200"/>
    <n v="7200"/>
  </r>
  <r>
    <s v="INV1450"/>
    <x v="189"/>
    <x v="1"/>
    <x v="7"/>
    <n v="5200"/>
    <n v="1"/>
    <n v="5200"/>
    <x v="1"/>
    <n v="6240"/>
    <n v="6240"/>
  </r>
  <r>
    <s v="INV3851"/>
    <x v="189"/>
    <x v="0"/>
    <x v="31"/>
    <n v="3600"/>
    <n v="5"/>
    <n v="18000"/>
    <x v="2"/>
    <n v="4320"/>
    <n v="21600"/>
  </r>
  <r>
    <s v="INV1451"/>
    <x v="190"/>
    <x v="3"/>
    <x v="4"/>
    <n v="1200"/>
    <n v="7"/>
    <n v="8400"/>
    <x v="2"/>
    <n v="1440"/>
    <n v="10080"/>
  </r>
  <r>
    <s v="INV1452"/>
    <x v="190"/>
    <x v="3"/>
    <x v="3"/>
    <n v="800"/>
    <n v="9"/>
    <n v="7200"/>
    <x v="1"/>
    <n v="960"/>
    <n v="8640"/>
  </r>
  <r>
    <s v="INV1453"/>
    <x v="190"/>
    <x v="2"/>
    <x v="30"/>
    <n v="2880"/>
    <n v="10"/>
    <n v="28800"/>
    <x v="2"/>
    <n v="3456"/>
    <n v="34560"/>
  </r>
  <r>
    <s v="INV1454"/>
    <x v="190"/>
    <x v="1"/>
    <x v="1"/>
    <n v="400"/>
    <n v="6"/>
    <n v="2400"/>
    <x v="2"/>
    <n v="480"/>
    <n v="2880"/>
  </r>
  <r>
    <s v="INV1455"/>
    <x v="190"/>
    <x v="3"/>
    <x v="4"/>
    <n v="1200"/>
    <n v="9"/>
    <n v="10800"/>
    <x v="2"/>
    <n v="1440"/>
    <n v="12960"/>
  </r>
  <r>
    <s v="INV1456"/>
    <x v="190"/>
    <x v="3"/>
    <x v="29"/>
    <n v="6900"/>
    <n v="6"/>
    <n v="41400"/>
    <x v="2"/>
    <n v="8280"/>
    <n v="49680"/>
  </r>
  <r>
    <s v="INV3501"/>
    <x v="190"/>
    <x v="4"/>
    <x v="10"/>
    <n v="9100"/>
    <n v="3"/>
    <n v="27300"/>
    <x v="0"/>
    <n v="10920"/>
    <n v="32760"/>
  </r>
  <r>
    <s v="INV3567"/>
    <x v="190"/>
    <x v="0"/>
    <x v="8"/>
    <n v="3300"/>
    <n v="7"/>
    <n v="23100"/>
    <x v="0"/>
    <n v="3960"/>
    <n v="27720"/>
  </r>
  <r>
    <s v="INV1457"/>
    <x v="191"/>
    <x v="2"/>
    <x v="30"/>
    <n v="2880"/>
    <n v="6"/>
    <n v="17280"/>
    <x v="2"/>
    <n v="3456"/>
    <n v="20736"/>
  </r>
  <r>
    <s v="INV1458"/>
    <x v="191"/>
    <x v="2"/>
    <x v="30"/>
    <n v="2880"/>
    <n v="8"/>
    <n v="23040"/>
    <x v="1"/>
    <n v="3456"/>
    <n v="27648"/>
  </r>
  <r>
    <s v="INV1459"/>
    <x v="191"/>
    <x v="0"/>
    <x v="19"/>
    <n v="48000"/>
    <n v="2"/>
    <n v="96000"/>
    <x v="2"/>
    <n v="57600"/>
    <n v="115200"/>
  </r>
  <r>
    <s v="INV1460"/>
    <x v="191"/>
    <x v="1"/>
    <x v="5"/>
    <n v="3000"/>
    <n v="4"/>
    <n v="12000"/>
    <x v="2"/>
    <n v="3600"/>
    <n v="14400"/>
  </r>
  <r>
    <s v="INV1461"/>
    <x v="191"/>
    <x v="1"/>
    <x v="5"/>
    <n v="3000"/>
    <n v="5"/>
    <n v="15000"/>
    <x v="1"/>
    <n v="3600"/>
    <n v="18000"/>
  </r>
  <r>
    <s v="INV2790"/>
    <x v="191"/>
    <x v="0"/>
    <x v="8"/>
    <n v="3300"/>
    <n v="4"/>
    <n v="13200"/>
    <x v="0"/>
    <n v="3960"/>
    <n v="15840"/>
  </r>
  <r>
    <s v="INV2945"/>
    <x v="191"/>
    <x v="0"/>
    <x v="9"/>
    <n v="500"/>
    <n v="9"/>
    <n v="4500"/>
    <x v="2"/>
    <n v="600"/>
    <n v="5400"/>
  </r>
  <r>
    <s v="INV3354"/>
    <x v="191"/>
    <x v="0"/>
    <x v="9"/>
    <n v="500"/>
    <n v="8"/>
    <n v="4000"/>
    <x v="1"/>
    <n v="600"/>
    <n v="4800"/>
  </r>
  <r>
    <s v="INV1462"/>
    <x v="192"/>
    <x v="0"/>
    <x v="9"/>
    <n v="500"/>
    <n v="4"/>
    <n v="2000"/>
    <x v="1"/>
    <n v="600"/>
    <n v="2400"/>
  </r>
  <r>
    <s v="INV1463"/>
    <x v="192"/>
    <x v="1"/>
    <x v="5"/>
    <n v="3000"/>
    <n v="2"/>
    <n v="6000"/>
    <x v="0"/>
    <n v="3600"/>
    <n v="7200"/>
  </r>
  <r>
    <s v="INV1464"/>
    <x v="192"/>
    <x v="1"/>
    <x v="1"/>
    <n v="400"/>
    <n v="7"/>
    <n v="2800"/>
    <x v="0"/>
    <n v="480"/>
    <n v="3360"/>
  </r>
  <r>
    <s v="INV1465"/>
    <x v="192"/>
    <x v="2"/>
    <x v="2"/>
    <n v="2880"/>
    <n v="8"/>
    <n v="23040"/>
    <x v="2"/>
    <n v="3456"/>
    <n v="27648"/>
  </r>
  <r>
    <s v="INV1466"/>
    <x v="192"/>
    <x v="0"/>
    <x v="0"/>
    <n v="60000"/>
    <n v="7"/>
    <n v="420000"/>
    <x v="1"/>
    <n v="72000"/>
    <n v="504000"/>
  </r>
  <r>
    <s v="INV1467"/>
    <x v="192"/>
    <x v="2"/>
    <x v="30"/>
    <n v="2880"/>
    <n v="9"/>
    <n v="25920"/>
    <x v="1"/>
    <n v="3456"/>
    <n v="31104"/>
  </r>
  <r>
    <s v="INV1468"/>
    <x v="192"/>
    <x v="0"/>
    <x v="19"/>
    <n v="48000"/>
    <n v="2"/>
    <n v="96000"/>
    <x v="1"/>
    <n v="57600"/>
    <n v="115200"/>
  </r>
  <r>
    <s v="INV1469"/>
    <x v="192"/>
    <x v="1"/>
    <x v="5"/>
    <n v="3000"/>
    <n v="4"/>
    <n v="12000"/>
    <x v="1"/>
    <n v="3600"/>
    <n v="14400"/>
  </r>
  <r>
    <s v="INV1470"/>
    <x v="192"/>
    <x v="3"/>
    <x v="29"/>
    <n v="6900"/>
    <n v="5"/>
    <n v="34500"/>
    <x v="1"/>
    <n v="8280"/>
    <n v="41400"/>
  </r>
  <r>
    <s v="INV1471"/>
    <x v="192"/>
    <x v="2"/>
    <x v="39"/>
    <n v="1750"/>
    <n v="3"/>
    <n v="5250"/>
    <x v="0"/>
    <n v="2100"/>
    <n v="6300"/>
  </r>
  <r>
    <s v="INV3555"/>
    <x v="192"/>
    <x v="4"/>
    <x v="10"/>
    <n v="9100"/>
    <n v="7"/>
    <n v="63700"/>
    <x v="1"/>
    <n v="10920"/>
    <n v="76440"/>
  </r>
  <r>
    <s v="INV1472"/>
    <x v="193"/>
    <x v="3"/>
    <x v="21"/>
    <n v="1700"/>
    <n v="8"/>
    <n v="13600"/>
    <x v="0"/>
    <n v="2040"/>
    <n v="16320"/>
  </r>
  <r>
    <s v="INV1473"/>
    <x v="193"/>
    <x v="0"/>
    <x v="0"/>
    <n v="60000"/>
    <n v="8"/>
    <n v="480000"/>
    <x v="2"/>
    <n v="72000"/>
    <n v="576000"/>
  </r>
  <r>
    <s v="INV1474"/>
    <x v="193"/>
    <x v="1"/>
    <x v="7"/>
    <n v="5200"/>
    <n v="8"/>
    <n v="41600"/>
    <x v="2"/>
    <n v="6240"/>
    <n v="49920"/>
  </r>
  <r>
    <s v="INV1475"/>
    <x v="193"/>
    <x v="1"/>
    <x v="7"/>
    <n v="5200"/>
    <n v="3"/>
    <n v="15600"/>
    <x v="0"/>
    <n v="6240"/>
    <n v="18720"/>
  </r>
  <r>
    <s v="INV1476"/>
    <x v="193"/>
    <x v="1"/>
    <x v="1"/>
    <n v="400"/>
    <n v="3"/>
    <n v="1200"/>
    <x v="2"/>
    <n v="480"/>
    <n v="1440"/>
  </r>
  <r>
    <s v="INV3330"/>
    <x v="193"/>
    <x v="0"/>
    <x v="8"/>
    <n v="3300"/>
    <n v="6"/>
    <n v="19800"/>
    <x v="0"/>
    <n v="3960"/>
    <n v="23760"/>
  </r>
  <r>
    <s v="INV3626"/>
    <x v="193"/>
    <x v="4"/>
    <x v="45"/>
    <n v="120"/>
    <n v="9"/>
    <n v="1080"/>
    <x v="1"/>
    <n v="144"/>
    <n v="1296"/>
  </r>
  <r>
    <s v="INV1477"/>
    <x v="194"/>
    <x v="3"/>
    <x v="4"/>
    <n v="1200"/>
    <n v="8"/>
    <n v="9600"/>
    <x v="2"/>
    <n v="1440"/>
    <n v="11520"/>
  </r>
  <r>
    <s v="INV1478"/>
    <x v="194"/>
    <x v="3"/>
    <x v="4"/>
    <n v="1200"/>
    <n v="6"/>
    <n v="7200"/>
    <x v="2"/>
    <n v="1440"/>
    <n v="8640"/>
  </r>
  <r>
    <s v="INV1479"/>
    <x v="194"/>
    <x v="3"/>
    <x v="21"/>
    <n v="1700"/>
    <n v="10"/>
    <n v="17000"/>
    <x v="2"/>
    <n v="2040"/>
    <n v="20400"/>
  </r>
  <r>
    <s v="INV1480"/>
    <x v="194"/>
    <x v="3"/>
    <x v="3"/>
    <n v="800"/>
    <n v="6"/>
    <n v="4800"/>
    <x v="0"/>
    <n v="960"/>
    <n v="5760"/>
  </r>
  <r>
    <s v="INV1481"/>
    <x v="194"/>
    <x v="3"/>
    <x v="3"/>
    <n v="800"/>
    <n v="6"/>
    <n v="4800"/>
    <x v="2"/>
    <n v="960"/>
    <n v="5760"/>
  </r>
  <r>
    <s v="INV1482"/>
    <x v="194"/>
    <x v="0"/>
    <x v="0"/>
    <n v="60000"/>
    <n v="6"/>
    <n v="360000"/>
    <x v="0"/>
    <n v="72000"/>
    <n v="432000"/>
  </r>
  <r>
    <s v="INV1483"/>
    <x v="194"/>
    <x v="0"/>
    <x v="9"/>
    <n v="500"/>
    <n v="8"/>
    <n v="4000"/>
    <x v="2"/>
    <n v="600"/>
    <n v="4800"/>
  </r>
  <r>
    <s v="INV1484"/>
    <x v="194"/>
    <x v="0"/>
    <x v="19"/>
    <n v="48000"/>
    <n v="8"/>
    <n v="384000"/>
    <x v="0"/>
    <n v="57600"/>
    <n v="460800"/>
  </r>
  <r>
    <s v="INV1485"/>
    <x v="194"/>
    <x v="3"/>
    <x v="4"/>
    <n v="1200"/>
    <n v="8"/>
    <n v="9600"/>
    <x v="0"/>
    <n v="1440"/>
    <n v="11520"/>
  </r>
  <r>
    <s v="INV2932"/>
    <x v="194"/>
    <x v="0"/>
    <x v="31"/>
    <n v="3600"/>
    <n v="7"/>
    <n v="25200"/>
    <x v="0"/>
    <n v="4320"/>
    <n v="30240"/>
  </r>
  <r>
    <s v="INV3052"/>
    <x v="194"/>
    <x v="0"/>
    <x v="19"/>
    <n v="48000"/>
    <n v="6"/>
    <n v="288000"/>
    <x v="0"/>
    <n v="57600"/>
    <n v="345600"/>
  </r>
  <r>
    <s v="INV3543"/>
    <x v="194"/>
    <x v="0"/>
    <x v="31"/>
    <n v="3600"/>
    <n v="2"/>
    <n v="7200"/>
    <x v="2"/>
    <n v="4320"/>
    <n v="8640"/>
  </r>
  <r>
    <s v="INV1486"/>
    <x v="195"/>
    <x v="0"/>
    <x v="19"/>
    <n v="48000"/>
    <n v="9"/>
    <n v="432000"/>
    <x v="2"/>
    <n v="57600"/>
    <n v="518400"/>
  </r>
  <r>
    <s v="INV1487"/>
    <x v="195"/>
    <x v="1"/>
    <x v="5"/>
    <n v="3000"/>
    <n v="9"/>
    <n v="27000"/>
    <x v="2"/>
    <n v="3600"/>
    <n v="32400"/>
  </r>
  <r>
    <s v="INV1488"/>
    <x v="195"/>
    <x v="2"/>
    <x v="30"/>
    <n v="2880"/>
    <n v="6"/>
    <n v="17280"/>
    <x v="1"/>
    <n v="3456"/>
    <n v="20736"/>
  </r>
  <r>
    <s v="INV1489"/>
    <x v="195"/>
    <x v="0"/>
    <x v="9"/>
    <n v="500"/>
    <n v="9"/>
    <n v="4500"/>
    <x v="1"/>
    <n v="600"/>
    <n v="5400"/>
  </r>
  <r>
    <s v="INV1490"/>
    <x v="195"/>
    <x v="2"/>
    <x v="30"/>
    <n v="2880"/>
    <n v="1"/>
    <n v="2880"/>
    <x v="2"/>
    <n v="3456"/>
    <n v="3456"/>
  </r>
  <r>
    <s v="INV1491"/>
    <x v="195"/>
    <x v="0"/>
    <x v="19"/>
    <n v="48000"/>
    <n v="6"/>
    <n v="288000"/>
    <x v="0"/>
    <n v="57600"/>
    <n v="345600"/>
  </r>
  <r>
    <s v="INV3190"/>
    <x v="195"/>
    <x v="4"/>
    <x v="45"/>
    <n v="120"/>
    <n v="10"/>
    <n v="1200"/>
    <x v="1"/>
    <n v="144"/>
    <n v="1440"/>
  </r>
  <r>
    <s v="INV3403"/>
    <x v="195"/>
    <x v="0"/>
    <x v="24"/>
    <n v="1900"/>
    <n v="2"/>
    <n v="3800"/>
    <x v="0"/>
    <n v="2280"/>
    <n v="4560"/>
  </r>
  <r>
    <s v="INV1492"/>
    <x v="196"/>
    <x v="1"/>
    <x v="7"/>
    <n v="5200"/>
    <n v="5"/>
    <n v="26000"/>
    <x v="2"/>
    <n v="6240"/>
    <n v="31200"/>
  </r>
  <r>
    <s v="INV1493"/>
    <x v="196"/>
    <x v="0"/>
    <x v="0"/>
    <n v="60000"/>
    <n v="9"/>
    <n v="540000"/>
    <x v="2"/>
    <n v="72000"/>
    <n v="648000"/>
  </r>
  <r>
    <s v="INV1494"/>
    <x v="196"/>
    <x v="2"/>
    <x v="6"/>
    <n v="2880"/>
    <n v="4"/>
    <n v="11520"/>
    <x v="2"/>
    <n v="3456"/>
    <n v="13824"/>
  </r>
  <r>
    <s v="INV1495"/>
    <x v="196"/>
    <x v="0"/>
    <x v="22"/>
    <n v="6000"/>
    <n v="8"/>
    <n v="48000"/>
    <x v="2"/>
    <n v="7200"/>
    <n v="57600"/>
  </r>
  <r>
    <s v="INV1496"/>
    <x v="196"/>
    <x v="0"/>
    <x v="22"/>
    <n v="6000"/>
    <n v="2"/>
    <n v="12000"/>
    <x v="0"/>
    <n v="7200"/>
    <n v="14400"/>
  </r>
  <r>
    <s v="INV1497"/>
    <x v="196"/>
    <x v="1"/>
    <x v="1"/>
    <n v="400"/>
    <n v="2"/>
    <n v="800"/>
    <x v="1"/>
    <n v="480"/>
    <n v="960"/>
  </r>
  <r>
    <s v="INV1498"/>
    <x v="196"/>
    <x v="1"/>
    <x v="5"/>
    <n v="3000"/>
    <n v="2"/>
    <n v="6000"/>
    <x v="0"/>
    <n v="3600"/>
    <n v="7200"/>
  </r>
  <r>
    <s v="INV1499"/>
    <x v="196"/>
    <x v="3"/>
    <x v="3"/>
    <n v="800"/>
    <n v="8"/>
    <n v="6400"/>
    <x v="1"/>
    <n v="960"/>
    <n v="7680"/>
  </r>
  <r>
    <s v="INV1500"/>
    <x v="196"/>
    <x v="2"/>
    <x v="6"/>
    <n v="2880"/>
    <n v="7"/>
    <n v="20160"/>
    <x v="1"/>
    <n v="3456"/>
    <n v="24192"/>
  </r>
  <r>
    <s v="INV1501"/>
    <x v="196"/>
    <x v="2"/>
    <x v="30"/>
    <n v="2880"/>
    <n v="2"/>
    <n v="5760"/>
    <x v="0"/>
    <n v="3456"/>
    <n v="6912"/>
  </r>
  <r>
    <s v="INV2773"/>
    <x v="196"/>
    <x v="0"/>
    <x v="31"/>
    <n v="3600"/>
    <n v="8"/>
    <n v="28800"/>
    <x v="1"/>
    <n v="4320"/>
    <n v="34560"/>
  </r>
  <r>
    <s v="INV2802"/>
    <x v="196"/>
    <x v="4"/>
    <x v="45"/>
    <n v="120"/>
    <n v="5"/>
    <n v="600"/>
    <x v="2"/>
    <n v="144"/>
    <n v="720"/>
  </r>
  <r>
    <s v="INV3304"/>
    <x v="196"/>
    <x v="0"/>
    <x v="31"/>
    <n v="3600"/>
    <n v="8"/>
    <n v="28800"/>
    <x v="0"/>
    <n v="4320"/>
    <n v="34560"/>
  </r>
  <r>
    <s v="INV3343"/>
    <x v="196"/>
    <x v="0"/>
    <x v="19"/>
    <n v="48000"/>
    <n v="10"/>
    <n v="480000"/>
    <x v="2"/>
    <n v="57600"/>
    <n v="576000"/>
  </r>
  <r>
    <s v="INV3485"/>
    <x v="196"/>
    <x v="0"/>
    <x v="23"/>
    <n v="600"/>
    <n v="4"/>
    <n v="2400"/>
    <x v="1"/>
    <n v="720"/>
    <n v="2880"/>
  </r>
  <r>
    <s v="INV1502"/>
    <x v="197"/>
    <x v="1"/>
    <x v="7"/>
    <n v="5200"/>
    <n v="4"/>
    <n v="20800"/>
    <x v="0"/>
    <n v="6240"/>
    <n v="24960"/>
  </r>
  <r>
    <s v="INV1503"/>
    <x v="197"/>
    <x v="0"/>
    <x v="0"/>
    <n v="60000"/>
    <n v="1"/>
    <n v="60000"/>
    <x v="0"/>
    <n v="72000"/>
    <n v="72000"/>
  </r>
  <r>
    <s v="INV1504"/>
    <x v="197"/>
    <x v="1"/>
    <x v="7"/>
    <n v="5200"/>
    <n v="9"/>
    <n v="46800"/>
    <x v="2"/>
    <n v="6240"/>
    <n v="56160"/>
  </r>
  <r>
    <s v="INV1505"/>
    <x v="197"/>
    <x v="2"/>
    <x v="2"/>
    <n v="2880"/>
    <n v="2"/>
    <n v="5760"/>
    <x v="0"/>
    <n v="3456"/>
    <n v="6912"/>
  </r>
  <r>
    <s v="INV1506"/>
    <x v="197"/>
    <x v="2"/>
    <x v="2"/>
    <n v="2880"/>
    <n v="5"/>
    <n v="14400"/>
    <x v="2"/>
    <n v="3456"/>
    <n v="17280"/>
  </r>
  <r>
    <s v="INV1507"/>
    <x v="197"/>
    <x v="1"/>
    <x v="5"/>
    <n v="3000"/>
    <n v="4"/>
    <n v="12000"/>
    <x v="2"/>
    <n v="3600"/>
    <n v="14400"/>
  </r>
  <r>
    <s v="INV2894"/>
    <x v="197"/>
    <x v="4"/>
    <x v="10"/>
    <n v="9100"/>
    <n v="8"/>
    <n v="72800"/>
    <x v="2"/>
    <n v="10920"/>
    <n v="87360"/>
  </r>
  <r>
    <s v="INV3165"/>
    <x v="197"/>
    <x v="3"/>
    <x v="3"/>
    <n v="800"/>
    <n v="9"/>
    <n v="7200"/>
    <x v="1"/>
    <n v="960"/>
    <n v="8640"/>
  </r>
  <r>
    <s v="INV1508"/>
    <x v="198"/>
    <x v="2"/>
    <x v="2"/>
    <n v="2880"/>
    <n v="10"/>
    <n v="28800"/>
    <x v="0"/>
    <n v="3456"/>
    <n v="34560"/>
  </r>
  <r>
    <s v="INV1509"/>
    <x v="198"/>
    <x v="0"/>
    <x v="19"/>
    <n v="48000"/>
    <n v="9"/>
    <n v="432000"/>
    <x v="2"/>
    <n v="57600"/>
    <n v="518400"/>
  </r>
  <r>
    <s v="INV1510"/>
    <x v="198"/>
    <x v="0"/>
    <x v="9"/>
    <n v="500"/>
    <n v="6"/>
    <n v="3000"/>
    <x v="0"/>
    <n v="600"/>
    <n v="3600"/>
  </r>
  <r>
    <s v="INV1511"/>
    <x v="198"/>
    <x v="3"/>
    <x v="3"/>
    <n v="800"/>
    <n v="4"/>
    <n v="3200"/>
    <x v="2"/>
    <n v="960"/>
    <n v="3840"/>
  </r>
  <r>
    <s v="INV1512"/>
    <x v="198"/>
    <x v="1"/>
    <x v="1"/>
    <n v="400"/>
    <n v="1"/>
    <n v="400"/>
    <x v="2"/>
    <n v="480"/>
    <n v="480"/>
  </r>
  <r>
    <s v="INV1513"/>
    <x v="198"/>
    <x v="3"/>
    <x v="29"/>
    <n v="6900"/>
    <n v="5"/>
    <n v="34500"/>
    <x v="0"/>
    <n v="8280"/>
    <n v="41400"/>
  </r>
  <r>
    <s v="INV1514"/>
    <x v="198"/>
    <x v="1"/>
    <x v="7"/>
    <n v="5200"/>
    <n v="1"/>
    <n v="5200"/>
    <x v="1"/>
    <n v="6240"/>
    <n v="6240"/>
  </r>
  <r>
    <s v="INV3090"/>
    <x v="198"/>
    <x v="0"/>
    <x v="9"/>
    <n v="500"/>
    <n v="1"/>
    <n v="500"/>
    <x v="1"/>
    <n v="600"/>
    <n v="600"/>
  </r>
  <r>
    <s v="INV3392"/>
    <x v="198"/>
    <x v="0"/>
    <x v="23"/>
    <n v="600"/>
    <n v="10"/>
    <n v="6000"/>
    <x v="0"/>
    <n v="720"/>
    <n v="7200"/>
  </r>
  <r>
    <s v="INV3821"/>
    <x v="198"/>
    <x v="4"/>
    <x v="10"/>
    <n v="9100"/>
    <n v="7"/>
    <n v="63700"/>
    <x v="0"/>
    <n v="10920"/>
    <n v="76440"/>
  </r>
  <r>
    <s v="INV3858"/>
    <x v="198"/>
    <x v="0"/>
    <x v="31"/>
    <n v="3600"/>
    <n v="4"/>
    <n v="14400"/>
    <x v="0"/>
    <n v="4320"/>
    <n v="17280"/>
  </r>
  <r>
    <s v="INV1515"/>
    <x v="199"/>
    <x v="1"/>
    <x v="7"/>
    <n v="5200"/>
    <n v="3"/>
    <n v="15600"/>
    <x v="2"/>
    <n v="6240"/>
    <n v="18720"/>
  </r>
  <r>
    <s v="INV1516"/>
    <x v="199"/>
    <x v="1"/>
    <x v="1"/>
    <n v="400"/>
    <n v="2"/>
    <n v="800"/>
    <x v="2"/>
    <n v="480"/>
    <n v="960"/>
  </r>
  <r>
    <s v="INV1517"/>
    <x v="199"/>
    <x v="3"/>
    <x v="3"/>
    <n v="800"/>
    <n v="8"/>
    <n v="6400"/>
    <x v="1"/>
    <n v="960"/>
    <n v="7680"/>
  </r>
  <r>
    <s v="INV1518"/>
    <x v="199"/>
    <x v="1"/>
    <x v="5"/>
    <n v="3000"/>
    <n v="9"/>
    <n v="27000"/>
    <x v="2"/>
    <n v="3600"/>
    <n v="32400"/>
  </r>
  <r>
    <s v="INV1519"/>
    <x v="199"/>
    <x v="3"/>
    <x v="3"/>
    <n v="800"/>
    <n v="6"/>
    <n v="4800"/>
    <x v="1"/>
    <n v="960"/>
    <n v="5760"/>
  </r>
  <r>
    <s v="INV1520"/>
    <x v="199"/>
    <x v="0"/>
    <x v="9"/>
    <n v="500"/>
    <n v="5"/>
    <n v="2500"/>
    <x v="1"/>
    <n v="600"/>
    <n v="3000"/>
  </r>
  <r>
    <s v="INV1521"/>
    <x v="199"/>
    <x v="0"/>
    <x v="9"/>
    <n v="500"/>
    <n v="5"/>
    <n v="2500"/>
    <x v="1"/>
    <n v="600"/>
    <n v="3000"/>
  </r>
  <r>
    <s v="INV1522"/>
    <x v="199"/>
    <x v="3"/>
    <x v="21"/>
    <n v="1700"/>
    <n v="3"/>
    <n v="5100"/>
    <x v="2"/>
    <n v="2040"/>
    <n v="6120"/>
  </r>
  <r>
    <s v="INV2768"/>
    <x v="199"/>
    <x v="0"/>
    <x v="8"/>
    <n v="3300"/>
    <n v="1"/>
    <n v="3300"/>
    <x v="2"/>
    <n v="3960"/>
    <n v="3960"/>
  </r>
  <r>
    <s v="INV3373"/>
    <x v="199"/>
    <x v="0"/>
    <x v="8"/>
    <n v="3300"/>
    <n v="2"/>
    <n v="6600"/>
    <x v="1"/>
    <n v="3960"/>
    <n v="7920"/>
  </r>
  <r>
    <s v="INV3420"/>
    <x v="199"/>
    <x v="0"/>
    <x v="24"/>
    <n v="1900"/>
    <n v="6"/>
    <n v="11400"/>
    <x v="0"/>
    <n v="2280"/>
    <n v="13680"/>
  </r>
  <r>
    <s v="INV3597"/>
    <x v="199"/>
    <x v="0"/>
    <x v="19"/>
    <n v="48000"/>
    <n v="7"/>
    <n v="336000"/>
    <x v="2"/>
    <n v="57600"/>
    <n v="403200"/>
  </r>
  <r>
    <s v="INV3882"/>
    <x v="199"/>
    <x v="0"/>
    <x v="23"/>
    <n v="600"/>
    <n v="7"/>
    <n v="4200"/>
    <x v="0"/>
    <n v="720"/>
    <n v="5040"/>
  </r>
  <r>
    <s v="INV1523"/>
    <x v="200"/>
    <x v="0"/>
    <x v="22"/>
    <n v="6000"/>
    <n v="10"/>
    <n v="60000"/>
    <x v="0"/>
    <n v="7200"/>
    <n v="72000"/>
  </r>
  <r>
    <s v="INV1524"/>
    <x v="200"/>
    <x v="1"/>
    <x v="1"/>
    <n v="400"/>
    <n v="4"/>
    <n v="1600"/>
    <x v="2"/>
    <n v="480"/>
    <n v="1920"/>
  </r>
  <r>
    <s v="INV1525"/>
    <x v="200"/>
    <x v="1"/>
    <x v="1"/>
    <n v="400"/>
    <n v="2"/>
    <n v="800"/>
    <x v="0"/>
    <n v="480"/>
    <n v="960"/>
  </r>
  <r>
    <s v="INV1526"/>
    <x v="200"/>
    <x v="1"/>
    <x v="5"/>
    <n v="3000"/>
    <n v="1"/>
    <n v="3000"/>
    <x v="1"/>
    <n v="3600"/>
    <n v="3600"/>
  </r>
  <r>
    <s v="INV1527"/>
    <x v="200"/>
    <x v="1"/>
    <x v="1"/>
    <n v="400"/>
    <n v="10"/>
    <n v="4000"/>
    <x v="0"/>
    <n v="480"/>
    <n v="4800"/>
  </r>
  <r>
    <s v="INV1528"/>
    <x v="200"/>
    <x v="3"/>
    <x v="3"/>
    <n v="800"/>
    <n v="7"/>
    <n v="5600"/>
    <x v="1"/>
    <n v="960"/>
    <n v="6720"/>
  </r>
  <r>
    <s v="INV1529"/>
    <x v="200"/>
    <x v="1"/>
    <x v="1"/>
    <n v="400"/>
    <n v="10"/>
    <n v="4000"/>
    <x v="2"/>
    <n v="480"/>
    <n v="4800"/>
  </r>
  <r>
    <s v="INV1530"/>
    <x v="200"/>
    <x v="0"/>
    <x v="22"/>
    <n v="6000"/>
    <n v="9"/>
    <n v="54000"/>
    <x v="2"/>
    <n v="7200"/>
    <n v="64800"/>
  </r>
  <r>
    <s v="INV3335"/>
    <x v="200"/>
    <x v="0"/>
    <x v="24"/>
    <n v="1900"/>
    <n v="9"/>
    <n v="17100"/>
    <x v="2"/>
    <n v="2280"/>
    <n v="20520"/>
  </r>
  <r>
    <s v="INV1531"/>
    <x v="201"/>
    <x v="2"/>
    <x v="39"/>
    <n v="1750"/>
    <n v="5"/>
    <n v="8750"/>
    <x v="2"/>
    <n v="2100"/>
    <n v="10500"/>
  </r>
  <r>
    <s v="INV1532"/>
    <x v="201"/>
    <x v="0"/>
    <x v="9"/>
    <n v="500"/>
    <n v="6"/>
    <n v="3000"/>
    <x v="1"/>
    <n v="600"/>
    <n v="3600"/>
  </r>
  <r>
    <s v="INV1533"/>
    <x v="201"/>
    <x v="2"/>
    <x v="30"/>
    <n v="2880"/>
    <n v="10"/>
    <n v="28800"/>
    <x v="2"/>
    <n v="3456"/>
    <n v="34560"/>
  </r>
  <r>
    <s v="INV1534"/>
    <x v="201"/>
    <x v="3"/>
    <x v="4"/>
    <n v="1200"/>
    <n v="3"/>
    <n v="3600"/>
    <x v="0"/>
    <n v="1440"/>
    <n v="4320"/>
  </r>
  <r>
    <s v="INV1535"/>
    <x v="201"/>
    <x v="3"/>
    <x v="3"/>
    <n v="800"/>
    <n v="7"/>
    <n v="5600"/>
    <x v="0"/>
    <n v="960"/>
    <n v="6720"/>
  </r>
  <r>
    <s v="INV1536"/>
    <x v="201"/>
    <x v="2"/>
    <x v="2"/>
    <n v="2880"/>
    <n v="6"/>
    <n v="17280"/>
    <x v="1"/>
    <n v="3456"/>
    <n v="20736"/>
  </r>
  <r>
    <s v="INV3733"/>
    <x v="201"/>
    <x v="3"/>
    <x v="21"/>
    <n v="1700"/>
    <n v="1"/>
    <n v="1700"/>
    <x v="0"/>
    <n v="2040"/>
    <n v="2040"/>
  </r>
  <r>
    <s v="INV1537"/>
    <x v="202"/>
    <x v="1"/>
    <x v="7"/>
    <n v="5200"/>
    <n v="7"/>
    <n v="36400"/>
    <x v="2"/>
    <n v="6240"/>
    <n v="43680"/>
  </r>
  <r>
    <s v="INV1538"/>
    <x v="202"/>
    <x v="1"/>
    <x v="7"/>
    <n v="5200"/>
    <n v="8"/>
    <n v="41600"/>
    <x v="2"/>
    <n v="6240"/>
    <n v="49920"/>
  </r>
  <r>
    <s v="INV1539"/>
    <x v="202"/>
    <x v="2"/>
    <x v="6"/>
    <n v="2880"/>
    <n v="3"/>
    <n v="8640"/>
    <x v="0"/>
    <n v="3456"/>
    <n v="10368"/>
  </r>
  <r>
    <s v="INV1540"/>
    <x v="202"/>
    <x v="3"/>
    <x v="3"/>
    <n v="800"/>
    <n v="9"/>
    <n v="7200"/>
    <x v="1"/>
    <n v="960"/>
    <n v="8640"/>
  </r>
  <r>
    <s v="INV1541"/>
    <x v="202"/>
    <x v="0"/>
    <x v="0"/>
    <n v="60000"/>
    <n v="10"/>
    <n v="600000"/>
    <x v="0"/>
    <n v="72000"/>
    <n v="720000"/>
  </r>
  <r>
    <s v="INV1542"/>
    <x v="202"/>
    <x v="2"/>
    <x v="6"/>
    <n v="2880"/>
    <n v="1"/>
    <n v="2880"/>
    <x v="0"/>
    <n v="3456"/>
    <n v="3456"/>
  </r>
  <r>
    <s v="INV1543"/>
    <x v="202"/>
    <x v="2"/>
    <x v="2"/>
    <n v="2880"/>
    <n v="10"/>
    <n v="28800"/>
    <x v="2"/>
    <n v="3456"/>
    <n v="34560"/>
  </r>
  <r>
    <s v="INV1544"/>
    <x v="202"/>
    <x v="0"/>
    <x v="19"/>
    <n v="48000"/>
    <n v="1"/>
    <n v="48000"/>
    <x v="2"/>
    <n v="57600"/>
    <n v="57600"/>
  </r>
  <r>
    <s v="INV1545"/>
    <x v="202"/>
    <x v="0"/>
    <x v="0"/>
    <n v="60000"/>
    <n v="1"/>
    <n v="60000"/>
    <x v="2"/>
    <n v="72000"/>
    <n v="72000"/>
  </r>
  <r>
    <s v="INV2934"/>
    <x v="202"/>
    <x v="4"/>
    <x v="10"/>
    <n v="9100"/>
    <n v="9"/>
    <n v="81900"/>
    <x v="1"/>
    <n v="10920"/>
    <n v="98280"/>
  </r>
  <r>
    <s v="INV3188"/>
    <x v="202"/>
    <x v="4"/>
    <x v="45"/>
    <n v="120"/>
    <n v="6"/>
    <n v="720"/>
    <x v="1"/>
    <n v="144"/>
    <n v="864"/>
  </r>
  <r>
    <s v="INV3589"/>
    <x v="202"/>
    <x v="0"/>
    <x v="24"/>
    <n v="1900"/>
    <n v="2"/>
    <n v="3800"/>
    <x v="0"/>
    <n v="2280"/>
    <n v="4560"/>
  </r>
  <r>
    <s v="INV1546"/>
    <x v="203"/>
    <x v="0"/>
    <x v="0"/>
    <n v="60000"/>
    <n v="4"/>
    <n v="240000"/>
    <x v="2"/>
    <n v="72000"/>
    <n v="288000"/>
  </r>
  <r>
    <s v="INV1547"/>
    <x v="203"/>
    <x v="0"/>
    <x v="0"/>
    <n v="60000"/>
    <n v="7"/>
    <n v="420000"/>
    <x v="2"/>
    <n v="72000"/>
    <n v="504000"/>
  </r>
  <r>
    <s v="INV1548"/>
    <x v="203"/>
    <x v="2"/>
    <x v="39"/>
    <n v="1750"/>
    <n v="1"/>
    <n v="1750"/>
    <x v="2"/>
    <n v="2100"/>
    <n v="2100"/>
  </r>
  <r>
    <s v="INV1549"/>
    <x v="203"/>
    <x v="0"/>
    <x v="0"/>
    <n v="60000"/>
    <n v="3"/>
    <n v="180000"/>
    <x v="1"/>
    <n v="72000"/>
    <n v="216000"/>
  </r>
  <r>
    <s v="INV1550"/>
    <x v="203"/>
    <x v="0"/>
    <x v="22"/>
    <n v="6000"/>
    <n v="4"/>
    <n v="24000"/>
    <x v="1"/>
    <n v="7200"/>
    <n v="28800"/>
  </r>
  <r>
    <s v="INV1551"/>
    <x v="203"/>
    <x v="1"/>
    <x v="5"/>
    <n v="3000"/>
    <n v="2"/>
    <n v="6000"/>
    <x v="0"/>
    <n v="3600"/>
    <n v="7200"/>
  </r>
  <r>
    <s v="INV1552"/>
    <x v="203"/>
    <x v="0"/>
    <x v="0"/>
    <n v="60000"/>
    <n v="3"/>
    <n v="180000"/>
    <x v="2"/>
    <n v="72000"/>
    <n v="216000"/>
  </r>
  <r>
    <s v="INV1553"/>
    <x v="203"/>
    <x v="0"/>
    <x v="19"/>
    <n v="48000"/>
    <n v="9"/>
    <n v="432000"/>
    <x v="0"/>
    <n v="57600"/>
    <n v="518400"/>
  </r>
  <r>
    <s v="INV1554"/>
    <x v="203"/>
    <x v="1"/>
    <x v="5"/>
    <n v="3000"/>
    <n v="6"/>
    <n v="18000"/>
    <x v="0"/>
    <n v="3600"/>
    <n v="21600"/>
  </r>
  <r>
    <s v="INV1555"/>
    <x v="203"/>
    <x v="1"/>
    <x v="5"/>
    <n v="3000"/>
    <n v="2"/>
    <n v="6000"/>
    <x v="1"/>
    <n v="3600"/>
    <n v="7200"/>
  </r>
  <r>
    <s v="INV3221"/>
    <x v="203"/>
    <x v="0"/>
    <x v="31"/>
    <n v="3600"/>
    <n v="9"/>
    <n v="32400"/>
    <x v="1"/>
    <n v="4320"/>
    <n v="38880"/>
  </r>
  <r>
    <s v="INV3320"/>
    <x v="203"/>
    <x v="0"/>
    <x v="23"/>
    <n v="600"/>
    <n v="2"/>
    <n v="1200"/>
    <x v="1"/>
    <n v="720"/>
    <n v="1440"/>
  </r>
  <r>
    <s v="INV3390"/>
    <x v="203"/>
    <x v="0"/>
    <x v="19"/>
    <n v="48000"/>
    <n v="7"/>
    <n v="336000"/>
    <x v="0"/>
    <n v="57600"/>
    <n v="403200"/>
  </r>
  <r>
    <s v="INV3841"/>
    <x v="203"/>
    <x v="3"/>
    <x v="21"/>
    <n v="1700"/>
    <n v="7"/>
    <n v="11900"/>
    <x v="1"/>
    <n v="2040"/>
    <n v="14280"/>
  </r>
  <r>
    <s v="INV1556"/>
    <x v="204"/>
    <x v="0"/>
    <x v="9"/>
    <n v="500"/>
    <n v="7"/>
    <n v="3500"/>
    <x v="0"/>
    <n v="600"/>
    <n v="4200"/>
  </r>
  <r>
    <s v="INV1557"/>
    <x v="204"/>
    <x v="3"/>
    <x v="29"/>
    <n v="6900"/>
    <n v="4"/>
    <n v="27600"/>
    <x v="0"/>
    <n v="8280"/>
    <n v="33120"/>
  </r>
  <r>
    <s v="INV1558"/>
    <x v="204"/>
    <x v="2"/>
    <x v="6"/>
    <n v="2880"/>
    <n v="7"/>
    <n v="20160"/>
    <x v="1"/>
    <n v="3456"/>
    <n v="24192"/>
  </r>
  <r>
    <s v="INV1559"/>
    <x v="204"/>
    <x v="0"/>
    <x v="9"/>
    <n v="500"/>
    <n v="5"/>
    <n v="2500"/>
    <x v="0"/>
    <n v="600"/>
    <n v="3000"/>
  </r>
  <r>
    <s v="INV1560"/>
    <x v="204"/>
    <x v="1"/>
    <x v="5"/>
    <n v="3000"/>
    <n v="3"/>
    <n v="9000"/>
    <x v="0"/>
    <n v="3600"/>
    <n v="10800"/>
  </r>
  <r>
    <s v="INV3711"/>
    <x v="204"/>
    <x v="0"/>
    <x v="9"/>
    <n v="500"/>
    <n v="2"/>
    <n v="1000"/>
    <x v="1"/>
    <n v="600"/>
    <n v="1200"/>
  </r>
  <r>
    <s v="INV1561"/>
    <x v="205"/>
    <x v="2"/>
    <x v="6"/>
    <n v="2880"/>
    <n v="10"/>
    <n v="28800"/>
    <x v="0"/>
    <n v="3456"/>
    <n v="34560"/>
  </r>
  <r>
    <s v="INV1562"/>
    <x v="205"/>
    <x v="1"/>
    <x v="1"/>
    <n v="400"/>
    <n v="2"/>
    <n v="800"/>
    <x v="2"/>
    <n v="480"/>
    <n v="960"/>
  </r>
  <r>
    <s v="INV1563"/>
    <x v="205"/>
    <x v="3"/>
    <x v="3"/>
    <n v="800"/>
    <n v="3"/>
    <n v="2400"/>
    <x v="0"/>
    <n v="960"/>
    <n v="2880"/>
  </r>
  <r>
    <s v="INV1564"/>
    <x v="205"/>
    <x v="0"/>
    <x v="22"/>
    <n v="6000"/>
    <n v="9"/>
    <n v="54000"/>
    <x v="0"/>
    <n v="7200"/>
    <n v="64800"/>
  </r>
  <r>
    <s v="INV1565"/>
    <x v="205"/>
    <x v="3"/>
    <x v="3"/>
    <n v="800"/>
    <n v="2"/>
    <n v="1600"/>
    <x v="0"/>
    <n v="960"/>
    <n v="1920"/>
  </r>
  <r>
    <s v="INV3336"/>
    <x v="205"/>
    <x v="0"/>
    <x v="31"/>
    <n v="3600"/>
    <n v="9"/>
    <n v="32400"/>
    <x v="2"/>
    <n v="4320"/>
    <n v="38880"/>
  </r>
  <r>
    <s v="INV3681"/>
    <x v="205"/>
    <x v="0"/>
    <x v="9"/>
    <n v="500"/>
    <n v="4"/>
    <n v="2000"/>
    <x v="2"/>
    <n v="600"/>
    <n v="2400"/>
  </r>
  <r>
    <s v="INV3915"/>
    <x v="205"/>
    <x v="4"/>
    <x v="45"/>
    <n v="120"/>
    <n v="5"/>
    <n v="600"/>
    <x v="0"/>
    <n v="144"/>
    <n v="720"/>
  </r>
  <r>
    <s v="INV3940"/>
    <x v="205"/>
    <x v="0"/>
    <x v="24"/>
    <n v="1900"/>
    <n v="3"/>
    <n v="5700"/>
    <x v="0"/>
    <n v="2280"/>
    <n v="6840"/>
  </r>
  <r>
    <s v="INV1566"/>
    <x v="206"/>
    <x v="1"/>
    <x v="7"/>
    <n v="5200"/>
    <n v="8"/>
    <n v="41600"/>
    <x v="2"/>
    <n v="6240"/>
    <n v="49920"/>
  </r>
  <r>
    <s v="INV1567"/>
    <x v="206"/>
    <x v="1"/>
    <x v="5"/>
    <n v="3000"/>
    <n v="10"/>
    <n v="30000"/>
    <x v="2"/>
    <n v="3600"/>
    <n v="36000"/>
  </r>
  <r>
    <s v="INV1568"/>
    <x v="206"/>
    <x v="1"/>
    <x v="1"/>
    <n v="400"/>
    <n v="2"/>
    <n v="800"/>
    <x v="0"/>
    <n v="480"/>
    <n v="960"/>
  </r>
  <r>
    <s v="INV1569"/>
    <x v="206"/>
    <x v="1"/>
    <x v="5"/>
    <n v="3000"/>
    <n v="3"/>
    <n v="9000"/>
    <x v="2"/>
    <n v="3600"/>
    <n v="10800"/>
  </r>
  <r>
    <s v="INV1570"/>
    <x v="206"/>
    <x v="2"/>
    <x v="2"/>
    <n v="2880"/>
    <n v="8"/>
    <n v="23040"/>
    <x v="0"/>
    <n v="3456"/>
    <n v="27648"/>
  </r>
  <r>
    <s v="INV1571"/>
    <x v="206"/>
    <x v="0"/>
    <x v="22"/>
    <n v="6000"/>
    <n v="8"/>
    <n v="48000"/>
    <x v="0"/>
    <n v="7200"/>
    <n v="57600"/>
  </r>
  <r>
    <s v="INV1572"/>
    <x v="206"/>
    <x v="3"/>
    <x v="3"/>
    <n v="800"/>
    <n v="10"/>
    <n v="8000"/>
    <x v="0"/>
    <n v="960"/>
    <n v="9600"/>
  </r>
  <r>
    <s v="INV1573"/>
    <x v="206"/>
    <x v="0"/>
    <x v="22"/>
    <n v="6000"/>
    <n v="1"/>
    <n v="6000"/>
    <x v="1"/>
    <n v="7200"/>
    <n v="7200"/>
  </r>
  <r>
    <s v="INV1574"/>
    <x v="206"/>
    <x v="0"/>
    <x v="22"/>
    <n v="6000"/>
    <n v="2"/>
    <n v="12000"/>
    <x v="0"/>
    <n v="7200"/>
    <n v="14400"/>
  </r>
  <r>
    <s v="INV1575"/>
    <x v="206"/>
    <x v="0"/>
    <x v="9"/>
    <n v="500"/>
    <n v="8"/>
    <n v="4000"/>
    <x v="1"/>
    <n v="600"/>
    <n v="4800"/>
  </r>
  <r>
    <s v="INV3054"/>
    <x v="206"/>
    <x v="0"/>
    <x v="19"/>
    <n v="48000"/>
    <n v="9"/>
    <n v="432000"/>
    <x v="0"/>
    <n v="57600"/>
    <n v="518400"/>
  </r>
  <r>
    <s v="INV3109"/>
    <x v="206"/>
    <x v="0"/>
    <x v="8"/>
    <n v="3300"/>
    <n v="7"/>
    <n v="23100"/>
    <x v="2"/>
    <n v="3960"/>
    <n v="27720"/>
  </r>
  <r>
    <s v="INV3217"/>
    <x v="206"/>
    <x v="0"/>
    <x v="31"/>
    <n v="3600"/>
    <n v="2"/>
    <n v="7200"/>
    <x v="0"/>
    <n v="4320"/>
    <n v="8640"/>
  </r>
  <r>
    <s v="INV3488"/>
    <x v="206"/>
    <x v="0"/>
    <x v="9"/>
    <n v="500"/>
    <n v="8"/>
    <n v="4000"/>
    <x v="0"/>
    <n v="600"/>
    <n v="4800"/>
  </r>
  <r>
    <s v="INV3796"/>
    <x v="206"/>
    <x v="0"/>
    <x v="8"/>
    <n v="3300"/>
    <n v="4"/>
    <n v="13200"/>
    <x v="2"/>
    <n v="3960"/>
    <n v="15840"/>
  </r>
  <r>
    <s v="INV1576"/>
    <x v="207"/>
    <x v="0"/>
    <x v="9"/>
    <n v="500"/>
    <n v="2"/>
    <n v="1000"/>
    <x v="2"/>
    <n v="600"/>
    <n v="1200"/>
  </r>
  <r>
    <s v="INV1577"/>
    <x v="207"/>
    <x v="0"/>
    <x v="0"/>
    <n v="60000"/>
    <n v="7"/>
    <n v="420000"/>
    <x v="2"/>
    <n v="72000"/>
    <n v="504000"/>
  </r>
  <r>
    <s v="INV1578"/>
    <x v="207"/>
    <x v="0"/>
    <x v="9"/>
    <n v="500"/>
    <n v="6"/>
    <n v="3000"/>
    <x v="0"/>
    <n v="600"/>
    <n v="3600"/>
  </r>
  <r>
    <s v="INV1579"/>
    <x v="207"/>
    <x v="0"/>
    <x v="22"/>
    <n v="6000"/>
    <n v="9"/>
    <n v="54000"/>
    <x v="2"/>
    <n v="7200"/>
    <n v="64800"/>
  </r>
  <r>
    <s v="INV1580"/>
    <x v="207"/>
    <x v="3"/>
    <x v="21"/>
    <n v="1700"/>
    <n v="3"/>
    <n v="5100"/>
    <x v="1"/>
    <n v="2040"/>
    <n v="6120"/>
  </r>
  <r>
    <s v="INV1581"/>
    <x v="207"/>
    <x v="2"/>
    <x v="30"/>
    <n v="2880"/>
    <n v="2"/>
    <n v="5760"/>
    <x v="1"/>
    <n v="3456"/>
    <n v="6912"/>
  </r>
  <r>
    <s v="INV1582"/>
    <x v="207"/>
    <x v="0"/>
    <x v="19"/>
    <n v="48000"/>
    <n v="8"/>
    <n v="384000"/>
    <x v="0"/>
    <n v="57600"/>
    <n v="460800"/>
  </r>
  <r>
    <s v="INV3923"/>
    <x v="207"/>
    <x v="0"/>
    <x v="23"/>
    <n v="600"/>
    <n v="5"/>
    <n v="3000"/>
    <x v="1"/>
    <n v="720"/>
    <n v="3600"/>
  </r>
  <r>
    <s v="INV1583"/>
    <x v="208"/>
    <x v="2"/>
    <x v="30"/>
    <n v="2880"/>
    <n v="5"/>
    <n v="14400"/>
    <x v="1"/>
    <n v="3456"/>
    <n v="17280"/>
  </r>
  <r>
    <s v="INV1584"/>
    <x v="208"/>
    <x v="3"/>
    <x v="4"/>
    <n v="1200"/>
    <n v="4"/>
    <n v="4800"/>
    <x v="0"/>
    <n v="1440"/>
    <n v="5760"/>
  </r>
  <r>
    <s v="INV1585"/>
    <x v="208"/>
    <x v="0"/>
    <x v="22"/>
    <n v="6000"/>
    <n v="9"/>
    <n v="54000"/>
    <x v="1"/>
    <n v="7200"/>
    <n v="64800"/>
  </r>
  <r>
    <s v="INV1586"/>
    <x v="208"/>
    <x v="1"/>
    <x v="5"/>
    <n v="3000"/>
    <n v="1"/>
    <n v="3000"/>
    <x v="1"/>
    <n v="3600"/>
    <n v="3600"/>
  </r>
  <r>
    <s v="INV1587"/>
    <x v="208"/>
    <x v="0"/>
    <x v="0"/>
    <n v="60000"/>
    <n v="7"/>
    <n v="420000"/>
    <x v="1"/>
    <n v="72000"/>
    <n v="504000"/>
  </r>
  <r>
    <s v="INV1588"/>
    <x v="208"/>
    <x v="2"/>
    <x v="6"/>
    <n v="2880"/>
    <n v="9"/>
    <n v="25920"/>
    <x v="1"/>
    <n v="3456"/>
    <n v="31104"/>
  </r>
  <r>
    <s v="INV1589"/>
    <x v="208"/>
    <x v="3"/>
    <x v="21"/>
    <n v="1700"/>
    <n v="10"/>
    <n v="17000"/>
    <x v="1"/>
    <n v="2040"/>
    <n v="20400"/>
  </r>
  <r>
    <s v="INV1590"/>
    <x v="208"/>
    <x v="2"/>
    <x v="6"/>
    <n v="2880"/>
    <n v="10"/>
    <n v="28800"/>
    <x v="1"/>
    <n v="3456"/>
    <n v="34560"/>
  </r>
  <r>
    <s v="INV1591"/>
    <x v="208"/>
    <x v="2"/>
    <x v="39"/>
    <n v="1750"/>
    <n v="1"/>
    <n v="1750"/>
    <x v="1"/>
    <n v="2100"/>
    <n v="2100"/>
  </r>
  <r>
    <s v="INV3487"/>
    <x v="208"/>
    <x v="0"/>
    <x v="8"/>
    <n v="3300"/>
    <n v="8"/>
    <n v="26400"/>
    <x v="1"/>
    <n v="3960"/>
    <n v="31680"/>
  </r>
  <r>
    <s v="INV1592"/>
    <x v="209"/>
    <x v="0"/>
    <x v="22"/>
    <n v="6000"/>
    <n v="5"/>
    <n v="30000"/>
    <x v="1"/>
    <n v="7200"/>
    <n v="36000"/>
  </r>
  <r>
    <s v="INV1593"/>
    <x v="209"/>
    <x v="1"/>
    <x v="5"/>
    <n v="3000"/>
    <n v="6"/>
    <n v="18000"/>
    <x v="0"/>
    <n v="3600"/>
    <n v="21600"/>
  </r>
  <r>
    <s v="INV1594"/>
    <x v="209"/>
    <x v="3"/>
    <x v="21"/>
    <n v="1700"/>
    <n v="4"/>
    <n v="6800"/>
    <x v="2"/>
    <n v="2040"/>
    <n v="8160"/>
  </r>
  <r>
    <s v="INV1595"/>
    <x v="209"/>
    <x v="1"/>
    <x v="5"/>
    <n v="3000"/>
    <n v="2"/>
    <n v="6000"/>
    <x v="0"/>
    <n v="3600"/>
    <n v="7200"/>
  </r>
  <r>
    <s v="INV1596"/>
    <x v="209"/>
    <x v="0"/>
    <x v="0"/>
    <n v="60000"/>
    <n v="3"/>
    <n v="180000"/>
    <x v="2"/>
    <n v="72000"/>
    <n v="216000"/>
  </r>
  <r>
    <s v="INV1597"/>
    <x v="209"/>
    <x v="1"/>
    <x v="7"/>
    <n v="5200"/>
    <n v="4"/>
    <n v="20800"/>
    <x v="2"/>
    <n v="6240"/>
    <n v="24960"/>
  </r>
  <r>
    <s v="INV1598"/>
    <x v="209"/>
    <x v="2"/>
    <x v="2"/>
    <n v="2880"/>
    <n v="7"/>
    <n v="20160"/>
    <x v="0"/>
    <n v="3456"/>
    <n v="24192"/>
  </r>
  <r>
    <s v="INV2853"/>
    <x v="209"/>
    <x v="0"/>
    <x v="9"/>
    <n v="500"/>
    <n v="7"/>
    <n v="3500"/>
    <x v="2"/>
    <n v="600"/>
    <n v="4200"/>
  </r>
  <r>
    <s v="INV2906"/>
    <x v="209"/>
    <x v="0"/>
    <x v="23"/>
    <n v="600"/>
    <n v="7"/>
    <n v="4200"/>
    <x v="0"/>
    <n v="720"/>
    <n v="5040"/>
  </r>
  <r>
    <s v="INV3211"/>
    <x v="209"/>
    <x v="0"/>
    <x v="9"/>
    <n v="500"/>
    <n v="1"/>
    <n v="500"/>
    <x v="1"/>
    <n v="600"/>
    <n v="600"/>
  </r>
  <r>
    <s v="INV3424"/>
    <x v="209"/>
    <x v="0"/>
    <x v="24"/>
    <n v="1900"/>
    <n v="1"/>
    <n v="1900"/>
    <x v="1"/>
    <n v="2280"/>
    <n v="2280"/>
  </r>
  <r>
    <s v="INV1599"/>
    <x v="210"/>
    <x v="1"/>
    <x v="5"/>
    <n v="3000"/>
    <n v="2"/>
    <n v="6000"/>
    <x v="0"/>
    <n v="3600"/>
    <n v="7200"/>
  </r>
  <r>
    <s v="INV1600"/>
    <x v="210"/>
    <x v="2"/>
    <x v="6"/>
    <n v="2880"/>
    <n v="8"/>
    <n v="23040"/>
    <x v="1"/>
    <n v="3456"/>
    <n v="27648"/>
  </r>
  <r>
    <s v="INV1601"/>
    <x v="210"/>
    <x v="3"/>
    <x v="4"/>
    <n v="1200"/>
    <n v="2"/>
    <n v="2400"/>
    <x v="1"/>
    <n v="1440"/>
    <n v="2880"/>
  </r>
  <r>
    <s v="INV1602"/>
    <x v="210"/>
    <x v="2"/>
    <x v="39"/>
    <n v="1750"/>
    <n v="9"/>
    <n v="15750"/>
    <x v="2"/>
    <n v="2100"/>
    <n v="18900"/>
  </r>
  <r>
    <s v="INV1603"/>
    <x v="210"/>
    <x v="1"/>
    <x v="7"/>
    <n v="5200"/>
    <n v="9"/>
    <n v="46800"/>
    <x v="0"/>
    <n v="6240"/>
    <n v="56160"/>
  </r>
  <r>
    <s v="INV1604"/>
    <x v="210"/>
    <x v="0"/>
    <x v="9"/>
    <n v="500"/>
    <n v="4"/>
    <n v="2000"/>
    <x v="1"/>
    <n v="600"/>
    <n v="2400"/>
  </r>
  <r>
    <s v="INV1605"/>
    <x v="210"/>
    <x v="2"/>
    <x v="30"/>
    <n v="2880"/>
    <n v="2"/>
    <n v="5760"/>
    <x v="0"/>
    <n v="3456"/>
    <n v="6912"/>
  </r>
  <r>
    <s v="INV1606"/>
    <x v="210"/>
    <x v="1"/>
    <x v="7"/>
    <n v="5200"/>
    <n v="4"/>
    <n v="20800"/>
    <x v="2"/>
    <n v="6240"/>
    <n v="24960"/>
  </r>
  <r>
    <s v="INV3682"/>
    <x v="210"/>
    <x v="0"/>
    <x v="31"/>
    <n v="3600"/>
    <n v="6"/>
    <n v="21600"/>
    <x v="2"/>
    <n v="4320"/>
    <n v="25920"/>
  </r>
  <r>
    <s v="INV3714"/>
    <x v="210"/>
    <x v="0"/>
    <x v="19"/>
    <n v="48000"/>
    <n v="1"/>
    <n v="48000"/>
    <x v="2"/>
    <n v="57600"/>
    <n v="57600"/>
  </r>
  <r>
    <s v="INV3802"/>
    <x v="210"/>
    <x v="3"/>
    <x v="3"/>
    <n v="800"/>
    <n v="6"/>
    <n v="4800"/>
    <x v="0"/>
    <n v="960"/>
    <n v="5760"/>
  </r>
  <r>
    <s v="INV1607"/>
    <x v="211"/>
    <x v="2"/>
    <x v="39"/>
    <n v="1750"/>
    <n v="8"/>
    <n v="14000"/>
    <x v="2"/>
    <n v="2100"/>
    <n v="16800"/>
  </r>
  <r>
    <s v="INV1608"/>
    <x v="211"/>
    <x v="2"/>
    <x v="39"/>
    <n v="1750"/>
    <n v="2"/>
    <n v="3500"/>
    <x v="1"/>
    <n v="2100"/>
    <n v="4200"/>
  </r>
  <r>
    <s v="INV1609"/>
    <x v="211"/>
    <x v="1"/>
    <x v="7"/>
    <n v="5200"/>
    <n v="3"/>
    <n v="15600"/>
    <x v="1"/>
    <n v="6240"/>
    <n v="18720"/>
  </r>
  <r>
    <s v="INV1610"/>
    <x v="211"/>
    <x v="0"/>
    <x v="0"/>
    <n v="60000"/>
    <n v="4"/>
    <n v="240000"/>
    <x v="1"/>
    <n v="72000"/>
    <n v="288000"/>
  </r>
  <r>
    <s v="INV1611"/>
    <x v="211"/>
    <x v="3"/>
    <x v="21"/>
    <n v="1700"/>
    <n v="2"/>
    <n v="3400"/>
    <x v="0"/>
    <n v="2040"/>
    <n v="4080"/>
  </r>
  <r>
    <s v="INV1612"/>
    <x v="211"/>
    <x v="3"/>
    <x v="21"/>
    <n v="1700"/>
    <n v="6"/>
    <n v="10200"/>
    <x v="2"/>
    <n v="2040"/>
    <n v="12240"/>
  </r>
  <r>
    <s v="INV1613"/>
    <x v="211"/>
    <x v="3"/>
    <x v="4"/>
    <n v="1200"/>
    <n v="6"/>
    <n v="7200"/>
    <x v="2"/>
    <n v="1440"/>
    <n v="8640"/>
  </r>
  <r>
    <s v="INV1614"/>
    <x v="211"/>
    <x v="1"/>
    <x v="7"/>
    <n v="5200"/>
    <n v="9"/>
    <n v="46800"/>
    <x v="1"/>
    <n v="6240"/>
    <n v="56160"/>
  </r>
  <r>
    <s v="INV3139"/>
    <x v="211"/>
    <x v="4"/>
    <x v="10"/>
    <n v="9100"/>
    <n v="3"/>
    <n v="27300"/>
    <x v="2"/>
    <n v="10920"/>
    <n v="32760"/>
  </r>
  <r>
    <s v="INV3684"/>
    <x v="211"/>
    <x v="0"/>
    <x v="24"/>
    <n v="1900"/>
    <n v="5"/>
    <n v="9500"/>
    <x v="0"/>
    <n v="2280"/>
    <n v="11400"/>
  </r>
  <r>
    <s v="INV1615"/>
    <x v="212"/>
    <x v="0"/>
    <x v="22"/>
    <n v="6000"/>
    <n v="9"/>
    <n v="54000"/>
    <x v="0"/>
    <n v="7200"/>
    <n v="64800"/>
  </r>
  <r>
    <s v="INV1616"/>
    <x v="212"/>
    <x v="2"/>
    <x v="39"/>
    <n v="1750"/>
    <n v="6"/>
    <n v="10500"/>
    <x v="1"/>
    <n v="2100"/>
    <n v="12600"/>
  </r>
  <r>
    <s v="INV1617"/>
    <x v="212"/>
    <x v="0"/>
    <x v="22"/>
    <n v="6000"/>
    <n v="8"/>
    <n v="48000"/>
    <x v="2"/>
    <n v="7200"/>
    <n v="57600"/>
  </r>
  <r>
    <s v="INV1618"/>
    <x v="212"/>
    <x v="3"/>
    <x v="21"/>
    <n v="1700"/>
    <n v="7"/>
    <n v="11900"/>
    <x v="1"/>
    <n v="2040"/>
    <n v="14280"/>
  </r>
  <r>
    <s v="INV1619"/>
    <x v="212"/>
    <x v="2"/>
    <x v="6"/>
    <n v="2880"/>
    <n v="4"/>
    <n v="11520"/>
    <x v="0"/>
    <n v="3456"/>
    <n v="13824"/>
  </r>
  <r>
    <s v="INV1620"/>
    <x v="212"/>
    <x v="0"/>
    <x v="22"/>
    <n v="6000"/>
    <n v="7"/>
    <n v="42000"/>
    <x v="1"/>
    <n v="7200"/>
    <n v="50400"/>
  </r>
  <r>
    <s v="INV2882"/>
    <x v="212"/>
    <x v="4"/>
    <x v="45"/>
    <n v="120"/>
    <n v="7"/>
    <n v="840"/>
    <x v="2"/>
    <n v="144"/>
    <n v="1008"/>
  </r>
  <r>
    <s v="INV1621"/>
    <x v="213"/>
    <x v="1"/>
    <x v="1"/>
    <n v="400"/>
    <n v="3"/>
    <n v="1200"/>
    <x v="2"/>
    <n v="480"/>
    <n v="1440"/>
  </r>
  <r>
    <s v="INV1622"/>
    <x v="213"/>
    <x v="0"/>
    <x v="0"/>
    <n v="60000"/>
    <n v="1"/>
    <n v="60000"/>
    <x v="2"/>
    <n v="72000"/>
    <n v="72000"/>
  </r>
  <r>
    <s v="INV1623"/>
    <x v="213"/>
    <x v="3"/>
    <x v="3"/>
    <n v="800"/>
    <n v="6"/>
    <n v="4800"/>
    <x v="0"/>
    <n v="960"/>
    <n v="5760"/>
  </r>
  <r>
    <s v="INV1624"/>
    <x v="213"/>
    <x v="3"/>
    <x v="4"/>
    <n v="1200"/>
    <n v="4"/>
    <n v="4800"/>
    <x v="2"/>
    <n v="1440"/>
    <n v="5760"/>
  </r>
  <r>
    <s v="INV1625"/>
    <x v="213"/>
    <x v="2"/>
    <x v="30"/>
    <n v="2880"/>
    <n v="1"/>
    <n v="2880"/>
    <x v="1"/>
    <n v="3456"/>
    <n v="3456"/>
  </r>
  <r>
    <s v="INV1626"/>
    <x v="213"/>
    <x v="1"/>
    <x v="1"/>
    <n v="400"/>
    <n v="10"/>
    <n v="4000"/>
    <x v="2"/>
    <n v="480"/>
    <n v="4800"/>
  </r>
  <r>
    <s v="INV1627"/>
    <x v="213"/>
    <x v="1"/>
    <x v="1"/>
    <n v="400"/>
    <n v="2"/>
    <n v="800"/>
    <x v="2"/>
    <n v="480"/>
    <n v="960"/>
  </r>
  <r>
    <s v="INV2855"/>
    <x v="213"/>
    <x v="4"/>
    <x v="10"/>
    <n v="9100"/>
    <n v="5"/>
    <n v="45500"/>
    <x v="2"/>
    <n v="10920"/>
    <n v="54600"/>
  </r>
  <r>
    <s v="INV3839"/>
    <x v="213"/>
    <x v="0"/>
    <x v="24"/>
    <n v="1900"/>
    <n v="6"/>
    <n v="11400"/>
    <x v="0"/>
    <n v="2280"/>
    <n v="13680"/>
  </r>
  <r>
    <s v="INV3865"/>
    <x v="213"/>
    <x v="3"/>
    <x v="3"/>
    <n v="800"/>
    <n v="2"/>
    <n v="1600"/>
    <x v="2"/>
    <n v="960"/>
    <n v="1920"/>
  </r>
  <r>
    <s v="INV1628"/>
    <x v="214"/>
    <x v="1"/>
    <x v="5"/>
    <n v="3000"/>
    <n v="4"/>
    <n v="12000"/>
    <x v="2"/>
    <n v="3600"/>
    <n v="14400"/>
  </r>
  <r>
    <s v="INV1629"/>
    <x v="214"/>
    <x v="3"/>
    <x v="3"/>
    <n v="800"/>
    <n v="8"/>
    <n v="6400"/>
    <x v="1"/>
    <n v="960"/>
    <n v="7680"/>
  </r>
  <r>
    <s v="INV1630"/>
    <x v="214"/>
    <x v="0"/>
    <x v="22"/>
    <n v="6000"/>
    <n v="1"/>
    <n v="6000"/>
    <x v="2"/>
    <n v="7200"/>
    <n v="7200"/>
  </r>
  <r>
    <s v="INV1631"/>
    <x v="214"/>
    <x v="2"/>
    <x v="30"/>
    <n v="2880"/>
    <n v="1"/>
    <n v="2880"/>
    <x v="0"/>
    <n v="3456"/>
    <n v="3456"/>
  </r>
  <r>
    <s v="INV1632"/>
    <x v="214"/>
    <x v="0"/>
    <x v="22"/>
    <n v="6000"/>
    <n v="9"/>
    <n v="54000"/>
    <x v="0"/>
    <n v="7200"/>
    <n v="64800"/>
  </r>
  <r>
    <s v="INV1633"/>
    <x v="214"/>
    <x v="1"/>
    <x v="5"/>
    <n v="3000"/>
    <n v="4"/>
    <n v="12000"/>
    <x v="2"/>
    <n v="3600"/>
    <n v="14400"/>
  </r>
  <r>
    <s v="INV1634"/>
    <x v="214"/>
    <x v="3"/>
    <x v="3"/>
    <n v="800"/>
    <n v="8"/>
    <n v="6400"/>
    <x v="1"/>
    <n v="960"/>
    <n v="7680"/>
  </r>
  <r>
    <s v="INV1635"/>
    <x v="214"/>
    <x v="2"/>
    <x v="6"/>
    <n v="2880"/>
    <n v="10"/>
    <n v="28800"/>
    <x v="0"/>
    <n v="3456"/>
    <n v="34560"/>
  </r>
  <r>
    <s v="INV1636"/>
    <x v="214"/>
    <x v="2"/>
    <x v="30"/>
    <n v="2880"/>
    <n v="3"/>
    <n v="8640"/>
    <x v="0"/>
    <n v="3456"/>
    <n v="10368"/>
  </r>
  <r>
    <s v="INV3083"/>
    <x v="214"/>
    <x v="4"/>
    <x v="10"/>
    <n v="9100"/>
    <n v="10"/>
    <n v="91000"/>
    <x v="2"/>
    <n v="10920"/>
    <n v="109200"/>
  </r>
  <r>
    <s v="INV1637"/>
    <x v="215"/>
    <x v="0"/>
    <x v="0"/>
    <n v="60000"/>
    <n v="5"/>
    <n v="300000"/>
    <x v="0"/>
    <n v="72000"/>
    <n v="360000"/>
  </r>
  <r>
    <s v="INV1638"/>
    <x v="215"/>
    <x v="3"/>
    <x v="21"/>
    <n v="1700"/>
    <n v="3"/>
    <n v="5100"/>
    <x v="0"/>
    <n v="2040"/>
    <n v="6120"/>
  </r>
  <r>
    <s v="INV1639"/>
    <x v="215"/>
    <x v="2"/>
    <x v="2"/>
    <n v="2880"/>
    <n v="3"/>
    <n v="8640"/>
    <x v="0"/>
    <n v="3456"/>
    <n v="10368"/>
  </r>
  <r>
    <s v="INV1640"/>
    <x v="215"/>
    <x v="1"/>
    <x v="5"/>
    <n v="3000"/>
    <n v="2"/>
    <n v="6000"/>
    <x v="1"/>
    <n v="3600"/>
    <n v="7200"/>
  </r>
  <r>
    <s v="INV1641"/>
    <x v="215"/>
    <x v="1"/>
    <x v="5"/>
    <n v="3000"/>
    <n v="3"/>
    <n v="9000"/>
    <x v="2"/>
    <n v="3600"/>
    <n v="10800"/>
  </r>
  <r>
    <s v="INV1642"/>
    <x v="215"/>
    <x v="3"/>
    <x v="4"/>
    <n v="1200"/>
    <n v="3"/>
    <n v="3600"/>
    <x v="1"/>
    <n v="1440"/>
    <n v="4320"/>
  </r>
  <r>
    <s v="INV1643"/>
    <x v="215"/>
    <x v="3"/>
    <x v="4"/>
    <n v="1200"/>
    <n v="9"/>
    <n v="10800"/>
    <x v="2"/>
    <n v="1440"/>
    <n v="12960"/>
  </r>
  <r>
    <s v="INV1644"/>
    <x v="215"/>
    <x v="0"/>
    <x v="0"/>
    <n v="60000"/>
    <n v="7"/>
    <n v="420000"/>
    <x v="2"/>
    <n v="72000"/>
    <n v="504000"/>
  </r>
  <r>
    <s v="INV2785"/>
    <x v="215"/>
    <x v="3"/>
    <x v="3"/>
    <n v="800"/>
    <n v="2"/>
    <n v="1600"/>
    <x v="0"/>
    <n v="960"/>
    <n v="1920"/>
  </r>
  <r>
    <s v="INV2861"/>
    <x v="215"/>
    <x v="0"/>
    <x v="31"/>
    <n v="3600"/>
    <n v="1"/>
    <n v="3600"/>
    <x v="2"/>
    <n v="4320"/>
    <n v="4320"/>
  </r>
  <r>
    <s v="INV2950"/>
    <x v="215"/>
    <x v="4"/>
    <x v="45"/>
    <n v="120"/>
    <n v="3"/>
    <n v="360"/>
    <x v="2"/>
    <n v="144"/>
    <n v="432"/>
  </r>
  <r>
    <s v="INV3351"/>
    <x v="215"/>
    <x v="0"/>
    <x v="8"/>
    <n v="3300"/>
    <n v="3"/>
    <n v="9900"/>
    <x v="2"/>
    <n v="3960"/>
    <n v="11880"/>
  </r>
  <r>
    <s v="INV3524"/>
    <x v="215"/>
    <x v="4"/>
    <x v="10"/>
    <n v="9100"/>
    <n v="1"/>
    <n v="9100"/>
    <x v="1"/>
    <n v="10920"/>
    <n v="10920"/>
  </r>
  <r>
    <s v="INV3561"/>
    <x v="215"/>
    <x v="4"/>
    <x v="45"/>
    <n v="120"/>
    <n v="2"/>
    <n v="240"/>
    <x v="1"/>
    <n v="144"/>
    <n v="288"/>
  </r>
  <r>
    <s v="INV1645"/>
    <x v="216"/>
    <x v="2"/>
    <x v="30"/>
    <n v="2880"/>
    <n v="5"/>
    <n v="14400"/>
    <x v="1"/>
    <n v="3456"/>
    <n v="17280"/>
  </r>
  <r>
    <s v="INV1646"/>
    <x v="216"/>
    <x v="3"/>
    <x v="29"/>
    <n v="6900"/>
    <n v="1"/>
    <n v="6900"/>
    <x v="1"/>
    <n v="8280"/>
    <n v="8280"/>
  </r>
  <r>
    <s v="INV1647"/>
    <x v="216"/>
    <x v="2"/>
    <x v="30"/>
    <n v="2880"/>
    <n v="5"/>
    <n v="14400"/>
    <x v="2"/>
    <n v="3456"/>
    <n v="17280"/>
  </r>
  <r>
    <s v="INV1648"/>
    <x v="216"/>
    <x v="3"/>
    <x v="4"/>
    <n v="1200"/>
    <n v="4"/>
    <n v="4800"/>
    <x v="2"/>
    <n v="1440"/>
    <n v="5760"/>
  </r>
  <r>
    <s v="INV1649"/>
    <x v="216"/>
    <x v="0"/>
    <x v="9"/>
    <n v="500"/>
    <n v="8"/>
    <n v="4000"/>
    <x v="2"/>
    <n v="600"/>
    <n v="4800"/>
  </r>
  <r>
    <s v="INV1650"/>
    <x v="216"/>
    <x v="3"/>
    <x v="3"/>
    <n v="800"/>
    <n v="8"/>
    <n v="6400"/>
    <x v="2"/>
    <n v="960"/>
    <n v="7680"/>
  </r>
  <r>
    <s v="INV2756"/>
    <x v="216"/>
    <x v="0"/>
    <x v="19"/>
    <n v="48000"/>
    <n v="4"/>
    <n v="192000"/>
    <x v="0"/>
    <n v="57600"/>
    <n v="230400"/>
  </r>
  <r>
    <s v="INV3043"/>
    <x v="216"/>
    <x v="3"/>
    <x v="3"/>
    <n v="800"/>
    <n v="1"/>
    <n v="800"/>
    <x v="2"/>
    <n v="960"/>
    <n v="960"/>
  </r>
  <r>
    <s v="INV3076"/>
    <x v="216"/>
    <x v="0"/>
    <x v="24"/>
    <n v="1900"/>
    <n v="5"/>
    <n v="9500"/>
    <x v="2"/>
    <n v="2280"/>
    <n v="11400"/>
  </r>
  <r>
    <s v="INV3414"/>
    <x v="216"/>
    <x v="4"/>
    <x v="10"/>
    <n v="9100"/>
    <n v="2"/>
    <n v="18200"/>
    <x v="0"/>
    <n v="10920"/>
    <n v="21840"/>
  </r>
  <r>
    <s v="INV1651"/>
    <x v="217"/>
    <x v="0"/>
    <x v="19"/>
    <n v="48000"/>
    <n v="2"/>
    <n v="96000"/>
    <x v="2"/>
    <n v="57600"/>
    <n v="115200"/>
  </r>
  <r>
    <s v="INV1652"/>
    <x v="217"/>
    <x v="0"/>
    <x v="22"/>
    <n v="6000"/>
    <n v="6"/>
    <n v="36000"/>
    <x v="0"/>
    <n v="7200"/>
    <n v="43200"/>
  </r>
  <r>
    <s v="INV1653"/>
    <x v="217"/>
    <x v="3"/>
    <x v="21"/>
    <n v="1700"/>
    <n v="9"/>
    <n v="15300"/>
    <x v="1"/>
    <n v="2040"/>
    <n v="18360"/>
  </r>
  <r>
    <s v="INV1654"/>
    <x v="217"/>
    <x v="3"/>
    <x v="21"/>
    <n v="1700"/>
    <n v="9"/>
    <n v="15300"/>
    <x v="0"/>
    <n v="2040"/>
    <n v="18360"/>
  </r>
  <r>
    <s v="INV1655"/>
    <x v="217"/>
    <x v="2"/>
    <x v="2"/>
    <n v="2880"/>
    <n v="1"/>
    <n v="2880"/>
    <x v="2"/>
    <n v="3456"/>
    <n v="3456"/>
  </r>
  <r>
    <s v="INV2912"/>
    <x v="217"/>
    <x v="0"/>
    <x v="31"/>
    <n v="3600"/>
    <n v="2"/>
    <n v="7200"/>
    <x v="2"/>
    <n v="4320"/>
    <n v="8640"/>
  </r>
  <r>
    <s v="INV3757"/>
    <x v="217"/>
    <x v="0"/>
    <x v="23"/>
    <n v="600"/>
    <n v="7"/>
    <n v="4200"/>
    <x v="0"/>
    <n v="720"/>
    <n v="5040"/>
  </r>
  <r>
    <s v="INV1656"/>
    <x v="218"/>
    <x v="2"/>
    <x v="6"/>
    <n v="2880"/>
    <n v="10"/>
    <n v="28800"/>
    <x v="0"/>
    <n v="3456"/>
    <n v="34560"/>
  </r>
  <r>
    <s v="INV1657"/>
    <x v="218"/>
    <x v="3"/>
    <x v="4"/>
    <n v="1200"/>
    <n v="3"/>
    <n v="3600"/>
    <x v="0"/>
    <n v="1440"/>
    <n v="4320"/>
  </r>
  <r>
    <s v="INV1658"/>
    <x v="218"/>
    <x v="3"/>
    <x v="29"/>
    <n v="6900"/>
    <n v="1"/>
    <n v="6900"/>
    <x v="1"/>
    <n v="8280"/>
    <n v="8280"/>
  </r>
  <r>
    <s v="INV1659"/>
    <x v="218"/>
    <x v="3"/>
    <x v="3"/>
    <n v="800"/>
    <n v="1"/>
    <n v="800"/>
    <x v="0"/>
    <n v="960"/>
    <n v="960"/>
  </r>
  <r>
    <s v="INV1660"/>
    <x v="218"/>
    <x v="0"/>
    <x v="19"/>
    <n v="48000"/>
    <n v="6"/>
    <n v="288000"/>
    <x v="2"/>
    <n v="57600"/>
    <n v="345600"/>
  </r>
  <r>
    <s v="INV1661"/>
    <x v="218"/>
    <x v="1"/>
    <x v="5"/>
    <n v="3000"/>
    <n v="10"/>
    <n v="30000"/>
    <x v="2"/>
    <n v="3600"/>
    <n v="36000"/>
  </r>
  <r>
    <s v="INV1662"/>
    <x v="218"/>
    <x v="0"/>
    <x v="0"/>
    <n v="60000"/>
    <n v="9"/>
    <n v="540000"/>
    <x v="1"/>
    <n v="72000"/>
    <n v="648000"/>
  </r>
  <r>
    <s v="INV1663"/>
    <x v="218"/>
    <x v="0"/>
    <x v="19"/>
    <n v="48000"/>
    <n v="8"/>
    <n v="384000"/>
    <x v="0"/>
    <n v="57600"/>
    <n v="460800"/>
  </r>
  <r>
    <s v="INV1664"/>
    <x v="218"/>
    <x v="3"/>
    <x v="21"/>
    <n v="1700"/>
    <n v="1"/>
    <n v="1700"/>
    <x v="0"/>
    <n v="2040"/>
    <n v="2040"/>
  </r>
  <r>
    <s v="INV1665"/>
    <x v="218"/>
    <x v="2"/>
    <x v="2"/>
    <n v="2880"/>
    <n v="2"/>
    <n v="5760"/>
    <x v="0"/>
    <n v="3456"/>
    <n v="6912"/>
  </r>
  <r>
    <s v="INV3482"/>
    <x v="218"/>
    <x v="3"/>
    <x v="21"/>
    <n v="1700"/>
    <n v="10"/>
    <n v="17000"/>
    <x v="2"/>
    <n v="2040"/>
    <n v="20400"/>
  </r>
  <r>
    <s v="INV3578"/>
    <x v="218"/>
    <x v="0"/>
    <x v="31"/>
    <n v="3600"/>
    <n v="4"/>
    <n v="14400"/>
    <x v="1"/>
    <n v="4320"/>
    <n v="17280"/>
  </r>
  <r>
    <s v="INV3818"/>
    <x v="218"/>
    <x v="4"/>
    <x v="45"/>
    <n v="120"/>
    <n v="10"/>
    <n v="1200"/>
    <x v="0"/>
    <n v="144"/>
    <n v="1440"/>
  </r>
  <r>
    <s v="INV3831"/>
    <x v="218"/>
    <x v="3"/>
    <x v="21"/>
    <n v="1700"/>
    <n v="2"/>
    <n v="3400"/>
    <x v="2"/>
    <n v="2040"/>
    <n v="4080"/>
  </r>
  <r>
    <s v="INV3887"/>
    <x v="218"/>
    <x v="0"/>
    <x v="24"/>
    <n v="1900"/>
    <n v="9"/>
    <n v="17100"/>
    <x v="1"/>
    <n v="2280"/>
    <n v="20520"/>
  </r>
  <r>
    <s v="INV1666"/>
    <x v="219"/>
    <x v="0"/>
    <x v="0"/>
    <n v="60000"/>
    <n v="5"/>
    <n v="300000"/>
    <x v="2"/>
    <n v="72000"/>
    <n v="360000"/>
  </r>
  <r>
    <s v="INV1667"/>
    <x v="219"/>
    <x v="2"/>
    <x v="39"/>
    <n v="1750"/>
    <n v="3"/>
    <n v="5250"/>
    <x v="1"/>
    <n v="2100"/>
    <n v="6300"/>
  </r>
  <r>
    <s v="INV1668"/>
    <x v="219"/>
    <x v="3"/>
    <x v="4"/>
    <n v="1200"/>
    <n v="3"/>
    <n v="3600"/>
    <x v="1"/>
    <n v="1440"/>
    <n v="4320"/>
  </r>
  <r>
    <s v="INV1669"/>
    <x v="219"/>
    <x v="0"/>
    <x v="22"/>
    <n v="6000"/>
    <n v="8"/>
    <n v="48000"/>
    <x v="0"/>
    <n v="7200"/>
    <n v="57600"/>
  </r>
  <r>
    <s v="INV1670"/>
    <x v="219"/>
    <x v="2"/>
    <x v="6"/>
    <n v="2880"/>
    <n v="1"/>
    <n v="2880"/>
    <x v="2"/>
    <n v="3456"/>
    <n v="3456"/>
  </r>
  <r>
    <s v="INV2899"/>
    <x v="219"/>
    <x v="0"/>
    <x v="24"/>
    <n v="1900"/>
    <n v="4"/>
    <n v="7600"/>
    <x v="1"/>
    <n v="2280"/>
    <n v="9120"/>
  </r>
  <r>
    <s v="INV2971"/>
    <x v="219"/>
    <x v="3"/>
    <x v="3"/>
    <n v="800"/>
    <n v="9"/>
    <n v="7200"/>
    <x v="1"/>
    <n v="960"/>
    <n v="8640"/>
  </r>
  <r>
    <s v="INV3108"/>
    <x v="219"/>
    <x v="0"/>
    <x v="9"/>
    <n v="500"/>
    <n v="9"/>
    <n v="4500"/>
    <x v="1"/>
    <n v="600"/>
    <n v="5400"/>
  </r>
  <r>
    <s v="INV3547"/>
    <x v="219"/>
    <x v="0"/>
    <x v="9"/>
    <n v="500"/>
    <n v="2"/>
    <n v="1000"/>
    <x v="1"/>
    <n v="600"/>
    <n v="1200"/>
  </r>
  <r>
    <s v="INV3688"/>
    <x v="219"/>
    <x v="3"/>
    <x v="21"/>
    <n v="1700"/>
    <n v="4"/>
    <n v="6800"/>
    <x v="0"/>
    <n v="2040"/>
    <n v="8160"/>
  </r>
  <r>
    <s v="INV1671"/>
    <x v="220"/>
    <x v="0"/>
    <x v="19"/>
    <n v="48000"/>
    <n v="1"/>
    <n v="48000"/>
    <x v="1"/>
    <n v="57600"/>
    <n v="57600"/>
  </r>
  <r>
    <s v="INV1672"/>
    <x v="220"/>
    <x v="2"/>
    <x v="39"/>
    <n v="1750"/>
    <n v="1"/>
    <n v="1750"/>
    <x v="0"/>
    <n v="2100"/>
    <n v="2100"/>
  </r>
  <r>
    <s v="INV1673"/>
    <x v="220"/>
    <x v="0"/>
    <x v="9"/>
    <n v="500"/>
    <n v="7"/>
    <n v="3500"/>
    <x v="0"/>
    <n v="600"/>
    <n v="4200"/>
  </r>
  <r>
    <s v="INV1674"/>
    <x v="220"/>
    <x v="0"/>
    <x v="19"/>
    <n v="48000"/>
    <n v="7"/>
    <n v="336000"/>
    <x v="0"/>
    <n v="57600"/>
    <n v="403200"/>
  </r>
  <r>
    <s v="INV1675"/>
    <x v="220"/>
    <x v="2"/>
    <x v="30"/>
    <n v="2880"/>
    <n v="6"/>
    <n v="17280"/>
    <x v="0"/>
    <n v="3456"/>
    <n v="20736"/>
  </r>
  <r>
    <s v="INV3449"/>
    <x v="220"/>
    <x v="0"/>
    <x v="24"/>
    <n v="1900"/>
    <n v="5"/>
    <n v="9500"/>
    <x v="2"/>
    <n v="2280"/>
    <n v="11400"/>
  </r>
  <r>
    <s v="INV1676"/>
    <x v="221"/>
    <x v="0"/>
    <x v="19"/>
    <n v="48000"/>
    <n v="8"/>
    <n v="384000"/>
    <x v="0"/>
    <n v="57600"/>
    <n v="460800"/>
  </r>
  <r>
    <s v="INV1677"/>
    <x v="221"/>
    <x v="0"/>
    <x v="9"/>
    <n v="500"/>
    <n v="9"/>
    <n v="4500"/>
    <x v="2"/>
    <n v="600"/>
    <n v="5400"/>
  </r>
  <r>
    <s v="INV1678"/>
    <x v="221"/>
    <x v="1"/>
    <x v="1"/>
    <n v="400"/>
    <n v="3"/>
    <n v="1200"/>
    <x v="1"/>
    <n v="480"/>
    <n v="1440"/>
  </r>
  <r>
    <s v="INV1679"/>
    <x v="221"/>
    <x v="2"/>
    <x v="2"/>
    <n v="2880"/>
    <n v="7"/>
    <n v="20160"/>
    <x v="1"/>
    <n v="3456"/>
    <n v="24192"/>
  </r>
  <r>
    <s v="INV1680"/>
    <x v="221"/>
    <x v="2"/>
    <x v="30"/>
    <n v="2880"/>
    <n v="3"/>
    <n v="8640"/>
    <x v="1"/>
    <n v="3456"/>
    <n v="10368"/>
  </r>
  <r>
    <s v="INV1681"/>
    <x v="221"/>
    <x v="3"/>
    <x v="29"/>
    <n v="6900"/>
    <n v="5"/>
    <n v="34500"/>
    <x v="2"/>
    <n v="8280"/>
    <n v="41400"/>
  </r>
  <r>
    <s v="INV1682"/>
    <x v="221"/>
    <x v="1"/>
    <x v="1"/>
    <n v="400"/>
    <n v="4"/>
    <n v="1600"/>
    <x v="0"/>
    <n v="480"/>
    <n v="1920"/>
  </r>
  <r>
    <s v="INV2823"/>
    <x v="221"/>
    <x v="0"/>
    <x v="8"/>
    <n v="3300"/>
    <n v="4"/>
    <n v="13200"/>
    <x v="2"/>
    <n v="3960"/>
    <n v="15840"/>
  </r>
  <r>
    <s v="INV3386"/>
    <x v="221"/>
    <x v="4"/>
    <x v="10"/>
    <n v="9100"/>
    <n v="2"/>
    <n v="18200"/>
    <x v="2"/>
    <n v="10920"/>
    <n v="21840"/>
  </r>
  <r>
    <s v="INV3905"/>
    <x v="221"/>
    <x v="3"/>
    <x v="21"/>
    <n v="1700"/>
    <n v="5"/>
    <n v="8500"/>
    <x v="2"/>
    <n v="2040"/>
    <n v="10200"/>
  </r>
  <r>
    <s v="INV1683"/>
    <x v="222"/>
    <x v="2"/>
    <x v="30"/>
    <n v="2880"/>
    <n v="2"/>
    <n v="5760"/>
    <x v="1"/>
    <n v="3456"/>
    <n v="6912"/>
  </r>
  <r>
    <s v="INV1684"/>
    <x v="222"/>
    <x v="1"/>
    <x v="5"/>
    <n v="3000"/>
    <n v="7"/>
    <n v="21000"/>
    <x v="0"/>
    <n v="3600"/>
    <n v="25200"/>
  </r>
  <r>
    <s v="INV1685"/>
    <x v="222"/>
    <x v="1"/>
    <x v="1"/>
    <n v="400"/>
    <n v="10"/>
    <n v="4000"/>
    <x v="2"/>
    <n v="480"/>
    <n v="4800"/>
  </r>
  <r>
    <s v="INV1686"/>
    <x v="222"/>
    <x v="2"/>
    <x v="6"/>
    <n v="2880"/>
    <n v="4"/>
    <n v="11520"/>
    <x v="1"/>
    <n v="3456"/>
    <n v="13824"/>
  </r>
  <r>
    <s v="INV1687"/>
    <x v="222"/>
    <x v="2"/>
    <x v="30"/>
    <n v="2880"/>
    <n v="2"/>
    <n v="5760"/>
    <x v="0"/>
    <n v="3456"/>
    <n v="6912"/>
  </r>
  <r>
    <s v="INV1688"/>
    <x v="222"/>
    <x v="2"/>
    <x v="30"/>
    <n v="2880"/>
    <n v="8"/>
    <n v="23040"/>
    <x v="0"/>
    <n v="3456"/>
    <n v="27648"/>
  </r>
  <r>
    <s v="INV1689"/>
    <x v="222"/>
    <x v="3"/>
    <x v="29"/>
    <n v="6900"/>
    <n v="9"/>
    <n v="62100"/>
    <x v="0"/>
    <n v="8280"/>
    <n v="74520"/>
  </r>
  <r>
    <s v="INV1690"/>
    <x v="222"/>
    <x v="0"/>
    <x v="0"/>
    <n v="60000"/>
    <n v="6"/>
    <n v="360000"/>
    <x v="2"/>
    <n v="72000"/>
    <n v="432000"/>
  </r>
  <r>
    <s v="INV1691"/>
    <x v="222"/>
    <x v="2"/>
    <x v="30"/>
    <n v="2880"/>
    <n v="8"/>
    <n v="23040"/>
    <x v="2"/>
    <n v="3456"/>
    <n v="27648"/>
  </r>
  <r>
    <s v="INV2828"/>
    <x v="222"/>
    <x v="0"/>
    <x v="8"/>
    <n v="3300"/>
    <n v="5"/>
    <n v="16500"/>
    <x v="0"/>
    <n v="3960"/>
    <n v="19800"/>
  </r>
  <r>
    <s v="INV2893"/>
    <x v="222"/>
    <x v="0"/>
    <x v="23"/>
    <n v="600"/>
    <n v="2"/>
    <n v="1200"/>
    <x v="1"/>
    <n v="720"/>
    <n v="1440"/>
  </r>
  <r>
    <s v="INV3003"/>
    <x v="222"/>
    <x v="4"/>
    <x v="45"/>
    <n v="120"/>
    <n v="2"/>
    <n v="240"/>
    <x v="1"/>
    <n v="144"/>
    <n v="288"/>
  </r>
  <r>
    <s v="INV3849"/>
    <x v="222"/>
    <x v="0"/>
    <x v="31"/>
    <n v="3600"/>
    <n v="2"/>
    <n v="7200"/>
    <x v="0"/>
    <n v="4320"/>
    <n v="8640"/>
  </r>
  <r>
    <s v="INV1692"/>
    <x v="223"/>
    <x v="1"/>
    <x v="5"/>
    <n v="3000"/>
    <n v="5"/>
    <n v="15000"/>
    <x v="2"/>
    <n v="3600"/>
    <n v="18000"/>
  </r>
  <r>
    <s v="INV1693"/>
    <x v="223"/>
    <x v="0"/>
    <x v="9"/>
    <n v="500"/>
    <n v="9"/>
    <n v="4500"/>
    <x v="0"/>
    <n v="600"/>
    <n v="5400"/>
  </r>
  <r>
    <s v="INV1694"/>
    <x v="223"/>
    <x v="0"/>
    <x v="0"/>
    <n v="60000"/>
    <n v="10"/>
    <n v="600000"/>
    <x v="2"/>
    <n v="72000"/>
    <n v="720000"/>
  </r>
  <r>
    <s v="INV1695"/>
    <x v="223"/>
    <x v="0"/>
    <x v="19"/>
    <n v="48000"/>
    <n v="8"/>
    <n v="384000"/>
    <x v="2"/>
    <n v="57600"/>
    <n v="460800"/>
  </r>
  <r>
    <s v="INV1696"/>
    <x v="223"/>
    <x v="0"/>
    <x v="22"/>
    <n v="6000"/>
    <n v="3"/>
    <n v="18000"/>
    <x v="1"/>
    <n v="7200"/>
    <n v="21600"/>
  </r>
  <r>
    <s v="INV1697"/>
    <x v="223"/>
    <x v="1"/>
    <x v="5"/>
    <n v="3000"/>
    <n v="1"/>
    <n v="3000"/>
    <x v="0"/>
    <n v="3600"/>
    <n v="3600"/>
  </r>
  <r>
    <s v="INV3078"/>
    <x v="223"/>
    <x v="4"/>
    <x v="10"/>
    <n v="9100"/>
    <n v="8"/>
    <n v="72800"/>
    <x v="0"/>
    <n v="10920"/>
    <n v="87360"/>
  </r>
  <r>
    <s v="INV3671"/>
    <x v="223"/>
    <x v="0"/>
    <x v="19"/>
    <n v="48000"/>
    <n v="1"/>
    <n v="48000"/>
    <x v="1"/>
    <n v="57600"/>
    <n v="57600"/>
  </r>
  <r>
    <s v="INV1698"/>
    <x v="224"/>
    <x v="1"/>
    <x v="5"/>
    <n v="3000"/>
    <n v="2"/>
    <n v="6000"/>
    <x v="2"/>
    <n v="3600"/>
    <n v="7200"/>
  </r>
  <r>
    <s v="INV1699"/>
    <x v="224"/>
    <x v="0"/>
    <x v="9"/>
    <n v="500"/>
    <n v="6"/>
    <n v="3000"/>
    <x v="0"/>
    <n v="600"/>
    <n v="3600"/>
  </r>
  <r>
    <s v="INV1700"/>
    <x v="224"/>
    <x v="3"/>
    <x v="21"/>
    <n v="1700"/>
    <n v="6"/>
    <n v="10200"/>
    <x v="2"/>
    <n v="2040"/>
    <n v="12240"/>
  </r>
  <r>
    <s v="INV1701"/>
    <x v="224"/>
    <x v="0"/>
    <x v="22"/>
    <n v="6000"/>
    <n v="9"/>
    <n v="54000"/>
    <x v="0"/>
    <n v="7200"/>
    <n v="64800"/>
  </r>
  <r>
    <s v="INV1702"/>
    <x v="224"/>
    <x v="0"/>
    <x v="22"/>
    <n v="6000"/>
    <n v="9"/>
    <n v="54000"/>
    <x v="0"/>
    <n v="7200"/>
    <n v="64800"/>
  </r>
  <r>
    <s v="INV1703"/>
    <x v="224"/>
    <x v="3"/>
    <x v="21"/>
    <n v="1700"/>
    <n v="8"/>
    <n v="13600"/>
    <x v="2"/>
    <n v="2040"/>
    <n v="16320"/>
  </r>
  <r>
    <s v="INV1704"/>
    <x v="224"/>
    <x v="2"/>
    <x v="30"/>
    <n v="2880"/>
    <n v="2"/>
    <n v="5760"/>
    <x v="1"/>
    <n v="3456"/>
    <n v="6912"/>
  </r>
  <r>
    <s v="INV1705"/>
    <x v="224"/>
    <x v="3"/>
    <x v="21"/>
    <n v="1700"/>
    <n v="1"/>
    <n v="1700"/>
    <x v="2"/>
    <n v="2040"/>
    <n v="2040"/>
  </r>
  <r>
    <s v="INV3382"/>
    <x v="224"/>
    <x v="3"/>
    <x v="21"/>
    <n v="1700"/>
    <n v="1"/>
    <n v="1700"/>
    <x v="1"/>
    <n v="2040"/>
    <n v="2040"/>
  </r>
  <r>
    <s v="INV3479"/>
    <x v="224"/>
    <x v="0"/>
    <x v="9"/>
    <n v="500"/>
    <n v="2"/>
    <n v="1000"/>
    <x v="0"/>
    <n v="600"/>
    <n v="1200"/>
  </r>
  <r>
    <s v="INV3608"/>
    <x v="224"/>
    <x v="0"/>
    <x v="24"/>
    <n v="1900"/>
    <n v="3"/>
    <n v="5700"/>
    <x v="1"/>
    <n v="2280"/>
    <n v="6840"/>
  </r>
  <r>
    <s v="INV3704"/>
    <x v="224"/>
    <x v="0"/>
    <x v="23"/>
    <n v="600"/>
    <n v="6"/>
    <n v="3600"/>
    <x v="0"/>
    <n v="720"/>
    <n v="4320"/>
  </r>
  <r>
    <s v="INV1706"/>
    <x v="225"/>
    <x v="1"/>
    <x v="5"/>
    <n v="3000"/>
    <n v="5"/>
    <n v="15000"/>
    <x v="2"/>
    <n v="3600"/>
    <n v="18000"/>
  </r>
  <r>
    <s v="INV1707"/>
    <x v="225"/>
    <x v="1"/>
    <x v="5"/>
    <n v="3000"/>
    <n v="4"/>
    <n v="12000"/>
    <x v="1"/>
    <n v="3600"/>
    <n v="14400"/>
  </r>
  <r>
    <s v="INV1708"/>
    <x v="225"/>
    <x v="0"/>
    <x v="19"/>
    <n v="48000"/>
    <n v="2"/>
    <n v="96000"/>
    <x v="1"/>
    <n v="57600"/>
    <n v="115200"/>
  </r>
  <r>
    <s v="INV1709"/>
    <x v="225"/>
    <x v="0"/>
    <x v="19"/>
    <n v="48000"/>
    <n v="6"/>
    <n v="288000"/>
    <x v="2"/>
    <n v="57600"/>
    <n v="345600"/>
  </r>
  <r>
    <s v="INV1710"/>
    <x v="225"/>
    <x v="1"/>
    <x v="1"/>
    <n v="400"/>
    <n v="9"/>
    <n v="3600"/>
    <x v="0"/>
    <n v="480"/>
    <n v="4320"/>
  </r>
  <r>
    <s v="INV1711"/>
    <x v="225"/>
    <x v="2"/>
    <x v="30"/>
    <n v="2880"/>
    <n v="9"/>
    <n v="25920"/>
    <x v="0"/>
    <n v="3456"/>
    <n v="31104"/>
  </r>
  <r>
    <s v="INV1712"/>
    <x v="225"/>
    <x v="1"/>
    <x v="1"/>
    <n v="400"/>
    <n v="4"/>
    <n v="1600"/>
    <x v="2"/>
    <n v="480"/>
    <n v="1920"/>
  </r>
  <r>
    <s v="INV1713"/>
    <x v="225"/>
    <x v="0"/>
    <x v="19"/>
    <n v="48000"/>
    <n v="7"/>
    <n v="336000"/>
    <x v="2"/>
    <n v="57600"/>
    <n v="403200"/>
  </r>
  <r>
    <s v="INV1714"/>
    <x v="225"/>
    <x v="1"/>
    <x v="5"/>
    <n v="3000"/>
    <n v="7"/>
    <n v="21000"/>
    <x v="0"/>
    <n v="3600"/>
    <n v="25200"/>
  </r>
  <r>
    <s v="INV2996"/>
    <x v="225"/>
    <x v="0"/>
    <x v="24"/>
    <n v="1900"/>
    <n v="10"/>
    <n v="19000"/>
    <x v="1"/>
    <n v="2280"/>
    <n v="22800"/>
  </r>
  <r>
    <s v="INV3202"/>
    <x v="225"/>
    <x v="3"/>
    <x v="3"/>
    <n v="800"/>
    <n v="3"/>
    <n v="2400"/>
    <x v="1"/>
    <n v="960"/>
    <n v="2880"/>
  </r>
  <r>
    <s v="INV3648"/>
    <x v="225"/>
    <x v="4"/>
    <x v="10"/>
    <n v="9100"/>
    <n v="10"/>
    <n v="91000"/>
    <x v="2"/>
    <n v="10920"/>
    <n v="109200"/>
  </r>
  <r>
    <s v="INV1715"/>
    <x v="226"/>
    <x v="0"/>
    <x v="22"/>
    <n v="6000"/>
    <n v="7"/>
    <n v="42000"/>
    <x v="2"/>
    <n v="7200"/>
    <n v="50400"/>
  </r>
  <r>
    <s v="INV1716"/>
    <x v="226"/>
    <x v="3"/>
    <x v="3"/>
    <n v="800"/>
    <n v="8"/>
    <n v="6400"/>
    <x v="1"/>
    <n v="960"/>
    <n v="7680"/>
  </r>
  <r>
    <s v="INV1717"/>
    <x v="226"/>
    <x v="3"/>
    <x v="4"/>
    <n v="1200"/>
    <n v="10"/>
    <n v="12000"/>
    <x v="2"/>
    <n v="1440"/>
    <n v="14400"/>
  </r>
  <r>
    <s v="INV1718"/>
    <x v="226"/>
    <x v="3"/>
    <x v="29"/>
    <n v="6900"/>
    <n v="9"/>
    <n v="62100"/>
    <x v="2"/>
    <n v="8280"/>
    <n v="74520"/>
  </r>
  <r>
    <s v="INV1719"/>
    <x v="226"/>
    <x v="3"/>
    <x v="4"/>
    <n v="1200"/>
    <n v="9"/>
    <n v="10800"/>
    <x v="0"/>
    <n v="1440"/>
    <n v="12960"/>
  </r>
  <r>
    <s v="INV3228"/>
    <x v="226"/>
    <x v="0"/>
    <x v="9"/>
    <n v="500"/>
    <n v="7"/>
    <n v="3500"/>
    <x v="2"/>
    <n v="600"/>
    <n v="4200"/>
  </r>
  <r>
    <s v="INV3541"/>
    <x v="226"/>
    <x v="0"/>
    <x v="9"/>
    <n v="500"/>
    <n v="5"/>
    <n v="2500"/>
    <x v="0"/>
    <n v="600"/>
    <n v="3000"/>
  </r>
  <r>
    <s v="INV1720"/>
    <x v="227"/>
    <x v="2"/>
    <x v="30"/>
    <n v="2880"/>
    <n v="10"/>
    <n v="28800"/>
    <x v="0"/>
    <n v="3456"/>
    <n v="34560"/>
  </r>
  <r>
    <s v="INV1721"/>
    <x v="227"/>
    <x v="2"/>
    <x v="6"/>
    <n v="2880"/>
    <n v="8"/>
    <n v="23040"/>
    <x v="0"/>
    <n v="3456"/>
    <n v="27648"/>
  </r>
  <r>
    <s v="INV1722"/>
    <x v="227"/>
    <x v="2"/>
    <x v="2"/>
    <n v="2880"/>
    <n v="1"/>
    <n v="2880"/>
    <x v="1"/>
    <n v="3456"/>
    <n v="3456"/>
  </r>
  <r>
    <s v="INV1723"/>
    <x v="227"/>
    <x v="0"/>
    <x v="22"/>
    <n v="6000"/>
    <n v="10"/>
    <n v="60000"/>
    <x v="2"/>
    <n v="7200"/>
    <n v="72000"/>
  </r>
  <r>
    <s v="INV1724"/>
    <x v="227"/>
    <x v="2"/>
    <x v="6"/>
    <n v="2880"/>
    <n v="6"/>
    <n v="17280"/>
    <x v="2"/>
    <n v="3456"/>
    <n v="20736"/>
  </r>
  <r>
    <s v="INV1725"/>
    <x v="227"/>
    <x v="3"/>
    <x v="29"/>
    <n v="6900"/>
    <n v="10"/>
    <n v="69000"/>
    <x v="0"/>
    <n v="8280"/>
    <n v="82800"/>
  </r>
  <r>
    <s v="INV2946"/>
    <x v="227"/>
    <x v="4"/>
    <x v="45"/>
    <n v="120"/>
    <n v="4"/>
    <n v="480"/>
    <x v="1"/>
    <n v="144"/>
    <n v="576"/>
  </r>
  <r>
    <s v="INV3272"/>
    <x v="227"/>
    <x v="3"/>
    <x v="3"/>
    <n v="800"/>
    <n v="8"/>
    <n v="6400"/>
    <x v="2"/>
    <n v="960"/>
    <n v="7680"/>
  </r>
  <r>
    <s v="INV1726"/>
    <x v="228"/>
    <x v="0"/>
    <x v="19"/>
    <n v="48000"/>
    <n v="2"/>
    <n v="96000"/>
    <x v="1"/>
    <n v="57600"/>
    <n v="115200"/>
  </r>
  <r>
    <s v="INV1727"/>
    <x v="228"/>
    <x v="3"/>
    <x v="21"/>
    <n v="1700"/>
    <n v="8"/>
    <n v="13600"/>
    <x v="0"/>
    <n v="2040"/>
    <n v="16320"/>
  </r>
  <r>
    <s v="INV1728"/>
    <x v="228"/>
    <x v="3"/>
    <x v="3"/>
    <n v="800"/>
    <n v="9"/>
    <n v="7200"/>
    <x v="2"/>
    <n v="960"/>
    <n v="8640"/>
  </r>
  <r>
    <s v="INV1729"/>
    <x v="228"/>
    <x v="2"/>
    <x v="39"/>
    <n v="1750"/>
    <n v="6"/>
    <n v="10500"/>
    <x v="0"/>
    <n v="2100"/>
    <n v="12600"/>
  </r>
  <r>
    <s v="INV1730"/>
    <x v="228"/>
    <x v="2"/>
    <x v="30"/>
    <n v="2880"/>
    <n v="6"/>
    <n v="17280"/>
    <x v="0"/>
    <n v="3456"/>
    <n v="20736"/>
  </r>
  <r>
    <s v="INV1731"/>
    <x v="228"/>
    <x v="0"/>
    <x v="22"/>
    <n v="6000"/>
    <n v="4"/>
    <n v="24000"/>
    <x v="2"/>
    <n v="7200"/>
    <n v="28800"/>
  </r>
  <r>
    <s v="INV2968"/>
    <x v="228"/>
    <x v="0"/>
    <x v="9"/>
    <n v="500"/>
    <n v="2"/>
    <n v="1000"/>
    <x v="2"/>
    <n v="600"/>
    <n v="1200"/>
  </r>
  <r>
    <s v="INV3045"/>
    <x v="228"/>
    <x v="4"/>
    <x v="10"/>
    <n v="9100"/>
    <n v="1"/>
    <n v="9100"/>
    <x v="0"/>
    <n v="10920"/>
    <n v="10920"/>
  </r>
  <r>
    <s v="INV3181"/>
    <x v="228"/>
    <x v="0"/>
    <x v="8"/>
    <n v="3300"/>
    <n v="1"/>
    <n v="3300"/>
    <x v="0"/>
    <n v="3960"/>
    <n v="3960"/>
  </r>
  <r>
    <s v="INV3699"/>
    <x v="228"/>
    <x v="3"/>
    <x v="21"/>
    <n v="1700"/>
    <n v="6"/>
    <n v="10200"/>
    <x v="0"/>
    <n v="2040"/>
    <n v="12240"/>
  </r>
  <r>
    <s v="INV1732"/>
    <x v="229"/>
    <x v="3"/>
    <x v="29"/>
    <n v="6900"/>
    <n v="4"/>
    <n v="27600"/>
    <x v="1"/>
    <n v="8280"/>
    <n v="33120"/>
  </r>
  <r>
    <s v="INV1733"/>
    <x v="229"/>
    <x v="3"/>
    <x v="29"/>
    <n v="6900"/>
    <n v="8"/>
    <n v="55200"/>
    <x v="2"/>
    <n v="8280"/>
    <n v="66240"/>
  </r>
  <r>
    <s v="INV1734"/>
    <x v="229"/>
    <x v="0"/>
    <x v="9"/>
    <n v="500"/>
    <n v="7"/>
    <n v="3500"/>
    <x v="2"/>
    <n v="600"/>
    <n v="4200"/>
  </r>
  <r>
    <s v="INV1735"/>
    <x v="229"/>
    <x v="2"/>
    <x v="6"/>
    <n v="2880"/>
    <n v="5"/>
    <n v="14400"/>
    <x v="1"/>
    <n v="3456"/>
    <n v="17280"/>
  </r>
  <r>
    <s v="INV1736"/>
    <x v="229"/>
    <x v="1"/>
    <x v="7"/>
    <n v="5200"/>
    <n v="9"/>
    <n v="46800"/>
    <x v="2"/>
    <n v="6240"/>
    <n v="56160"/>
  </r>
  <r>
    <s v="INV1737"/>
    <x v="229"/>
    <x v="0"/>
    <x v="22"/>
    <n v="6000"/>
    <n v="7"/>
    <n v="42000"/>
    <x v="1"/>
    <n v="7200"/>
    <n v="50400"/>
  </r>
  <r>
    <s v="INV1738"/>
    <x v="229"/>
    <x v="3"/>
    <x v="21"/>
    <n v="1700"/>
    <n v="6"/>
    <n v="10200"/>
    <x v="2"/>
    <n v="2040"/>
    <n v="12240"/>
  </r>
  <r>
    <s v="INV2798"/>
    <x v="229"/>
    <x v="4"/>
    <x v="10"/>
    <n v="9100"/>
    <n v="7"/>
    <n v="63700"/>
    <x v="2"/>
    <n v="10920"/>
    <n v="76440"/>
  </r>
  <r>
    <s v="INV3027"/>
    <x v="229"/>
    <x v="4"/>
    <x v="45"/>
    <n v="120"/>
    <n v="7"/>
    <n v="840"/>
    <x v="2"/>
    <n v="144"/>
    <n v="1008"/>
  </r>
  <r>
    <s v="INV3600"/>
    <x v="229"/>
    <x v="3"/>
    <x v="21"/>
    <n v="1700"/>
    <n v="2"/>
    <n v="3400"/>
    <x v="0"/>
    <n v="2040"/>
    <n v="4080"/>
  </r>
  <r>
    <s v="INV1739"/>
    <x v="230"/>
    <x v="3"/>
    <x v="3"/>
    <n v="800"/>
    <n v="10"/>
    <n v="8000"/>
    <x v="1"/>
    <n v="960"/>
    <n v="9600"/>
  </r>
  <r>
    <s v="INV1740"/>
    <x v="230"/>
    <x v="2"/>
    <x v="6"/>
    <n v="2880"/>
    <n v="8"/>
    <n v="23040"/>
    <x v="0"/>
    <n v="3456"/>
    <n v="27648"/>
  </r>
  <r>
    <s v="INV1741"/>
    <x v="230"/>
    <x v="1"/>
    <x v="7"/>
    <n v="5200"/>
    <n v="5"/>
    <n v="26000"/>
    <x v="0"/>
    <n v="6240"/>
    <n v="31200"/>
  </r>
  <r>
    <s v="INV1742"/>
    <x v="230"/>
    <x v="2"/>
    <x v="6"/>
    <n v="2880"/>
    <n v="9"/>
    <n v="25920"/>
    <x v="0"/>
    <n v="3456"/>
    <n v="31104"/>
  </r>
  <r>
    <s v="INV1743"/>
    <x v="230"/>
    <x v="1"/>
    <x v="5"/>
    <n v="3000"/>
    <n v="9"/>
    <n v="27000"/>
    <x v="2"/>
    <n v="3600"/>
    <n v="32400"/>
  </r>
  <r>
    <s v="INV1744"/>
    <x v="230"/>
    <x v="3"/>
    <x v="29"/>
    <n v="6900"/>
    <n v="3"/>
    <n v="20700"/>
    <x v="1"/>
    <n v="8280"/>
    <n v="24840"/>
  </r>
  <r>
    <s v="INV1745"/>
    <x v="230"/>
    <x v="2"/>
    <x v="2"/>
    <n v="2880"/>
    <n v="1"/>
    <n v="2880"/>
    <x v="2"/>
    <n v="3456"/>
    <n v="3456"/>
  </r>
  <r>
    <s v="INV1746"/>
    <x v="230"/>
    <x v="0"/>
    <x v="0"/>
    <n v="60000"/>
    <n v="8"/>
    <n v="480000"/>
    <x v="1"/>
    <n v="72000"/>
    <n v="576000"/>
  </r>
  <r>
    <s v="INV1747"/>
    <x v="230"/>
    <x v="0"/>
    <x v="9"/>
    <n v="500"/>
    <n v="5"/>
    <n v="2500"/>
    <x v="2"/>
    <n v="600"/>
    <n v="3000"/>
  </r>
  <r>
    <s v="INV2775"/>
    <x v="230"/>
    <x v="0"/>
    <x v="19"/>
    <n v="48000"/>
    <n v="4"/>
    <n v="192000"/>
    <x v="0"/>
    <n v="57600"/>
    <n v="230400"/>
  </r>
  <r>
    <s v="INV2995"/>
    <x v="230"/>
    <x v="4"/>
    <x v="10"/>
    <n v="9100"/>
    <n v="10"/>
    <n v="91000"/>
    <x v="0"/>
    <n v="10920"/>
    <n v="109200"/>
  </r>
  <r>
    <s v="INV3234"/>
    <x v="230"/>
    <x v="3"/>
    <x v="21"/>
    <n v="1700"/>
    <n v="1"/>
    <n v="1700"/>
    <x v="1"/>
    <n v="2040"/>
    <n v="2040"/>
  </r>
  <r>
    <s v="INV3878"/>
    <x v="230"/>
    <x v="4"/>
    <x v="45"/>
    <n v="120"/>
    <n v="5"/>
    <n v="600"/>
    <x v="0"/>
    <n v="144"/>
    <n v="720"/>
  </r>
  <r>
    <s v="INV3946"/>
    <x v="230"/>
    <x v="0"/>
    <x v="19"/>
    <n v="48000"/>
    <n v="4"/>
    <n v="192000"/>
    <x v="1"/>
    <n v="57600"/>
    <n v="230400"/>
  </r>
  <r>
    <s v="INV1748"/>
    <x v="231"/>
    <x v="3"/>
    <x v="3"/>
    <n v="800"/>
    <n v="10"/>
    <n v="8000"/>
    <x v="2"/>
    <n v="960"/>
    <n v="9600"/>
  </r>
  <r>
    <s v="INV1749"/>
    <x v="231"/>
    <x v="2"/>
    <x v="39"/>
    <n v="1750"/>
    <n v="1"/>
    <n v="1750"/>
    <x v="2"/>
    <n v="2100"/>
    <n v="2100"/>
  </r>
  <r>
    <s v="INV1750"/>
    <x v="231"/>
    <x v="2"/>
    <x v="2"/>
    <n v="2880"/>
    <n v="8"/>
    <n v="23040"/>
    <x v="0"/>
    <n v="3456"/>
    <n v="27648"/>
  </r>
  <r>
    <s v="INV1751"/>
    <x v="231"/>
    <x v="0"/>
    <x v="9"/>
    <n v="500"/>
    <n v="6"/>
    <n v="3000"/>
    <x v="2"/>
    <n v="600"/>
    <n v="3600"/>
  </r>
  <r>
    <s v="INV1752"/>
    <x v="231"/>
    <x v="0"/>
    <x v="22"/>
    <n v="6000"/>
    <n v="8"/>
    <n v="48000"/>
    <x v="2"/>
    <n v="7200"/>
    <n v="57600"/>
  </r>
  <r>
    <s v="INV1753"/>
    <x v="231"/>
    <x v="0"/>
    <x v="9"/>
    <n v="500"/>
    <n v="6"/>
    <n v="3000"/>
    <x v="1"/>
    <n v="600"/>
    <n v="3600"/>
  </r>
  <r>
    <s v="INV1754"/>
    <x v="231"/>
    <x v="2"/>
    <x v="2"/>
    <n v="2880"/>
    <n v="2"/>
    <n v="5760"/>
    <x v="1"/>
    <n v="3456"/>
    <n v="6912"/>
  </r>
  <r>
    <s v="INV3040"/>
    <x v="231"/>
    <x v="0"/>
    <x v="31"/>
    <n v="3600"/>
    <n v="3"/>
    <n v="10800"/>
    <x v="0"/>
    <n v="4320"/>
    <n v="12960"/>
  </r>
  <r>
    <s v="INV3119"/>
    <x v="231"/>
    <x v="0"/>
    <x v="19"/>
    <n v="48000"/>
    <n v="2"/>
    <n v="96000"/>
    <x v="1"/>
    <n v="57600"/>
    <n v="115200"/>
  </r>
  <r>
    <s v="INV3894"/>
    <x v="231"/>
    <x v="0"/>
    <x v="8"/>
    <n v="3300"/>
    <n v="1"/>
    <n v="3300"/>
    <x v="0"/>
    <n v="3960"/>
    <n v="3960"/>
  </r>
  <r>
    <s v="INV1755"/>
    <x v="232"/>
    <x v="1"/>
    <x v="1"/>
    <n v="400"/>
    <n v="8"/>
    <n v="3200"/>
    <x v="0"/>
    <n v="480"/>
    <n v="3840"/>
  </r>
  <r>
    <s v="INV1756"/>
    <x v="232"/>
    <x v="0"/>
    <x v="9"/>
    <n v="500"/>
    <n v="2"/>
    <n v="1000"/>
    <x v="1"/>
    <n v="600"/>
    <n v="1200"/>
  </r>
  <r>
    <s v="INV1757"/>
    <x v="232"/>
    <x v="2"/>
    <x v="30"/>
    <n v="2880"/>
    <n v="7"/>
    <n v="20160"/>
    <x v="2"/>
    <n v="3456"/>
    <n v="24192"/>
  </r>
  <r>
    <s v="INV1758"/>
    <x v="232"/>
    <x v="1"/>
    <x v="1"/>
    <n v="400"/>
    <n v="10"/>
    <n v="4000"/>
    <x v="0"/>
    <n v="480"/>
    <n v="4800"/>
  </r>
  <r>
    <s v="INV1759"/>
    <x v="232"/>
    <x v="0"/>
    <x v="0"/>
    <n v="60000"/>
    <n v="3"/>
    <n v="180000"/>
    <x v="2"/>
    <n v="72000"/>
    <n v="216000"/>
  </r>
  <r>
    <s v="INV1760"/>
    <x v="232"/>
    <x v="3"/>
    <x v="29"/>
    <n v="6900"/>
    <n v="3"/>
    <n v="20700"/>
    <x v="1"/>
    <n v="8280"/>
    <n v="24840"/>
  </r>
  <r>
    <s v="INV2860"/>
    <x v="232"/>
    <x v="4"/>
    <x v="45"/>
    <n v="120"/>
    <n v="4"/>
    <n v="480"/>
    <x v="0"/>
    <n v="144"/>
    <n v="576"/>
  </r>
  <r>
    <s v="INV2890"/>
    <x v="232"/>
    <x v="0"/>
    <x v="19"/>
    <n v="48000"/>
    <n v="1"/>
    <n v="48000"/>
    <x v="1"/>
    <n v="57600"/>
    <n v="57600"/>
  </r>
  <r>
    <s v="INV2961"/>
    <x v="232"/>
    <x v="0"/>
    <x v="23"/>
    <n v="600"/>
    <n v="7"/>
    <n v="4200"/>
    <x v="2"/>
    <n v="720"/>
    <n v="5040"/>
  </r>
  <r>
    <s v="INV3510"/>
    <x v="232"/>
    <x v="0"/>
    <x v="19"/>
    <n v="48000"/>
    <n v="2"/>
    <n v="96000"/>
    <x v="0"/>
    <n v="57600"/>
    <n v="115200"/>
  </r>
  <r>
    <s v="INV3523"/>
    <x v="232"/>
    <x v="0"/>
    <x v="8"/>
    <n v="3300"/>
    <n v="10"/>
    <n v="33000"/>
    <x v="0"/>
    <n v="3960"/>
    <n v="39600"/>
  </r>
  <r>
    <s v="INV1761"/>
    <x v="233"/>
    <x v="1"/>
    <x v="1"/>
    <n v="400"/>
    <n v="4"/>
    <n v="1600"/>
    <x v="0"/>
    <n v="480"/>
    <n v="1920"/>
  </r>
  <r>
    <s v="INV1762"/>
    <x v="233"/>
    <x v="3"/>
    <x v="3"/>
    <n v="800"/>
    <n v="4"/>
    <n v="3200"/>
    <x v="1"/>
    <n v="960"/>
    <n v="3840"/>
  </r>
  <r>
    <s v="INV1763"/>
    <x v="233"/>
    <x v="0"/>
    <x v="0"/>
    <n v="60000"/>
    <n v="3"/>
    <n v="180000"/>
    <x v="1"/>
    <n v="72000"/>
    <n v="216000"/>
  </r>
  <r>
    <s v="INV1764"/>
    <x v="233"/>
    <x v="2"/>
    <x v="30"/>
    <n v="2880"/>
    <n v="8"/>
    <n v="23040"/>
    <x v="2"/>
    <n v="3456"/>
    <n v="27648"/>
  </r>
  <r>
    <s v="INV1765"/>
    <x v="233"/>
    <x v="3"/>
    <x v="3"/>
    <n v="800"/>
    <n v="9"/>
    <n v="7200"/>
    <x v="2"/>
    <n v="960"/>
    <n v="8640"/>
  </r>
  <r>
    <s v="INV1766"/>
    <x v="233"/>
    <x v="0"/>
    <x v="19"/>
    <n v="48000"/>
    <n v="8"/>
    <n v="384000"/>
    <x v="1"/>
    <n v="57600"/>
    <n v="460800"/>
  </r>
  <r>
    <s v="INV1767"/>
    <x v="233"/>
    <x v="0"/>
    <x v="9"/>
    <n v="500"/>
    <n v="5"/>
    <n v="2500"/>
    <x v="0"/>
    <n v="600"/>
    <n v="3000"/>
  </r>
  <r>
    <s v="INV1768"/>
    <x v="233"/>
    <x v="1"/>
    <x v="1"/>
    <n v="400"/>
    <n v="10"/>
    <n v="4000"/>
    <x v="1"/>
    <n v="480"/>
    <n v="4800"/>
  </r>
  <r>
    <s v="INV1769"/>
    <x v="233"/>
    <x v="2"/>
    <x v="39"/>
    <n v="1750"/>
    <n v="3"/>
    <n v="5250"/>
    <x v="0"/>
    <n v="2100"/>
    <n v="6300"/>
  </r>
  <r>
    <s v="INV1770"/>
    <x v="233"/>
    <x v="3"/>
    <x v="29"/>
    <n v="6900"/>
    <n v="9"/>
    <n v="62100"/>
    <x v="1"/>
    <n v="8280"/>
    <n v="74520"/>
  </r>
  <r>
    <s v="INV3138"/>
    <x v="233"/>
    <x v="0"/>
    <x v="9"/>
    <n v="500"/>
    <n v="1"/>
    <n v="500"/>
    <x v="1"/>
    <n v="600"/>
    <n v="600"/>
  </r>
  <r>
    <s v="INV3342"/>
    <x v="233"/>
    <x v="0"/>
    <x v="9"/>
    <n v="500"/>
    <n v="6"/>
    <n v="3000"/>
    <x v="1"/>
    <n v="600"/>
    <n v="3600"/>
  </r>
  <r>
    <s v="INV3785"/>
    <x v="233"/>
    <x v="0"/>
    <x v="24"/>
    <n v="1900"/>
    <n v="5"/>
    <n v="9500"/>
    <x v="2"/>
    <n v="2280"/>
    <n v="11400"/>
  </r>
  <r>
    <s v="INV3786"/>
    <x v="233"/>
    <x v="0"/>
    <x v="19"/>
    <n v="48000"/>
    <n v="10"/>
    <n v="480000"/>
    <x v="1"/>
    <n v="57600"/>
    <n v="576000"/>
  </r>
  <r>
    <s v="INV1771"/>
    <x v="234"/>
    <x v="1"/>
    <x v="1"/>
    <n v="400"/>
    <n v="5"/>
    <n v="2000"/>
    <x v="1"/>
    <n v="480"/>
    <n v="2400"/>
  </r>
  <r>
    <s v="INV1772"/>
    <x v="234"/>
    <x v="2"/>
    <x v="2"/>
    <n v="2880"/>
    <n v="8"/>
    <n v="23040"/>
    <x v="0"/>
    <n v="3456"/>
    <n v="27648"/>
  </r>
  <r>
    <s v="INV1773"/>
    <x v="234"/>
    <x v="1"/>
    <x v="1"/>
    <n v="400"/>
    <n v="3"/>
    <n v="1200"/>
    <x v="0"/>
    <n v="480"/>
    <n v="1440"/>
  </r>
  <r>
    <s v="INV1774"/>
    <x v="234"/>
    <x v="2"/>
    <x v="6"/>
    <n v="2880"/>
    <n v="7"/>
    <n v="20160"/>
    <x v="1"/>
    <n v="3456"/>
    <n v="24192"/>
  </r>
  <r>
    <s v="INV1775"/>
    <x v="234"/>
    <x v="2"/>
    <x v="2"/>
    <n v="2880"/>
    <n v="8"/>
    <n v="23040"/>
    <x v="2"/>
    <n v="3456"/>
    <n v="27648"/>
  </r>
  <r>
    <s v="INV1776"/>
    <x v="234"/>
    <x v="3"/>
    <x v="3"/>
    <n v="800"/>
    <n v="3"/>
    <n v="2400"/>
    <x v="0"/>
    <n v="960"/>
    <n v="2880"/>
  </r>
  <r>
    <s v="INV1777"/>
    <x v="234"/>
    <x v="0"/>
    <x v="9"/>
    <n v="500"/>
    <n v="3"/>
    <n v="1500"/>
    <x v="0"/>
    <n v="600"/>
    <n v="1800"/>
  </r>
  <r>
    <s v="INV1778"/>
    <x v="234"/>
    <x v="3"/>
    <x v="29"/>
    <n v="6900"/>
    <n v="10"/>
    <n v="69000"/>
    <x v="2"/>
    <n v="8280"/>
    <n v="82800"/>
  </r>
  <r>
    <s v="INV2985"/>
    <x v="234"/>
    <x v="0"/>
    <x v="19"/>
    <n v="48000"/>
    <n v="4"/>
    <n v="192000"/>
    <x v="1"/>
    <n v="57600"/>
    <n v="230400"/>
  </r>
  <r>
    <s v="INV3472"/>
    <x v="234"/>
    <x v="3"/>
    <x v="3"/>
    <n v="800"/>
    <n v="7"/>
    <n v="5600"/>
    <x v="1"/>
    <n v="960"/>
    <n v="6720"/>
  </r>
  <r>
    <s v="INV1779"/>
    <x v="235"/>
    <x v="3"/>
    <x v="3"/>
    <n v="800"/>
    <n v="9"/>
    <n v="7200"/>
    <x v="0"/>
    <n v="960"/>
    <n v="8640"/>
  </r>
  <r>
    <s v="INV1780"/>
    <x v="235"/>
    <x v="1"/>
    <x v="5"/>
    <n v="3000"/>
    <n v="8"/>
    <n v="24000"/>
    <x v="1"/>
    <n v="3600"/>
    <n v="28800"/>
  </r>
  <r>
    <s v="INV1781"/>
    <x v="235"/>
    <x v="0"/>
    <x v="0"/>
    <n v="60000"/>
    <n v="6"/>
    <n v="360000"/>
    <x v="0"/>
    <n v="72000"/>
    <n v="432000"/>
  </r>
  <r>
    <s v="INV1782"/>
    <x v="235"/>
    <x v="1"/>
    <x v="5"/>
    <n v="3000"/>
    <n v="8"/>
    <n v="24000"/>
    <x v="2"/>
    <n v="3600"/>
    <n v="28800"/>
  </r>
  <r>
    <s v="INV1783"/>
    <x v="235"/>
    <x v="2"/>
    <x v="2"/>
    <n v="2880"/>
    <n v="8"/>
    <n v="23040"/>
    <x v="0"/>
    <n v="3456"/>
    <n v="27648"/>
  </r>
  <r>
    <s v="INV1784"/>
    <x v="235"/>
    <x v="0"/>
    <x v="0"/>
    <n v="60000"/>
    <n v="7"/>
    <n v="420000"/>
    <x v="1"/>
    <n v="72000"/>
    <n v="504000"/>
  </r>
  <r>
    <s v="INV1785"/>
    <x v="235"/>
    <x v="1"/>
    <x v="5"/>
    <n v="3000"/>
    <n v="3"/>
    <n v="9000"/>
    <x v="2"/>
    <n v="3600"/>
    <n v="10800"/>
  </r>
  <r>
    <s v="INV2907"/>
    <x v="235"/>
    <x v="0"/>
    <x v="23"/>
    <n v="600"/>
    <n v="2"/>
    <n v="1200"/>
    <x v="1"/>
    <n v="720"/>
    <n v="1440"/>
  </r>
  <r>
    <s v="INV3014"/>
    <x v="235"/>
    <x v="4"/>
    <x v="45"/>
    <n v="120"/>
    <n v="4"/>
    <n v="480"/>
    <x v="2"/>
    <n v="144"/>
    <n v="576"/>
  </r>
  <r>
    <s v="INV3030"/>
    <x v="235"/>
    <x v="0"/>
    <x v="9"/>
    <n v="500"/>
    <n v="4"/>
    <n v="2000"/>
    <x v="1"/>
    <n v="600"/>
    <n v="2400"/>
  </r>
  <r>
    <s v="INV3077"/>
    <x v="235"/>
    <x v="0"/>
    <x v="23"/>
    <n v="600"/>
    <n v="1"/>
    <n v="600"/>
    <x v="2"/>
    <n v="720"/>
    <n v="720"/>
  </r>
  <r>
    <s v="INV3762"/>
    <x v="235"/>
    <x v="3"/>
    <x v="3"/>
    <n v="800"/>
    <n v="6"/>
    <n v="4800"/>
    <x v="0"/>
    <n v="960"/>
    <n v="5760"/>
  </r>
  <r>
    <s v="INV1786"/>
    <x v="236"/>
    <x v="1"/>
    <x v="1"/>
    <n v="400"/>
    <n v="9"/>
    <n v="3600"/>
    <x v="2"/>
    <n v="480"/>
    <n v="4320"/>
  </r>
  <r>
    <s v="INV1787"/>
    <x v="236"/>
    <x v="1"/>
    <x v="7"/>
    <n v="5200"/>
    <n v="10"/>
    <n v="52000"/>
    <x v="0"/>
    <n v="6240"/>
    <n v="62400"/>
  </r>
  <r>
    <s v="INV1788"/>
    <x v="236"/>
    <x v="2"/>
    <x v="2"/>
    <n v="2880"/>
    <n v="5"/>
    <n v="14400"/>
    <x v="0"/>
    <n v="3456"/>
    <n v="17280"/>
  </r>
  <r>
    <s v="INV1789"/>
    <x v="236"/>
    <x v="2"/>
    <x v="30"/>
    <n v="2880"/>
    <n v="7"/>
    <n v="20160"/>
    <x v="0"/>
    <n v="3456"/>
    <n v="24192"/>
  </r>
  <r>
    <s v="INV1790"/>
    <x v="236"/>
    <x v="2"/>
    <x v="30"/>
    <n v="2880"/>
    <n v="10"/>
    <n v="28800"/>
    <x v="2"/>
    <n v="3456"/>
    <n v="34560"/>
  </r>
  <r>
    <s v="INV1791"/>
    <x v="236"/>
    <x v="3"/>
    <x v="21"/>
    <n v="1700"/>
    <n v="3"/>
    <n v="5100"/>
    <x v="0"/>
    <n v="2040"/>
    <n v="6120"/>
  </r>
  <r>
    <s v="INV3047"/>
    <x v="236"/>
    <x v="4"/>
    <x v="45"/>
    <n v="120"/>
    <n v="10"/>
    <n v="1200"/>
    <x v="1"/>
    <n v="144"/>
    <n v="1440"/>
  </r>
  <r>
    <s v="INV3134"/>
    <x v="236"/>
    <x v="3"/>
    <x v="3"/>
    <n v="800"/>
    <n v="9"/>
    <n v="7200"/>
    <x v="2"/>
    <n v="960"/>
    <n v="8640"/>
  </r>
  <r>
    <s v="INV3453"/>
    <x v="236"/>
    <x v="0"/>
    <x v="23"/>
    <n v="600"/>
    <n v="6"/>
    <n v="3600"/>
    <x v="2"/>
    <n v="720"/>
    <n v="4320"/>
  </r>
  <r>
    <s v="INV1792"/>
    <x v="237"/>
    <x v="0"/>
    <x v="9"/>
    <n v="500"/>
    <n v="5"/>
    <n v="2500"/>
    <x v="2"/>
    <n v="600"/>
    <n v="3000"/>
  </r>
  <r>
    <s v="INV1793"/>
    <x v="237"/>
    <x v="3"/>
    <x v="4"/>
    <n v="1200"/>
    <n v="7"/>
    <n v="8400"/>
    <x v="2"/>
    <n v="1440"/>
    <n v="10080"/>
  </r>
  <r>
    <s v="INV1794"/>
    <x v="237"/>
    <x v="2"/>
    <x v="30"/>
    <n v="2880"/>
    <n v="2"/>
    <n v="5760"/>
    <x v="2"/>
    <n v="3456"/>
    <n v="6912"/>
  </r>
  <r>
    <s v="INV1795"/>
    <x v="237"/>
    <x v="1"/>
    <x v="5"/>
    <n v="3000"/>
    <n v="4"/>
    <n v="12000"/>
    <x v="2"/>
    <n v="3600"/>
    <n v="14400"/>
  </r>
  <r>
    <s v="INV1796"/>
    <x v="237"/>
    <x v="0"/>
    <x v="0"/>
    <n v="60000"/>
    <n v="4"/>
    <n v="240000"/>
    <x v="1"/>
    <n v="72000"/>
    <n v="288000"/>
  </r>
  <r>
    <s v="INV1797"/>
    <x v="237"/>
    <x v="1"/>
    <x v="1"/>
    <n v="400"/>
    <n v="3"/>
    <n v="1200"/>
    <x v="2"/>
    <n v="480"/>
    <n v="1440"/>
  </r>
  <r>
    <s v="INV1798"/>
    <x v="237"/>
    <x v="1"/>
    <x v="5"/>
    <n v="3000"/>
    <n v="6"/>
    <n v="18000"/>
    <x v="2"/>
    <n v="3600"/>
    <n v="21600"/>
  </r>
  <r>
    <s v="INV1799"/>
    <x v="237"/>
    <x v="1"/>
    <x v="5"/>
    <n v="3000"/>
    <n v="6"/>
    <n v="18000"/>
    <x v="1"/>
    <n v="3600"/>
    <n v="21600"/>
  </r>
  <r>
    <s v="INV1800"/>
    <x v="237"/>
    <x v="2"/>
    <x v="39"/>
    <n v="1750"/>
    <n v="2"/>
    <n v="3500"/>
    <x v="1"/>
    <n v="2100"/>
    <n v="4200"/>
  </r>
  <r>
    <s v="INV1801"/>
    <x v="237"/>
    <x v="2"/>
    <x v="6"/>
    <n v="2880"/>
    <n v="6"/>
    <n v="17280"/>
    <x v="1"/>
    <n v="3456"/>
    <n v="20736"/>
  </r>
  <r>
    <s v="INV3184"/>
    <x v="237"/>
    <x v="0"/>
    <x v="9"/>
    <n v="500"/>
    <n v="4"/>
    <n v="2000"/>
    <x v="2"/>
    <n v="600"/>
    <n v="2400"/>
  </r>
  <r>
    <s v="INV3263"/>
    <x v="237"/>
    <x v="0"/>
    <x v="8"/>
    <n v="3300"/>
    <n v="10"/>
    <n v="33000"/>
    <x v="0"/>
    <n v="3960"/>
    <n v="39600"/>
  </r>
  <r>
    <s v="INV1802"/>
    <x v="238"/>
    <x v="2"/>
    <x v="6"/>
    <n v="2880"/>
    <n v="3"/>
    <n v="8640"/>
    <x v="2"/>
    <n v="3456"/>
    <n v="10368"/>
  </r>
  <r>
    <s v="INV1803"/>
    <x v="238"/>
    <x v="0"/>
    <x v="0"/>
    <n v="60000"/>
    <n v="5"/>
    <n v="300000"/>
    <x v="2"/>
    <n v="72000"/>
    <n v="360000"/>
  </r>
  <r>
    <s v="INV1804"/>
    <x v="238"/>
    <x v="2"/>
    <x v="6"/>
    <n v="2880"/>
    <n v="10"/>
    <n v="28800"/>
    <x v="0"/>
    <n v="3456"/>
    <n v="34560"/>
  </r>
  <r>
    <s v="INV1805"/>
    <x v="238"/>
    <x v="1"/>
    <x v="7"/>
    <n v="5200"/>
    <n v="1"/>
    <n v="5200"/>
    <x v="1"/>
    <n v="6240"/>
    <n v="6240"/>
  </r>
  <r>
    <s v="INV1806"/>
    <x v="238"/>
    <x v="1"/>
    <x v="7"/>
    <n v="5200"/>
    <n v="4"/>
    <n v="20800"/>
    <x v="1"/>
    <n v="6240"/>
    <n v="24960"/>
  </r>
  <r>
    <s v="INV1807"/>
    <x v="238"/>
    <x v="1"/>
    <x v="1"/>
    <n v="400"/>
    <n v="9"/>
    <n v="3600"/>
    <x v="2"/>
    <n v="480"/>
    <n v="4320"/>
  </r>
  <r>
    <s v="INV1808"/>
    <x v="238"/>
    <x v="0"/>
    <x v="0"/>
    <n v="60000"/>
    <n v="5"/>
    <n v="300000"/>
    <x v="0"/>
    <n v="72000"/>
    <n v="360000"/>
  </r>
  <r>
    <s v="INV3115"/>
    <x v="238"/>
    <x v="3"/>
    <x v="21"/>
    <n v="1700"/>
    <n v="2"/>
    <n v="3400"/>
    <x v="1"/>
    <n v="2040"/>
    <n v="4080"/>
  </r>
  <r>
    <s v="INV1809"/>
    <x v="239"/>
    <x v="2"/>
    <x v="30"/>
    <n v="2880"/>
    <n v="8"/>
    <n v="23040"/>
    <x v="0"/>
    <n v="3456"/>
    <n v="27648"/>
  </r>
  <r>
    <s v="INV1810"/>
    <x v="239"/>
    <x v="0"/>
    <x v="22"/>
    <n v="6000"/>
    <n v="5"/>
    <n v="30000"/>
    <x v="1"/>
    <n v="7200"/>
    <n v="36000"/>
  </r>
  <r>
    <s v="INV1811"/>
    <x v="239"/>
    <x v="2"/>
    <x v="39"/>
    <n v="1750"/>
    <n v="2"/>
    <n v="3500"/>
    <x v="1"/>
    <n v="2100"/>
    <n v="4200"/>
  </r>
  <r>
    <s v="INV1812"/>
    <x v="239"/>
    <x v="1"/>
    <x v="7"/>
    <n v="5200"/>
    <n v="2"/>
    <n v="10400"/>
    <x v="0"/>
    <n v="6240"/>
    <n v="12480"/>
  </r>
  <r>
    <s v="INV1813"/>
    <x v="239"/>
    <x v="3"/>
    <x v="3"/>
    <n v="800"/>
    <n v="6"/>
    <n v="4800"/>
    <x v="0"/>
    <n v="960"/>
    <n v="5760"/>
  </r>
  <r>
    <s v="INV1814"/>
    <x v="239"/>
    <x v="0"/>
    <x v="9"/>
    <n v="500"/>
    <n v="3"/>
    <n v="1500"/>
    <x v="2"/>
    <n v="600"/>
    <n v="1800"/>
  </r>
  <r>
    <s v="INV1815"/>
    <x v="239"/>
    <x v="3"/>
    <x v="3"/>
    <n v="800"/>
    <n v="6"/>
    <n v="4800"/>
    <x v="0"/>
    <n v="960"/>
    <n v="5760"/>
  </r>
  <r>
    <s v="INV1816"/>
    <x v="239"/>
    <x v="1"/>
    <x v="5"/>
    <n v="3000"/>
    <n v="1"/>
    <n v="3000"/>
    <x v="0"/>
    <n v="3600"/>
    <n v="3600"/>
  </r>
  <r>
    <s v="INV1817"/>
    <x v="239"/>
    <x v="2"/>
    <x v="2"/>
    <n v="2880"/>
    <n v="4"/>
    <n v="11520"/>
    <x v="2"/>
    <n v="3456"/>
    <n v="13824"/>
  </r>
  <r>
    <s v="INV3158"/>
    <x v="239"/>
    <x v="3"/>
    <x v="21"/>
    <n v="1700"/>
    <n v="7"/>
    <n v="11900"/>
    <x v="1"/>
    <n v="2040"/>
    <n v="14280"/>
  </r>
  <r>
    <s v="INV3506"/>
    <x v="239"/>
    <x v="3"/>
    <x v="3"/>
    <n v="800"/>
    <n v="9"/>
    <n v="7200"/>
    <x v="2"/>
    <n v="960"/>
    <n v="8640"/>
  </r>
  <r>
    <s v="INV3624"/>
    <x v="239"/>
    <x v="0"/>
    <x v="31"/>
    <n v="3600"/>
    <n v="3"/>
    <n v="10800"/>
    <x v="0"/>
    <n v="4320"/>
    <n v="12960"/>
  </r>
  <r>
    <s v="INV1818"/>
    <x v="240"/>
    <x v="0"/>
    <x v="22"/>
    <n v="6000"/>
    <n v="3"/>
    <n v="18000"/>
    <x v="0"/>
    <n v="7200"/>
    <n v="21600"/>
  </r>
  <r>
    <s v="INV1819"/>
    <x v="240"/>
    <x v="3"/>
    <x v="29"/>
    <n v="6900"/>
    <n v="2"/>
    <n v="13800"/>
    <x v="1"/>
    <n v="8280"/>
    <n v="16560"/>
  </r>
  <r>
    <s v="INV1820"/>
    <x v="240"/>
    <x v="1"/>
    <x v="5"/>
    <n v="3000"/>
    <n v="6"/>
    <n v="18000"/>
    <x v="2"/>
    <n v="3600"/>
    <n v="21600"/>
  </r>
  <r>
    <s v="INV1821"/>
    <x v="240"/>
    <x v="0"/>
    <x v="19"/>
    <n v="48000"/>
    <n v="9"/>
    <n v="432000"/>
    <x v="0"/>
    <n v="57600"/>
    <n v="518400"/>
  </r>
  <r>
    <s v="INV1822"/>
    <x v="240"/>
    <x v="0"/>
    <x v="22"/>
    <n v="6000"/>
    <n v="3"/>
    <n v="18000"/>
    <x v="1"/>
    <n v="7200"/>
    <n v="21600"/>
  </r>
  <r>
    <s v="INV1823"/>
    <x v="240"/>
    <x v="0"/>
    <x v="22"/>
    <n v="6000"/>
    <n v="1"/>
    <n v="6000"/>
    <x v="0"/>
    <n v="7200"/>
    <n v="7200"/>
  </r>
  <r>
    <s v="INV1824"/>
    <x v="240"/>
    <x v="2"/>
    <x v="39"/>
    <n v="1750"/>
    <n v="7"/>
    <n v="12250"/>
    <x v="0"/>
    <n v="2100"/>
    <n v="14700"/>
  </r>
  <r>
    <s v="INV3168"/>
    <x v="240"/>
    <x v="4"/>
    <x v="10"/>
    <n v="9100"/>
    <n v="6"/>
    <n v="54600"/>
    <x v="1"/>
    <n v="10920"/>
    <n v="65520"/>
  </r>
  <r>
    <s v="INV3593"/>
    <x v="240"/>
    <x v="0"/>
    <x v="24"/>
    <n v="1900"/>
    <n v="6"/>
    <n v="11400"/>
    <x v="1"/>
    <n v="2280"/>
    <n v="13680"/>
  </r>
  <r>
    <s v="INV3651"/>
    <x v="240"/>
    <x v="4"/>
    <x v="10"/>
    <n v="9100"/>
    <n v="4"/>
    <n v="36400"/>
    <x v="2"/>
    <n v="10920"/>
    <n v="43680"/>
  </r>
  <r>
    <s v="INV1825"/>
    <x v="241"/>
    <x v="3"/>
    <x v="21"/>
    <n v="1700"/>
    <n v="7"/>
    <n v="11900"/>
    <x v="2"/>
    <n v="2040"/>
    <n v="14280"/>
  </r>
  <r>
    <s v="INV1826"/>
    <x v="241"/>
    <x v="1"/>
    <x v="7"/>
    <n v="5200"/>
    <n v="10"/>
    <n v="52000"/>
    <x v="0"/>
    <n v="6240"/>
    <n v="62400"/>
  </r>
  <r>
    <s v="INV1827"/>
    <x v="241"/>
    <x v="0"/>
    <x v="0"/>
    <n v="60000"/>
    <n v="7"/>
    <n v="420000"/>
    <x v="0"/>
    <n v="72000"/>
    <n v="504000"/>
  </r>
  <r>
    <s v="INV1828"/>
    <x v="241"/>
    <x v="3"/>
    <x v="21"/>
    <n v="1700"/>
    <n v="1"/>
    <n v="1700"/>
    <x v="1"/>
    <n v="2040"/>
    <n v="2040"/>
  </r>
  <r>
    <s v="INV1829"/>
    <x v="241"/>
    <x v="2"/>
    <x v="2"/>
    <n v="2880"/>
    <n v="7"/>
    <n v="20160"/>
    <x v="0"/>
    <n v="3456"/>
    <n v="24192"/>
  </r>
  <r>
    <s v="INV1830"/>
    <x v="241"/>
    <x v="1"/>
    <x v="7"/>
    <n v="5200"/>
    <n v="4"/>
    <n v="20800"/>
    <x v="1"/>
    <n v="6240"/>
    <n v="24960"/>
  </r>
  <r>
    <s v="INV1831"/>
    <x v="241"/>
    <x v="2"/>
    <x v="39"/>
    <n v="1750"/>
    <n v="8"/>
    <n v="14000"/>
    <x v="1"/>
    <n v="2100"/>
    <n v="16800"/>
  </r>
  <r>
    <s v="INV1832"/>
    <x v="241"/>
    <x v="2"/>
    <x v="30"/>
    <n v="2880"/>
    <n v="8"/>
    <n v="23040"/>
    <x v="2"/>
    <n v="3456"/>
    <n v="27648"/>
  </r>
  <r>
    <s v="INV1833"/>
    <x v="241"/>
    <x v="2"/>
    <x v="2"/>
    <n v="2880"/>
    <n v="7"/>
    <n v="20160"/>
    <x v="1"/>
    <n v="3456"/>
    <n v="24192"/>
  </r>
  <r>
    <s v="INV1834"/>
    <x v="241"/>
    <x v="3"/>
    <x v="4"/>
    <n v="1200"/>
    <n v="3"/>
    <n v="3600"/>
    <x v="0"/>
    <n v="1440"/>
    <n v="4320"/>
  </r>
  <r>
    <s v="INV3369"/>
    <x v="241"/>
    <x v="0"/>
    <x v="8"/>
    <n v="3300"/>
    <n v="3"/>
    <n v="9900"/>
    <x v="2"/>
    <n v="3960"/>
    <n v="11880"/>
  </r>
  <r>
    <s v="INV3381"/>
    <x v="241"/>
    <x v="0"/>
    <x v="9"/>
    <n v="500"/>
    <n v="4"/>
    <n v="2000"/>
    <x v="0"/>
    <n v="600"/>
    <n v="2400"/>
  </r>
  <r>
    <s v="INV3394"/>
    <x v="241"/>
    <x v="3"/>
    <x v="3"/>
    <n v="800"/>
    <n v="3"/>
    <n v="2400"/>
    <x v="2"/>
    <n v="960"/>
    <n v="2880"/>
  </r>
  <r>
    <s v="INV3742"/>
    <x v="241"/>
    <x v="0"/>
    <x v="9"/>
    <n v="500"/>
    <n v="4"/>
    <n v="2000"/>
    <x v="2"/>
    <n v="600"/>
    <n v="2400"/>
  </r>
  <r>
    <s v="INV1835"/>
    <x v="242"/>
    <x v="3"/>
    <x v="3"/>
    <n v="800"/>
    <n v="2"/>
    <n v="1600"/>
    <x v="0"/>
    <n v="960"/>
    <n v="1920"/>
  </r>
  <r>
    <s v="INV1836"/>
    <x v="242"/>
    <x v="0"/>
    <x v="9"/>
    <n v="500"/>
    <n v="5"/>
    <n v="2500"/>
    <x v="1"/>
    <n v="600"/>
    <n v="3000"/>
  </r>
  <r>
    <s v="INV1837"/>
    <x v="242"/>
    <x v="2"/>
    <x v="6"/>
    <n v="2880"/>
    <n v="5"/>
    <n v="14400"/>
    <x v="1"/>
    <n v="3456"/>
    <n v="17280"/>
  </r>
  <r>
    <s v="INV1838"/>
    <x v="242"/>
    <x v="1"/>
    <x v="5"/>
    <n v="3000"/>
    <n v="4"/>
    <n v="12000"/>
    <x v="2"/>
    <n v="3600"/>
    <n v="14400"/>
  </r>
  <r>
    <s v="INV1839"/>
    <x v="242"/>
    <x v="0"/>
    <x v="22"/>
    <n v="6000"/>
    <n v="7"/>
    <n v="42000"/>
    <x v="2"/>
    <n v="7200"/>
    <n v="50400"/>
  </r>
  <r>
    <s v="INV1840"/>
    <x v="242"/>
    <x v="2"/>
    <x v="6"/>
    <n v="2880"/>
    <n v="4"/>
    <n v="11520"/>
    <x v="2"/>
    <n v="3456"/>
    <n v="13824"/>
  </r>
  <r>
    <s v="INV1841"/>
    <x v="242"/>
    <x v="0"/>
    <x v="9"/>
    <n v="500"/>
    <n v="2"/>
    <n v="1000"/>
    <x v="2"/>
    <n v="600"/>
    <n v="1200"/>
  </r>
  <r>
    <s v="INV1842"/>
    <x v="242"/>
    <x v="0"/>
    <x v="9"/>
    <n v="500"/>
    <n v="8"/>
    <n v="4000"/>
    <x v="0"/>
    <n v="600"/>
    <n v="4800"/>
  </r>
  <r>
    <s v="INV1843"/>
    <x v="242"/>
    <x v="3"/>
    <x v="29"/>
    <n v="6900"/>
    <n v="2"/>
    <n v="13800"/>
    <x v="2"/>
    <n v="8280"/>
    <n v="16560"/>
  </r>
  <r>
    <s v="INV1844"/>
    <x v="242"/>
    <x v="3"/>
    <x v="4"/>
    <n v="1200"/>
    <n v="4"/>
    <n v="4800"/>
    <x v="0"/>
    <n v="1440"/>
    <n v="5760"/>
  </r>
  <r>
    <s v="INV2958"/>
    <x v="242"/>
    <x v="3"/>
    <x v="21"/>
    <n v="1700"/>
    <n v="3"/>
    <n v="5100"/>
    <x v="1"/>
    <n v="2040"/>
    <n v="6120"/>
  </r>
  <r>
    <s v="INV3621"/>
    <x v="242"/>
    <x v="0"/>
    <x v="19"/>
    <n v="48000"/>
    <n v="6"/>
    <n v="288000"/>
    <x v="1"/>
    <n v="57600"/>
    <n v="345600"/>
  </r>
  <r>
    <s v="INV3829"/>
    <x v="242"/>
    <x v="3"/>
    <x v="3"/>
    <n v="800"/>
    <n v="4"/>
    <n v="3200"/>
    <x v="0"/>
    <n v="960"/>
    <n v="3840"/>
  </r>
  <r>
    <s v="INV3862"/>
    <x v="242"/>
    <x v="0"/>
    <x v="19"/>
    <n v="48000"/>
    <n v="9"/>
    <n v="432000"/>
    <x v="0"/>
    <n v="57600"/>
    <n v="518400"/>
  </r>
  <r>
    <s v="INV1845"/>
    <x v="243"/>
    <x v="0"/>
    <x v="19"/>
    <n v="48000"/>
    <n v="1"/>
    <n v="48000"/>
    <x v="2"/>
    <n v="57600"/>
    <n v="57600"/>
  </r>
  <r>
    <s v="INV1846"/>
    <x v="243"/>
    <x v="0"/>
    <x v="22"/>
    <n v="6000"/>
    <n v="9"/>
    <n v="54000"/>
    <x v="1"/>
    <n v="7200"/>
    <n v="64800"/>
  </r>
  <r>
    <s v="INV1847"/>
    <x v="243"/>
    <x v="3"/>
    <x v="29"/>
    <n v="6900"/>
    <n v="10"/>
    <n v="69000"/>
    <x v="2"/>
    <n v="8280"/>
    <n v="82800"/>
  </r>
  <r>
    <s v="INV1848"/>
    <x v="243"/>
    <x v="2"/>
    <x v="30"/>
    <n v="2880"/>
    <n v="6"/>
    <n v="17280"/>
    <x v="2"/>
    <n v="3456"/>
    <n v="20736"/>
  </r>
  <r>
    <s v="INV1849"/>
    <x v="243"/>
    <x v="2"/>
    <x v="2"/>
    <n v="2880"/>
    <n v="6"/>
    <n v="17280"/>
    <x v="1"/>
    <n v="3456"/>
    <n v="20736"/>
  </r>
  <r>
    <s v="INV1850"/>
    <x v="243"/>
    <x v="1"/>
    <x v="1"/>
    <n v="400"/>
    <n v="3"/>
    <n v="1200"/>
    <x v="0"/>
    <n v="480"/>
    <n v="1440"/>
  </r>
  <r>
    <s v="INV1851"/>
    <x v="243"/>
    <x v="1"/>
    <x v="1"/>
    <n v="400"/>
    <n v="8"/>
    <n v="3200"/>
    <x v="1"/>
    <n v="480"/>
    <n v="3840"/>
  </r>
  <r>
    <s v="INV2933"/>
    <x v="243"/>
    <x v="0"/>
    <x v="24"/>
    <n v="1900"/>
    <n v="4"/>
    <n v="7600"/>
    <x v="2"/>
    <n v="2280"/>
    <n v="9120"/>
  </r>
  <r>
    <s v="INV3803"/>
    <x v="243"/>
    <x v="4"/>
    <x v="45"/>
    <n v="120"/>
    <n v="4"/>
    <n v="480"/>
    <x v="2"/>
    <n v="144"/>
    <n v="576"/>
  </r>
  <r>
    <s v="INV1852"/>
    <x v="244"/>
    <x v="0"/>
    <x v="9"/>
    <n v="500"/>
    <n v="7"/>
    <n v="3500"/>
    <x v="2"/>
    <n v="600"/>
    <n v="4200"/>
  </r>
  <r>
    <s v="INV1853"/>
    <x v="244"/>
    <x v="0"/>
    <x v="19"/>
    <n v="48000"/>
    <n v="9"/>
    <n v="432000"/>
    <x v="1"/>
    <n v="57600"/>
    <n v="518400"/>
  </r>
  <r>
    <s v="INV1854"/>
    <x v="244"/>
    <x v="0"/>
    <x v="9"/>
    <n v="500"/>
    <n v="6"/>
    <n v="3000"/>
    <x v="2"/>
    <n v="600"/>
    <n v="3600"/>
  </r>
  <r>
    <s v="INV1855"/>
    <x v="244"/>
    <x v="3"/>
    <x v="4"/>
    <n v="1200"/>
    <n v="6"/>
    <n v="7200"/>
    <x v="1"/>
    <n v="1440"/>
    <n v="8640"/>
  </r>
  <r>
    <s v="INV1856"/>
    <x v="244"/>
    <x v="0"/>
    <x v="9"/>
    <n v="500"/>
    <n v="6"/>
    <n v="3000"/>
    <x v="2"/>
    <n v="600"/>
    <n v="3600"/>
  </r>
  <r>
    <s v="INV1857"/>
    <x v="244"/>
    <x v="1"/>
    <x v="5"/>
    <n v="3000"/>
    <n v="4"/>
    <n v="12000"/>
    <x v="2"/>
    <n v="3600"/>
    <n v="14400"/>
  </r>
  <r>
    <s v="INV2940"/>
    <x v="244"/>
    <x v="3"/>
    <x v="21"/>
    <n v="1700"/>
    <n v="8"/>
    <n v="13600"/>
    <x v="2"/>
    <n v="2040"/>
    <n v="16320"/>
  </r>
  <r>
    <s v="INV3057"/>
    <x v="244"/>
    <x v="4"/>
    <x v="10"/>
    <n v="9100"/>
    <n v="9"/>
    <n v="81900"/>
    <x v="0"/>
    <n v="10920"/>
    <n v="98280"/>
  </r>
  <r>
    <s v="INV3666"/>
    <x v="244"/>
    <x v="0"/>
    <x v="24"/>
    <n v="1900"/>
    <n v="9"/>
    <n v="17100"/>
    <x v="1"/>
    <n v="2280"/>
    <n v="20520"/>
  </r>
  <r>
    <s v="INV1858"/>
    <x v="245"/>
    <x v="2"/>
    <x v="2"/>
    <n v="2880"/>
    <n v="3"/>
    <n v="8640"/>
    <x v="1"/>
    <n v="3456"/>
    <n v="10368"/>
  </r>
  <r>
    <s v="INV1859"/>
    <x v="245"/>
    <x v="3"/>
    <x v="21"/>
    <n v="1700"/>
    <n v="7"/>
    <n v="11900"/>
    <x v="0"/>
    <n v="2040"/>
    <n v="14280"/>
  </r>
  <r>
    <s v="INV1860"/>
    <x v="245"/>
    <x v="2"/>
    <x v="30"/>
    <n v="2880"/>
    <n v="9"/>
    <n v="25920"/>
    <x v="0"/>
    <n v="3456"/>
    <n v="31104"/>
  </r>
  <r>
    <s v="INV1861"/>
    <x v="245"/>
    <x v="1"/>
    <x v="5"/>
    <n v="3000"/>
    <n v="6"/>
    <n v="18000"/>
    <x v="0"/>
    <n v="3600"/>
    <n v="21600"/>
  </r>
  <r>
    <s v="INV1862"/>
    <x v="245"/>
    <x v="3"/>
    <x v="3"/>
    <n v="800"/>
    <n v="2"/>
    <n v="1600"/>
    <x v="1"/>
    <n v="960"/>
    <n v="1920"/>
  </r>
  <r>
    <s v="INV1863"/>
    <x v="245"/>
    <x v="2"/>
    <x v="39"/>
    <n v="1750"/>
    <n v="3"/>
    <n v="5250"/>
    <x v="0"/>
    <n v="2100"/>
    <n v="6300"/>
  </r>
  <r>
    <s v="INV1864"/>
    <x v="245"/>
    <x v="2"/>
    <x v="30"/>
    <n v="2880"/>
    <n v="1"/>
    <n v="2880"/>
    <x v="2"/>
    <n v="3456"/>
    <n v="3456"/>
  </r>
  <r>
    <s v="INV1865"/>
    <x v="245"/>
    <x v="3"/>
    <x v="21"/>
    <n v="1700"/>
    <n v="5"/>
    <n v="8500"/>
    <x v="2"/>
    <n v="2040"/>
    <n v="10200"/>
  </r>
  <r>
    <s v="INV2936"/>
    <x v="245"/>
    <x v="3"/>
    <x v="3"/>
    <n v="800"/>
    <n v="4"/>
    <n v="3200"/>
    <x v="0"/>
    <n v="960"/>
    <n v="3840"/>
  </r>
  <r>
    <s v="INV2984"/>
    <x v="245"/>
    <x v="0"/>
    <x v="24"/>
    <n v="1900"/>
    <n v="5"/>
    <n v="9500"/>
    <x v="2"/>
    <n v="2280"/>
    <n v="11400"/>
  </r>
  <r>
    <s v="INV3189"/>
    <x v="245"/>
    <x v="0"/>
    <x v="8"/>
    <n v="3300"/>
    <n v="6"/>
    <n v="19800"/>
    <x v="2"/>
    <n v="3960"/>
    <n v="23760"/>
  </r>
  <r>
    <s v="INV3349"/>
    <x v="245"/>
    <x v="0"/>
    <x v="9"/>
    <n v="500"/>
    <n v="3"/>
    <n v="1500"/>
    <x v="2"/>
    <n v="600"/>
    <n v="1800"/>
  </r>
  <r>
    <s v="INV3368"/>
    <x v="245"/>
    <x v="0"/>
    <x v="9"/>
    <n v="500"/>
    <n v="2"/>
    <n v="1000"/>
    <x v="0"/>
    <n v="600"/>
    <n v="1200"/>
  </r>
  <r>
    <s v="INV3622"/>
    <x v="245"/>
    <x v="0"/>
    <x v="23"/>
    <n v="600"/>
    <n v="7"/>
    <n v="4200"/>
    <x v="0"/>
    <n v="720"/>
    <n v="5040"/>
  </r>
  <r>
    <s v="INV1866"/>
    <x v="246"/>
    <x v="3"/>
    <x v="21"/>
    <n v="1700"/>
    <n v="7"/>
    <n v="11900"/>
    <x v="1"/>
    <n v="2040"/>
    <n v="14280"/>
  </r>
  <r>
    <s v="INV1867"/>
    <x v="246"/>
    <x v="2"/>
    <x v="39"/>
    <n v="1750"/>
    <n v="9"/>
    <n v="15750"/>
    <x v="1"/>
    <n v="2100"/>
    <n v="18900"/>
  </r>
  <r>
    <s v="INV1868"/>
    <x v="246"/>
    <x v="1"/>
    <x v="7"/>
    <n v="5200"/>
    <n v="2"/>
    <n v="10400"/>
    <x v="1"/>
    <n v="6240"/>
    <n v="12480"/>
  </r>
  <r>
    <s v="INV1869"/>
    <x v="246"/>
    <x v="1"/>
    <x v="7"/>
    <n v="5200"/>
    <n v="2"/>
    <n v="10400"/>
    <x v="0"/>
    <n v="6240"/>
    <n v="12480"/>
  </r>
  <r>
    <s v="INV1870"/>
    <x v="246"/>
    <x v="2"/>
    <x v="2"/>
    <n v="2880"/>
    <n v="4"/>
    <n v="11520"/>
    <x v="0"/>
    <n v="3456"/>
    <n v="13824"/>
  </r>
  <r>
    <s v="INV1871"/>
    <x v="246"/>
    <x v="3"/>
    <x v="21"/>
    <n v="1700"/>
    <n v="4"/>
    <n v="6800"/>
    <x v="1"/>
    <n v="2040"/>
    <n v="8160"/>
  </r>
  <r>
    <s v="INV1872"/>
    <x v="246"/>
    <x v="3"/>
    <x v="21"/>
    <n v="1700"/>
    <n v="3"/>
    <n v="5100"/>
    <x v="0"/>
    <n v="2040"/>
    <n v="6120"/>
  </r>
  <r>
    <s v="INV1873"/>
    <x v="246"/>
    <x v="2"/>
    <x v="2"/>
    <n v="2880"/>
    <n v="4"/>
    <n v="11520"/>
    <x v="1"/>
    <n v="3456"/>
    <n v="13824"/>
  </r>
  <r>
    <s v="INV2806"/>
    <x v="246"/>
    <x v="4"/>
    <x v="10"/>
    <n v="9100"/>
    <n v="3"/>
    <n v="27300"/>
    <x v="0"/>
    <n v="10920"/>
    <n v="32760"/>
  </r>
  <r>
    <s v="INV3284"/>
    <x v="246"/>
    <x v="4"/>
    <x v="10"/>
    <n v="9100"/>
    <n v="2"/>
    <n v="18200"/>
    <x v="0"/>
    <n v="10920"/>
    <n v="21840"/>
  </r>
  <r>
    <s v="INV1874"/>
    <x v="247"/>
    <x v="2"/>
    <x v="39"/>
    <n v="1750"/>
    <n v="10"/>
    <n v="17500"/>
    <x v="0"/>
    <n v="2100"/>
    <n v="21000"/>
  </r>
  <r>
    <s v="INV1875"/>
    <x v="247"/>
    <x v="2"/>
    <x v="30"/>
    <n v="2880"/>
    <n v="1"/>
    <n v="2880"/>
    <x v="1"/>
    <n v="3456"/>
    <n v="3456"/>
  </r>
  <r>
    <s v="INV1876"/>
    <x v="247"/>
    <x v="2"/>
    <x v="30"/>
    <n v="2880"/>
    <n v="7"/>
    <n v="20160"/>
    <x v="0"/>
    <n v="3456"/>
    <n v="24192"/>
  </r>
  <r>
    <s v="INV1877"/>
    <x v="247"/>
    <x v="0"/>
    <x v="9"/>
    <n v="500"/>
    <n v="4"/>
    <n v="2000"/>
    <x v="2"/>
    <n v="600"/>
    <n v="2400"/>
  </r>
  <r>
    <s v="INV1878"/>
    <x v="247"/>
    <x v="3"/>
    <x v="29"/>
    <n v="6900"/>
    <n v="1"/>
    <n v="6900"/>
    <x v="2"/>
    <n v="8280"/>
    <n v="8280"/>
  </r>
  <r>
    <s v="INV1879"/>
    <x v="247"/>
    <x v="2"/>
    <x v="2"/>
    <n v="2880"/>
    <n v="9"/>
    <n v="25920"/>
    <x v="1"/>
    <n v="3456"/>
    <n v="31104"/>
  </r>
  <r>
    <s v="INV1880"/>
    <x v="247"/>
    <x v="2"/>
    <x v="6"/>
    <n v="2880"/>
    <n v="10"/>
    <n v="28800"/>
    <x v="0"/>
    <n v="3456"/>
    <n v="34560"/>
  </r>
  <r>
    <s v="INV3034"/>
    <x v="247"/>
    <x v="0"/>
    <x v="9"/>
    <n v="500"/>
    <n v="10"/>
    <n v="5000"/>
    <x v="2"/>
    <n v="600"/>
    <n v="6000"/>
  </r>
  <r>
    <s v="INV3288"/>
    <x v="247"/>
    <x v="3"/>
    <x v="21"/>
    <n v="1700"/>
    <n v="3"/>
    <n v="5100"/>
    <x v="1"/>
    <n v="2040"/>
    <n v="6120"/>
  </r>
  <r>
    <s v="INV3356"/>
    <x v="247"/>
    <x v="0"/>
    <x v="23"/>
    <n v="600"/>
    <n v="1"/>
    <n v="600"/>
    <x v="0"/>
    <n v="720"/>
    <n v="720"/>
  </r>
  <r>
    <s v="INV3372"/>
    <x v="247"/>
    <x v="0"/>
    <x v="19"/>
    <n v="48000"/>
    <n v="7"/>
    <n v="336000"/>
    <x v="0"/>
    <n v="57600"/>
    <n v="403200"/>
  </r>
  <r>
    <s v="INV3705"/>
    <x v="247"/>
    <x v="4"/>
    <x v="10"/>
    <n v="9100"/>
    <n v="1"/>
    <n v="9100"/>
    <x v="2"/>
    <n v="10920"/>
    <n v="10920"/>
  </r>
  <r>
    <s v="INV1881"/>
    <x v="248"/>
    <x v="0"/>
    <x v="22"/>
    <n v="6000"/>
    <n v="2"/>
    <n v="12000"/>
    <x v="1"/>
    <n v="7200"/>
    <n v="14400"/>
  </r>
  <r>
    <s v="INV1882"/>
    <x v="248"/>
    <x v="1"/>
    <x v="5"/>
    <n v="3000"/>
    <n v="9"/>
    <n v="27000"/>
    <x v="1"/>
    <n v="3600"/>
    <n v="32400"/>
  </r>
  <r>
    <s v="INV1883"/>
    <x v="248"/>
    <x v="0"/>
    <x v="19"/>
    <n v="48000"/>
    <n v="10"/>
    <n v="480000"/>
    <x v="1"/>
    <n v="57600"/>
    <n v="576000"/>
  </r>
  <r>
    <s v="INV1884"/>
    <x v="248"/>
    <x v="3"/>
    <x v="21"/>
    <n v="1700"/>
    <n v="7"/>
    <n v="11900"/>
    <x v="0"/>
    <n v="2040"/>
    <n v="14280"/>
  </r>
  <r>
    <s v="INV1885"/>
    <x v="248"/>
    <x v="0"/>
    <x v="22"/>
    <n v="6000"/>
    <n v="8"/>
    <n v="48000"/>
    <x v="1"/>
    <n v="7200"/>
    <n v="57600"/>
  </r>
  <r>
    <s v="INV2772"/>
    <x v="248"/>
    <x v="0"/>
    <x v="31"/>
    <n v="3600"/>
    <n v="8"/>
    <n v="28800"/>
    <x v="2"/>
    <n v="4320"/>
    <n v="34560"/>
  </r>
  <r>
    <s v="INV2947"/>
    <x v="248"/>
    <x v="3"/>
    <x v="3"/>
    <n v="800"/>
    <n v="8"/>
    <n v="6400"/>
    <x v="0"/>
    <n v="960"/>
    <n v="7680"/>
  </r>
  <r>
    <s v="INV3436"/>
    <x v="248"/>
    <x v="0"/>
    <x v="23"/>
    <n v="600"/>
    <n v="10"/>
    <n v="6000"/>
    <x v="2"/>
    <n v="720"/>
    <n v="7200"/>
  </r>
  <r>
    <s v="INV3812"/>
    <x v="248"/>
    <x v="0"/>
    <x v="23"/>
    <n v="600"/>
    <n v="3"/>
    <n v="1800"/>
    <x v="2"/>
    <n v="720"/>
    <n v="2160"/>
  </r>
  <r>
    <s v="INV1886"/>
    <x v="249"/>
    <x v="2"/>
    <x v="30"/>
    <n v="2880"/>
    <n v="4"/>
    <n v="11520"/>
    <x v="1"/>
    <n v="3456"/>
    <n v="13824"/>
  </r>
  <r>
    <s v="INV1887"/>
    <x v="249"/>
    <x v="3"/>
    <x v="3"/>
    <n v="800"/>
    <n v="8"/>
    <n v="6400"/>
    <x v="0"/>
    <n v="960"/>
    <n v="7680"/>
  </r>
  <r>
    <s v="INV1888"/>
    <x v="249"/>
    <x v="0"/>
    <x v="22"/>
    <n v="6000"/>
    <n v="5"/>
    <n v="30000"/>
    <x v="2"/>
    <n v="7200"/>
    <n v="36000"/>
  </r>
  <r>
    <s v="INV1889"/>
    <x v="249"/>
    <x v="3"/>
    <x v="3"/>
    <n v="800"/>
    <n v="2"/>
    <n v="1600"/>
    <x v="0"/>
    <n v="960"/>
    <n v="1920"/>
  </r>
  <r>
    <s v="INV1890"/>
    <x v="249"/>
    <x v="2"/>
    <x v="6"/>
    <n v="2880"/>
    <n v="8"/>
    <n v="23040"/>
    <x v="0"/>
    <n v="3456"/>
    <n v="27648"/>
  </r>
  <r>
    <s v="INV1891"/>
    <x v="249"/>
    <x v="2"/>
    <x v="30"/>
    <n v="2880"/>
    <n v="6"/>
    <n v="17280"/>
    <x v="1"/>
    <n v="3456"/>
    <n v="20736"/>
  </r>
  <r>
    <s v="INV1892"/>
    <x v="249"/>
    <x v="0"/>
    <x v="0"/>
    <n v="60000"/>
    <n v="1"/>
    <n v="60000"/>
    <x v="1"/>
    <n v="72000"/>
    <n v="72000"/>
  </r>
  <r>
    <s v="INV2755"/>
    <x v="249"/>
    <x v="0"/>
    <x v="9"/>
    <n v="500"/>
    <n v="1"/>
    <n v="500"/>
    <x v="2"/>
    <n v="600"/>
    <n v="600"/>
  </r>
  <r>
    <s v="INV3151"/>
    <x v="249"/>
    <x v="3"/>
    <x v="3"/>
    <n v="800"/>
    <n v="1"/>
    <n v="800"/>
    <x v="1"/>
    <n v="960"/>
    <n v="960"/>
  </r>
  <r>
    <s v="INV3918"/>
    <x v="249"/>
    <x v="0"/>
    <x v="8"/>
    <n v="3300"/>
    <n v="2"/>
    <n v="6600"/>
    <x v="2"/>
    <n v="3960"/>
    <n v="7920"/>
  </r>
  <r>
    <s v="INV1893"/>
    <x v="250"/>
    <x v="0"/>
    <x v="9"/>
    <n v="500"/>
    <n v="3"/>
    <n v="1500"/>
    <x v="1"/>
    <n v="600"/>
    <n v="1800"/>
  </r>
  <r>
    <s v="INV1894"/>
    <x v="250"/>
    <x v="3"/>
    <x v="4"/>
    <n v="1200"/>
    <n v="3"/>
    <n v="3600"/>
    <x v="2"/>
    <n v="1440"/>
    <n v="4320"/>
  </r>
  <r>
    <s v="INV1895"/>
    <x v="250"/>
    <x v="3"/>
    <x v="29"/>
    <n v="6900"/>
    <n v="8"/>
    <n v="55200"/>
    <x v="1"/>
    <n v="8280"/>
    <n v="66240"/>
  </r>
  <r>
    <s v="INV1896"/>
    <x v="250"/>
    <x v="0"/>
    <x v="19"/>
    <n v="48000"/>
    <n v="7"/>
    <n v="336000"/>
    <x v="2"/>
    <n v="57600"/>
    <n v="403200"/>
  </r>
  <r>
    <s v="INV1897"/>
    <x v="250"/>
    <x v="3"/>
    <x v="29"/>
    <n v="6900"/>
    <n v="5"/>
    <n v="34500"/>
    <x v="1"/>
    <n v="8280"/>
    <n v="41400"/>
  </r>
  <r>
    <s v="INV1898"/>
    <x v="250"/>
    <x v="2"/>
    <x v="30"/>
    <n v="2880"/>
    <n v="4"/>
    <n v="11520"/>
    <x v="2"/>
    <n v="3456"/>
    <n v="13824"/>
  </r>
  <r>
    <s v="INV1899"/>
    <x v="250"/>
    <x v="2"/>
    <x v="6"/>
    <n v="2880"/>
    <n v="5"/>
    <n v="14400"/>
    <x v="1"/>
    <n v="3456"/>
    <n v="17280"/>
  </r>
  <r>
    <s v="INV1900"/>
    <x v="250"/>
    <x v="0"/>
    <x v="19"/>
    <n v="48000"/>
    <n v="2"/>
    <n v="96000"/>
    <x v="0"/>
    <n v="57600"/>
    <n v="115200"/>
  </r>
  <r>
    <s v="INV1901"/>
    <x v="250"/>
    <x v="0"/>
    <x v="0"/>
    <n v="60000"/>
    <n v="4"/>
    <n v="240000"/>
    <x v="2"/>
    <n v="72000"/>
    <n v="288000"/>
  </r>
  <r>
    <s v="INV1902"/>
    <x v="250"/>
    <x v="1"/>
    <x v="7"/>
    <n v="5200"/>
    <n v="7"/>
    <n v="36400"/>
    <x v="2"/>
    <n v="6240"/>
    <n v="43680"/>
  </r>
  <r>
    <s v="INV3938"/>
    <x v="250"/>
    <x v="0"/>
    <x v="23"/>
    <n v="600"/>
    <n v="5"/>
    <n v="3000"/>
    <x v="0"/>
    <n v="720"/>
    <n v="3600"/>
  </r>
  <r>
    <s v="INV1903"/>
    <x v="251"/>
    <x v="0"/>
    <x v="19"/>
    <n v="48000"/>
    <n v="6"/>
    <n v="288000"/>
    <x v="1"/>
    <n v="57600"/>
    <n v="345600"/>
  </r>
  <r>
    <s v="INV1904"/>
    <x v="251"/>
    <x v="3"/>
    <x v="3"/>
    <n v="800"/>
    <n v="8"/>
    <n v="6400"/>
    <x v="1"/>
    <n v="960"/>
    <n v="7680"/>
  </r>
  <r>
    <s v="INV1905"/>
    <x v="251"/>
    <x v="2"/>
    <x v="30"/>
    <n v="2880"/>
    <n v="7"/>
    <n v="20160"/>
    <x v="0"/>
    <n v="3456"/>
    <n v="24192"/>
  </r>
  <r>
    <s v="INV1906"/>
    <x v="251"/>
    <x v="0"/>
    <x v="0"/>
    <n v="60000"/>
    <n v="6"/>
    <n v="360000"/>
    <x v="2"/>
    <n v="72000"/>
    <n v="432000"/>
  </r>
  <r>
    <s v="INV1907"/>
    <x v="251"/>
    <x v="3"/>
    <x v="29"/>
    <n v="6900"/>
    <n v="1"/>
    <n v="6900"/>
    <x v="0"/>
    <n v="8280"/>
    <n v="8280"/>
  </r>
  <r>
    <s v="INV1908"/>
    <x v="251"/>
    <x v="3"/>
    <x v="3"/>
    <n v="800"/>
    <n v="6"/>
    <n v="4800"/>
    <x v="2"/>
    <n v="960"/>
    <n v="5760"/>
  </r>
  <r>
    <s v="INV1909"/>
    <x v="251"/>
    <x v="3"/>
    <x v="4"/>
    <n v="1200"/>
    <n v="7"/>
    <n v="8400"/>
    <x v="0"/>
    <n v="1440"/>
    <n v="10080"/>
  </r>
  <r>
    <s v="INV3730"/>
    <x v="251"/>
    <x v="3"/>
    <x v="3"/>
    <n v="800"/>
    <n v="10"/>
    <n v="8000"/>
    <x v="0"/>
    <n v="960"/>
    <n v="9600"/>
  </r>
  <r>
    <s v="INV1910"/>
    <x v="252"/>
    <x v="2"/>
    <x v="30"/>
    <n v="2880"/>
    <n v="1"/>
    <n v="2880"/>
    <x v="0"/>
    <n v="3456"/>
    <n v="3456"/>
  </r>
  <r>
    <s v="INV1911"/>
    <x v="252"/>
    <x v="2"/>
    <x v="30"/>
    <n v="2880"/>
    <n v="9"/>
    <n v="25920"/>
    <x v="0"/>
    <n v="3456"/>
    <n v="31104"/>
  </r>
  <r>
    <s v="INV1912"/>
    <x v="252"/>
    <x v="3"/>
    <x v="3"/>
    <n v="800"/>
    <n v="8"/>
    <n v="6400"/>
    <x v="1"/>
    <n v="960"/>
    <n v="7680"/>
  </r>
  <r>
    <s v="INV1913"/>
    <x v="252"/>
    <x v="1"/>
    <x v="7"/>
    <n v="5200"/>
    <n v="3"/>
    <n v="15600"/>
    <x v="1"/>
    <n v="6240"/>
    <n v="18720"/>
  </r>
  <r>
    <s v="INV1914"/>
    <x v="252"/>
    <x v="1"/>
    <x v="7"/>
    <n v="5200"/>
    <n v="1"/>
    <n v="5200"/>
    <x v="1"/>
    <n v="6240"/>
    <n v="6240"/>
  </r>
  <r>
    <s v="INV1915"/>
    <x v="252"/>
    <x v="2"/>
    <x v="6"/>
    <n v="2880"/>
    <n v="8"/>
    <n v="23040"/>
    <x v="0"/>
    <n v="3456"/>
    <n v="27648"/>
  </r>
  <r>
    <s v="INV1916"/>
    <x v="252"/>
    <x v="3"/>
    <x v="3"/>
    <n v="800"/>
    <n v="4"/>
    <n v="3200"/>
    <x v="2"/>
    <n v="960"/>
    <n v="3840"/>
  </r>
  <r>
    <s v="INV1917"/>
    <x v="252"/>
    <x v="3"/>
    <x v="4"/>
    <n v="1200"/>
    <n v="5"/>
    <n v="6000"/>
    <x v="1"/>
    <n v="1440"/>
    <n v="7200"/>
  </r>
  <r>
    <s v="INV1918"/>
    <x v="252"/>
    <x v="3"/>
    <x v="21"/>
    <n v="1700"/>
    <n v="1"/>
    <n v="1700"/>
    <x v="1"/>
    <n v="2040"/>
    <n v="2040"/>
  </r>
  <r>
    <s v="INV2843"/>
    <x v="252"/>
    <x v="0"/>
    <x v="9"/>
    <n v="500"/>
    <n v="5"/>
    <n v="2500"/>
    <x v="1"/>
    <n v="600"/>
    <n v="3000"/>
  </r>
  <r>
    <s v="INV3009"/>
    <x v="252"/>
    <x v="3"/>
    <x v="3"/>
    <n v="800"/>
    <n v="5"/>
    <n v="4000"/>
    <x v="1"/>
    <n v="960"/>
    <n v="4800"/>
  </r>
  <r>
    <s v="INV3391"/>
    <x v="252"/>
    <x v="3"/>
    <x v="21"/>
    <n v="1700"/>
    <n v="5"/>
    <n v="8500"/>
    <x v="1"/>
    <n v="2040"/>
    <n v="10200"/>
  </r>
  <r>
    <s v="INV3770"/>
    <x v="252"/>
    <x v="0"/>
    <x v="19"/>
    <n v="48000"/>
    <n v="1"/>
    <n v="48000"/>
    <x v="1"/>
    <n v="57600"/>
    <n v="57600"/>
  </r>
  <r>
    <s v="INV3771"/>
    <x v="252"/>
    <x v="0"/>
    <x v="23"/>
    <n v="600"/>
    <n v="5"/>
    <n v="3000"/>
    <x v="0"/>
    <n v="720"/>
    <n v="3600"/>
  </r>
  <r>
    <s v="INV1919"/>
    <x v="253"/>
    <x v="3"/>
    <x v="29"/>
    <n v="6900"/>
    <n v="1"/>
    <n v="6900"/>
    <x v="0"/>
    <n v="8280"/>
    <n v="8280"/>
  </r>
  <r>
    <s v="INV1920"/>
    <x v="253"/>
    <x v="1"/>
    <x v="1"/>
    <n v="400"/>
    <n v="7"/>
    <n v="2800"/>
    <x v="1"/>
    <n v="480"/>
    <n v="3360"/>
  </r>
  <r>
    <s v="INV1921"/>
    <x v="253"/>
    <x v="3"/>
    <x v="29"/>
    <n v="6900"/>
    <n v="10"/>
    <n v="69000"/>
    <x v="0"/>
    <n v="8280"/>
    <n v="82800"/>
  </r>
  <r>
    <s v="INV1922"/>
    <x v="253"/>
    <x v="2"/>
    <x v="39"/>
    <n v="1750"/>
    <n v="1"/>
    <n v="1750"/>
    <x v="2"/>
    <n v="2100"/>
    <n v="2100"/>
  </r>
  <r>
    <s v="INV1923"/>
    <x v="253"/>
    <x v="3"/>
    <x v="29"/>
    <n v="6900"/>
    <n v="2"/>
    <n v="13800"/>
    <x v="2"/>
    <n v="8280"/>
    <n v="16560"/>
  </r>
  <r>
    <s v="INV2922"/>
    <x v="253"/>
    <x v="0"/>
    <x v="8"/>
    <n v="3300"/>
    <n v="8"/>
    <n v="26400"/>
    <x v="2"/>
    <n v="3960"/>
    <n v="31680"/>
  </r>
  <r>
    <s v="INV1924"/>
    <x v="254"/>
    <x v="0"/>
    <x v="0"/>
    <n v="60000"/>
    <n v="6"/>
    <n v="360000"/>
    <x v="1"/>
    <n v="72000"/>
    <n v="432000"/>
  </r>
  <r>
    <s v="INV1925"/>
    <x v="254"/>
    <x v="2"/>
    <x v="6"/>
    <n v="2880"/>
    <n v="3"/>
    <n v="8640"/>
    <x v="0"/>
    <n v="3456"/>
    <n v="10368"/>
  </r>
  <r>
    <s v="INV1926"/>
    <x v="254"/>
    <x v="1"/>
    <x v="7"/>
    <n v="5200"/>
    <n v="2"/>
    <n v="10400"/>
    <x v="2"/>
    <n v="6240"/>
    <n v="12480"/>
  </r>
  <r>
    <s v="INV1927"/>
    <x v="254"/>
    <x v="3"/>
    <x v="4"/>
    <n v="1200"/>
    <n v="1"/>
    <n v="1200"/>
    <x v="2"/>
    <n v="1440"/>
    <n v="1440"/>
  </r>
  <r>
    <s v="INV1928"/>
    <x v="254"/>
    <x v="3"/>
    <x v="3"/>
    <n v="800"/>
    <n v="2"/>
    <n v="1600"/>
    <x v="0"/>
    <n v="960"/>
    <n v="1920"/>
  </r>
  <r>
    <s v="INV3226"/>
    <x v="254"/>
    <x v="0"/>
    <x v="24"/>
    <n v="1900"/>
    <n v="10"/>
    <n v="19000"/>
    <x v="1"/>
    <n v="2280"/>
    <n v="22800"/>
  </r>
  <r>
    <s v="INV3376"/>
    <x v="254"/>
    <x v="0"/>
    <x v="24"/>
    <n v="1900"/>
    <n v="10"/>
    <n v="19000"/>
    <x v="1"/>
    <n v="2280"/>
    <n v="22800"/>
  </r>
  <r>
    <s v="INV3588"/>
    <x v="254"/>
    <x v="0"/>
    <x v="9"/>
    <n v="500"/>
    <n v="8"/>
    <n v="4000"/>
    <x v="0"/>
    <n v="600"/>
    <n v="4800"/>
  </r>
  <r>
    <s v="INV3744"/>
    <x v="254"/>
    <x v="0"/>
    <x v="24"/>
    <n v="1900"/>
    <n v="4"/>
    <n v="7600"/>
    <x v="1"/>
    <n v="2280"/>
    <n v="9120"/>
  </r>
  <r>
    <s v="INV3783"/>
    <x v="254"/>
    <x v="0"/>
    <x v="9"/>
    <n v="500"/>
    <n v="2"/>
    <n v="1000"/>
    <x v="0"/>
    <n v="600"/>
    <n v="1200"/>
  </r>
  <r>
    <s v="INV3876"/>
    <x v="254"/>
    <x v="4"/>
    <x v="45"/>
    <n v="120"/>
    <n v="3"/>
    <n v="360"/>
    <x v="1"/>
    <n v="144"/>
    <n v="432"/>
  </r>
  <r>
    <s v="INV1929"/>
    <x v="255"/>
    <x v="3"/>
    <x v="29"/>
    <n v="6900"/>
    <n v="3"/>
    <n v="20700"/>
    <x v="0"/>
    <n v="8280"/>
    <n v="24840"/>
  </r>
  <r>
    <s v="INV1930"/>
    <x v="255"/>
    <x v="3"/>
    <x v="29"/>
    <n v="6900"/>
    <n v="10"/>
    <n v="69000"/>
    <x v="2"/>
    <n v="8280"/>
    <n v="82800"/>
  </r>
  <r>
    <s v="INV1931"/>
    <x v="255"/>
    <x v="2"/>
    <x v="39"/>
    <n v="1750"/>
    <n v="3"/>
    <n v="5250"/>
    <x v="1"/>
    <n v="2100"/>
    <n v="6300"/>
  </r>
  <r>
    <s v="INV1932"/>
    <x v="255"/>
    <x v="1"/>
    <x v="1"/>
    <n v="400"/>
    <n v="4"/>
    <n v="1600"/>
    <x v="2"/>
    <n v="480"/>
    <n v="1920"/>
  </r>
  <r>
    <s v="INV1933"/>
    <x v="255"/>
    <x v="3"/>
    <x v="29"/>
    <n v="6900"/>
    <n v="1"/>
    <n v="6900"/>
    <x v="0"/>
    <n v="8280"/>
    <n v="8280"/>
  </r>
  <r>
    <s v="INV1934"/>
    <x v="255"/>
    <x v="0"/>
    <x v="22"/>
    <n v="6000"/>
    <n v="7"/>
    <n v="42000"/>
    <x v="0"/>
    <n v="7200"/>
    <n v="50400"/>
  </r>
  <r>
    <s v="INV1935"/>
    <x v="255"/>
    <x v="3"/>
    <x v="29"/>
    <n v="6900"/>
    <n v="5"/>
    <n v="34500"/>
    <x v="0"/>
    <n v="8280"/>
    <n v="41400"/>
  </r>
  <r>
    <s v="INV1936"/>
    <x v="255"/>
    <x v="1"/>
    <x v="7"/>
    <n v="5200"/>
    <n v="7"/>
    <n v="36400"/>
    <x v="0"/>
    <n v="6240"/>
    <n v="43680"/>
  </r>
  <r>
    <s v="INV3326"/>
    <x v="255"/>
    <x v="0"/>
    <x v="23"/>
    <n v="600"/>
    <n v="10"/>
    <n v="6000"/>
    <x v="2"/>
    <n v="720"/>
    <n v="7200"/>
  </r>
  <r>
    <s v="INV3713"/>
    <x v="255"/>
    <x v="0"/>
    <x v="31"/>
    <n v="3600"/>
    <n v="3"/>
    <n v="10800"/>
    <x v="1"/>
    <n v="4320"/>
    <n v="12960"/>
  </r>
  <r>
    <s v="INV3793"/>
    <x v="255"/>
    <x v="0"/>
    <x v="23"/>
    <n v="600"/>
    <n v="9"/>
    <n v="5400"/>
    <x v="0"/>
    <n v="720"/>
    <n v="6480"/>
  </r>
  <r>
    <s v="INV3883"/>
    <x v="255"/>
    <x v="3"/>
    <x v="21"/>
    <n v="1700"/>
    <n v="4"/>
    <n v="6800"/>
    <x v="0"/>
    <n v="2040"/>
    <n v="8160"/>
  </r>
  <r>
    <s v="INV1937"/>
    <x v="256"/>
    <x v="2"/>
    <x v="30"/>
    <n v="2880"/>
    <n v="6"/>
    <n v="17280"/>
    <x v="1"/>
    <n v="3456"/>
    <n v="20736"/>
  </r>
  <r>
    <s v="INV1938"/>
    <x v="256"/>
    <x v="3"/>
    <x v="21"/>
    <n v="1700"/>
    <n v="9"/>
    <n v="15300"/>
    <x v="1"/>
    <n v="2040"/>
    <n v="18360"/>
  </r>
  <r>
    <s v="INV1939"/>
    <x v="256"/>
    <x v="1"/>
    <x v="5"/>
    <n v="3000"/>
    <n v="4"/>
    <n v="12000"/>
    <x v="0"/>
    <n v="3600"/>
    <n v="14400"/>
  </r>
  <r>
    <s v="INV1940"/>
    <x v="256"/>
    <x v="3"/>
    <x v="4"/>
    <n v="1200"/>
    <n v="8"/>
    <n v="9600"/>
    <x v="0"/>
    <n v="1440"/>
    <n v="11520"/>
  </r>
  <r>
    <s v="INV1941"/>
    <x v="256"/>
    <x v="3"/>
    <x v="21"/>
    <n v="1700"/>
    <n v="10"/>
    <n v="17000"/>
    <x v="1"/>
    <n v="2040"/>
    <n v="20400"/>
  </r>
  <r>
    <s v="INV1942"/>
    <x v="256"/>
    <x v="3"/>
    <x v="4"/>
    <n v="1200"/>
    <n v="9"/>
    <n v="10800"/>
    <x v="2"/>
    <n v="1440"/>
    <n v="12960"/>
  </r>
  <r>
    <s v="INV1943"/>
    <x v="256"/>
    <x v="1"/>
    <x v="7"/>
    <n v="5200"/>
    <n v="6"/>
    <n v="31200"/>
    <x v="1"/>
    <n v="6240"/>
    <n v="37440"/>
  </r>
  <r>
    <s v="INV2905"/>
    <x v="256"/>
    <x v="0"/>
    <x v="8"/>
    <n v="3300"/>
    <n v="8"/>
    <n v="26400"/>
    <x v="2"/>
    <n v="3960"/>
    <n v="31680"/>
  </r>
  <r>
    <s v="INV3322"/>
    <x v="256"/>
    <x v="0"/>
    <x v="8"/>
    <n v="3300"/>
    <n v="7"/>
    <n v="23100"/>
    <x v="2"/>
    <n v="3960"/>
    <n v="27720"/>
  </r>
  <r>
    <s v="INV3601"/>
    <x v="256"/>
    <x v="0"/>
    <x v="19"/>
    <n v="48000"/>
    <n v="6"/>
    <n v="288000"/>
    <x v="1"/>
    <n v="57600"/>
    <n v="345600"/>
  </r>
  <r>
    <s v="INV3725"/>
    <x v="256"/>
    <x v="3"/>
    <x v="21"/>
    <n v="1700"/>
    <n v="8"/>
    <n v="13600"/>
    <x v="2"/>
    <n v="2040"/>
    <n v="16320"/>
  </r>
  <r>
    <s v="INV1944"/>
    <x v="257"/>
    <x v="3"/>
    <x v="3"/>
    <n v="800"/>
    <n v="2"/>
    <n v="1600"/>
    <x v="0"/>
    <n v="960"/>
    <n v="1920"/>
  </r>
  <r>
    <s v="INV1945"/>
    <x v="257"/>
    <x v="2"/>
    <x v="30"/>
    <n v="2880"/>
    <n v="6"/>
    <n v="17280"/>
    <x v="2"/>
    <n v="3456"/>
    <n v="20736"/>
  </r>
  <r>
    <s v="INV1946"/>
    <x v="257"/>
    <x v="1"/>
    <x v="1"/>
    <n v="400"/>
    <n v="4"/>
    <n v="1600"/>
    <x v="0"/>
    <n v="480"/>
    <n v="1920"/>
  </r>
  <r>
    <s v="INV1947"/>
    <x v="257"/>
    <x v="3"/>
    <x v="29"/>
    <n v="6900"/>
    <n v="1"/>
    <n v="6900"/>
    <x v="1"/>
    <n v="8280"/>
    <n v="8280"/>
  </r>
  <r>
    <s v="INV1948"/>
    <x v="257"/>
    <x v="2"/>
    <x v="6"/>
    <n v="2880"/>
    <n v="7"/>
    <n v="20160"/>
    <x v="1"/>
    <n v="3456"/>
    <n v="24192"/>
  </r>
  <r>
    <s v="INV1949"/>
    <x v="257"/>
    <x v="2"/>
    <x v="2"/>
    <n v="2880"/>
    <n v="3"/>
    <n v="8640"/>
    <x v="0"/>
    <n v="3456"/>
    <n v="10368"/>
  </r>
  <r>
    <s v="INV1950"/>
    <x v="257"/>
    <x v="0"/>
    <x v="0"/>
    <n v="60000"/>
    <n v="5"/>
    <n v="300000"/>
    <x v="2"/>
    <n v="72000"/>
    <n v="360000"/>
  </r>
  <r>
    <s v="INV1951"/>
    <x v="257"/>
    <x v="0"/>
    <x v="9"/>
    <n v="500"/>
    <n v="9"/>
    <n v="4500"/>
    <x v="1"/>
    <n v="600"/>
    <n v="5400"/>
  </r>
  <r>
    <s v="INV1952"/>
    <x v="257"/>
    <x v="3"/>
    <x v="21"/>
    <n v="1700"/>
    <n v="4"/>
    <n v="6800"/>
    <x v="0"/>
    <n v="2040"/>
    <n v="8160"/>
  </r>
  <r>
    <s v="INV1953"/>
    <x v="257"/>
    <x v="0"/>
    <x v="19"/>
    <n v="48000"/>
    <n v="7"/>
    <n v="336000"/>
    <x v="2"/>
    <n v="57600"/>
    <n v="403200"/>
  </r>
  <r>
    <s v="INV2825"/>
    <x v="257"/>
    <x v="4"/>
    <x v="45"/>
    <n v="120"/>
    <n v="5"/>
    <n v="600"/>
    <x v="1"/>
    <n v="144"/>
    <n v="720"/>
  </r>
  <r>
    <s v="INV3097"/>
    <x v="257"/>
    <x v="0"/>
    <x v="19"/>
    <n v="48000"/>
    <n v="9"/>
    <n v="432000"/>
    <x v="0"/>
    <n v="57600"/>
    <n v="518400"/>
  </r>
  <r>
    <s v="INV3121"/>
    <x v="257"/>
    <x v="0"/>
    <x v="19"/>
    <n v="48000"/>
    <n v="8"/>
    <n v="384000"/>
    <x v="2"/>
    <n v="57600"/>
    <n v="460800"/>
  </r>
  <r>
    <s v="INV3277"/>
    <x v="257"/>
    <x v="0"/>
    <x v="9"/>
    <n v="500"/>
    <n v="8"/>
    <n v="4000"/>
    <x v="2"/>
    <n v="600"/>
    <n v="4800"/>
  </r>
  <r>
    <s v="INV3618"/>
    <x v="257"/>
    <x v="4"/>
    <x v="10"/>
    <n v="9100"/>
    <n v="10"/>
    <n v="91000"/>
    <x v="0"/>
    <n v="10920"/>
    <n v="109200"/>
  </r>
  <r>
    <s v="INV3933"/>
    <x v="257"/>
    <x v="4"/>
    <x v="45"/>
    <n v="120"/>
    <n v="9"/>
    <n v="1080"/>
    <x v="0"/>
    <n v="144"/>
    <n v="1296"/>
  </r>
  <r>
    <s v="INV1954"/>
    <x v="258"/>
    <x v="2"/>
    <x v="6"/>
    <n v="2880"/>
    <n v="6"/>
    <n v="17280"/>
    <x v="2"/>
    <n v="3456"/>
    <n v="20736"/>
  </r>
  <r>
    <s v="INV1955"/>
    <x v="258"/>
    <x v="0"/>
    <x v="0"/>
    <n v="60000"/>
    <n v="3"/>
    <n v="180000"/>
    <x v="0"/>
    <n v="72000"/>
    <n v="216000"/>
  </r>
  <r>
    <s v="INV1956"/>
    <x v="258"/>
    <x v="0"/>
    <x v="9"/>
    <n v="500"/>
    <n v="8"/>
    <n v="4000"/>
    <x v="0"/>
    <n v="600"/>
    <n v="4800"/>
  </r>
  <r>
    <s v="INV1957"/>
    <x v="258"/>
    <x v="2"/>
    <x v="2"/>
    <n v="2880"/>
    <n v="9"/>
    <n v="25920"/>
    <x v="2"/>
    <n v="3456"/>
    <n v="31104"/>
  </r>
  <r>
    <s v="INV1958"/>
    <x v="258"/>
    <x v="0"/>
    <x v="19"/>
    <n v="48000"/>
    <n v="2"/>
    <n v="96000"/>
    <x v="1"/>
    <n v="57600"/>
    <n v="115200"/>
  </r>
  <r>
    <s v="INV1959"/>
    <x v="258"/>
    <x v="0"/>
    <x v="19"/>
    <n v="48000"/>
    <n v="10"/>
    <n v="480000"/>
    <x v="2"/>
    <n v="57600"/>
    <n v="576000"/>
  </r>
  <r>
    <s v="INV1960"/>
    <x v="258"/>
    <x v="1"/>
    <x v="5"/>
    <n v="3000"/>
    <n v="5"/>
    <n v="15000"/>
    <x v="1"/>
    <n v="3600"/>
    <n v="18000"/>
  </r>
  <r>
    <s v="INV1961"/>
    <x v="258"/>
    <x v="3"/>
    <x v="29"/>
    <n v="6900"/>
    <n v="1"/>
    <n v="6900"/>
    <x v="1"/>
    <n v="8280"/>
    <n v="8280"/>
  </r>
  <r>
    <s v="INV2794"/>
    <x v="258"/>
    <x v="0"/>
    <x v="8"/>
    <n v="3300"/>
    <n v="3"/>
    <n v="9900"/>
    <x v="1"/>
    <n v="3960"/>
    <n v="11880"/>
  </r>
  <r>
    <s v="INV2827"/>
    <x v="258"/>
    <x v="0"/>
    <x v="23"/>
    <n v="600"/>
    <n v="7"/>
    <n v="4200"/>
    <x v="0"/>
    <n v="720"/>
    <n v="5040"/>
  </r>
  <r>
    <s v="INV2988"/>
    <x v="258"/>
    <x v="3"/>
    <x v="3"/>
    <n v="800"/>
    <n v="2"/>
    <n v="1600"/>
    <x v="0"/>
    <n v="960"/>
    <n v="1920"/>
  </r>
  <r>
    <s v="INV3174"/>
    <x v="258"/>
    <x v="4"/>
    <x v="45"/>
    <n v="120"/>
    <n v="8"/>
    <n v="960"/>
    <x v="0"/>
    <n v="144"/>
    <n v="1152"/>
  </r>
  <r>
    <s v="INV3404"/>
    <x v="258"/>
    <x v="3"/>
    <x v="3"/>
    <n v="800"/>
    <n v="3"/>
    <n v="2400"/>
    <x v="0"/>
    <n v="960"/>
    <n v="2880"/>
  </r>
  <r>
    <s v="INV1962"/>
    <x v="259"/>
    <x v="2"/>
    <x v="2"/>
    <n v="2880"/>
    <n v="5"/>
    <n v="14400"/>
    <x v="1"/>
    <n v="3456"/>
    <n v="17280"/>
  </r>
  <r>
    <s v="INV1963"/>
    <x v="259"/>
    <x v="2"/>
    <x v="2"/>
    <n v="2880"/>
    <n v="8"/>
    <n v="23040"/>
    <x v="1"/>
    <n v="3456"/>
    <n v="27648"/>
  </r>
  <r>
    <s v="INV1964"/>
    <x v="259"/>
    <x v="3"/>
    <x v="29"/>
    <n v="6900"/>
    <n v="5"/>
    <n v="34500"/>
    <x v="2"/>
    <n v="8280"/>
    <n v="41400"/>
  </r>
  <r>
    <s v="INV1965"/>
    <x v="259"/>
    <x v="2"/>
    <x v="30"/>
    <n v="2880"/>
    <n v="4"/>
    <n v="11520"/>
    <x v="2"/>
    <n v="3456"/>
    <n v="13824"/>
  </r>
  <r>
    <s v="INV1966"/>
    <x v="259"/>
    <x v="2"/>
    <x v="6"/>
    <n v="2880"/>
    <n v="9"/>
    <n v="25920"/>
    <x v="2"/>
    <n v="3456"/>
    <n v="31104"/>
  </r>
  <r>
    <s v="INV1967"/>
    <x v="259"/>
    <x v="3"/>
    <x v="21"/>
    <n v="1700"/>
    <n v="2"/>
    <n v="3400"/>
    <x v="2"/>
    <n v="2040"/>
    <n v="4080"/>
  </r>
  <r>
    <s v="INV2935"/>
    <x v="259"/>
    <x v="0"/>
    <x v="8"/>
    <n v="3300"/>
    <n v="4"/>
    <n v="13200"/>
    <x v="0"/>
    <n v="3960"/>
    <n v="15840"/>
  </r>
  <r>
    <s v="INV2987"/>
    <x v="259"/>
    <x v="3"/>
    <x v="21"/>
    <n v="1700"/>
    <n v="7"/>
    <n v="11900"/>
    <x v="1"/>
    <n v="2040"/>
    <n v="14280"/>
  </r>
  <r>
    <s v="INV3247"/>
    <x v="259"/>
    <x v="0"/>
    <x v="8"/>
    <n v="3300"/>
    <n v="8"/>
    <n v="26400"/>
    <x v="0"/>
    <n v="3960"/>
    <n v="31680"/>
  </r>
  <r>
    <s v="INV3375"/>
    <x v="259"/>
    <x v="0"/>
    <x v="31"/>
    <n v="3600"/>
    <n v="8"/>
    <n v="28800"/>
    <x v="1"/>
    <n v="4320"/>
    <n v="34560"/>
  </r>
  <r>
    <s v="INV1968"/>
    <x v="260"/>
    <x v="0"/>
    <x v="19"/>
    <n v="48000"/>
    <n v="6"/>
    <n v="288000"/>
    <x v="2"/>
    <n v="57600"/>
    <n v="345600"/>
  </r>
  <r>
    <s v="INV1969"/>
    <x v="260"/>
    <x v="2"/>
    <x v="6"/>
    <n v="2880"/>
    <n v="5"/>
    <n v="14400"/>
    <x v="0"/>
    <n v="3456"/>
    <n v="17280"/>
  </r>
  <r>
    <s v="INV1970"/>
    <x v="260"/>
    <x v="2"/>
    <x v="6"/>
    <n v="2880"/>
    <n v="8"/>
    <n v="23040"/>
    <x v="0"/>
    <n v="3456"/>
    <n v="27648"/>
  </r>
  <r>
    <s v="INV1971"/>
    <x v="260"/>
    <x v="1"/>
    <x v="1"/>
    <n v="400"/>
    <n v="2"/>
    <n v="800"/>
    <x v="2"/>
    <n v="480"/>
    <n v="960"/>
  </r>
  <r>
    <s v="INV1972"/>
    <x v="260"/>
    <x v="0"/>
    <x v="19"/>
    <n v="48000"/>
    <n v="2"/>
    <n v="96000"/>
    <x v="1"/>
    <n v="57600"/>
    <n v="115200"/>
  </r>
  <r>
    <s v="INV1973"/>
    <x v="260"/>
    <x v="1"/>
    <x v="5"/>
    <n v="3000"/>
    <n v="10"/>
    <n v="30000"/>
    <x v="2"/>
    <n v="3600"/>
    <n v="36000"/>
  </r>
  <r>
    <s v="INV1974"/>
    <x v="260"/>
    <x v="1"/>
    <x v="1"/>
    <n v="400"/>
    <n v="1"/>
    <n v="400"/>
    <x v="0"/>
    <n v="480"/>
    <n v="480"/>
  </r>
  <r>
    <s v="INV1975"/>
    <x v="260"/>
    <x v="2"/>
    <x v="6"/>
    <n v="2880"/>
    <n v="5"/>
    <n v="14400"/>
    <x v="0"/>
    <n v="3456"/>
    <n v="17280"/>
  </r>
  <r>
    <s v="INV1976"/>
    <x v="260"/>
    <x v="0"/>
    <x v="0"/>
    <n v="60000"/>
    <n v="2"/>
    <n v="120000"/>
    <x v="2"/>
    <n v="72000"/>
    <n v="144000"/>
  </r>
  <r>
    <s v="INV2915"/>
    <x v="260"/>
    <x v="0"/>
    <x v="9"/>
    <n v="500"/>
    <n v="5"/>
    <n v="2500"/>
    <x v="2"/>
    <n v="600"/>
    <n v="3000"/>
  </r>
  <r>
    <s v="INV3438"/>
    <x v="260"/>
    <x v="3"/>
    <x v="3"/>
    <n v="800"/>
    <n v="7"/>
    <n v="5600"/>
    <x v="1"/>
    <n v="960"/>
    <n v="6720"/>
  </r>
  <r>
    <s v="INV3496"/>
    <x v="260"/>
    <x v="4"/>
    <x v="10"/>
    <n v="9100"/>
    <n v="3"/>
    <n v="27300"/>
    <x v="1"/>
    <n v="10920"/>
    <n v="32760"/>
  </r>
  <r>
    <s v="INV3612"/>
    <x v="260"/>
    <x v="3"/>
    <x v="21"/>
    <n v="1700"/>
    <n v="6"/>
    <n v="10200"/>
    <x v="1"/>
    <n v="2040"/>
    <n v="12240"/>
  </r>
  <r>
    <s v="INV1977"/>
    <x v="261"/>
    <x v="2"/>
    <x v="30"/>
    <n v="2880"/>
    <n v="4"/>
    <n v="11520"/>
    <x v="2"/>
    <n v="3456"/>
    <n v="13824"/>
  </r>
  <r>
    <s v="INV1978"/>
    <x v="261"/>
    <x v="0"/>
    <x v="0"/>
    <n v="60000"/>
    <n v="10"/>
    <n v="600000"/>
    <x v="0"/>
    <n v="72000"/>
    <n v="720000"/>
  </r>
  <r>
    <s v="INV1979"/>
    <x v="261"/>
    <x v="3"/>
    <x v="29"/>
    <n v="6900"/>
    <n v="6"/>
    <n v="41400"/>
    <x v="0"/>
    <n v="8280"/>
    <n v="49680"/>
  </r>
  <r>
    <s v="INV1980"/>
    <x v="261"/>
    <x v="0"/>
    <x v="22"/>
    <n v="6000"/>
    <n v="1"/>
    <n v="6000"/>
    <x v="2"/>
    <n v="7200"/>
    <n v="7200"/>
  </r>
  <r>
    <s v="INV1981"/>
    <x v="261"/>
    <x v="3"/>
    <x v="21"/>
    <n v="1700"/>
    <n v="3"/>
    <n v="5100"/>
    <x v="2"/>
    <n v="2040"/>
    <n v="6120"/>
  </r>
  <r>
    <s v="INV1982"/>
    <x v="261"/>
    <x v="2"/>
    <x v="2"/>
    <n v="2880"/>
    <n v="2"/>
    <n v="5760"/>
    <x v="0"/>
    <n v="3456"/>
    <n v="6912"/>
  </r>
  <r>
    <s v="INV1983"/>
    <x v="261"/>
    <x v="2"/>
    <x v="2"/>
    <n v="2880"/>
    <n v="9"/>
    <n v="25920"/>
    <x v="0"/>
    <n v="3456"/>
    <n v="31104"/>
  </r>
  <r>
    <s v="INV2917"/>
    <x v="261"/>
    <x v="4"/>
    <x v="45"/>
    <n v="120"/>
    <n v="2"/>
    <n v="240"/>
    <x v="2"/>
    <n v="144"/>
    <n v="288"/>
  </r>
  <r>
    <s v="INV2931"/>
    <x v="261"/>
    <x v="0"/>
    <x v="24"/>
    <n v="1900"/>
    <n v="1"/>
    <n v="1900"/>
    <x v="1"/>
    <n v="2280"/>
    <n v="2280"/>
  </r>
  <r>
    <s v="INV2974"/>
    <x v="261"/>
    <x v="0"/>
    <x v="31"/>
    <n v="3600"/>
    <n v="7"/>
    <n v="25200"/>
    <x v="1"/>
    <n v="4320"/>
    <n v="30240"/>
  </r>
  <r>
    <s v="INV3152"/>
    <x v="261"/>
    <x v="0"/>
    <x v="9"/>
    <n v="500"/>
    <n v="3"/>
    <n v="1500"/>
    <x v="1"/>
    <n v="600"/>
    <n v="1800"/>
  </r>
  <r>
    <s v="INV3371"/>
    <x v="261"/>
    <x v="3"/>
    <x v="3"/>
    <n v="800"/>
    <n v="2"/>
    <n v="1600"/>
    <x v="1"/>
    <n v="960"/>
    <n v="1920"/>
  </r>
  <r>
    <s v="INV3936"/>
    <x v="261"/>
    <x v="3"/>
    <x v="3"/>
    <n v="800"/>
    <n v="6"/>
    <n v="4800"/>
    <x v="2"/>
    <n v="960"/>
    <n v="5760"/>
  </r>
  <r>
    <s v="INV1984"/>
    <x v="262"/>
    <x v="0"/>
    <x v="19"/>
    <n v="48000"/>
    <n v="9"/>
    <n v="432000"/>
    <x v="2"/>
    <n v="57600"/>
    <n v="518400"/>
  </r>
  <r>
    <s v="INV1985"/>
    <x v="262"/>
    <x v="0"/>
    <x v="9"/>
    <n v="500"/>
    <n v="5"/>
    <n v="2500"/>
    <x v="1"/>
    <n v="600"/>
    <n v="3000"/>
  </r>
  <r>
    <s v="INV1986"/>
    <x v="262"/>
    <x v="2"/>
    <x v="2"/>
    <n v="2880"/>
    <n v="4"/>
    <n v="11520"/>
    <x v="0"/>
    <n v="3456"/>
    <n v="13824"/>
  </r>
  <r>
    <s v="INV1987"/>
    <x v="262"/>
    <x v="2"/>
    <x v="2"/>
    <n v="2880"/>
    <n v="3"/>
    <n v="8640"/>
    <x v="1"/>
    <n v="3456"/>
    <n v="10368"/>
  </r>
  <r>
    <s v="INV1988"/>
    <x v="262"/>
    <x v="0"/>
    <x v="22"/>
    <n v="6000"/>
    <n v="4"/>
    <n v="24000"/>
    <x v="0"/>
    <n v="7200"/>
    <n v="28800"/>
  </r>
  <r>
    <s v="INV1989"/>
    <x v="262"/>
    <x v="0"/>
    <x v="19"/>
    <n v="48000"/>
    <n v="4"/>
    <n v="192000"/>
    <x v="2"/>
    <n v="57600"/>
    <n v="230400"/>
  </r>
  <r>
    <s v="INV3041"/>
    <x v="262"/>
    <x v="3"/>
    <x v="3"/>
    <n v="800"/>
    <n v="8"/>
    <n v="6400"/>
    <x v="2"/>
    <n v="960"/>
    <n v="7680"/>
  </r>
  <r>
    <s v="INV3095"/>
    <x v="262"/>
    <x v="0"/>
    <x v="31"/>
    <n v="3600"/>
    <n v="6"/>
    <n v="21600"/>
    <x v="0"/>
    <n v="4320"/>
    <n v="25920"/>
  </r>
  <r>
    <s v="INV3316"/>
    <x v="262"/>
    <x v="4"/>
    <x v="45"/>
    <n v="120"/>
    <n v="2"/>
    <n v="240"/>
    <x v="1"/>
    <n v="144"/>
    <n v="288"/>
  </r>
  <r>
    <s v="INV3789"/>
    <x v="262"/>
    <x v="3"/>
    <x v="21"/>
    <n v="1700"/>
    <n v="10"/>
    <n v="17000"/>
    <x v="2"/>
    <n v="2040"/>
    <n v="20400"/>
  </r>
  <r>
    <s v="INV3854"/>
    <x v="262"/>
    <x v="0"/>
    <x v="19"/>
    <n v="48000"/>
    <n v="10"/>
    <n v="480000"/>
    <x v="2"/>
    <n v="57600"/>
    <n v="576000"/>
  </r>
  <r>
    <s v="INV1990"/>
    <x v="263"/>
    <x v="3"/>
    <x v="4"/>
    <n v="1200"/>
    <n v="2"/>
    <n v="2400"/>
    <x v="0"/>
    <n v="1440"/>
    <n v="2880"/>
  </r>
  <r>
    <s v="INV1991"/>
    <x v="263"/>
    <x v="0"/>
    <x v="22"/>
    <n v="6000"/>
    <n v="3"/>
    <n v="18000"/>
    <x v="1"/>
    <n v="7200"/>
    <n v="21600"/>
  </r>
  <r>
    <s v="INV1992"/>
    <x v="263"/>
    <x v="3"/>
    <x v="29"/>
    <n v="6900"/>
    <n v="4"/>
    <n v="27600"/>
    <x v="2"/>
    <n v="8280"/>
    <n v="33120"/>
  </r>
  <r>
    <s v="INV1993"/>
    <x v="263"/>
    <x v="3"/>
    <x v="3"/>
    <n v="800"/>
    <n v="2"/>
    <n v="1600"/>
    <x v="0"/>
    <n v="960"/>
    <n v="1920"/>
  </r>
  <r>
    <s v="INV1994"/>
    <x v="263"/>
    <x v="3"/>
    <x v="21"/>
    <n v="1700"/>
    <n v="10"/>
    <n v="17000"/>
    <x v="0"/>
    <n v="2040"/>
    <n v="20400"/>
  </r>
  <r>
    <s v="INV3497"/>
    <x v="263"/>
    <x v="0"/>
    <x v="24"/>
    <n v="1900"/>
    <n v="10"/>
    <n v="19000"/>
    <x v="1"/>
    <n v="2280"/>
    <n v="22800"/>
  </r>
  <r>
    <s v="INV3606"/>
    <x v="263"/>
    <x v="3"/>
    <x v="21"/>
    <n v="1700"/>
    <n v="2"/>
    <n v="3400"/>
    <x v="0"/>
    <n v="2040"/>
    <n v="4080"/>
  </r>
  <r>
    <s v="INV3737"/>
    <x v="263"/>
    <x v="0"/>
    <x v="31"/>
    <n v="3600"/>
    <n v="9"/>
    <n v="32400"/>
    <x v="1"/>
    <n v="4320"/>
    <n v="38880"/>
  </r>
  <r>
    <s v="INV3799"/>
    <x v="263"/>
    <x v="3"/>
    <x v="21"/>
    <n v="1700"/>
    <n v="3"/>
    <n v="5100"/>
    <x v="0"/>
    <n v="2040"/>
    <n v="6120"/>
  </r>
  <r>
    <s v="INV1995"/>
    <x v="264"/>
    <x v="1"/>
    <x v="7"/>
    <n v="5200"/>
    <n v="2"/>
    <n v="10400"/>
    <x v="2"/>
    <n v="6240"/>
    <n v="12480"/>
  </r>
  <r>
    <s v="INV1996"/>
    <x v="264"/>
    <x v="3"/>
    <x v="3"/>
    <n v="800"/>
    <n v="1"/>
    <n v="800"/>
    <x v="1"/>
    <n v="960"/>
    <n v="960"/>
  </r>
  <r>
    <s v="INV1997"/>
    <x v="264"/>
    <x v="0"/>
    <x v="9"/>
    <n v="500"/>
    <n v="1"/>
    <n v="500"/>
    <x v="2"/>
    <n v="600"/>
    <n v="600"/>
  </r>
  <r>
    <s v="INV1998"/>
    <x v="264"/>
    <x v="0"/>
    <x v="22"/>
    <n v="6000"/>
    <n v="3"/>
    <n v="18000"/>
    <x v="1"/>
    <n v="7200"/>
    <n v="21600"/>
  </r>
  <r>
    <s v="INV1999"/>
    <x v="264"/>
    <x v="3"/>
    <x v="3"/>
    <n v="800"/>
    <n v="10"/>
    <n v="8000"/>
    <x v="1"/>
    <n v="960"/>
    <n v="9600"/>
  </r>
  <r>
    <s v="INV2000"/>
    <x v="264"/>
    <x v="3"/>
    <x v="4"/>
    <n v="1200"/>
    <n v="2"/>
    <n v="2400"/>
    <x v="0"/>
    <n v="1440"/>
    <n v="2880"/>
  </r>
  <r>
    <s v="INV2001"/>
    <x v="264"/>
    <x v="2"/>
    <x v="39"/>
    <n v="1750"/>
    <n v="3"/>
    <n v="5250"/>
    <x v="1"/>
    <n v="2100"/>
    <n v="6300"/>
  </r>
  <r>
    <s v="INV2002"/>
    <x v="264"/>
    <x v="2"/>
    <x v="6"/>
    <n v="2880"/>
    <n v="9"/>
    <n v="25920"/>
    <x v="1"/>
    <n v="3456"/>
    <n v="31104"/>
  </r>
  <r>
    <s v="INV2003"/>
    <x v="264"/>
    <x v="2"/>
    <x v="6"/>
    <n v="2880"/>
    <n v="10"/>
    <n v="28800"/>
    <x v="0"/>
    <n v="3456"/>
    <n v="34560"/>
  </r>
  <r>
    <s v="INV2760"/>
    <x v="264"/>
    <x v="4"/>
    <x v="45"/>
    <n v="120"/>
    <n v="4"/>
    <n v="480"/>
    <x v="1"/>
    <n v="144"/>
    <n v="576"/>
  </r>
  <r>
    <s v="INV3062"/>
    <x v="264"/>
    <x v="3"/>
    <x v="3"/>
    <n v="800"/>
    <n v="5"/>
    <n v="4000"/>
    <x v="1"/>
    <n v="960"/>
    <n v="4800"/>
  </r>
  <r>
    <s v="INV3715"/>
    <x v="264"/>
    <x v="0"/>
    <x v="24"/>
    <n v="1900"/>
    <n v="7"/>
    <n v="13300"/>
    <x v="2"/>
    <n v="2280"/>
    <n v="15960"/>
  </r>
  <r>
    <s v="INV3745"/>
    <x v="264"/>
    <x v="0"/>
    <x v="23"/>
    <n v="600"/>
    <n v="10"/>
    <n v="6000"/>
    <x v="1"/>
    <n v="720"/>
    <n v="7200"/>
  </r>
  <r>
    <s v="INV2004"/>
    <x v="265"/>
    <x v="0"/>
    <x v="0"/>
    <n v="60000"/>
    <n v="5"/>
    <n v="300000"/>
    <x v="1"/>
    <n v="72000"/>
    <n v="360000"/>
  </r>
  <r>
    <s v="INV2005"/>
    <x v="265"/>
    <x v="0"/>
    <x v="19"/>
    <n v="48000"/>
    <n v="9"/>
    <n v="432000"/>
    <x v="0"/>
    <n v="57600"/>
    <n v="518400"/>
  </r>
  <r>
    <s v="INV2006"/>
    <x v="265"/>
    <x v="1"/>
    <x v="5"/>
    <n v="3000"/>
    <n v="4"/>
    <n v="12000"/>
    <x v="0"/>
    <n v="3600"/>
    <n v="14400"/>
  </r>
  <r>
    <s v="INV2007"/>
    <x v="265"/>
    <x v="0"/>
    <x v="0"/>
    <n v="60000"/>
    <n v="7"/>
    <n v="420000"/>
    <x v="0"/>
    <n v="72000"/>
    <n v="504000"/>
  </r>
  <r>
    <s v="INV2008"/>
    <x v="265"/>
    <x v="2"/>
    <x v="2"/>
    <n v="2880"/>
    <n v="6"/>
    <n v="17280"/>
    <x v="0"/>
    <n v="3456"/>
    <n v="20736"/>
  </r>
  <r>
    <s v="INV2009"/>
    <x v="265"/>
    <x v="0"/>
    <x v="19"/>
    <n v="48000"/>
    <n v="3"/>
    <n v="144000"/>
    <x v="1"/>
    <n v="57600"/>
    <n v="172800"/>
  </r>
  <r>
    <s v="INV2010"/>
    <x v="265"/>
    <x v="3"/>
    <x v="3"/>
    <n v="800"/>
    <n v="3"/>
    <n v="2400"/>
    <x v="2"/>
    <n v="960"/>
    <n v="2880"/>
  </r>
  <r>
    <s v="INV2011"/>
    <x v="265"/>
    <x v="2"/>
    <x v="6"/>
    <n v="2880"/>
    <n v="4"/>
    <n v="11520"/>
    <x v="2"/>
    <n v="3456"/>
    <n v="13824"/>
  </r>
  <r>
    <s v="INV3571"/>
    <x v="265"/>
    <x v="0"/>
    <x v="9"/>
    <n v="500"/>
    <n v="3"/>
    <n v="1500"/>
    <x v="1"/>
    <n v="600"/>
    <n v="1800"/>
  </r>
  <r>
    <s v="INV3794"/>
    <x v="265"/>
    <x v="4"/>
    <x v="10"/>
    <n v="9100"/>
    <n v="10"/>
    <n v="91000"/>
    <x v="1"/>
    <n v="10920"/>
    <n v="109200"/>
  </r>
  <r>
    <s v="INV3805"/>
    <x v="265"/>
    <x v="0"/>
    <x v="24"/>
    <n v="1900"/>
    <n v="9"/>
    <n v="17100"/>
    <x v="0"/>
    <n v="2280"/>
    <n v="20520"/>
  </r>
  <r>
    <s v="INV3864"/>
    <x v="265"/>
    <x v="4"/>
    <x v="45"/>
    <n v="120"/>
    <n v="6"/>
    <n v="720"/>
    <x v="1"/>
    <n v="144"/>
    <n v="864"/>
  </r>
  <r>
    <s v="INV2012"/>
    <x v="266"/>
    <x v="2"/>
    <x v="6"/>
    <n v="2880"/>
    <n v="2"/>
    <n v="5760"/>
    <x v="1"/>
    <n v="3456"/>
    <n v="6912"/>
  </r>
  <r>
    <s v="INV2013"/>
    <x v="266"/>
    <x v="1"/>
    <x v="5"/>
    <n v="3000"/>
    <n v="1"/>
    <n v="3000"/>
    <x v="1"/>
    <n v="3600"/>
    <n v="3600"/>
  </r>
  <r>
    <s v="INV2014"/>
    <x v="266"/>
    <x v="2"/>
    <x v="6"/>
    <n v="2880"/>
    <n v="5"/>
    <n v="14400"/>
    <x v="0"/>
    <n v="3456"/>
    <n v="17280"/>
  </r>
  <r>
    <s v="INV2015"/>
    <x v="266"/>
    <x v="0"/>
    <x v="22"/>
    <n v="6000"/>
    <n v="1"/>
    <n v="6000"/>
    <x v="1"/>
    <n v="7200"/>
    <n v="7200"/>
  </r>
  <r>
    <s v="INV2016"/>
    <x v="266"/>
    <x v="1"/>
    <x v="1"/>
    <n v="400"/>
    <n v="1"/>
    <n v="400"/>
    <x v="0"/>
    <n v="480"/>
    <n v="480"/>
  </r>
  <r>
    <s v="INV2017"/>
    <x v="266"/>
    <x v="0"/>
    <x v="9"/>
    <n v="500"/>
    <n v="9"/>
    <n v="4500"/>
    <x v="2"/>
    <n v="600"/>
    <n v="5400"/>
  </r>
  <r>
    <s v="INV2018"/>
    <x v="266"/>
    <x v="3"/>
    <x v="3"/>
    <n v="800"/>
    <n v="5"/>
    <n v="4000"/>
    <x v="2"/>
    <n v="960"/>
    <n v="4800"/>
  </r>
  <r>
    <s v="INV2019"/>
    <x v="266"/>
    <x v="1"/>
    <x v="7"/>
    <n v="5200"/>
    <n v="2"/>
    <n v="10400"/>
    <x v="1"/>
    <n v="6240"/>
    <n v="12480"/>
  </r>
  <r>
    <s v="INV3768"/>
    <x v="266"/>
    <x v="0"/>
    <x v="19"/>
    <n v="48000"/>
    <n v="4"/>
    <n v="192000"/>
    <x v="2"/>
    <n v="57600"/>
    <n v="230400"/>
  </r>
  <r>
    <s v="INV2020"/>
    <x v="267"/>
    <x v="1"/>
    <x v="5"/>
    <n v="3000"/>
    <n v="1"/>
    <n v="3000"/>
    <x v="1"/>
    <n v="3600"/>
    <n v="3600"/>
  </r>
  <r>
    <s v="INV2021"/>
    <x v="267"/>
    <x v="0"/>
    <x v="0"/>
    <n v="60000"/>
    <n v="5"/>
    <n v="300000"/>
    <x v="1"/>
    <n v="72000"/>
    <n v="360000"/>
  </r>
  <r>
    <s v="INV2022"/>
    <x v="267"/>
    <x v="2"/>
    <x v="2"/>
    <n v="2880"/>
    <n v="3"/>
    <n v="8640"/>
    <x v="1"/>
    <n v="3456"/>
    <n v="10368"/>
  </r>
  <r>
    <s v="INV2023"/>
    <x v="267"/>
    <x v="0"/>
    <x v="22"/>
    <n v="6000"/>
    <n v="8"/>
    <n v="48000"/>
    <x v="2"/>
    <n v="7200"/>
    <n v="57600"/>
  </r>
  <r>
    <s v="INV2024"/>
    <x v="267"/>
    <x v="3"/>
    <x v="4"/>
    <n v="1200"/>
    <n v="1"/>
    <n v="1200"/>
    <x v="0"/>
    <n v="1440"/>
    <n v="1440"/>
  </r>
  <r>
    <s v="INV2025"/>
    <x v="267"/>
    <x v="3"/>
    <x v="29"/>
    <n v="6900"/>
    <n v="8"/>
    <n v="55200"/>
    <x v="1"/>
    <n v="8280"/>
    <n v="66240"/>
  </r>
  <r>
    <s v="INV3024"/>
    <x v="267"/>
    <x v="0"/>
    <x v="24"/>
    <n v="1900"/>
    <n v="2"/>
    <n v="3800"/>
    <x v="1"/>
    <n v="2280"/>
    <n v="4560"/>
  </r>
  <r>
    <s v="INV3175"/>
    <x v="267"/>
    <x v="0"/>
    <x v="24"/>
    <n v="1900"/>
    <n v="10"/>
    <n v="19000"/>
    <x v="2"/>
    <n v="2280"/>
    <n v="22800"/>
  </r>
  <r>
    <s v="INV3227"/>
    <x v="267"/>
    <x v="0"/>
    <x v="9"/>
    <n v="500"/>
    <n v="8"/>
    <n v="4000"/>
    <x v="1"/>
    <n v="600"/>
    <n v="4800"/>
  </r>
  <r>
    <s v="INV3243"/>
    <x v="267"/>
    <x v="3"/>
    <x v="3"/>
    <n v="800"/>
    <n v="2"/>
    <n v="1600"/>
    <x v="2"/>
    <n v="960"/>
    <n v="1920"/>
  </r>
  <r>
    <s v="INV3483"/>
    <x v="267"/>
    <x v="0"/>
    <x v="31"/>
    <n v="3600"/>
    <n v="1"/>
    <n v="3600"/>
    <x v="1"/>
    <n v="4320"/>
    <n v="4320"/>
  </r>
  <r>
    <s v="INV2026"/>
    <x v="268"/>
    <x v="0"/>
    <x v="9"/>
    <n v="500"/>
    <n v="4"/>
    <n v="2000"/>
    <x v="1"/>
    <n v="600"/>
    <n v="2400"/>
  </r>
  <r>
    <s v="INV2027"/>
    <x v="268"/>
    <x v="3"/>
    <x v="29"/>
    <n v="6900"/>
    <n v="8"/>
    <n v="55200"/>
    <x v="0"/>
    <n v="8280"/>
    <n v="66240"/>
  </r>
  <r>
    <s v="INV2028"/>
    <x v="268"/>
    <x v="0"/>
    <x v="9"/>
    <n v="500"/>
    <n v="1"/>
    <n v="500"/>
    <x v="1"/>
    <n v="600"/>
    <n v="600"/>
  </r>
  <r>
    <s v="INV2029"/>
    <x v="268"/>
    <x v="0"/>
    <x v="0"/>
    <n v="60000"/>
    <n v="6"/>
    <n v="360000"/>
    <x v="0"/>
    <n v="72000"/>
    <n v="432000"/>
  </r>
  <r>
    <s v="INV2030"/>
    <x v="268"/>
    <x v="3"/>
    <x v="21"/>
    <n v="1700"/>
    <n v="5"/>
    <n v="8500"/>
    <x v="2"/>
    <n v="2040"/>
    <n v="10200"/>
  </r>
  <r>
    <s v="INV2031"/>
    <x v="268"/>
    <x v="0"/>
    <x v="19"/>
    <n v="48000"/>
    <n v="6"/>
    <n v="288000"/>
    <x v="1"/>
    <n v="57600"/>
    <n v="345600"/>
  </r>
  <r>
    <s v="INV2032"/>
    <x v="268"/>
    <x v="1"/>
    <x v="5"/>
    <n v="3000"/>
    <n v="6"/>
    <n v="18000"/>
    <x v="2"/>
    <n v="3600"/>
    <n v="21600"/>
  </r>
  <r>
    <s v="INV2941"/>
    <x v="268"/>
    <x v="0"/>
    <x v="8"/>
    <n v="3300"/>
    <n v="5"/>
    <n v="16500"/>
    <x v="1"/>
    <n v="3960"/>
    <n v="19800"/>
  </r>
  <r>
    <s v="INV3081"/>
    <x v="268"/>
    <x v="0"/>
    <x v="9"/>
    <n v="500"/>
    <n v="9"/>
    <n v="4500"/>
    <x v="2"/>
    <n v="600"/>
    <n v="5400"/>
  </r>
  <r>
    <s v="INV2033"/>
    <x v="269"/>
    <x v="1"/>
    <x v="5"/>
    <n v="3000"/>
    <n v="10"/>
    <n v="30000"/>
    <x v="2"/>
    <n v="3600"/>
    <n v="36000"/>
  </r>
  <r>
    <s v="INV2034"/>
    <x v="269"/>
    <x v="0"/>
    <x v="0"/>
    <n v="60000"/>
    <n v="9"/>
    <n v="540000"/>
    <x v="1"/>
    <n v="72000"/>
    <n v="648000"/>
  </r>
  <r>
    <s v="INV2035"/>
    <x v="269"/>
    <x v="0"/>
    <x v="9"/>
    <n v="500"/>
    <n v="1"/>
    <n v="500"/>
    <x v="1"/>
    <n v="600"/>
    <n v="600"/>
  </r>
  <r>
    <s v="INV2036"/>
    <x v="269"/>
    <x v="0"/>
    <x v="0"/>
    <n v="60000"/>
    <n v="5"/>
    <n v="300000"/>
    <x v="2"/>
    <n v="72000"/>
    <n v="360000"/>
  </r>
  <r>
    <s v="INV2037"/>
    <x v="269"/>
    <x v="2"/>
    <x v="30"/>
    <n v="2880"/>
    <n v="3"/>
    <n v="8640"/>
    <x v="1"/>
    <n v="3456"/>
    <n v="10368"/>
  </r>
  <r>
    <s v="INV2038"/>
    <x v="269"/>
    <x v="2"/>
    <x v="6"/>
    <n v="2880"/>
    <n v="7"/>
    <n v="20160"/>
    <x v="1"/>
    <n v="3456"/>
    <n v="24192"/>
  </r>
  <r>
    <s v="INV2039"/>
    <x v="269"/>
    <x v="2"/>
    <x v="39"/>
    <n v="1750"/>
    <n v="9"/>
    <n v="15750"/>
    <x v="0"/>
    <n v="2100"/>
    <n v="18900"/>
  </r>
  <r>
    <s v="INV3126"/>
    <x v="269"/>
    <x v="4"/>
    <x v="10"/>
    <n v="9100"/>
    <n v="7"/>
    <n v="63700"/>
    <x v="0"/>
    <n v="10920"/>
    <n v="76440"/>
  </r>
  <r>
    <s v="INV3224"/>
    <x v="269"/>
    <x v="0"/>
    <x v="19"/>
    <n v="48000"/>
    <n v="1"/>
    <n v="48000"/>
    <x v="2"/>
    <n v="57600"/>
    <n v="57600"/>
  </r>
  <r>
    <s v="INV3439"/>
    <x v="269"/>
    <x v="3"/>
    <x v="3"/>
    <n v="800"/>
    <n v="3"/>
    <n v="2400"/>
    <x v="2"/>
    <n v="960"/>
    <n v="2880"/>
  </r>
  <r>
    <s v="INV3562"/>
    <x v="269"/>
    <x v="4"/>
    <x v="10"/>
    <n v="9100"/>
    <n v="6"/>
    <n v="54600"/>
    <x v="0"/>
    <n v="10920"/>
    <n v="65520"/>
  </r>
  <r>
    <s v="INV3620"/>
    <x v="269"/>
    <x v="0"/>
    <x v="8"/>
    <n v="3300"/>
    <n v="4"/>
    <n v="13200"/>
    <x v="1"/>
    <n v="3960"/>
    <n v="15840"/>
  </r>
  <r>
    <s v="INV2040"/>
    <x v="270"/>
    <x v="1"/>
    <x v="5"/>
    <n v="3000"/>
    <n v="3"/>
    <n v="9000"/>
    <x v="2"/>
    <n v="3600"/>
    <n v="10800"/>
  </r>
  <r>
    <s v="INV2041"/>
    <x v="270"/>
    <x v="2"/>
    <x v="30"/>
    <n v="2880"/>
    <n v="9"/>
    <n v="25920"/>
    <x v="1"/>
    <n v="3456"/>
    <n v="31104"/>
  </r>
  <r>
    <s v="INV2042"/>
    <x v="270"/>
    <x v="1"/>
    <x v="7"/>
    <n v="5200"/>
    <n v="9"/>
    <n v="46800"/>
    <x v="0"/>
    <n v="6240"/>
    <n v="56160"/>
  </r>
  <r>
    <s v="INV2043"/>
    <x v="270"/>
    <x v="3"/>
    <x v="3"/>
    <n v="800"/>
    <n v="4"/>
    <n v="3200"/>
    <x v="0"/>
    <n v="960"/>
    <n v="3840"/>
  </r>
  <r>
    <s v="INV2044"/>
    <x v="270"/>
    <x v="0"/>
    <x v="0"/>
    <n v="60000"/>
    <n v="10"/>
    <n v="600000"/>
    <x v="0"/>
    <n v="72000"/>
    <n v="720000"/>
  </r>
  <r>
    <s v="INV2045"/>
    <x v="270"/>
    <x v="1"/>
    <x v="7"/>
    <n v="5200"/>
    <n v="4"/>
    <n v="20800"/>
    <x v="0"/>
    <n v="6240"/>
    <n v="24960"/>
  </r>
  <r>
    <s v="INV2959"/>
    <x v="270"/>
    <x v="0"/>
    <x v="9"/>
    <n v="500"/>
    <n v="8"/>
    <n v="4000"/>
    <x v="2"/>
    <n v="600"/>
    <n v="4800"/>
  </r>
  <r>
    <s v="INV3058"/>
    <x v="270"/>
    <x v="0"/>
    <x v="8"/>
    <n v="3300"/>
    <n v="4"/>
    <n v="13200"/>
    <x v="1"/>
    <n v="3960"/>
    <n v="15840"/>
  </r>
  <r>
    <s v="INV3405"/>
    <x v="270"/>
    <x v="3"/>
    <x v="3"/>
    <n v="800"/>
    <n v="7"/>
    <n v="5600"/>
    <x v="0"/>
    <n v="960"/>
    <n v="6720"/>
  </r>
  <r>
    <s v="INV2046"/>
    <x v="271"/>
    <x v="1"/>
    <x v="7"/>
    <n v="5200"/>
    <n v="5"/>
    <n v="26000"/>
    <x v="0"/>
    <n v="6240"/>
    <n v="31200"/>
  </r>
  <r>
    <s v="INV2047"/>
    <x v="271"/>
    <x v="0"/>
    <x v="19"/>
    <n v="48000"/>
    <n v="8"/>
    <n v="384000"/>
    <x v="0"/>
    <n v="57600"/>
    <n v="460800"/>
  </r>
  <r>
    <s v="INV2048"/>
    <x v="271"/>
    <x v="0"/>
    <x v="22"/>
    <n v="6000"/>
    <n v="6"/>
    <n v="36000"/>
    <x v="1"/>
    <n v="7200"/>
    <n v="43200"/>
  </r>
  <r>
    <s v="INV2049"/>
    <x v="271"/>
    <x v="1"/>
    <x v="7"/>
    <n v="5200"/>
    <n v="5"/>
    <n v="26000"/>
    <x v="0"/>
    <n v="6240"/>
    <n v="31200"/>
  </r>
  <r>
    <s v="INV2050"/>
    <x v="271"/>
    <x v="2"/>
    <x v="39"/>
    <n v="1750"/>
    <n v="5"/>
    <n v="8750"/>
    <x v="0"/>
    <n v="2100"/>
    <n v="10500"/>
  </r>
  <r>
    <s v="INV2051"/>
    <x v="271"/>
    <x v="0"/>
    <x v="19"/>
    <n v="48000"/>
    <n v="4"/>
    <n v="192000"/>
    <x v="1"/>
    <n v="57600"/>
    <n v="230400"/>
  </r>
  <r>
    <s v="INV2052"/>
    <x v="271"/>
    <x v="1"/>
    <x v="1"/>
    <n v="400"/>
    <n v="4"/>
    <n v="1600"/>
    <x v="0"/>
    <n v="480"/>
    <n v="1920"/>
  </r>
  <r>
    <s v="INV2053"/>
    <x v="271"/>
    <x v="2"/>
    <x v="30"/>
    <n v="2880"/>
    <n v="1"/>
    <n v="2880"/>
    <x v="0"/>
    <n v="3456"/>
    <n v="3456"/>
  </r>
  <r>
    <s v="INV2868"/>
    <x v="271"/>
    <x v="4"/>
    <x v="45"/>
    <n v="120"/>
    <n v="7"/>
    <n v="840"/>
    <x v="0"/>
    <n v="144"/>
    <n v="1008"/>
  </r>
  <r>
    <s v="INV3218"/>
    <x v="271"/>
    <x v="0"/>
    <x v="8"/>
    <n v="3300"/>
    <n v="5"/>
    <n v="16500"/>
    <x v="2"/>
    <n v="3960"/>
    <n v="19800"/>
  </r>
  <r>
    <s v="INV3402"/>
    <x v="271"/>
    <x v="0"/>
    <x v="23"/>
    <n v="600"/>
    <n v="10"/>
    <n v="6000"/>
    <x v="1"/>
    <n v="720"/>
    <n v="7200"/>
  </r>
  <r>
    <s v="INV3464"/>
    <x v="271"/>
    <x v="0"/>
    <x v="31"/>
    <n v="3600"/>
    <n v="7"/>
    <n v="25200"/>
    <x v="2"/>
    <n v="4320"/>
    <n v="30240"/>
  </r>
  <r>
    <s v="INV2054"/>
    <x v="272"/>
    <x v="3"/>
    <x v="29"/>
    <n v="6900"/>
    <n v="6"/>
    <n v="41400"/>
    <x v="2"/>
    <n v="8280"/>
    <n v="49680"/>
  </r>
  <r>
    <s v="INV2055"/>
    <x v="272"/>
    <x v="1"/>
    <x v="5"/>
    <n v="3000"/>
    <n v="7"/>
    <n v="21000"/>
    <x v="0"/>
    <n v="3600"/>
    <n v="25200"/>
  </r>
  <r>
    <s v="INV2056"/>
    <x v="272"/>
    <x v="2"/>
    <x v="30"/>
    <n v="2880"/>
    <n v="6"/>
    <n v="17280"/>
    <x v="0"/>
    <n v="3456"/>
    <n v="20736"/>
  </r>
  <r>
    <s v="INV2057"/>
    <x v="272"/>
    <x v="2"/>
    <x v="6"/>
    <n v="2880"/>
    <n v="5"/>
    <n v="14400"/>
    <x v="2"/>
    <n v="3456"/>
    <n v="17280"/>
  </r>
  <r>
    <s v="INV2058"/>
    <x v="272"/>
    <x v="0"/>
    <x v="19"/>
    <n v="48000"/>
    <n v="2"/>
    <n v="96000"/>
    <x v="2"/>
    <n v="57600"/>
    <n v="115200"/>
  </r>
  <r>
    <s v="INV2824"/>
    <x v="272"/>
    <x v="0"/>
    <x v="23"/>
    <n v="600"/>
    <n v="10"/>
    <n v="6000"/>
    <x v="1"/>
    <n v="720"/>
    <n v="7200"/>
  </r>
  <r>
    <s v="INV3150"/>
    <x v="272"/>
    <x v="4"/>
    <x v="45"/>
    <n v="120"/>
    <n v="3"/>
    <n v="360"/>
    <x v="2"/>
    <n v="144"/>
    <n v="432"/>
  </r>
  <r>
    <s v="INV3298"/>
    <x v="272"/>
    <x v="4"/>
    <x v="10"/>
    <n v="9100"/>
    <n v="9"/>
    <n v="81900"/>
    <x v="0"/>
    <n v="10920"/>
    <n v="98280"/>
  </r>
  <r>
    <s v="INV3712"/>
    <x v="272"/>
    <x v="3"/>
    <x v="3"/>
    <n v="800"/>
    <n v="6"/>
    <n v="4800"/>
    <x v="2"/>
    <n v="960"/>
    <n v="5760"/>
  </r>
  <r>
    <s v="INV2059"/>
    <x v="273"/>
    <x v="1"/>
    <x v="1"/>
    <n v="400"/>
    <n v="9"/>
    <n v="3600"/>
    <x v="1"/>
    <n v="480"/>
    <n v="4320"/>
  </r>
  <r>
    <s v="INV2060"/>
    <x v="273"/>
    <x v="1"/>
    <x v="7"/>
    <n v="5200"/>
    <n v="5"/>
    <n v="26000"/>
    <x v="2"/>
    <n v="6240"/>
    <n v="31200"/>
  </r>
  <r>
    <s v="INV2061"/>
    <x v="273"/>
    <x v="1"/>
    <x v="5"/>
    <n v="3000"/>
    <n v="3"/>
    <n v="9000"/>
    <x v="2"/>
    <n v="3600"/>
    <n v="10800"/>
  </r>
  <r>
    <s v="INV2062"/>
    <x v="273"/>
    <x v="0"/>
    <x v="22"/>
    <n v="6000"/>
    <n v="3"/>
    <n v="18000"/>
    <x v="2"/>
    <n v="7200"/>
    <n v="21600"/>
  </r>
  <r>
    <s v="INV2063"/>
    <x v="273"/>
    <x v="2"/>
    <x v="2"/>
    <n v="2880"/>
    <n v="7"/>
    <n v="20160"/>
    <x v="0"/>
    <n v="3456"/>
    <n v="24192"/>
  </r>
  <r>
    <s v="INV2064"/>
    <x v="273"/>
    <x v="0"/>
    <x v="22"/>
    <n v="6000"/>
    <n v="7"/>
    <n v="42000"/>
    <x v="0"/>
    <n v="7200"/>
    <n v="50400"/>
  </r>
  <r>
    <s v="INV2065"/>
    <x v="273"/>
    <x v="0"/>
    <x v="19"/>
    <n v="48000"/>
    <n v="6"/>
    <n v="288000"/>
    <x v="1"/>
    <n v="57600"/>
    <n v="345600"/>
  </r>
  <r>
    <s v="INV2066"/>
    <x v="273"/>
    <x v="3"/>
    <x v="29"/>
    <n v="6900"/>
    <n v="5"/>
    <n v="34500"/>
    <x v="1"/>
    <n v="8280"/>
    <n v="41400"/>
  </r>
  <r>
    <s v="INV2835"/>
    <x v="273"/>
    <x v="0"/>
    <x v="24"/>
    <n v="1900"/>
    <n v="2"/>
    <n v="3800"/>
    <x v="2"/>
    <n v="2280"/>
    <n v="4560"/>
  </r>
  <r>
    <s v="INV2967"/>
    <x v="273"/>
    <x v="0"/>
    <x v="31"/>
    <n v="3600"/>
    <n v="2"/>
    <n v="7200"/>
    <x v="2"/>
    <n v="4320"/>
    <n v="8640"/>
  </r>
  <r>
    <s v="INV2992"/>
    <x v="273"/>
    <x v="3"/>
    <x v="21"/>
    <n v="1700"/>
    <n v="5"/>
    <n v="8500"/>
    <x v="0"/>
    <n v="2040"/>
    <n v="10200"/>
  </r>
  <r>
    <s v="INV3209"/>
    <x v="273"/>
    <x v="3"/>
    <x v="3"/>
    <n v="800"/>
    <n v="10"/>
    <n v="8000"/>
    <x v="1"/>
    <n v="960"/>
    <n v="9600"/>
  </r>
  <r>
    <s v="INV3294"/>
    <x v="273"/>
    <x v="3"/>
    <x v="3"/>
    <n v="800"/>
    <n v="1"/>
    <n v="800"/>
    <x v="2"/>
    <n v="960"/>
    <n v="960"/>
  </r>
  <r>
    <s v="INV3573"/>
    <x v="273"/>
    <x v="4"/>
    <x v="10"/>
    <n v="9100"/>
    <n v="9"/>
    <n v="81900"/>
    <x v="1"/>
    <n v="10920"/>
    <n v="98280"/>
  </r>
  <r>
    <s v="INV3892"/>
    <x v="273"/>
    <x v="0"/>
    <x v="19"/>
    <n v="48000"/>
    <n v="2"/>
    <n v="96000"/>
    <x v="0"/>
    <n v="57600"/>
    <n v="115200"/>
  </r>
  <r>
    <s v="INV3947"/>
    <x v="273"/>
    <x v="4"/>
    <x v="45"/>
    <n v="120"/>
    <n v="3"/>
    <n v="360"/>
    <x v="1"/>
    <n v="144"/>
    <n v="432"/>
  </r>
  <r>
    <s v="INV2067"/>
    <x v="274"/>
    <x v="3"/>
    <x v="3"/>
    <n v="800"/>
    <n v="8"/>
    <n v="6400"/>
    <x v="2"/>
    <n v="960"/>
    <n v="7680"/>
  </r>
  <r>
    <s v="INV2068"/>
    <x v="274"/>
    <x v="3"/>
    <x v="21"/>
    <n v="1700"/>
    <n v="4"/>
    <n v="6800"/>
    <x v="1"/>
    <n v="2040"/>
    <n v="8160"/>
  </r>
  <r>
    <s v="INV2069"/>
    <x v="274"/>
    <x v="1"/>
    <x v="5"/>
    <n v="3000"/>
    <n v="3"/>
    <n v="9000"/>
    <x v="1"/>
    <n v="3600"/>
    <n v="10800"/>
  </r>
  <r>
    <s v="INV2070"/>
    <x v="274"/>
    <x v="3"/>
    <x v="3"/>
    <n v="800"/>
    <n v="6"/>
    <n v="4800"/>
    <x v="1"/>
    <n v="960"/>
    <n v="5760"/>
  </r>
  <r>
    <s v="INV2071"/>
    <x v="274"/>
    <x v="0"/>
    <x v="9"/>
    <n v="500"/>
    <n v="9"/>
    <n v="4500"/>
    <x v="2"/>
    <n v="600"/>
    <n v="5400"/>
  </r>
  <r>
    <s v="INV2786"/>
    <x v="274"/>
    <x v="4"/>
    <x v="10"/>
    <n v="9100"/>
    <n v="9"/>
    <n v="81900"/>
    <x v="1"/>
    <n v="10920"/>
    <n v="98280"/>
  </r>
  <r>
    <s v="INV2805"/>
    <x v="274"/>
    <x v="0"/>
    <x v="19"/>
    <n v="48000"/>
    <n v="6"/>
    <n v="288000"/>
    <x v="1"/>
    <n v="57600"/>
    <n v="345600"/>
  </r>
  <r>
    <s v="INV3082"/>
    <x v="274"/>
    <x v="0"/>
    <x v="24"/>
    <n v="1900"/>
    <n v="1"/>
    <n v="1900"/>
    <x v="1"/>
    <n v="2280"/>
    <n v="2280"/>
  </r>
  <r>
    <s v="INV2072"/>
    <x v="275"/>
    <x v="3"/>
    <x v="4"/>
    <n v="1200"/>
    <n v="4"/>
    <n v="4800"/>
    <x v="0"/>
    <n v="1440"/>
    <n v="5760"/>
  </r>
  <r>
    <s v="INV2073"/>
    <x v="275"/>
    <x v="1"/>
    <x v="7"/>
    <n v="5200"/>
    <n v="5"/>
    <n v="26000"/>
    <x v="0"/>
    <n v="6240"/>
    <n v="31200"/>
  </r>
  <r>
    <s v="INV2074"/>
    <x v="275"/>
    <x v="0"/>
    <x v="19"/>
    <n v="48000"/>
    <n v="10"/>
    <n v="480000"/>
    <x v="2"/>
    <n v="57600"/>
    <n v="576000"/>
  </r>
  <r>
    <s v="INV2075"/>
    <x v="275"/>
    <x v="2"/>
    <x v="39"/>
    <n v="1750"/>
    <n v="4"/>
    <n v="7000"/>
    <x v="1"/>
    <n v="2100"/>
    <n v="8400"/>
  </r>
  <r>
    <s v="INV2076"/>
    <x v="275"/>
    <x v="0"/>
    <x v="22"/>
    <n v="6000"/>
    <n v="1"/>
    <n v="6000"/>
    <x v="0"/>
    <n v="7200"/>
    <n v="7200"/>
  </r>
  <r>
    <s v="INV2077"/>
    <x v="275"/>
    <x v="2"/>
    <x v="2"/>
    <n v="2880"/>
    <n v="2"/>
    <n v="5760"/>
    <x v="1"/>
    <n v="3456"/>
    <n v="6912"/>
  </r>
  <r>
    <s v="INV2078"/>
    <x v="275"/>
    <x v="2"/>
    <x v="30"/>
    <n v="2880"/>
    <n v="6"/>
    <n v="17280"/>
    <x v="2"/>
    <n v="3456"/>
    <n v="20736"/>
  </r>
  <r>
    <s v="INV2079"/>
    <x v="275"/>
    <x v="2"/>
    <x v="6"/>
    <n v="2880"/>
    <n v="4"/>
    <n v="11520"/>
    <x v="1"/>
    <n v="3456"/>
    <n v="13824"/>
  </r>
  <r>
    <s v="INV2080"/>
    <x v="275"/>
    <x v="0"/>
    <x v="22"/>
    <n v="6000"/>
    <n v="7"/>
    <n v="42000"/>
    <x v="1"/>
    <n v="7200"/>
    <n v="50400"/>
  </r>
  <r>
    <s v="INV2821"/>
    <x v="275"/>
    <x v="0"/>
    <x v="19"/>
    <n v="48000"/>
    <n v="8"/>
    <n v="384000"/>
    <x v="0"/>
    <n v="57600"/>
    <n v="460800"/>
  </r>
  <r>
    <s v="INV3282"/>
    <x v="275"/>
    <x v="4"/>
    <x v="45"/>
    <n v="120"/>
    <n v="5"/>
    <n v="600"/>
    <x v="0"/>
    <n v="144"/>
    <n v="720"/>
  </r>
  <r>
    <s v="INV3432"/>
    <x v="275"/>
    <x v="0"/>
    <x v="8"/>
    <n v="3300"/>
    <n v="4"/>
    <n v="13200"/>
    <x v="1"/>
    <n v="3960"/>
    <n v="15840"/>
  </r>
  <r>
    <s v="INV3445"/>
    <x v="275"/>
    <x v="3"/>
    <x v="21"/>
    <n v="1700"/>
    <n v="4"/>
    <n v="6800"/>
    <x v="2"/>
    <n v="2040"/>
    <n v="8160"/>
  </r>
  <r>
    <s v="INV2081"/>
    <x v="276"/>
    <x v="0"/>
    <x v="22"/>
    <n v="6000"/>
    <n v="5"/>
    <n v="30000"/>
    <x v="2"/>
    <n v="7200"/>
    <n v="36000"/>
  </r>
  <r>
    <s v="INV2082"/>
    <x v="276"/>
    <x v="1"/>
    <x v="7"/>
    <n v="5200"/>
    <n v="3"/>
    <n v="15600"/>
    <x v="0"/>
    <n v="6240"/>
    <n v="18720"/>
  </r>
  <r>
    <s v="INV2083"/>
    <x v="276"/>
    <x v="2"/>
    <x v="30"/>
    <n v="2880"/>
    <n v="9"/>
    <n v="25920"/>
    <x v="2"/>
    <n v="3456"/>
    <n v="31104"/>
  </r>
  <r>
    <s v="INV2084"/>
    <x v="276"/>
    <x v="3"/>
    <x v="4"/>
    <n v="1200"/>
    <n v="7"/>
    <n v="8400"/>
    <x v="1"/>
    <n v="1440"/>
    <n v="10080"/>
  </r>
  <r>
    <s v="INV2085"/>
    <x v="276"/>
    <x v="2"/>
    <x v="39"/>
    <n v="1750"/>
    <n v="6"/>
    <n v="10500"/>
    <x v="2"/>
    <n v="2100"/>
    <n v="12600"/>
  </r>
  <r>
    <s v="INV2086"/>
    <x v="276"/>
    <x v="3"/>
    <x v="4"/>
    <n v="1200"/>
    <n v="4"/>
    <n v="4800"/>
    <x v="1"/>
    <n v="1440"/>
    <n v="5760"/>
  </r>
  <r>
    <s v="INV2087"/>
    <x v="276"/>
    <x v="1"/>
    <x v="7"/>
    <n v="5200"/>
    <n v="5"/>
    <n v="26000"/>
    <x v="1"/>
    <n v="6240"/>
    <n v="31200"/>
  </r>
  <r>
    <s v="INV2088"/>
    <x v="276"/>
    <x v="3"/>
    <x v="29"/>
    <n v="6900"/>
    <n v="3"/>
    <n v="20700"/>
    <x v="1"/>
    <n v="8280"/>
    <n v="24840"/>
  </r>
  <r>
    <s v="INV2089"/>
    <x v="276"/>
    <x v="2"/>
    <x v="30"/>
    <n v="2880"/>
    <n v="9"/>
    <n v="25920"/>
    <x v="2"/>
    <n v="3456"/>
    <n v="31104"/>
  </r>
  <r>
    <s v="INV2090"/>
    <x v="276"/>
    <x v="0"/>
    <x v="22"/>
    <n v="6000"/>
    <n v="9"/>
    <n v="54000"/>
    <x v="2"/>
    <n v="7200"/>
    <n v="64800"/>
  </r>
  <r>
    <s v="INV2986"/>
    <x v="276"/>
    <x v="4"/>
    <x v="45"/>
    <n v="120"/>
    <n v="3"/>
    <n v="360"/>
    <x v="1"/>
    <n v="144"/>
    <n v="432"/>
  </r>
  <r>
    <s v="INV3491"/>
    <x v="276"/>
    <x v="0"/>
    <x v="9"/>
    <n v="500"/>
    <n v="10"/>
    <n v="5000"/>
    <x v="2"/>
    <n v="600"/>
    <n v="6000"/>
  </r>
  <r>
    <s v="INV3683"/>
    <x v="276"/>
    <x v="0"/>
    <x v="24"/>
    <n v="1900"/>
    <n v="2"/>
    <n v="3800"/>
    <x v="0"/>
    <n v="2280"/>
    <n v="4560"/>
  </r>
  <r>
    <s v="INV2091"/>
    <x v="277"/>
    <x v="3"/>
    <x v="4"/>
    <n v="1200"/>
    <n v="9"/>
    <n v="10800"/>
    <x v="2"/>
    <n v="1440"/>
    <n v="12960"/>
  </r>
  <r>
    <s v="INV2092"/>
    <x v="277"/>
    <x v="3"/>
    <x v="3"/>
    <n v="800"/>
    <n v="9"/>
    <n v="7200"/>
    <x v="1"/>
    <n v="960"/>
    <n v="8640"/>
  </r>
  <r>
    <s v="INV2093"/>
    <x v="277"/>
    <x v="3"/>
    <x v="21"/>
    <n v="1700"/>
    <n v="10"/>
    <n v="17000"/>
    <x v="2"/>
    <n v="2040"/>
    <n v="20400"/>
  </r>
  <r>
    <s v="INV2094"/>
    <x v="277"/>
    <x v="0"/>
    <x v="0"/>
    <n v="60000"/>
    <n v="4"/>
    <n v="240000"/>
    <x v="2"/>
    <n v="72000"/>
    <n v="288000"/>
  </r>
  <r>
    <s v="INV2095"/>
    <x v="277"/>
    <x v="3"/>
    <x v="21"/>
    <n v="1700"/>
    <n v="9"/>
    <n v="15300"/>
    <x v="1"/>
    <n v="2040"/>
    <n v="18360"/>
  </r>
  <r>
    <s v="INV2096"/>
    <x v="277"/>
    <x v="0"/>
    <x v="19"/>
    <n v="48000"/>
    <n v="4"/>
    <n v="192000"/>
    <x v="2"/>
    <n v="57600"/>
    <n v="230400"/>
  </r>
  <r>
    <s v="INV2097"/>
    <x v="277"/>
    <x v="2"/>
    <x v="30"/>
    <n v="2880"/>
    <n v="3"/>
    <n v="8640"/>
    <x v="1"/>
    <n v="3456"/>
    <n v="10368"/>
  </r>
  <r>
    <s v="INV2098"/>
    <x v="277"/>
    <x v="3"/>
    <x v="29"/>
    <n v="6900"/>
    <n v="10"/>
    <n v="69000"/>
    <x v="0"/>
    <n v="8280"/>
    <n v="82800"/>
  </r>
  <r>
    <s v="INV2099"/>
    <x v="277"/>
    <x v="0"/>
    <x v="19"/>
    <n v="48000"/>
    <n v="6"/>
    <n v="288000"/>
    <x v="1"/>
    <n v="57600"/>
    <n v="345600"/>
  </r>
  <r>
    <s v="INV2749"/>
    <x v="277"/>
    <x v="4"/>
    <x v="45"/>
    <n v="120"/>
    <n v="8"/>
    <n v="960"/>
    <x v="0"/>
    <n v="144"/>
    <n v="1152"/>
  </r>
  <r>
    <s v="INV2954"/>
    <x v="277"/>
    <x v="0"/>
    <x v="9"/>
    <n v="500"/>
    <n v="5"/>
    <n v="2500"/>
    <x v="2"/>
    <n v="600"/>
    <n v="3000"/>
  </r>
  <r>
    <s v="INV2978"/>
    <x v="277"/>
    <x v="4"/>
    <x v="45"/>
    <n v="120"/>
    <n v="4"/>
    <n v="480"/>
    <x v="1"/>
    <n v="144"/>
    <n v="576"/>
  </r>
  <r>
    <s v="INV3199"/>
    <x v="277"/>
    <x v="4"/>
    <x v="45"/>
    <n v="120"/>
    <n v="10"/>
    <n v="1200"/>
    <x v="1"/>
    <n v="144"/>
    <n v="1440"/>
  </r>
  <r>
    <s v="INV3283"/>
    <x v="277"/>
    <x v="4"/>
    <x v="10"/>
    <n v="9100"/>
    <n v="5"/>
    <n v="45500"/>
    <x v="0"/>
    <n v="10920"/>
    <n v="54600"/>
  </r>
  <r>
    <s v="INV3425"/>
    <x v="277"/>
    <x v="0"/>
    <x v="31"/>
    <n v="3600"/>
    <n v="8"/>
    <n v="28800"/>
    <x v="1"/>
    <n v="4320"/>
    <n v="34560"/>
  </r>
  <r>
    <s v="INV3827"/>
    <x v="277"/>
    <x v="0"/>
    <x v="19"/>
    <n v="48000"/>
    <n v="5"/>
    <n v="240000"/>
    <x v="0"/>
    <n v="57600"/>
    <n v="288000"/>
  </r>
  <r>
    <s v="INV3843"/>
    <x v="277"/>
    <x v="0"/>
    <x v="23"/>
    <n v="600"/>
    <n v="10"/>
    <n v="6000"/>
    <x v="0"/>
    <n v="720"/>
    <n v="7200"/>
  </r>
  <r>
    <s v="INV2100"/>
    <x v="278"/>
    <x v="1"/>
    <x v="1"/>
    <n v="400"/>
    <n v="7"/>
    <n v="2800"/>
    <x v="2"/>
    <n v="480"/>
    <n v="3360"/>
  </r>
  <r>
    <s v="INV2101"/>
    <x v="278"/>
    <x v="3"/>
    <x v="4"/>
    <n v="1200"/>
    <n v="7"/>
    <n v="8400"/>
    <x v="2"/>
    <n v="1440"/>
    <n v="10080"/>
  </r>
  <r>
    <s v="INV2102"/>
    <x v="278"/>
    <x v="1"/>
    <x v="7"/>
    <n v="5200"/>
    <n v="4"/>
    <n v="20800"/>
    <x v="2"/>
    <n v="6240"/>
    <n v="24960"/>
  </r>
  <r>
    <s v="INV2103"/>
    <x v="278"/>
    <x v="3"/>
    <x v="29"/>
    <n v="6900"/>
    <n v="3"/>
    <n v="20700"/>
    <x v="1"/>
    <n v="8280"/>
    <n v="24840"/>
  </r>
  <r>
    <s v="INV2104"/>
    <x v="278"/>
    <x v="2"/>
    <x v="30"/>
    <n v="2880"/>
    <n v="5"/>
    <n v="14400"/>
    <x v="1"/>
    <n v="3456"/>
    <n v="17280"/>
  </r>
  <r>
    <s v="INV2105"/>
    <x v="278"/>
    <x v="1"/>
    <x v="7"/>
    <n v="5200"/>
    <n v="1"/>
    <n v="5200"/>
    <x v="0"/>
    <n v="6240"/>
    <n v="6240"/>
  </r>
  <r>
    <s v="INV2106"/>
    <x v="278"/>
    <x v="3"/>
    <x v="3"/>
    <n v="800"/>
    <n v="7"/>
    <n v="5600"/>
    <x v="0"/>
    <n v="960"/>
    <n v="6720"/>
  </r>
  <r>
    <s v="INV2107"/>
    <x v="278"/>
    <x v="3"/>
    <x v="3"/>
    <n v="800"/>
    <n v="1"/>
    <n v="800"/>
    <x v="2"/>
    <n v="960"/>
    <n v="960"/>
  </r>
  <r>
    <s v="INV2108"/>
    <x v="278"/>
    <x v="2"/>
    <x v="30"/>
    <n v="2880"/>
    <n v="2"/>
    <n v="5760"/>
    <x v="0"/>
    <n v="3456"/>
    <n v="6912"/>
  </r>
  <r>
    <s v="INV3350"/>
    <x v="278"/>
    <x v="4"/>
    <x v="10"/>
    <n v="9100"/>
    <n v="9"/>
    <n v="81900"/>
    <x v="2"/>
    <n v="10920"/>
    <n v="98280"/>
  </r>
  <r>
    <s v="INV2109"/>
    <x v="279"/>
    <x v="2"/>
    <x v="39"/>
    <n v="1750"/>
    <n v="4"/>
    <n v="7000"/>
    <x v="0"/>
    <n v="2100"/>
    <n v="8400"/>
  </r>
  <r>
    <s v="INV2110"/>
    <x v="279"/>
    <x v="3"/>
    <x v="4"/>
    <n v="1200"/>
    <n v="9"/>
    <n v="10800"/>
    <x v="2"/>
    <n v="1440"/>
    <n v="12960"/>
  </r>
  <r>
    <s v="INV2111"/>
    <x v="279"/>
    <x v="1"/>
    <x v="5"/>
    <n v="3000"/>
    <n v="6"/>
    <n v="18000"/>
    <x v="0"/>
    <n v="3600"/>
    <n v="21600"/>
  </r>
  <r>
    <s v="INV2112"/>
    <x v="279"/>
    <x v="3"/>
    <x v="21"/>
    <n v="1700"/>
    <n v="9"/>
    <n v="15300"/>
    <x v="0"/>
    <n v="2040"/>
    <n v="18360"/>
  </r>
  <r>
    <s v="INV2113"/>
    <x v="279"/>
    <x v="0"/>
    <x v="9"/>
    <n v="500"/>
    <n v="6"/>
    <n v="3000"/>
    <x v="0"/>
    <n v="600"/>
    <n v="3600"/>
  </r>
  <r>
    <s v="INV2114"/>
    <x v="279"/>
    <x v="0"/>
    <x v="22"/>
    <n v="6000"/>
    <n v="3"/>
    <n v="18000"/>
    <x v="0"/>
    <n v="7200"/>
    <n v="21600"/>
  </r>
  <r>
    <s v="INV2826"/>
    <x v="279"/>
    <x v="0"/>
    <x v="24"/>
    <n v="1900"/>
    <n v="7"/>
    <n v="13300"/>
    <x v="1"/>
    <n v="2280"/>
    <n v="15960"/>
  </r>
  <r>
    <s v="INV3154"/>
    <x v="279"/>
    <x v="4"/>
    <x v="45"/>
    <n v="120"/>
    <n v="4"/>
    <n v="480"/>
    <x v="0"/>
    <n v="144"/>
    <n v="576"/>
  </r>
  <r>
    <s v="INV3462"/>
    <x v="279"/>
    <x v="0"/>
    <x v="19"/>
    <n v="48000"/>
    <n v="5"/>
    <n v="240000"/>
    <x v="0"/>
    <n v="57600"/>
    <n v="288000"/>
  </r>
  <r>
    <s v="INV3879"/>
    <x v="279"/>
    <x v="0"/>
    <x v="19"/>
    <n v="48000"/>
    <n v="5"/>
    <n v="240000"/>
    <x v="0"/>
    <n v="57600"/>
    <n v="288000"/>
  </r>
  <r>
    <s v="INV2115"/>
    <x v="280"/>
    <x v="0"/>
    <x v="9"/>
    <n v="500"/>
    <n v="1"/>
    <n v="500"/>
    <x v="1"/>
    <n v="600"/>
    <n v="600"/>
  </r>
  <r>
    <s v="INV2116"/>
    <x v="280"/>
    <x v="2"/>
    <x v="39"/>
    <n v="1750"/>
    <n v="5"/>
    <n v="8750"/>
    <x v="1"/>
    <n v="2100"/>
    <n v="10500"/>
  </r>
  <r>
    <s v="INV2117"/>
    <x v="280"/>
    <x v="0"/>
    <x v="19"/>
    <n v="48000"/>
    <n v="9"/>
    <n v="432000"/>
    <x v="1"/>
    <n v="57600"/>
    <n v="518400"/>
  </r>
  <r>
    <s v="INV2118"/>
    <x v="280"/>
    <x v="0"/>
    <x v="9"/>
    <n v="500"/>
    <n v="3"/>
    <n v="1500"/>
    <x v="1"/>
    <n v="600"/>
    <n v="1800"/>
  </r>
  <r>
    <s v="INV2119"/>
    <x v="280"/>
    <x v="0"/>
    <x v="22"/>
    <n v="6000"/>
    <n v="3"/>
    <n v="18000"/>
    <x v="1"/>
    <n v="7200"/>
    <n v="21600"/>
  </r>
  <r>
    <s v="INV2120"/>
    <x v="280"/>
    <x v="2"/>
    <x v="39"/>
    <n v="1750"/>
    <n v="2"/>
    <n v="3500"/>
    <x v="1"/>
    <n v="2100"/>
    <n v="4200"/>
  </r>
  <r>
    <s v="INV2121"/>
    <x v="280"/>
    <x v="3"/>
    <x v="4"/>
    <n v="1200"/>
    <n v="7"/>
    <n v="8400"/>
    <x v="0"/>
    <n v="1440"/>
    <n v="10080"/>
  </r>
  <r>
    <s v="INV2122"/>
    <x v="280"/>
    <x v="1"/>
    <x v="1"/>
    <n v="400"/>
    <n v="4"/>
    <n v="1600"/>
    <x v="0"/>
    <n v="480"/>
    <n v="1920"/>
  </r>
  <r>
    <s v="INV2123"/>
    <x v="280"/>
    <x v="2"/>
    <x v="30"/>
    <n v="2880"/>
    <n v="2"/>
    <n v="5760"/>
    <x v="0"/>
    <n v="3456"/>
    <n v="6912"/>
  </r>
  <r>
    <s v="INV3001"/>
    <x v="280"/>
    <x v="0"/>
    <x v="9"/>
    <n v="500"/>
    <n v="4"/>
    <n v="2000"/>
    <x v="2"/>
    <n v="600"/>
    <n v="2400"/>
  </r>
  <r>
    <s v="INV3780"/>
    <x v="280"/>
    <x v="0"/>
    <x v="9"/>
    <n v="500"/>
    <n v="9"/>
    <n v="4500"/>
    <x v="1"/>
    <n v="600"/>
    <n v="5400"/>
  </r>
  <r>
    <s v="INV2124"/>
    <x v="281"/>
    <x v="3"/>
    <x v="3"/>
    <n v="800"/>
    <n v="7"/>
    <n v="5600"/>
    <x v="2"/>
    <n v="960"/>
    <n v="6720"/>
  </r>
  <r>
    <s v="INV2125"/>
    <x v="281"/>
    <x v="3"/>
    <x v="3"/>
    <n v="800"/>
    <n v="3"/>
    <n v="2400"/>
    <x v="2"/>
    <n v="960"/>
    <n v="2880"/>
  </r>
  <r>
    <s v="INV2126"/>
    <x v="281"/>
    <x v="2"/>
    <x v="6"/>
    <n v="2880"/>
    <n v="3"/>
    <n v="8640"/>
    <x v="1"/>
    <n v="3456"/>
    <n v="10368"/>
  </r>
  <r>
    <s v="INV2127"/>
    <x v="281"/>
    <x v="0"/>
    <x v="9"/>
    <n v="500"/>
    <n v="6"/>
    <n v="3000"/>
    <x v="0"/>
    <n v="600"/>
    <n v="3600"/>
  </r>
  <r>
    <s v="INV2128"/>
    <x v="281"/>
    <x v="0"/>
    <x v="19"/>
    <n v="48000"/>
    <n v="9"/>
    <n v="432000"/>
    <x v="2"/>
    <n v="57600"/>
    <n v="518400"/>
  </r>
  <r>
    <s v="INV3647"/>
    <x v="281"/>
    <x v="0"/>
    <x v="23"/>
    <n v="600"/>
    <n v="4"/>
    <n v="2400"/>
    <x v="0"/>
    <n v="720"/>
    <n v="2880"/>
  </r>
  <r>
    <s v="INV2129"/>
    <x v="282"/>
    <x v="0"/>
    <x v="22"/>
    <n v="6000"/>
    <n v="2"/>
    <n v="12000"/>
    <x v="2"/>
    <n v="7200"/>
    <n v="14400"/>
  </r>
  <r>
    <s v="INV2130"/>
    <x v="282"/>
    <x v="1"/>
    <x v="1"/>
    <n v="400"/>
    <n v="9"/>
    <n v="3600"/>
    <x v="0"/>
    <n v="480"/>
    <n v="4320"/>
  </r>
  <r>
    <s v="INV2131"/>
    <x v="282"/>
    <x v="3"/>
    <x v="29"/>
    <n v="6900"/>
    <n v="6"/>
    <n v="41400"/>
    <x v="0"/>
    <n v="8280"/>
    <n v="49680"/>
  </r>
  <r>
    <s v="INV2132"/>
    <x v="282"/>
    <x v="3"/>
    <x v="4"/>
    <n v="1200"/>
    <n v="2"/>
    <n v="2400"/>
    <x v="0"/>
    <n v="1440"/>
    <n v="2880"/>
  </r>
  <r>
    <s v="INV2133"/>
    <x v="282"/>
    <x v="0"/>
    <x v="9"/>
    <n v="500"/>
    <n v="3"/>
    <n v="1500"/>
    <x v="1"/>
    <n v="600"/>
    <n v="1800"/>
  </r>
  <r>
    <s v="INV2134"/>
    <x v="282"/>
    <x v="1"/>
    <x v="1"/>
    <n v="400"/>
    <n v="9"/>
    <n v="3600"/>
    <x v="0"/>
    <n v="480"/>
    <n v="4320"/>
  </r>
  <r>
    <s v="INV2135"/>
    <x v="282"/>
    <x v="0"/>
    <x v="22"/>
    <n v="6000"/>
    <n v="1"/>
    <n v="6000"/>
    <x v="1"/>
    <n v="7200"/>
    <n v="7200"/>
  </r>
  <r>
    <s v="INV2924"/>
    <x v="282"/>
    <x v="0"/>
    <x v="31"/>
    <n v="3600"/>
    <n v="10"/>
    <n v="36000"/>
    <x v="0"/>
    <n v="4320"/>
    <n v="43200"/>
  </r>
  <r>
    <s v="INV3503"/>
    <x v="282"/>
    <x v="3"/>
    <x v="3"/>
    <n v="800"/>
    <n v="3"/>
    <n v="2400"/>
    <x v="0"/>
    <n v="960"/>
    <n v="2880"/>
  </r>
  <r>
    <s v="INV3661"/>
    <x v="282"/>
    <x v="0"/>
    <x v="24"/>
    <n v="1900"/>
    <n v="8"/>
    <n v="15200"/>
    <x v="2"/>
    <n v="2280"/>
    <n v="18240"/>
  </r>
  <r>
    <s v="INV3752"/>
    <x v="282"/>
    <x v="3"/>
    <x v="21"/>
    <n v="1700"/>
    <n v="1"/>
    <n v="1700"/>
    <x v="2"/>
    <n v="2040"/>
    <n v="2040"/>
  </r>
  <r>
    <s v="INV3852"/>
    <x v="282"/>
    <x v="0"/>
    <x v="31"/>
    <n v="3600"/>
    <n v="5"/>
    <n v="18000"/>
    <x v="0"/>
    <n v="4320"/>
    <n v="21600"/>
  </r>
  <r>
    <s v="INV2136"/>
    <x v="283"/>
    <x v="0"/>
    <x v="19"/>
    <n v="48000"/>
    <n v="9"/>
    <n v="432000"/>
    <x v="1"/>
    <n v="57600"/>
    <n v="518400"/>
  </r>
  <r>
    <s v="INV2137"/>
    <x v="283"/>
    <x v="0"/>
    <x v="19"/>
    <n v="48000"/>
    <n v="3"/>
    <n v="144000"/>
    <x v="2"/>
    <n v="57600"/>
    <n v="172800"/>
  </r>
  <r>
    <s v="INV2138"/>
    <x v="283"/>
    <x v="0"/>
    <x v="0"/>
    <n v="60000"/>
    <n v="3"/>
    <n v="180000"/>
    <x v="2"/>
    <n v="72000"/>
    <n v="216000"/>
  </r>
  <r>
    <s v="INV2139"/>
    <x v="283"/>
    <x v="3"/>
    <x v="29"/>
    <n v="6900"/>
    <n v="8"/>
    <n v="55200"/>
    <x v="1"/>
    <n v="8280"/>
    <n v="66240"/>
  </r>
  <r>
    <s v="INV2140"/>
    <x v="283"/>
    <x v="3"/>
    <x v="3"/>
    <n v="800"/>
    <n v="10"/>
    <n v="8000"/>
    <x v="1"/>
    <n v="960"/>
    <n v="9600"/>
  </r>
  <r>
    <s v="INV2141"/>
    <x v="283"/>
    <x v="0"/>
    <x v="22"/>
    <n v="6000"/>
    <n v="4"/>
    <n v="24000"/>
    <x v="0"/>
    <n v="7200"/>
    <n v="28800"/>
  </r>
  <r>
    <s v="INV2142"/>
    <x v="283"/>
    <x v="1"/>
    <x v="1"/>
    <n v="400"/>
    <n v="1"/>
    <n v="400"/>
    <x v="1"/>
    <n v="480"/>
    <n v="480"/>
  </r>
  <r>
    <s v="INV2767"/>
    <x v="283"/>
    <x v="0"/>
    <x v="31"/>
    <n v="3600"/>
    <n v="4"/>
    <n v="14400"/>
    <x v="1"/>
    <n v="4320"/>
    <n v="17280"/>
  </r>
  <r>
    <s v="INV3170"/>
    <x v="283"/>
    <x v="0"/>
    <x v="23"/>
    <n v="600"/>
    <n v="5"/>
    <n v="3000"/>
    <x v="2"/>
    <n v="720"/>
    <n v="3600"/>
  </r>
  <r>
    <s v="INV3610"/>
    <x v="283"/>
    <x v="0"/>
    <x v="9"/>
    <n v="500"/>
    <n v="7"/>
    <n v="3500"/>
    <x v="0"/>
    <n v="600"/>
    <n v="4200"/>
  </r>
  <r>
    <s v="INV2143"/>
    <x v="284"/>
    <x v="2"/>
    <x v="39"/>
    <n v="1750"/>
    <n v="4"/>
    <n v="7000"/>
    <x v="1"/>
    <n v="2100"/>
    <n v="8400"/>
  </r>
  <r>
    <s v="INV2144"/>
    <x v="284"/>
    <x v="0"/>
    <x v="9"/>
    <n v="500"/>
    <n v="2"/>
    <n v="1000"/>
    <x v="2"/>
    <n v="600"/>
    <n v="1200"/>
  </r>
  <r>
    <s v="INV2145"/>
    <x v="284"/>
    <x v="3"/>
    <x v="4"/>
    <n v="1200"/>
    <n v="3"/>
    <n v="3600"/>
    <x v="2"/>
    <n v="1440"/>
    <n v="4320"/>
  </r>
  <r>
    <s v="INV2146"/>
    <x v="284"/>
    <x v="3"/>
    <x v="21"/>
    <n v="1700"/>
    <n v="7"/>
    <n v="11900"/>
    <x v="2"/>
    <n v="2040"/>
    <n v="14280"/>
  </r>
  <r>
    <s v="INV2147"/>
    <x v="284"/>
    <x v="0"/>
    <x v="22"/>
    <n v="6000"/>
    <n v="9"/>
    <n v="54000"/>
    <x v="0"/>
    <n v="7200"/>
    <n v="64800"/>
  </r>
  <r>
    <s v="INV2148"/>
    <x v="284"/>
    <x v="0"/>
    <x v="0"/>
    <n v="60000"/>
    <n v="10"/>
    <n v="600000"/>
    <x v="0"/>
    <n v="72000"/>
    <n v="720000"/>
  </r>
  <r>
    <s v="INV2149"/>
    <x v="284"/>
    <x v="3"/>
    <x v="4"/>
    <n v="1200"/>
    <n v="5"/>
    <n v="6000"/>
    <x v="0"/>
    <n v="1440"/>
    <n v="7200"/>
  </r>
  <r>
    <s v="INV2150"/>
    <x v="284"/>
    <x v="0"/>
    <x v="9"/>
    <n v="500"/>
    <n v="3"/>
    <n v="1500"/>
    <x v="2"/>
    <n v="600"/>
    <n v="1800"/>
  </r>
  <r>
    <s v="INV2151"/>
    <x v="284"/>
    <x v="3"/>
    <x v="21"/>
    <n v="1700"/>
    <n v="9"/>
    <n v="15300"/>
    <x v="2"/>
    <n v="2040"/>
    <n v="18360"/>
  </r>
  <r>
    <s v="INV3173"/>
    <x v="284"/>
    <x v="0"/>
    <x v="24"/>
    <n v="1900"/>
    <n v="2"/>
    <n v="3800"/>
    <x v="1"/>
    <n v="2280"/>
    <n v="4560"/>
  </r>
  <r>
    <s v="INV3498"/>
    <x v="284"/>
    <x v="0"/>
    <x v="9"/>
    <n v="500"/>
    <n v="4"/>
    <n v="2000"/>
    <x v="1"/>
    <n v="600"/>
    <n v="2400"/>
  </r>
  <r>
    <s v="INV3753"/>
    <x v="284"/>
    <x v="0"/>
    <x v="8"/>
    <n v="3300"/>
    <n v="5"/>
    <n v="16500"/>
    <x v="0"/>
    <n v="3960"/>
    <n v="19800"/>
  </r>
  <r>
    <s v="INV2152"/>
    <x v="285"/>
    <x v="1"/>
    <x v="7"/>
    <n v="5200"/>
    <n v="10"/>
    <n v="52000"/>
    <x v="2"/>
    <n v="6240"/>
    <n v="62400"/>
  </r>
  <r>
    <s v="INV2153"/>
    <x v="285"/>
    <x v="1"/>
    <x v="5"/>
    <n v="3000"/>
    <n v="3"/>
    <n v="9000"/>
    <x v="1"/>
    <n v="3600"/>
    <n v="10800"/>
  </r>
  <r>
    <s v="INV2154"/>
    <x v="285"/>
    <x v="0"/>
    <x v="22"/>
    <n v="6000"/>
    <n v="6"/>
    <n v="36000"/>
    <x v="1"/>
    <n v="7200"/>
    <n v="43200"/>
  </r>
  <r>
    <s v="INV2155"/>
    <x v="285"/>
    <x v="2"/>
    <x v="2"/>
    <n v="2880"/>
    <n v="10"/>
    <n v="28800"/>
    <x v="2"/>
    <n v="3456"/>
    <n v="34560"/>
  </r>
  <r>
    <s v="INV2156"/>
    <x v="285"/>
    <x v="1"/>
    <x v="1"/>
    <n v="400"/>
    <n v="6"/>
    <n v="2400"/>
    <x v="0"/>
    <n v="480"/>
    <n v="2880"/>
  </r>
  <r>
    <s v="INV2157"/>
    <x v="285"/>
    <x v="2"/>
    <x v="6"/>
    <n v="2880"/>
    <n v="4"/>
    <n v="11520"/>
    <x v="1"/>
    <n v="3456"/>
    <n v="13824"/>
  </r>
  <r>
    <s v="INV2158"/>
    <x v="285"/>
    <x v="2"/>
    <x v="30"/>
    <n v="2880"/>
    <n v="1"/>
    <n v="2880"/>
    <x v="1"/>
    <n v="3456"/>
    <n v="3456"/>
  </r>
  <r>
    <s v="INV2159"/>
    <x v="285"/>
    <x v="1"/>
    <x v="1"/>
    <n v="400"/>
    <n v="9"/>
    <n v="3600"/>
    <x v="0"/>
    <n v="480"/>
    <n v="4320"/>
  </r>
  <r>
    <s v="INV3193"/>
    <x v="285"/>
    <x v="4"/>
    <x v="10"/>
    <n v="9100"/>
    <n v="10"/>
    <n v="91000"/>
    <x v="0"/>
    <n v="10920"/>
    <n v="109200"/>
  </r>
  <r>
    <s v="INV3431"/>
    <x v="285"/>
    <x v="3"/>
    <x v="3"/>
    <n v="800"/>
    <n v="6"/>
    <n v="4800"/>
    <x v="2"/>
    <n v="960"/>
    <n v="5760"/>
  </r>
  <r>
    <s v="INV3486"/>
    <x v="285"/>
    <x v="0"/>
    <x v="19"/>
    <n v="48000"/>
    <n v="8"/>
    <n v="384000"/>
    <x v="0"/>
    <n v="57600"/>
    <n v="460800"/>
  </r>
  <r>
    <s v="INV3629"/>
    <x v="285"/>
    <x v="3"/>
    <x v="21"/>
    <n v="1700"/>
    <n v="2"/>
    <n v="3400"/>
    <x v="1"/>
    <n v="2040"/>
    <n v="4080"/>
  </r>
  <r>
    <s v="INV3912"/>
    <x v="285"/>
    <x v="0"/>
    <x v="19"/>
    <n v="48000"/>
    <n v="4"/>
    <n v="192000"/>
    <x v="2"/>
    <n v="57600"/>
    <n v="230400"/>
  </r>
  <r>
    <s v="INV2160"/>
    <x v="286"/>
    <x v="2"/>
    <x v="30"/>
    <n v="2880"/>
    <n v="5"/>
    <n v="14400"/>
    <x v="2"/>
    <n v="3456"/>
    <n v="17280"/>
  </r>
  <r>
    <s v="INV2161"/>
    <x v="286"/>
    <x v="1"/>
    <x v="5"/>
    <n v="3000"/>
    <n v="4"/>
    <n v="12000"/>
    <x v="2"/>
    <n v="3600"/>
    <n v="14400"/>
  </r>
  <r>
    <s v="INV2162"/>
    <x v="286"/>
    <x v="3"/>
    <x v="29"/>
    <n v="6900"/>
    <n v="2"/>
    <n v="13800"/>
    <x v="0"/>
    <n v="8280"/>
    <n v="16560"/>
  </r>
  <r>
    <s v="INV2163"/>
    <x v="286"/>
    <x v="0"/>
    <x v="0"/>
    <n v="60000"/>
    <n v="8"/>
    <n v="480000"/>
    <x v="2"/>
    <n v="72000"/>
    <n v="576000"/>
  </r>
  <r>
    <s v="INV2164"/>
    <x v="286"/>
    <x v="0"/>
    <x v="19"/>
    <n v="48000"/>
    <n v="3"/>
    <n v="144000"/>
    <x v="2"/>
    <n v="57600"/>
    <n v="172800"/>
  </r>
  <r>
    <s v="INV3017"/>
    <x v="286"/>
    <x v="0"/>
    <x v="23"/>
    <n v="600"/>
    <n v="3"/>
    <n v="1800"/>
    <x v="1"/>
    <n v="720"/>
    <n v="2160"/>
  </r>
  <r>
    <s v="INV3512"/>
    <x v="286"/>
    <x v="0"/>
    <x v="9"/>
    <n v="500"/>
    <n v="1"/>
    <n v="500"/>
    <x v="2"/>
    <n v="600"/>
    <n v="600"/>
  </r>
  <r>
    <s v="INV3609"/>
    <x v="286"/>
    <x v="3"/>
    <x v="3"/>
    <n v="800"/>
    <n v="10"/>
    <n v="8000"/>
    <x v="2"/>
    <n v="960"/>
    <n v="9600"/>
  </r>
  <r>
    <s v="INV2165"/>
    <x v="287"/>
    <x v="3"/>
    <x v="4"/>
    <n v="1200"/>
    <n v="4"/>
    <n v="4800"/>
    <x v="0"/>
    <n v="1440"/>
    <n v="5760"/>
  </r>
  <r>
    <s v="INV2166"/>
    <x v="287"/>
    <x v="3"/>
    <x v="21"/>
    <n v="1700"/>
    <n v="6"/>
    <n v="10200"/>
    <x v="2"/>
    <n v="2040"/>
    <n v="12240"/>
  </r>
  <r>
    <s v="INV2167"/>
    <x v="287"/>
    <x v="2"/>
    <x v="30"/>
    <n v="2880"/>
    <n v="10"/>
    <n v="28800"/>
    <x v="2"/>
    <n v="3456"/>
    <n v="34560"/>
  </r>
  <r>
    <s v="INV2168"/>
    <x v="287"/>
    <x v="2"/>
    <x v="39"/>
    <n v="1750"/>
    <n v="7"/>
    <n v="12250"/>
    <x v="2"/>
    <n v="2100"/>
    <n v="14700"/>
  </r>
  <r>
    <s v="INV2169"/>
    <x v="287"/>
    <x v="3"/>
    <x v="29"/>
    <n v="6900"/>
    <n v="3"/>
    <n v="20700"/>
    <x v="1"/>
    <n v="8280"/>
    <n v="24840"/>
  </r>
  <r>
    <s v="INV2170"/>
    <x v="287"/>
    <x v="3"/>
    <x v="3"/>
    <n v="800"/>
    <n v="9"/>
    <n v="7200"/>
    <x v="0"/>
    <n v="960"/>
    <n v="8640"/>
  </r>
  <r>
    <s v="INV2844"/>
    <x v="287"/>
    <x v="4"/>
    <x v="45"/>
    <n v="120"/>
    <n v="4"/>
    <n v="480"/>
    <x v="1"/>
    <n v="144"/>
    <n v="576"/>
  </r>
  <r>
    <s v="INV3006"/>
    <x v="287"/>
    <x v="0"/>
    <x v="19"/>
    <n v="48000"/>
    <n v="2"/>
    <n v="96000"/>
    <x v="0"/>
    <n v="57600"/>
    <n v="115200"/>
  </r>
  <r>
    <s v="INV2171"/>
    <x v="288"/>
    <x v="2"/>
    <x v="30"/>
    <n v="2880"/>
    <n v="7"/>
    <n v="20160"/>
    <x v="1"/>
    <n v="3456"/>
    <n v="24192"/>
  </r>
  <r>
    <s v="INV2172"/>
    <x v="288"/>
    <x v="3"/>
    <x v="29"/>
    <n v="6900"/>
    <n v="4"/>
    <n v="27600"/>
    <x v="1"/>
    <n v="8280"/>
    <n v="33120"/>
  </r>
  <r>
    <s v="INV2173"/>
    <x v="288"/>
    <x v="1"/>
    <x v="7"/>
    <n v="5200"/>
    <n v="5"/>
    <n v="26000"/>
    <x v="1"/>
    <n v="6240"/>
    <n v="31200"/>
  </r>
  <r>
    <s v="INV2174"/>
    <x v="288"/>
    <x v="0"/>
    <x v="9"/>
    <n v="500"/>
    <n v="7"/>
    <n v="3500"/>
    <x v="1"/>
    <n v="600"/>
    <n v="4200"/>
  </r>
  <r>
    <s v="INV2175"/>
    <x v="288"/>
    <x v="2"/>
    <x v="30"/>
    <n v="2880"/>
    <n v="10"/>
    <n v="28800"/>
    <x v="1"/>
    <n v="3456"/>
    <n v="34560"/>
  </r>
  <r>
    <s v="INV2176"/>
    <x v="288"/>
    <x v="1"/>
    <x v="5"/>
    <n v="3000"/>
    <n v="7"/>
    <n v="21000"/>
    <x v="2"/>
    <n v="3600"/>
    <n v="25200"/>
  </r>
  <r>
    <s v="INV2177"/>
    <x v="288"/>
    <x v="0"/>
    <x v="0"/>
    <n v="60000"/>
    <n v="5"/>
    <n v="300000"/>
    <x v="0"/>
    <n v="72000"/>
    <n v="360000"/>
  </r>
  <r>
    <s v="INV2178"/>
    <x v="288"/>
    <x v="2"/>
    <x v="30"/>
    <n v="2880"/>
    <n v="5"/>
    <n v="14400"/>
    <x v="2"/>
    <n v="3456"/>
    <n v="17280"/>
  </r>
  <r>
    <s v="INV2179"/>
    <x v="288"/>
    <x v="1"/>
    <x v="7"/>
    <n v="5200"/>
    <n v="2"/>
    <n v="10400"/>
    <x v="2"/>
    <n v="6240"/>
    <n v="12480"/>
  </r>
  <r>
    <s v="INV2180"/>
    <x v="288"/>
    <x v="1"/>
    <x v="7"/>
    <n v="5200"/>
    <n v="6"/>
    <n v="31200"/>
    <x v="2"/>
    <n v="6240"/>
    <n v="37440"/>
  </r>
  <r>
    <s v="INV3565"/>
    <x v="288"/>
    <x v="0"/>
    <x v="19"/>
    <n v="48000"/>
    <n v="8"/>
    <n v="384000"/>
    <x v="2"/>
    <n v="57600"/>
    <n v="460800"/>
  </r>
  <r>
    <s v="INV3599"/>
    <x v="288"/>
    <x v="4"/>
    <x v="10"/>
    <n v="9100"/>
    <n v="1"/>
    <n v="9100"/>
    <x v="1"/>
    <n v="10920"/>
    <n v="10920"/>
  </r>
  <r>
    <s v="INV2181"/>
    <x v="289"/>
    <x v="0"/>
    <x v="22"/>
    <n v="6000"/>
    <n v="8"/>
    <n v="48000"/>
    <x v="0"/>
    <n v="7200"/>
    <n v="57600"/>
  </r>
  <r>
    <s v="INV2182"/>
    <x v="289"/>
    <x v="0"/>
    <x v="22"/>
    <n v="6000"/>
    <n v="5"/>
    <n v="30000"/>
    <x v="0"/>
    <n v="7200"/>
    <n v="36000"/>
  </r>
  <r>
    <s v="INV2183"/>
    <x v="289"/>
    <x v="0"/>
    <x v="0"/>
    <n v="60000"/>
    <n v="9"/>
    <n v="540000"/>
    <x v="2"/>
    <n v="72000"/>
    <n v="648000"/>
  </r>
  <r>
    <s v="INV2184"/>
    <x v="289"/>
    <x v="0"/>
    <x v="9"/>
    <n v="500"/>
    <n v="2"/>
    <n v="1000"/>
    <x v="2"/>
    <n v="600"/>
    <n v="1200"/>
  </r>
  <r>
    <s v="INV2185"/>
    <x v="289"/>
    <x v="2"/>
    <x v="30"/>
    <n v="2880"/>
    <n v="9"/>
    <n v="25920"/>
    <x v="1"/>
    <n v="3456"/>
    <n v="31104"/>
  </r>
  <r>
    <s v="INV2820"/>
    <x v="289"/>
    <x v="0"/>
    <x v="19"/>
    <n v="48000"/>
    <n v="2"/>
    <n v="96000"/>
    <x v="0"/>
    <n v="57600"/>
    <n v="115200"/>
  </r>
  <r>
    <s v="INV3602"/>
    <x v="289"/>
    <x v="0"/>
    <x v="8"/>
    <n v="3300"/>
    <n v="5"/>
    <n v="16500"/>
    <x v="2"/>
    <n v="3960"/>
    <n v="19800"/>
  </r>
  <r>
    <s v="INV3630"/>
    <x v="289"/>
    <x v="0"/>
    <x v="9"/>
    <n v="500"/>
    <n v="2"/>
    <n v="1000"/>
    <x v="0"/>
    <n v="600"/>
    <n v="1200"/>
  </r>
  <r>
    <s v="INV2186"/>
    <x v="290"/>
    <x v="3"/>
    <x v="4"/>
    <n v="1200"/>
    <n v="3"/>
    <n v="3600"/>
    <x v="1"/>
    <n v="1440"/>
    <n v="4320"/>
  </r>
  <r>
    <s v="INV2187"/>
    <x v="290"/>
    <x v="2"/>
    <x v="39"/>
    <n v="1750"/>
    <n v="9"/>
    <n v="15750"/>
    <x v="2"/>
    <n v="2100"/>
    <n v="18900"/>
  </r>
  <r>
    <s v="INV2188"/>
    <x v="290"/>
    <x v="0"/>
    <x v="0"/>
    <n v="60000"/>
    <n v="10"/>
    <n v="600000"/>
    <x v="1"/>
    <n v="72000"/>
    <n v="720000"/>
  </r>
  <r>
    <s v="INV2189"/>
    <x v="290"/>
    <x v="0"/>
    <x v="19"/>
    <n v="48000"/>
    <n v="8"/>
    <n v="384000"/>
    <x v="2"/>
    <n v="57600"/>
    <n v="460800"/>
  </r>
  <r>
    <s v="INV2190"/>
    <x v="290"/>
    <x v="0"/>
    <x v="19"/>
    <n v="48000"/>
    <n v="4"/>
    <n v="192000"/>
    <x v="1"/>
    <n v="57600"/>
    <n v="230400"/>
  </r>
  <r>
    <s v="INV2191"/>
    <x v="290"/>
    <x v="2"/>
    <x v="6"/>
    <n v="2880"/>
    <n v="7"/>
    <n v="20160"/>
    <x v="1"/>
    <n v="3456"/>
    <n v="24192"/>
  </r>
  <r>
    <s v="INV2192"/>
    <x v="290"/>
    <x v="3"/>
    <x v="4"/>
    <n v="1200"/>
    <n v="3"/>
    <n v="3600"/>
    <x v="1"/>
    <n v="1440"/>
    <n v="4320"/>
  </r>
  <r>
    <s v="INV2193"/>
    <x v="290"/>
    <x v="0"/>
    <x v="19"/>
    <n v="48000"/>
    <n v="8"/>
    <n v="384000"/>
    <x v="1"/>
    <n v="57600"/>
    <n v="460800"/>
  </r>
  <r>
    <s v="INV2194"/>
    <x v="290"/>
    <x v="3"/>
    <x v="3"/>
    <n v="800"/>
    <n v="5"/>
    <n v="4000"/>
    <x v="1"/>
    <n v="960"/>
    <n v="4800"/>
  </r>
  <r>
    <s v="INV2195"/>
    <x v="290"/>
    <x v="3"/>
    <x v="3"/>
    <n v="800"/>
    <n v="9"/>
    <n v="7200"/>
    <x v="0"/>
    <n v="960"/>
    <n v="8640"/>
  </r>
  <r>
    <s v="INV2994"/>
    <x v="290"/>
    <x v="0"/>
    <x v="9"/>
    <n v="500"/>
    <n v="7"/>
    <n v="3500"/>
    <x v="2"/>
    <n v="600"/>
    <n v="4200"/>
  </r>
  <r>
    <s v="INV3037"/>
    <x v="290"/>
    <x v="0"/>
    <x v="8"/>
    <n v="3300"/>
    <n v="7"/>
    <n v="23100"/>
    <x v="0"/>
    <n v="3960"/>
    <n v="27720"/>
  </r>
  <r>
    <s v="INV3198"/>
    <x v="290"/>
    <x v="0"/>
    <x v="31"/>
    <n v="3600"/>
    <n v="6"/>
    <n v="21600"/>
    <x v="0"/>
    <n v="4320"/>
    <n v="25920"/>
  </r>
  <r>
    <s v="INV3552"/>
    <x v="290"/>
    <x v="0"/>
    <x v="19"/>
    <n v="48000"/>
    <n v="7"/>
    <n v="336000"/>
    <x v="1"/>
    <n v="57600"/>
    <n v="403200"/>
  </r>
  <r>
    <s v="INV3554"/>
    <x v="290"/>
    <x v="0"/>
    <x v="19"/>
    <n v="48000"/>
    <n v="7"/>
    <n v="336000"/>
    <x v="0"/>
    <n v="57600"/>
    <n v="403200"/>
  </r>
  <r>
    <s v="INV3660"/>
    <x v="290"/>
    <x v="4"/>
    <x v="10"/>
    <n v="9100"/>
    <n v="10"/>
    <n v="91000"/>
    <x v="1"/>
    <n v="10920"/>
    <n v="109200"/>
  </r>
  <r>
    <s v="INV3740"/>
    <x v="290"/>
    <x v="3"/>
    <x v="3"/>
    <n v="800"/>
    <n v="5"/>
    <n v="4000"/>
    <x v="2"/>
    <n v="960"/>
    <n v="4800"/>
  </r>
  <r>
    <s v="INV2196"/>
    <x v="291"/>
    <x v="1"/>
    <x v="7"/>
    <n v="5200"/>
    <n v="2"/>
    <n v="10400"/>
    <x v="2"/>
    <n v="6240"/>
    <n v="12480"/>
  </r>
  <r>
    <s v="INV2197"/>
    <x v="291"/>
    <x v="3"/>
    <x v="29"/>
    <n v="6900"/>
    <n v="1"/>
    <n v="6900"/>
    <x v="1"/>
    <n v="8280"/>
    <n v="8280"/>
  </r>
  <r>
    <s v="INV2198"/>
    <x v="291"/>
    <x v="0"/>
    <x v="19"/>
    <n v="48000"/>
    <n v="6"/>
    <n v="288000"/>
    <x v="2"/>
    <n v="57600"/>
    <n v="345600"/>
  </r>
  <r>
    <s v="INV2199"/>
    <x v="291"/>
    <x v="0"/>
    <x v="22"/>
    <n v="6000"/>
    <n v="9"/>
    <n v="54000"/>
    <x v="1"/>
    <n v="7200"/>
    <n v="64800"/>
  </r>
  <r>
    <s v="INV2200"/>
    <x v="291"/>
    <x v="1"/>
    <x v="5"/>
    <n v="3000"/>
    <n v="3"/>
    <n v="9000"/>
    <x v="0"/>
    <n v="3600"/>
    <n v="10800"/>
  </r>
  <r>
    <s v="INV3230"/>
    <x v="291"/>
    <x v="0"/>
    <x v="8"/>
    <n v="3300"/>
    <n v="3"/>
    <n v="9900"/>
    <x v="2"/>
    <n v="3960"/>
    <n v="11880"/>
  </r>
  <r>
    <s v="INV3467"/>
    <x v="291"/>
    <x v="4"/>
    <x v="10"/>
    <n v="9100"/>
    <n v="8"/>
    <n v="72800"/>
    <x v="0"/>
    <n v="10920"/>
    <n v="87360"/>
  </r>
  <r>
    <s v="INV3655"/>
    <x v="291"/>
    <x v="3"/>
    <x v="21"/>
    <n v="1700"/>
    <n v="8"/>
    <n v="13600"/>
    <x v="2"/>
    <n v="2040"/>
    <n v="16320"/>
  </r>
  <r>
    <s v="INV2201"/>
    <x v="292"/>
    <x v="1"/>
    <x v="5"/>
    <n v="3000"/>
    <n v="6"/>
    <n v="18000"/>
    <x v="2"/>
    <n v="3600"/>
    <n v="21600"/>
  </r>
  <r>
    <s v="INV2202"/>
    <x v="292"/>
    <x v="2"/>
    <x v="6"/>
    <n v="2880"/>
    <n v="4"/>
    <n v="11520"/>
    <x v="0"/>
    <n v="3456"/>
    <n v="13824"/>
  </r>
  <r>
    <s v="INV2203"/>
    <x v="292"/>
    <x v="3"/>
    <x v="4"/>
    <n v="1200"/>
    <n v="2"/>
    <n v="2400"/>
    <x v="0"/>
    <n v="1440"/>
    <n v="2880"/>
  </r>
  <r>
    <s v="INV2204"/>
    <x v="292"/>
    <x v="1"/>
    <x v="1"/>
    <n v="400"/>
    <n v="10"/>
    <n v="4000"/>
    <x v="0"/>
    <n v="480"/>
    <n v="4800"/>
  </r>
  <r>
    <s v="INV2205"/>
    <x v="292"/>
    <x v="2"/>
    <x v="39"/>
    <n v="1750"/>
    <n v="2"/>
    <n v="3500"/>
    <x v="2"/>
    <n v="2100"/>
    <n v="4200"/>
  </r>
  <r>
    <s v="INV2206"/>
    <x v="292"/>
    <x v="0"/>
    <x v="22"/>
    <n v="6000"/>
    <n v="10"/>
    <n v="60000"/>
    <x v="1"/>
    <n v="7200"/>
    <n v="72000"/>
  </r>
  <r>
    <s v="INV2207"/>
    <x v="292"/>
    <x v="0"/>
    <x v="19"/>
    <n v="48000"/>
    <n v="9"/>
    <n v="432000"/>
    <x v="0"/>
    <n v="57600"/>
    <n v="518400"/>
  </r>
  <r>
    <s v="INV2208"/>
    <x v="292"/>
    <x v="3"/>
    <x v="21"/>
    <n v="1700"/>
    <n v="1"/>
    <n v="1700"/>
    <x v="1"/>
    <n v="2040"/>
    <n v="2040"/>
  </r>
  <r>
    <s v="INV2209"/>
    <x v="292"/>
    <x v="1"/>
    <x v="5"/>
    <n v="3000"/>
    <n v="7"/>
    <n v="21000"/>
    <x v="2"/>
    <n v="3600"/>
    <n v="25200"/>
  </r>
  <r>
    <s v="INV3070"/>
    <x v="292"/>
    <x v="0"/>
    <x v="31"/>
    <n v="3600"/>
    <n v="3"/>
    <n v="10800"/>
    <x v="2"/>
    <n v="4320"/>
    <n v="12960"/>
  </r>
  <r>
    <s v="INV3072"/>
    <x v="292"/>
    <x v="0"/>
    <x v="19"/>
    <n v="48000"/>
    <n v="2"/>
    <n v="96000"/>
    <x v="0"/>
    <n v="57600"/>
    <n v="115200"/>
  </r>
  <r>
    <s v="INV3142"/>
    <x v="292"/>
    <x v="0"/>
    <x v="31"/>
    <n v="3600"/>
    <n v="10"/>
    <n v="36000"/>
    <x v="1"/>
    <n v="4320"/>
    <n v="43200"/>
  </r>
  <r>
    <s v="INV3344"/>
    <x v="292"/>
    <x v="3"/>
    <x v="21"/>
    <n v="1700"/>
    <n v="9"/>
    <n v="15300"/>
    <x v="0"/>
    <n v="2040"/>
    <n v="18360"/>
  </r>
  <r>
    <s v="INV3590"/>
    <x v="292"/>
    <x v="0"/>
    <x v="24"/>
    <n v="1900"/>
    <n v="4"/>
    <n v="7600"/>
    <x v="0"/>
    <n v="2280"/>
    <n v="9120"/>
  </r>
  <r>
    <s v="INV2210"/>
    <x v="293"/>
    <x v="0"/>
    <x v="22"/>
    <n v="6000"/>
    <n v="9"/>
    <n v="54000"/>
    <x v="2"/>
    <n v="7200"/>
    <n v="64800"/>
  </r>
  <r>
    <s v="INV2211"/>
    <x v="293"/>
    <x v="2"/>
    <x v="30"/>
    <n v="2880"/>
    <n v="3"/>
    <n v="8640"/>
    <x v="2"/>
    <n v="3456"/>
    <n v="10368"/>
  </r>
  <r>
    <s v="INV2212"/>
    <x v="293"/>
    <x v="3"/>
    <x v="21"/>
    <n v="1700"/>
    <n v="10"/>
    <n v="17000"/>
    <x v="2"/>
    <n v="2040"/>
    <n v="20400"/>
  </r>
  <r>
    <s v="INV2213"/>
    <x v="293"/>
    <x v="3"/>
    <x v="4"/>
    <n v="1200"/>
    <n v="4"/>
    <n v="4800"/>
    <x v="0"/>
    <n v="1440"/>
    <n v="5760"/>
  </r>
  <r>
    <s v="INV2214"/>
    <x v="293"/>
    <x v="1"/>
    <x v="5"/>
    <n v="3000"/>
    <n v="2"/>
    <n v="6000"/>
    <x v="1"/>
    <n v="3600"/>
    <n v="7200"/>
  </r>
  <r>
    <s v="INV2215"/>
    <x v="293"/>
    <x v="0"/>
    <x v="0"/>
    <n v="60000"/>
    <n v="3"/>
    <n v="180000"/>
    <x v="0"/>
    <n v="72000"/>
    <n v="216000"/>
  </r>
  <r>
    <s v="INV2216"/>
    <x v="293"/>
    <x v="1"/>
    <x v="7"/>
    <n v="5200"/>
    <n v="1"/>
    <n v="5200"/>
    <x v="1"/>
    <n v="6240"/>
    <n v="6240"/>
  </r>
  <r>
    <s v="INV2769"/>
    <x v="293"/>
    <x v="4"/>
    <x v="45"/>
    <n v="120"/>
    <n v="3"/>
    <n v="360"/>
    <x v="0"/>
    <n v="144"/>
    <n v="432"/>
  </r>
  <r>
    <s v="INV2813"/>
    <x v="293"/>
    <x v="4"/>
    <x v="45"/>
    <n v="120"/>
    <n v="7"/>
    <n v="840"/>
    <x v="1"/>
    <n v="144"/>
    <n v="1008"/>
  </r>
  <r>
    <s v="INV2969"/>
    <x v="293"/>
    <x v="3"/>
    <x v="21"/>
    <n v="1700"/>
    <n v="6"/>
    <n v="10200"/>
    <x v="2"/>
    <n v="2040"/>
    <n v="12240"/>
  </r>
  <r>
    <s v="INV3782"/>
    <x v="293"/>
    <x v="3"/>
    <x v="21"/>
    <n v="1700"/>
    <n v="7"/>
    <n v="11900"/>
    <x v="2"/>
    <n v="2040"/>
    <n v="14280"/>
  </r>
  <r>
    <s v="INV2217"/>
    <x v="294"/>
    <x v="3"/>
    <x v="3"/>
    <n v="800"/>
    <n v="7"/>
    <n v="5600"/>
    <x v="1"/>
    <n v="960"/>
    <n v="6720"/>
  </r>
  <r>
    <s v="INV2218"/>
    <x v="294"/>
    <x v="3"/>
    <x v="21"/>
    <n v="1700"/>
    <n v="8"/>
    <n v="13600"/>
    <x v="2"/>
    <n v="2040"/>
    <n v="16320"/>
  </r>
  <r>
    <s v="INV2219"/>
    <x v="294"/>
    <x v="2"/>
    <x v="39"/>
    <n v="1750"/>
    <n v="2"/>
    <n v="3500"/>
    <x v="0"/>
    <n v="2100"/>
    <n v="4200"/>
  </r>
  <r>
    <s v="INV2220"/>
    <x v="294"/>
    <x v="2"/>
    <x v="6"/>
    <n v="2880"/>
    <n v="1"/>
    <n v="2880"/>
    <x v="0"/>
    <n v="3456"/>
    <n v="3456"/>
  </r>
  <r>
    <s v="INV2221"/>
    <x v="294"/>
    <x v="0"/>
    <x v="0"/>
    <n v="60000"/>
    <n v="6"/>
    <n v="360000"/>
    <x v="1"/>
    <n v="72000"/>
    <n v="432000"/>
  </r>
  <r>
    <s v="INV2222"/>
    <x v="294"/>
    <x v="0"/>
    <x v="19"/>
    <n v="48000"/>
    <n v="5"/>
    <n v="240000"/>
    <x v="2"/>
    <n v="57600"/>
    <n v="288000"/>
  </r>
  <r>
    <s v="INV2223"/>
    <x v="294"/>
    <x v="0"/>
    <x v="22"/>
    <n v="6000"/>
    <n v="4"/>
    <n v="24000"/>
    <x v="0"/>
    <n v="7200"/>
    <n v="28800"/>
  </r>
  <r>
    <s v="INV2224"/>
    <x v="294"/>
    <x v="3"/>
    <x v="21"/>
    <n v="1700"/>
    <n v="8"/>
    <n v="13600"/>
    <x v="0"/>
    <n v="2040"/>
    <n v="16320"/>
  </r>
  <r>
    <s v="INV2783"/>
    <x v="294"/>
    <x v="0"/>
    <x v="19"/>
    <n v="48000"/>
    <n v="3"/>
    <n v="144000"/>
    <x v="2"/>
    <n v="57600"/>
    <n v="172800"/>
  </r>
  <r>
    <s v="INV2869"/>
    <x v="294"/>
    <x v="0"/>
    <x v="9"/>
    <n v="500"/>
    <n v="2"/>
    <n v="1000"/>
    <x v="0"/>
    <n v="600"/>
    <n v="1200"/>
  </r>
  <r>
    <s v="INV2938"/>
    <x v="294"/>
    <x v="0"/>
    <x v="23"/>
    <n v="600"/>
    <n v="10"/>
    <n v="6000"/>
    <x v="1"/>
    <n v="720"/>
    <n v="7200"/>
  </r>
  <r>
    <s v="INV3511"/>
    <x v="294"/>
    <x v="4"/>
    <x v="10"/>
    <n v="9100"/>
    <n v="5"/>
    <n v="45500"/>
    <x v="1"/>
    <n v="10920"/>
    <n v="54600"/>
  </r>
  <r>
    <s v="INV2225"/>
    <x v="295"/>
    <x v="0"/>
    <x v="0"/>
    <n v="60000"/>
    <n v="8"/>
    <n v="480000"/>
    <x v="0"/>
    <n v="72000"/>
    <n v="576000"/>
  </r>
  <r>
    <s v="INV2226"/>
    <x v="295"/>
    <x v="1"/>
    <x v="7"/>
    <n v="5200"/>
    <n v="9"/>
    <n v="46800"/>
    <x v="1"/>
    <n v="6240"/>
    <n v="56160"/>
  </r>
  <r>
    <s v="INV2227"/>
    <x v="295"/>
    <x v="2"/>
    <x v="6"/>
    <n v="2880"/>
    <n v="2"/>
    <n v="5760"/>
    <x v="0"/>
    <n v="3456"/>
    <n v="6912"/>
  </r>
  <r>
    <s v="INV2228"/>
    <x v="295"/>
    <x v="0"/>
    <x v="0"/>
    <n v="60000"/>
    <n v="6"/>
    <n v="360000"/>
    <x v="2"/>
    <n v="72000"/>
    <n v="432000"/>
  </r>
  <r>
    <s v="INV2229"/>
    <x v="295"/>
    <x v="1"/>
    <x v="5"/>
    <n v="3000"/>
    <n v="8"/>
    <n v="24000"/>
    <x v="0"/>
    <n v="3600"/>
    <n v="28800"/>
  </r>
  <r>
    <s v="INV2230"/>
    <x v="295"/>
    <x v="3"/>
    <x v="21"/>
    <n v="1700"/>
    <n v="10"/>
    <n v="17000"/>
    <x v="2"/>
    <n v="2040"/>
    <n v="20400"/>
  </r>
  <r>
    <s v="INV2231"/>
    <x v="295"/>
    <x v="2"/>
    <x v="39"/>
    <n v="1750"/>
    <n v="2"/>
    <n v="3500"/>
    <x v="2"/>
    <n v="2100"/>
    <n v="4200"/>
  </r>
  <r>
    <s v="INV2232"/>
    <x v="295"/>
    <x v="0"/>
    <x v="0"/>
    <n v="60000"/>
    <n v="5"/>
    <n v="300000"/>
    <x v="1"/>
    <n v="72000"/>
    <n v="360000"/>
  </r>
  <r>
    <s v="INV3022"/>
    <x v="295"/>
    <x v="0"/>
    <x v="8"/>
    <n v="3300"/>
    <n v="5"/>
    <n v="16500"/>
    <x v="2"/>
    <n v="3960"/>
    <n v="19800"/>
  </r>
  <r>
    <s v="INV3522"/>
    <x v="295"/>
    <x v="0"/>
    <x v="31"/>
    <n v="3600"/>
    <n v="4"/>
    <n v="14400"/>
    <x v="0"/>
    <n v="4320"/>
    <n v="17280"/>
  </r>
  <r>
    <s v="INV3943"/>
    <x v="295"/>
    <x v="0"/>
    <x v="8"/>
    <n v="3300"/>
    <n v="9"/>
    <n v="29700"/>
    <x v="0"/>
    <n v="3960"/>
    <n v="35640"/>
  </r>
  <r>
    <s v="INV2233"/>
    <x v="296"/>
    <x v="2"/>
    <x v="39"/>
    <n v="1750"/>
    <n v="5"/>
    <n v="8750"/>
    <x v="1"/>
    <n v="2100"/>
    <n v="10500"/>
  </r>
  <r>
    <s v="INV2234"/>
    <x v="296"/>
    <x v="3"/>
    <x v="29"/>
    <n v="6900"/>
    <n v="3"/>
    <n v="20700"/>
    <x v="1"/>
    <n v="8280"/>
    <n v="24840"/>
  </r>
  <r>
    <s v="INV2235"/>
    <x v="296"/>
    <x v="0"/>
    <x v="22"/>
    <n v="6000"/>
    <n v="6"/>
    <n v="36000"/>
    <x v="2"/>
    <n v="7200"/>
    <n v="43200"/>
  </r>
  <r>
    <s v="INV2236"/>
    <x v="296"/>
    <x v="1"/>
    <x v="7"/>
    <n v="5200"/>
    <n v="4"/>
    <n v="20800"/>
    <x v="1"/>
    <n v="6240"/>
    <n v="24960"/>
  </r>
  <r>
    <s v="INV2237"/>
    <x v="296"/>
    <x v="1"/>
    <x v="7"/>
    <n v="5200"/>
    <n v="2"/>
    <n v="10400"/>
    <x v="1"/>
    <n v="6240"/>
    <n v="12480"/>
  </r>
  <r>
    <s v="INV2781"/>
    <x v="296"/>
    <x v="0"/>
    <x v="8"/>
    <n v="3300"/>
    <n v="7"/>
    <n v="23100"/>
    <x v="0"/>
    <n v="3960"/>
    <n v="27720"/>
  </r>
  <r>
    <s v="INV3141"/>
    <x v="296"/>
    <x v="0"/>
    <x v="9"/>
    <n v="500"/>
    <n v="3"/>
    <n v="1500"/>
    <x v="1"/>
    <n v="600"/>
    <n v="1800"/>
  </r>
  <r>
    <s v="INV3549"/>
    <x v="296"/>
    <x v="4"/>
    <x v="10"/>
    <n v="9100"/>
    <n v="9"/>
    <n v="81900"/>
    <x v="2"/>
    <n v="10920"/>
    <n v="98280"/>
  </r>
  <r>
    <s v="INV3884"/>
    <x v="296"/>
    <x v="4"/>
    <x v="10"/>
    <n v="9100"/>
    <n v="8"/>
    <n v="72800"/>
    <x v="2"/>
    <n v="10920"/>
    <n v="87360"/>
  </r>
  <r>
    <s v="INV2238"/>
    <x v="297"/>
    <x v="0"/>
    <x v="22"/>
    <n v="6000"/>
    <n v="5"/>
    <n v="30000"/>
    <x v="2"/>
    <n v="7200"/>
    <n v="36000"/>
  </r>
  <r>
    <s v="INV2239"/>
    <x v="297"/>
    <x v="0"/>
    <x v="9"/>
    <n v="500"/>
    <n v="3"/>
    <n v="1500"/>
    <x v="0"/>
    <n v="600"/>
    <n v="1800"/>
  </r>
  <r>
    <s v="INV2240"/>
    <x v="297"/>
    <x v="3"/>
    <x v="29"/>
    <n v="6900"/>
    <n v="9"/>
    <n v="62100"/>
    <x v="1"/>
    <n v="8280"/>
    <n v="74520"/>
  </r>
  <r>
    <s v="INV2241"/>
    <x v="297"/>
    <x v="0"/>
    <x v="19"/>
    <n v="48000"/>
    <n v="4"/>
    <n v="192000"/>
    <x v="0"/>
    <n v="57600"/>
    <n v="230400"/>
  </r>
  <r>
    <s v="INV2242"/>
    <x v="297"/>
    <x v="0"/>
    <x v="0"/>
    <n v="60000"/>
    <n v="4"/>
    <n v="240000"/>
    <x v="1"/>
    <n v="72000"/>
    <n v="288000"/>
  </r>
  <r>
    <s v="INV2243"/>
    <x v="297"/>
    <x v="3"/>
    <x v="21"/>
    <n v="1700"/>
    <n v="6"/>
    <n v="10200"/>
    <x v="0"/>
    <n v="2040"/>
    <n v="12240"/>
  </r>
  <r>
    <s v="INV2244"/>
    <x v="297"/>
    <x v="2"/>
    <x v="6"/>
    <n v="2880"/>
    <n v="1"/>
    <n v="2880"/>
    <x v="0"/>
    <n v="3456"/>
    <n v="3456"/>
  </r>
  <r>
    <s v="INV2911"/>
    <x v="297"/>
    <x v="0"/>
    <x v="23"/>
    <n v="600"/>
    <n v="2"/>
    <n v="1200"/>
    <x v="0"/>
    <n v="720"/>
    <n v="1440"/>
  </r>
  <r>
    <s v="INV3544"/>
    <x v="297"/>
    <x v="3"/>
    <x v="21"/>
    <n v="1700"/>
    <n v="7"/>
    <n v="11900"/>
    <x v="0"/>
    <n v="2040"/>
    <n v="14280"/>
  </r>
  <r>
    <s v="INV2245"/>
    <x v="298"/>
    <x v="2"/>
    <x v="2"/>
    <n v="2880"/>
    <n v="8"/>
    <n v="23040"/>
    <x v="0"/>
    <n v="3456"/>
    <n v="27648"/>
  </r>
  <r>
    <s v="INV2246"/>
    <x v="298"/>
    <x v="3"/>
    <x v="29"/>
    <n v="6900"/>
    <n v="2"/>
    <n v="13800"/>
    <x v="2"/>
    <n v="8280"/>
    <n v="16560"/>
  </r>
  <r>
    <s v="INV2247"/>
    <x v="298"/>
    <x v="3"/>
    <x v="29"/>
    <n v="6900"/>
    <n v="6"/>
    <n v="41400"/>
    <x v="2"/>
    <n v="8280"/>
    <n v="49680"/>
  </r>
  <r>
    <s v="INV2248"/>
    <x v="298"/>
    <x v="1"/>
    <x v="1"/>
    <n v="400"/>
    <n v="7"/>
    <n v="2800"/>
    <x v="1"/>
    <n v="480"/>
    <n v="3360"/>
  </r>
  <r>
    <s v="INV2249"/>
    <x v="298"/>
    <x v="1"/>
    <x v="1"/>
    <n v="400"/>
    <n v="1"/>
    <n v="400"/>
    <x v="2"/>
    <n v="480"/>
    <n v="480"/>
  </r>
  <r>
    <s v="INV2793"/>
    <x v="298"/>
    <x v="0"/>
    <x v="23"/>
    <n v="600"/>
    <n v="1"/>
    <n v="600"/>
    <x v="2"/>
    <n v="720"/>
    <n v="720"/>
  </r>
  <r>
    <s v="INV2846"/>
    <x v="298"/>
    <x v="3"/>
    <x v="21"/>
    <n v="1700"/>
    <n v="1"/>
    <n v="1700"/>
    <x v="2"/>
    <n v="2040"/>
    <n v="2040"/>
  </r>
  <r>
    <s v="INV3393"/>
    <x v="298"/>
    <x v="0"/>
    <x v="31"/>
    <n v="3600"/>
    <n v="1"/>
    <n v="3600"/>
    <x v="2"/>
    <n v="4320"/>
    <n v="4320"/>
  </r>
  <r>
    <s v="INV2250"/>
    <x v="299"/>
    <x v="2"/>
    <x v="6"/>
    <n v="2880"/>
    <n v="4"/>
    <n v="11520"/>
    <x v="2"/>
    <n v="3456"/>
    <n v="13824"/>
  </r>
  <r>
    <s v="INV2251"/>
    <x v="299"/>
    <x v="0"/>
    <x v="22"/>
    <n v="6000"/>
    <n v="1"/>
    <n v="6000"/>
    <x v="0"/>
    <n v="7200"/>
    <n v="7200"/>
  </r>
  <r>
    <s v="INV2252"/>
    <x v="299"/>
    <x v="1"/>
    <x v="5"/>
    <n v="3000"/>
    <n v="4"/>
    <n v="12000"/>
    <x v="1"/>
    <n v="3600"/>
    <n v="14400"/>
  </r>
  <r>
    <s v="INV2253"/>
    <x v="299"/>
    <x v="0"/>
    <x v="22"/>
    <n v="6000"/>
    <n v="7"/>
    <n v="42000"/>
    <x v="0"/>
    <n v="7200"/>
    <n v="50400"/>
  </r>
  <r>
    <s v="INV2254"/>
    <x v="299"/>
    <x v="0"/>
    <x v="0"/>
    <n v="60000"/>
    <n v="6"/>
    <n v="360000"/>
    <x v="0"/>
    <n v="72000"/>
    <n v="432000"/>
  </r>
  <r>
    <s v="INV2255"/>
    <x v="299"/>
    <x v="2"/>
    <x v="2"/>
    <n v="2880"/>
    <n v="4"/>
    <n v="11520"/>
    <x v="2"/>
    <n v="3456"/>
    <n v="13824"/>
  </r>
  <r>
    <s v="INV2256"/>
    <x v="299"/>
    <x v="0"/>
    <x v="9"/>
    <n v="500"/>
    <n v="7"/>
    <n v="3500"/>
    <x v="1"/>
    <n v="600"/>
    <n v="4200"/>
  </r>
  <r>
    <s v="INV3321"/>
    <x v="299"/>
    <x v="0"/>
    <x v="9"/>
    <n v="500"/>
    <n v="8"/>
    <n v="4000"/>
    <x v="0"/>
    <n v="600"/>
    <n v="4800"/>
  </r>
  <r>
    <s v="INV3361"/>
    <x v="299"/>
    <x v="0"/>
    <x v="8"/>
    <n v="3300"/>
    <n v="6"/>
    <n v="19800"/>
    <x v="2"/>
    <n v="3960"/>
    <n v="23760"/>
  </r>
  <r>
    <s v="INV3440"/>
    <x v="299"/>
    <x v="0"/>
    <x v="19"/>
    <n v="48000"/>
    <n v="9"/>
    <n v="432000"/>
    <x v="1"/>
    <n v="57600"/>
    <n v="518400"/>
  </r>
  <r>
    <s v="INV3692"/>
    <x v="299"/>
    <x v="4"/>
    <x v="45"/>
    <n v="120"/>
    <n v="10"/>
    <n v="1200"/>
    <x v="0"/>
    <n v="144"/>
    <n v="1440"/>
  </r>
  <r>
    <s v="INV3731"/>
    <x v="299"/>
    <x v="0"/>
    <x v="24"/>
    <n v="1900"/>
    <n v="7"/>
    <n v="13300"/>
    <x v="0"/>
    <n v="2280"/>
    <n v="15960"/>
  </r>
  <r>
    <s v="INV2257"/>
    <x v="300"/>
    <x v="3"/>
    <x v="21"/>
    <n v="1700"/>
    <n v="10"/>
    <n v="17000"/>
    <x v="1"/>
    <n v="2040"/>
    <n v="20400"/>
  </r>
  <r>
    <s v="INV2258"/>
    <x v="300"/>
    <x v="0"/>
    <x v="9"/>
    <n v="500"/>
    <n v="2"/>
    <n v="1000"/>
    <x v="1"/>
    <n v="600"/>
    <n v="1200"/>
  </r>
  <r>
    <s v="INV2259"/>
    <x v="300"/>
    <x v="1"/>
    <x v="1"/>
    <n v="400"/>
    <n v="9"/>
    <n v="3600"/>
    <x v="2"/>
    <n v="480"/>
    <n v="4320"/>
  </r>
  <r>
    <s v="INV2260"/>
    <x v="300"/>
    <x v="3"/>
    <x v="21"/>
    <n v="1700"/>
    <n v="3"/>
    <n v="5100"/>
    <x v="1"/>
    <n v="2040"/>
    <n v="6120"/>
  </r>
  <r>
    <s v="INV2261"/>
    <x v="300"/>
    <x v="1"/>
    <x v="1"/>
    <n v="400"/>
    <n v="3"/>
    <n v="1200"/>
    <x v="2"/>
    <n v="480"/>
    <n v="1440"/>
  </r>
  <r>
    <s v="INV2262"/>
    <x v="300"/>
    <x v="2"/>
    <x v="2"/>
    <n v="2880"/>
    <n v="7"/>
    <n v="20160"/>
    <x v="1"/>
    <n v="3456"/>
    <n v="24192"/>
  </r>
  <r>
    <s v="INV3767"/>
    <x v="300"/>
    <x v="0"/>
    <x v="8"/>
    <n v="3300"/>
    <n v="8"/>
    <n v="26400"/>
    <x v="1"/>
    <n v="3960"/>
    <n v="31680"/>
  </r>
  <r>
    <s v="INV2263"/>
    <x v="301"/>
    <x v="2"/>
    <x v="2"/>
    <n v="2880"/>
    <n v="7"/>
    <n v="20160"/>
    <x v="1"/>
    <n v="3456"/>
    <n v="24192"/>
  </r>
  <r>
    <s v="INV2264"/>
    <x v="301"/>
    <x v="0"/>
    <x v="22"/>
    <n v="6000"/>
    <n v="9"/>
    <n v="54000"/>
    <x v="0"/>
    <n v="7200"/>
    <n v="64800"/>
  </r>
  <r>
    <s v="INV2265"/>
    <x v="301"/>
    <x v="2"/>
    <x v="30"/>
    <n v="2880"/>
    <n v="4"/>
    <n v="11520"/>
    <x v="0"/>
    <n v="3456"/>
    <n v="13824"/>
  </r>
  <r>
    <s v="INV2266"/>
    <x v="301"/>
    <x v="2"/>
    <x v="2"/>
    <n v="2880"/>
    <n v="5"/>
    <n v="14400"/>
    <x v="1"/>
    <n v="3456"/>
    <n v="17280"/>
  </r>
  <r>
    <s v="INV2267"/>
    <x v="301"/>
    <x v="3"/>
    <x v="4"/>
    <n v="1200"/>
    <n v="7"/>
    <n v="8400"/>
    <x v="1"/>
    <n v="1440"/>
    <n v="10080"/>
  </r>
  <r>
    <s v="INV2268"/>
    <x v="301"/>
    <x v="3"/>
    <x v="29"/>
    <n v="6900"/>
    <n v="3"/>
    <n v="20700"/>
    <x v="0"/>
    <n v="8280"/>
    <n v="24840"/>
  </r>
  <r>
    <s v="INV2269"/>
    <x v="301"/>
    <x v="1"/>
    <x v="7"/>
    <n v="5200"/>
    <n v="3"/>
    <n v="15600"/>
    <x v="2"/>
    <n v="6240"/>
    <n v="18720"/>
  </r>
  <r>
    <s v="INV2270"/>
    <x v="301"/>
    <x v="3"/>
    <x v="4"/>
    <n v="1200"/>
    <n v="1"/>
    <n v="1200"/>
    <x v="2"/>
    <n v="1440"/>
    <n v="1440"/>
  </r>
  <r>
    <s v="INV2271"/>
    <x v="301"/>
    <x v="2"/>
    <x v="30"/>
    <n v="2880"/>
    <n v="9"/>
    <n v="25920"/>
    <x v="1"/>
    <n v="3456"/>
    <n v="31104"/>
  </r>
  <r>
    <s v="INV3071"/>
    <x v="301"/>
    <x v="0"/>
    <x v="9"/>
    <n v="500"/>
    <n v="5"/>
    <n v="2500"/>
    <x v="1"/>
    <n v="600"/>
    <n v="3000"/>
  </r>
  <r>
    <s v="INV3104"/>
    <x v="301"/>
    <x v="0"/>
    <x v="23"/>
    <n v="600"/>
    <n v="9"/>
    <n v="5400"/>
    <x v="1"/>
    <n v="720"/>
    <n v="6480"/>
  </r>
  <r>
    <s v="INV3216"/>
    <x v="301"/>
    <x v="3"/>
    <x v="21"/>
    <n v="1700"/>
    <n v="9"/>
    <n v="15300"/>
    <x v="2"/>
    <n v="2040"/>
    <n v="18360"/>
  </r>
  <r>
    <s v="INV3328"/>
    <x v="301"/>
    <x v="0"/>
    <x v="9"/>
    <n v="500"/>
    <n v="2"/>
    <n v="1000"/>
    <x v="0"/>
    <n v="600"/>
    <n v="1200"/>
  </r>
  <r>
    <s v="INV3363"/>
    <x v="301"/>
    <x v="3"/>
    <x v="3"/>
    <n v="800"/>
    <n v="4"/>
    <n v="3200"/>
    <x v="1"/>
    <n v="960"/>
    <n v="3840"/>
  </r>
  <r>
    <s v="INV3517"/>
    <x v="301"/>
    <x v="3"/>
    <x v="21"/>
    <n v="1700"/>
    <n v="6"/>
    <n v="10200"/>
    <x v="0"/>
    <n v="2040"/>
    <n v="12240"/>
  </r>
  <r>
    <s v="INV3695"/>
    <x v="301"/>
    <x v="4"/>
    <x v="45"/>
    <n v="120"/>
    <n v="9"/>
    <n v="1080"/>
    <x v="2"/>
    <n v="144"/>
    <n v="1296"/>
  </r>
  <r>
    <s v="INV3790"/>
    <x v="301"/>
    <x v="0"/>
    <x v="8"/>
    <n v="3300"/>
    <n v="1"/>
    <n v="3300"/>
    <x v="2"/>
    <n v="3960"/>
    <n v="3960"/>
  </r>
  <r>
    <s v="INV2272"/>
    <x v="302"/>
    <x v="3"/>
    <x v="29"/>
    <n v="6900"/>
    <n v="7"/>
    <n v="48300"/>
    <x v="2"/>
    <n v="8280"/>
    <n v="57960"/>
  </r>
  <r>
    <s v="INV2273"/>
    <x v="302"/>
    <x v="1"/>
    <x v="7"/>
    <n v="5200"/>
    <n v="7"/>
    <n v="36400"/>
    <x v="2"/>
    <n v="6240"/>
    <n v="43680"/>
  </r>
  <r>
    <s v="INV2274"/>
    <x v="302"/>
    <x v="0"/>
    <x v="9"/>
    <n v="500"/>
    <n v="1"/>
    <n v="500"/>
    <x v="1"/>
    <n v="600"/>
    <n v="600"/>
  </r>
  <r>
    <s v="INV2275"/>
    <x v="302"/>
    <x v="3"/>
    <x v="21"/>
    <n v="1700"/>
    <n v="6"/>
    <n v="10200"/>
    <x v="1"/>
    <n v="2040"/>
    <n v="12240"/>
  </r>
  <r>
    <s v="INV2276"/>
    <x v="302"/>
    <x v="2"/>
    <x v="30"/>
    <n v="2880"/>
    <n v="5"/>
    <n v="14400"/>
    <x v="1"/>
    <n v="3456"/>
    <n v="17280"/>
  </r>
  <r>
    <s v="INV2277"/>
    <x v="302"/>
    <x v="3"/>
    <x v="4"/>
    <n v="1200"/>
    <n v="9"/>
    <n v="10800"/>
    <x v="0"/>
    <n v="1440"/>
    <n v="12960"/>
  </r>
  <r>
    <s v="INV2278"/>
    <x v="302"/>
    <x v="0"/>
    <x v="9"/>
    <n v="500"/>
    <n v="2"/>
    <n v="1000"/>
    <x v="1"/>
    <n v="600"/>
    <n v="1200"/>
  </r>
  <r>
    <s v="INV3206"/>
    <x v="302"/>
    <x v="0"/>
    <x v="24"/>
    <n v="1900"/>
    <n v="3"/>
    <n v="5700"/>
    <x v="1"/>
    <n v="2280"/>
    <n v="6840"/>
  </r>
  <r>
    <s v="INV3280"/>
    <x v="302"/>
    <x v="4"/>
    <x v="45"/>
    <n v="120"/>
    <n v="2"/>
    <n v="240"/>
    <x v="1"/>
    <n v="144"/>
    <n v="288"/>
  </r>
  <r>
    <s v="INV3325"/>
    <x v="302"/>
    <x v="3"/>
    <x v="21"/>
    <n v="1700"/>
    <n v="2"/>
    <n v="3400"/>
    <x v="1"/>
    <n v="2040"/>
    <n v="4080"/>
  </r>
  <r>
    <s v="INV3822"/>
    <x v="302"/>
    <x v="0"/>
    <x v="23"/>
    <n v="600"/>
    <n v="10"/>
    <n v="6000"/>
    <x v="2"/>
    <n v="720"/>
    <n v="7200"/>
  </r>
  <r>
    <s v="INV3836"/>
    <x v="302"/>
    <x v="4"/>
    <x v="45"/>
    <n v="120"/>
    <n v="2"/>
    <n v="240"/>
    <x v="0"/>
    <n v="144"/>
    <n v="288"/>
  </r>
  <r>
    <s v="INV2279"/>
    <x v="303"/>
    <x v="3"/>
    <x v="21"/>
    <n v="1700"/>
    <n v="9"/>
    <n v="15300"/>
    <x v="1"/>
    <n v="2040"/>
    <n v="18360"/>
  </r>
  <r>
    <s v="INV2280"/>
    <x v="303"/>
    <x v="0"/>
    <x v="9"/>
    <n v="500"/>
    <n v="3"/>
    <n v="1500"/>
    <x v="0"/>
    <n v="600"/>
    <n v="1800"/>
  </r>
  <r>
    <s v="INV2281"/>
    <x v="303"/>
    <x v="0"/>
    <x v="19"/>
    <n v="48000"/>
    <n v="6"/>
    <n v="288000"/>
    <x v="1"/>
    <n v="57600"/>
    <n v="345600"/>
  </r>
  <r>
    <s v="INV2282"/>
    <x v="303"/>
    <x v="1"/>
    <x v="5"/>
    <n v="3000"/>
    <n v="10"/>
    <n v="30000"/>
    <x v="0"/>
    <n v="3600"/>
    <n v="36000"/>
  </r>
  <r>
    <s v="INV2283"/>
    <x v="303"/>
    <x v="0"/>
    <x v="22"/>
    <n v="6000"/>
    <n v="3"/>
    <n v="18000"/>
    <x v="1"/>
    <n v="7200"/>
    <n v="21600"/>
  </r>
  <r>
    <s v="INV2284"/>
    <x v="303"/>
    <x v="0"/>
    <x v="0"/>
    <n v="60000"/>
    <n v="3"/>
    <n v="180000"/>
    <x v="1"/>
    <n v="72000"/>
    <n v="216000"/>
  </r>
  <r>
    <s v="INV2285"/>
    <x v="303"/>
    <x v="0"/>
    <x v="0"/>
    <n v="60000"/>
    <n v="6"/>
    <n v="360000"/>
    <x v="2"/>
    <n v="72000"/>
    <n v="432000"/>
  </r>
  <r>
    <s v="INV3355"/>
    <x v="303"/>
    <x v="4"/>
    <x v="10"/>
    <n v="9100"/>
    <n v="9"/>
    <n v="81900"/>
    <x v="2"/>
    <n v="10920"/>
    <n v="98280"/>
  </r>
  <r>
    <s v="INV3815"/>
    <x v="303"/>
    <x v="0"/>
    <x v="24"/>
    <n v="1900"/>
    <n v="3"/>
    <n v="5700"/>
    <x v="1"/>
    <n v="2280"/>
    <n v="6840"/>
  </r>
  <r>
    <s v="INV3867"/>
    <x v="303"/>
    <x v="0"/>
    <x v="19"/>
    <n v="48000"/>
    <n v="2"/>
    <n v="96000"/>
    <x v="0"/>
    <n v="57600"/>
    <n v="115200"/>
  </r>
  <r>
    <s v="INV2286"/>
    <x v="304"/>
    <x v="0"/>
    <x v="19"/>
    <n v="48000"/>
    <n v="8"/>
    <n v="384000"/>
    <x v="2"/>
    <n v="57600"/>
    <n v="460800"/>
  </r>
  <r>
    <s v="INV2287"/>
    <x v="304"/>
    <x v="3"/>
    <x v="4"/>
    <n v="1200"/>
    <n v="4"/>
    <n v="4800"/>
    <x v="1"/>
    <n v="1440"/>
    <n v="5760"/>
  </r>
  <r>
    <s v="INV2288"/>
    <x v="304"/>
    <x v="2"/>
    <x v="2"/>
    <n v="2880"/>
    <n v="4"/>
    <n v="11520"/>
    <x v="2"/>
    <n v="3456"/>
    <n v="13824"/>
  </r>
  <r>
    <s v="INV2289"/>
    <x v="304"/>
    <x v="0"/>
    <x v="0"/>
    <n v="60000"/>
    <n v="3"/>
    <n v="180000"/>
    <x v="0"/>
    <n v="72000"/>
    <n v="216000"/>
  </r>
  <r>
    <s v="INV2290"/>
    <x v="304"/>
    <x v="0"/>
    <x v="22"/>
    <n v="6000"/>
    <n v="6"/>
    <n v="36000"/>
    <x v="0"/>
    <n v="7200"/>
    <n v="43200"/>
  </r>
  <r>
    <s v="INV2903"/>
    <x v="304"/>
    <x v="0"/>
    <x v="9"/>
    <n v="500"/>
    <n v="6"/>
    <n v="3000"/>
    <x v="1"/>
    <n v="600"/>
    <n v="3600"/>
  </r>
  <r>
    <s v="INV3002"/>
    <x v="304"/>
    <x v="0"/>
    <x v="24"/>
    <n v="1900"/>
    <n v="10"/>
    <n v="19000"/>
    <x v="1"/>
    <n v="2280"/>
    <n v="22800"/>
  </r>
  <r>
    <s v="INV3214"/>
    <x v="304"/>
    <x v="0"/>
    <x v="19"/>
    <n v="48000"/>
    <n v="4"/>
    <n v="192000"/>
    <x v="2"/>
    <n v="57600"/>
    <n v="230400"/>
  </r>
  <r>
    <s v="INV3672"/>
    <x v="304"/>
    <x v="4"/>
    <x v="10"/>
    <n v="9100"/>
    <n v="5"/>
    <n v="45500"/>
    <x v="2"/>
    <n v="10920"/>
    <n v="54600"/>
  </r>
  <r>
    <s v="INV2291"/>
    <x v="305"/>
    <x v="3"/>
    <x v="29"/>
    <n v="6900"/>
    <n v="10"/>
    <n v="69000"/>
    <x v="0"/>
    <n v="8280"/>
    <n v="82800"/>
  </r>
  <r>
    <s v="INV2292"/>
    <x v="305"/>
    <x v="1"/>
    <x v="7"/>
    <n v="5200"/>
    <n v="9"/>
    <n v="46800"/>
    <x v="0"/>
    <n v="6240"/>
    <n v="56160"/>
  </r>
  <r>
    <s v="INV2293"/>
    <x v="305"/>
    <x v="1"/>
    <x v="5"/>
    <n v="3000"/>
    <n v="10"/>
    <n v="30000"/>
    <x v="2"/>
    <n v="3600"/>
    <n v="36000"/>
  </r>
  <r>
    <s v="INV2294"/>
    <x v="305"/>
    <x v="3"/>
    <x v="4"/>
    <n v="1200"/>
    <n v="7"/>
    <n v="8400"/>
    <x v="1"/>
    <n v="1440"/>
    <n v="10080"/>
  </r>
  <r>
    <s v="INV2295"/>
    <x v="305"/>
    <x v="2"/>
    <x v="6"/>
    <n v="2880"/>
    <n v="6"/>
    <n v="17280"/>
    <x v="2"/>
    <n v="3456"/>
    <n v="20736"/>
  </r>
  <r>
    <s v="INV2296"/>
    <x v="305"/>
    <x v="0"/>
    <x v="9"/>
    <n v="500"/>
    <n v="4"/>
    <n v="2000"/>
    <x v="1"/>
    <n v="600"/>
    <n v="2400"/>
  </r>
  <r>
    <s v="INV2297"/>
    <x v="305"/>
    <x v="2"/>
    <x v="39"/>
    <n v="1750"/>
    <n v="5"/>
    <n v="8750"/>
    <x v="0"/>
    <n v="2100"/>
    <n v="10500"/>
  </r>
  <r>
    <s v="INV2298"/>
    <x v="305"/>
    <x v="2"/>
    <x v="30"/>
    <n v="2880"/>
    <n v="9"/>
    <n v="25920"/>
    <x v="1"/>
    <n v="3456"/>
    <n v="31104"/>
  </r>
  <r>
    <s v="INV2299"/>
    <x v="305"/>
    <x v="1"/>
    <x v="1"/>
    <n v="400"/>
    <n v="7"/>
    <n v="2800"/>
    <x v="1"/>
    <n v="480"/>
    <n v="3360"/>
  </r>
  <r>
    <s v="INV2300"/>
    <x v="305"/>
    <x v="1"/>
    <x v="7"/>
    <n v="5200"/>
    <n v="1"/>
    <n v="5200"/>
    <x v="1"/>
    <n v="6240"/>
    <n v="6240"/>
  </r>
  <r>
    <s v="INV2758"/>
    <x v="305"/>
    <x v="0"/>
    <x v="19"/>
    <n v="48000"/>
    <n v="8"/>
    <n v="384000"/>
    <x v="1"/>
    <n v="57600"/>
    <n v="460800"/>
  </r>
  <r>
    <s v="INV2811"/>
    <x v="305"/>
    <x v="0"/>
    <x v="23"/>
    <n v="600"/>
    <n v="5"/>
    <n v="3000"/>
    <x v="2"/>
    <n v="720"/>
    <n v="3600"/>
  </r>
  <r>
    <s v="INV3495"/>
    <x v="305"/>
    <x v="0"/>
    <x v="24"/>
    <n v="1900"/>
    <n v="5"/>
    <n v="9500"/>
    <x v="0"/>
    <n v="2280"/>
    <n v="11400"/>
  </r>
  <r>
    <s v="INV3779"/>
    <x v="305"/>
    <x v="3"/>
    <x v="3"/>
    <n v="800"/>
    <n v="9"/>
    <n v="7200"/>
    <x v="0"/>
    <n v="960"/>
    <n v="8640"/>
  </r>
  <r>
    <s v="INV2301"/>
    <x v="306"/>
    <x v="3"/>
    <x v="4"/>
    <n v="1200"/>
    <n v="7"/>
    <n v="8400"/>
    <x v="1"/>
    <n v="1440"/>
    <n v="10080"/>
  </r>
  <r>
    <s v="INV2302"/>
    <x v="306"/>
    <x v="3"/>
    <x v="3"/>
    <n v="800"/>
    <n v="4"/>
    <n v="3200"/>
    <x v="2"/>
    <n v="960"/>
    <n v="3840"/>
  </r>
  <r>
    <s v="INV2303"/>
    <x v="306"/>
    <x v="3"/>
    <x v="4"/>
    <n v="1200"/>
    <n v="10"/>
    <n v="12000"/>
    <x v="1"/>
    <n v="1440"/>
    <n v="14400"/>
  </r>
  <r>
    <s v="INV2304"/>
    <x v="306"/>
    <x v="0"/>
    <x v="0"/>
    <n v="60000"/>
    <n v="8"/>
    <n v="480000"/>
    <x v="1"/>
    <n v="72000"/>
    <n v="576000"/>
  </r>
  <r>
    <s v="INV2305"/>
    <x v="306"/>
    <x v="1"/>
    <x v="1"/>
    <n v="400"/>
    <n v="8"/>
    <n v="3200"/>
    <x v="0"/>
    <n v="480"/>
    <n v="3840"/>
  </r>
  <r>
    <s v="INV2306"/>
    <x v="306"/>
    <x v="0"/>
    <x v="0"/>
    <n v="60000"/>
    <n v="10"/>
    <n v="600000"/>
    <x v="2"/>
    <n v="72000"/>
    <n v="720000"/>
  </r>
  <r>
    <s v="INV2307"/>
    <x v="306"/>
    <x v="0"/>
    <x v="9"/>
    <n v="500"/>
    <n v="10"/>
    <n v="5000"/>
    <x v="0"/>
    <n v="600"/>
    <n v="6000"/>
  </r>
  <r>
    <s v="INV2308"/>
    <x v="306"/>
    <x v="2"/>
    <x v="30"/>
    <n v="2880"/>
    <n v="3"/>
    <n v="8640"/>
    <x v="0"/>
    <n v="3456"/>
    <n v="10368"/>
  </r>
  <r>
    <s v="INV3092"/>
    <x v="306"/>
    <x v="0"/>
    <x v="23"/>
    <n v="600"/>
    <n v="3"/>
    <n v="1800"/>
    <x v="0"/>
    <n v="720"/>
    <n v="2160"/>
  </r>
  <r>
    <s v="INV3631"/>
    <x v="306"/>
    <x v="3"/>
    <x v="3"/>
    <n v="800"/>
    <n v="6"/>
    <n v="4800"/>
    <x v="1"/>
    <n v="960"/>
    <n v="5760"/>
  </r>
  <r>
    <s v="INV2309"/>
    <x v="307"/>
    <x v="0"/>
    <x v="9"/>
    <n v="500"/>
    <n v="9"/>
    <n v="4500"/>
    <x v="0"/>
    <n v="600"/>
    <n v="5400"/>
  </r>
  <r>
    <s v="INV2310"/>
    <x v="307"/>
    <x v="0"/>
    <x v="9"/>
    <n v="500"/>
    <n v="2"/>
    <n v="1000"/>
    <x v="1"/>
    <n v="600"/>
    <n v="1200"/>
  </r>
  <r>
    <s v="INV2311"/>
    <x v="307"/>
    <x v="1"/>
    <x v="7"/>
    <n v="5200"/>
    <n v="1"/>
    <n v="5200"/>
    <x v="2"/>
    <n v="6240"/>
    <n v="6240"/>
  </r>
  <r>
    <s v="INV2312"/>
    <x v="307"/>
    <x v="0"/>
    <x v="9"/>
    <n v="500"/>
    <n v="5"/>
    <n v="2500"/>
    <x v="0"/>
    <n v="600"/>
    <n v="3000"/>
  </r>
  <r>
    <s v="INV2313"/>
    <x v="307"/>
    <x v="1"/>
    <x v="5"/>
    <n v="3000"/>
    <n v="1"/>
    <n v="3000"/>
    <x v="0"/>
    <n v="3600"/>
    <n v="3600"/>
  </r>
  <r>
    <s v="INV2314"/>
    <x v="307"/>
    <x v="1"/>
    <x v="7"/>
    <n v="5200"/>
    <n v="8"/>
    <n v="41600"/>
    <x v="0"/>
    <n v="6240"/>
    <n v="49920"/>
  </r>
  <r>
    <s v="INV2315"/>
    <x v="307"/>
    <x v="3"/>
    <x v="4"/>
    <n v="1200"/>
    <n v="4"/>
    <n v="4800"/>
    <x v="1"/>
    <n v="1440"/>
    <n v="5760"/>
  </r>
  <r>
    <s v="INV2316"/>
    <x v="307"/>
    <x v="0"/>
    <x v="19"/>
    <n v="48000"/>
    <n v="7"/>
    <n v="336000"/>
    <x v="0"/>
    <n v="57600"/>
    <n v="403200"/>
  </r>
  <r>
    <s v="INV2317"/>
    <x v="307"/>
    <x v="1"/>
    <x v="7"/>
    <n v="5200"/>
    <n v="5"/>
    <n v="26000"/>
    <x v="0"/>
    <n v="6240"/>
    <n v="31200"/>
  </r>
  <r>
    <s v="INV2318"/>
    <x v="307"/>
    <x v="3"/>
    <x v="3"/>
    <n v="800"/>
    <n v="2"/>
    <n v="1600"/>
    <x v="1"/>
    <n v="960"/>
    <n v="1920"/>
  </r>
  <r>
    <s v="INV2319"/>
    <x v="308"/>
    <x v="3"/>
    <x v="29"/>
    <n v="6900"/>
    <n v="9"/>
    <n v="62100"/>
    <x v="1"/>
    <n v="8280"/>
    <n v="74520"/>
  </r>
  <r>
    <s v="INV2320"/>
    <x v="308"/>
    <x v="1"/>
    <x v="7"/>
    <n v="5200"/>
    <n v="7"/>
    <n v="36400"/>
    <x v="1"/>
    <n v="6240"/>
    <n v="43680"/>
  </r>
  <r>
    <s v="INV2321"/>
    <x v="308"/>
    <x v="0"/>
    <x v="22"/>
    <n v="6000"/>
    <n v="2"/>
    <n v="12000"/>
    <x v="2"/>
    <n v="7200"/>
    <n v="14400"/>
  </r>
  <r>
    <s v="INV2322"/>
    <x v="308"/>
    <x v="0"/>
    <x v="0"/>
    <n v="60000"/>
    <n v="3"/>
    <n v="180000"/>
    <x v="2"/>
    <n v="72000"/>
    <n v="216000"/>
  </r>
  <r>
    <s v="INV2323"/>
    <x v="308"/>
    <x v="1"/>
    <x v="5"/>
    <n v="3000"/>
    <n v="1"/>
    <n v="3000"/>
    <x v="2"/>
    <n v="3600"/>
    <n v="3600"/>
  </r>
  <r>
    <s v="INV2324"/>
    <x v="308"/>
    <x v="3"/>
    <x v="3"/>
    <n v="800"/>
    <n v="3"/>
    <n v="2400"/>
    <x v="0"/>
    <n v="960"/>
    <n v="2880"/>
  </r>
  <r>
    <s v="INV2325"/>
    <x v="308"/>
    <x v="2"/>
    <x v="30"/>
    <n v="2880"/>
    <n v="9"/>
    <n v="25920"/>
    <x v="1"/>
    <n v="3456"/>
    <n v="31104"/>
  </r>
  <r>
    <s v="INV2326"/>
    <x v="308"/>
    <x v="1"/>
    <x v="5"/>
    <n v="3000"/>
    <n v="7"/>
    <n v="21000"/>
    <x v="0"/>
    <n v="3600"/>
    <n v="25200"/>
  </r>
  <r>
    <s v="INV2848"/>
    <x v="308"/>
    <x v="0"/>
    <x v="9"/>
    <n v="500"/>
    <n v="6"/>
    <n v="3000"/>
    <x v="1"/>
    <n v="600"/>
    <n v="3600"/>
  </r>
  <r>
    <s v="INV2960"/>
    <x v="308"/>
    <x v="0"/>
    <x v="9"/>
    <n v="500"/>
    <n v="4"/>
    <n v="2000"/>
    <x v="2"/>
    <n v="600"/>
    <n v="2400"/>
  </r>
  <r>
    <s v="INV3305"/>
    <x v="308"/>
    <x v="0"/>
    <x v="24"/>
    <n v="1900"/>
    <n v="9"/>
    <n v="17100"/>
    <x v="2"/>
    <n v="2280"/>
    <n v="20520"/>
  </r>
  <r>
    <s v="INV3458"/>
    <x v="308"/>
    <x v="4"/>
    <x v="45"/>
    <n v="120"/>
    <n v="3"/>
    <n v="360"/>
    <x v="1"/>
    <n v="144"/>
    <n v="432"/>
  </r>
  <r>
    <s v="INV3870"/>
    <x v="308"/>
    <x v="4"/>
    <x v="45"/>
    <n v="120"/>
    <n v="4"/>
    <n v="480"/>
    <x v="0"/>
    <n v="144"/>
    <n v="576"/>
  </r>
  <r>
    <s v="INV2327"/>
    <x v="309"/>
    <x v="0"/>
    <x v="9"/>
    <n v="500"/>
    <n v="7"/>
    <n v="3500"/>
    <x v="2"/>
    <n v="600"/>
    <n v="4200"/>
  </r>
  <r>
    <s v="INV2328"/>
    <x v="309"/>
    <x v="0"/>
    <x v="0"/>
    <n v="60000"/>
    <n v="4"/>
    <n v="240000"/>
    <x v="0"/>
    <n v="72000"/>
    <n v="288000"/>
  </r>
  <r>
    <s v="INV2329"/>
    <x v="309"/>
    <x v="0"/>
    <x v="19"/>
    <n v="48000"/>
    <n v="1"/>
    <n v="48000"/>
    <x v="2"/>
    <n v="57600"/>
    <n v="57600"/>
  </r>
  <r>
    <s v="INV2330"/>
    <x v="309"/>
    <x v="2"/>
    <x v="2"/>
    <n v="2880"/>
    <n v="6"/>
    <n v="17280"/>
    <x v="0"/>
    <n v="3456"/>
    <n v="20736"/>
  </r>
  <r>
    <s v="INV2331"/>
    <x v="309"/>
    <x v="1"/>
    <x v="1"/>
    <n v="400"/>
    <n v="6"/>
    <n v="2400"/>
    <x v="1"/>
    <n v="480"/>
    <n v="2880"/>
  </r>
  <r>
    <s v="INV3526"/>
    <x v="309"/>
    <x v="4"/>
    <x v="10"/>
    <n v="9100"/>
    <n v="10"/>
    <n v="91000"/>
    <x v="1"/>
    <n v="10920"/>
    <n v="109200"/>
  </r>
  <r>
    <s v="INV3901"/>
    <x v="309"/>
    <x v="0"/>
    <x v="24"/>
    <n v="1900"/>
    <n v="7"/>
    <n v="13300"/>
    <x v="1"/>
    <n v="2280"/>
    <n v="15960"/>
  </r>
  <r>
    <s v="INV2332"/>
    <x v="310"/>
    <x v="3"/>
    <x v="3"/>
    <n v="800"/>
    <n v="8"/>
    <n v="6400"/>
    <x v="2"/>
    <n v="960"/>
    <n v="7680"/>
  </r>
  <r>
    <s v="INV2333"/>
    <x v="310"/>
    <x v="1"/>
    <x v="1"/>
    <n v="400"/>
    <n v="5"/>
    <n v="2000"/>
    <x v="1"/>
    <n v="480"/>
    <n v="2400"/>
  </r>
  <r>
    <s v="INV2334"/>
    <x v="310"/>
    <x v="2"/>
    <x v="6"/>
    <n v="2880"/>
    <n v="6"/>
    <n v="17280"/>
    <x v="2"/>
    <n v="3456"/>
    <n v="20736"/>
  </r>
  <r>
    <s v="INV2335"/>
    <x v="310"/>
    <x v="3"/>
    <x v="4"/>
    <n v="1200"/>
    <n v="5"/>
    <n v="6000"/>
    <x v="0"/>
    <n v="1440"/>
    <n v="7200"/>
  </r>
  <r>
    <s v="INV2336"/>
    <x v="310"/>
    <x v="3"/>
    <x v="21"/>
    <n v="1700"/>
    <n v="10"/>
    <n v="17000"/>
    <x v="2"/>
    <n v="2040"/>
    <n v="20400"/>
  </r>
  <r>
    <s v="INV2337"/>
    <x v="310"/>
    <x v="2"/>
    <x v="30"/>
    <n v="2880"/>
    <n v="9"/>
    <n v="25920"/>
    <x v="2"/>
    <n v="3456"/>
    <n v="31104"/>
  </r>
  <r>
    <s v="INV2338"/>
    <x v="310"/>
    <x v="3"/>
    <x v="29"/>
    <n v="6900"/>
    <n v="1"/>
    <n v="6900"/>
    <x v="1"/>
    <n v="8280"/>
    <n v="8280"/>
  </r>
  <r>
    <s v="INV2829"/>
    <x v="310"/>
    <x v="3"/>
    <x v="21"/>
    <n v="1700"/>
    <n v="1"/>
    <n v="1700"/>
    <x v="2"/>
    <n v="2040"/>
    <n v="2040"/>
  </r>
  <r>
    <s v="INV2830"/>
    <x v="310"/>
    <x v="3"/>
    <x v="21"/>
    <n v="1700"/>
    <n v="2"/>
    <n v="3400"/>
    <x v="1"/>
    <n v="2040"/>
    <n v="4080"/>
  </r>
  <r>
    <s v="INV2831"/>
    <x v="310"/>
    <x v="3"/>
    <x v="3"/>
    <n v="800"/>
    <n v="7"/>
    <n v="5600"/>
    <x v="0"/>
    <n v="960"/>
    <n v="6720"/>
  </r>
  <r>
    <s v="INV3051"/>
    <x v="310"/>
    <x v="0"/>
    <x v="8"/>
    <n v="3300"/>
    <n v="4"/>
    <n v="13200"/>
    <x v="2"/>
    <n v="3960"/>
    <n v="15840"/>
  </r>
  <r>
    <s v="INV3116"/>
    <x v="310"/>
    <x v="3"/>
    <x v="21"/>
    <n v="1700"/>
    <n v="6"/>
    <n v="10200"/>
    <x v="2"/>
    <n v="2040"/>
    <n v="12240"/>
  </r>
  <r>
    <s v="INV3233"/>
    <x v="310"/>
    <x v="3"/>
    <x v="21"/>
    <n v="1700"/>
    <n v="10"/>
    <n v="17000"/>
    <x v="2"/>
    <n v="2040"/>
    <n v="20400"/>
  </r>
  <r>
    <s v="INV2339"/>
    <x v="311"/>
    <x v="2"/>
    <x v="39"/>
    <n v="1750"/>
    <n v="8"/>
    <n v="14000"/>
    <x v="1"/>
    <n v="2100"/>
    <n v="16800"/>
  </r>
  <r>
    <s v="INV2340"/>
    <x v="311"/>
    <x v="3"/>
    <x v="3"/>
    <n v="800"/>
    <n v="6"/>
    <n v="4800"/>
    <x v="1"/>
    <n v="960"/>
    <n v="5760"/>
  </r>
  <r>
    <s v="INV2341"/>
    <x v="311"/>
    <x v="1"/>
    <x v="1"/>
    <n v="400"/>
    <n v="7"/>
    <n v="2800"/>
    <x v="1"/>
    <n v="480"/>
    <n v="3360"/>
  </r>
  <r>
    <s v="INV2342"/>
    <x v="311"/>
    <x v="3"/>
    <x v="3"/>
    <n v="800"/>
    <n v="2"/>
    <n v="1600"/>
    <x v="1"/>
    <n v="960"/>
    <n v="1920"/>
  </r>
  <r>
    <s v="INV2343"/>
    <x v="311"/>
    <x v="2"/>
    <x v="30"/>
    <n v="2880"/>
    <n v="10"/>
    <n v="28800"/>
    <x v="0"/>
    <n v="3456"/>
    <n v="34560"/>
  </r>
  <r>
    <s v="INV2344"/>
    <x v="311"/>
    <x v="3"/>
    <x v="21"/>
    <n v="1700"/>
    <n v="6"/>
    <n v="10200"/>
    <x v="2"/>
    <n v="2040"/>
    <n v="12240"/>
  </r>
  <r>
    <s v="INV2345"/>
    <x v="311"/>
    <x v="0"/>
    <x v="0"/>
    <n v="60000"/>
    <n v="1"/>
    <n v="60000"/>
    <x v="2"/>
    <n v="72000"/>
    <n v="72000"/>
  </r>
  <r>
    <s v="INV2346"/>
    <x v="311"/>
    <x v="0"/>
    <x v="0"/>
    <n v="60000"/>
    <n v="1"/>
    <n v="60000"/>
    <x v="1"/>
    <n v="72000"/>
    <n v="72000"/>
  </r>
  <r>
    <s v="INV2347"/>
    <x v="311"/>
    <x v="0"/>
    <x v="19"/>
    <n v="48000"/>
    <n v="4"/>
    <n v="192000"/>
    <x v="1"/>
    <n v="57600"/>
    <n v="230400"/>
  </r>
  <r>
    <s v="INV2348"/>
    <x v="311"/>
    <x v="2"/>
    <x v="2"/>
    <n v="2880"/>
    <n v="3"/>
    <n v="8640"/>
    <x v="1"/>
    <n v="3456"/>
    <n v="10368"/>
  </r>
  <r>
    <s v="INV2981"/>
    <x v="311"/>
    <x v="3"/>
    <x v="3"/>
    <n v="800"/>
    <n v="3"/>
    <n v="2400"/>
    <x v="2"/>
    <n v="960"/>
    <n v="2880"/>
  </r>
  <r>
    <s v="INV3192"/>
    <x v="311"/>
    <x v="4"/>
    <x v="10"/>
    <n v="9100"/>
    <n v="6"/>
    <n v="54600"/>
    <x v="2"/>
    <n v="10920"/>
    <n v="65520"/>
  </r>
  <r>
    <s v="INV3279"/>
    <x v="311"/>
    <x v="4"/>
    <x v="10"/>
    <n v="9100"/>
    <n v="5"/>
    <n v="45500"/>
    <x v="2"/>
    <n v="10920"/>
    <n v="54600"/>
  </r>
  <r>
    <s v="INV3357"/>
    <x v="311"/>
    <x v="0"/>
    <x v="31"/>
    <n v="3600"/>
    <n v="1"/>
    <n v="3600"/>
    <x v="0"/>
    <n v="4320"/>
    <n v="4320"/>
  </r>
  <r>
    <s v="INV2349"/>
    <x v="312"/>
    <x v="1"/>
    <x v="1"/>
    <n v="400"/>
    <n v="2"/>
    <n v="800"/>
    <x v="1"/>
    <n v="480"/>
    <n v="960"/>
  </r>
  <r>
    <s v="INV2350"/>
    <x v="312"/>
    <x v="3"/>
    <x v="4"/>
    <n v="1200"/>
    <n v="3"/>
    <n v="3600"/>
    <x v="0"/>
    <n v="1440"/>
    <n v="4320"/>
  </r>
  <r>
    <s v="INV2351"/>
    <x v="312"/>
    <x v="1"/>
    <x v="5"/>
    <n v="3000"/>
    <n v="9"/>
    <n v="27000"/>
    <x v="0"/>
    <n v="3600"/>
    <n v="32400"/>
  </r>
  <r>
    <s v="INV2352"/>
    <x v="312"/>
    <x v="0"/>
    <x v="22"/>
    <n v="6000"/>
    <n v="8"/>
    <n v="48000"/>
    <x v="1"/>
    <n v="7200"/>
    <n v="57600"/>
  </r>
  <r>
    <s v="INV2353"/>
    <x v="312"/>
    <x v="1"/>
    <x v="1"/>
    <n v="400"/>
    <n v="2"/>
    <n v="800"/>
    <x v="2"/>
    <n v="480"/>
    <n v="960"/>
  </r>
  <r>
    <s v="INV2354"/>
    <x v="312"/>
    <x v="3"/>
    <x v="29"/>
    <n v="6900"/>
    <n v="6"/>
    <n v="41400"/>
    <x v="2"/>
    <n v="8280"/>
    <n v="49680"/>
  </r>
  <r>
    <s v="INV2355"/>
    <x v="312"/>
    <x v="3"/>
    <x v="29"/>
    <n v="6900"/>
    <n v="7"/>
    <n v="48300"/>
    <x v="0"/>
    <n v="8280"/>
    <n v="57960"/>
  </r>
  <r>
    <s v="INV2356"/>
    <x v="312"/>
    <x v="2"/>
    <x v="30"/>
    <n v="2880"/>
    <n v="6"/>
    <n v="17280"/>
    <x v="1"/>
    <n v="3456"/>
    <n v="20736"/>
  </r>
  <r>
    <s v="INV2357"/>
    <x v="312"/>
    <x v="3"/>
    <x v="3"/>
    <n v="800"/>
    <n v="1"/>
    <n v="800"/>
    <x v="1"/>
    <n v="960"/>
    <n v="960"/>
  </r>
  <r>
    <s v="INV2358"/>
    <x v="312"/>
    <x v="0"/>
    <x v="0"/>
    <n v="60000"/>
    <n v="9"/>
    <n v="540000"/>
    <x v="2"/>
    <n v="72000"/>
    <n v="648000"/>
  </r>
  <r>
    <s v="INV2359"/>
    <x v="313"/>
    <x v="3"/>
    <x v="4"/>
    <n v="1200"/>
    <n v="2"/>
    <n v="2400"/>
    <x v="2"/>
    <n v="1440"/>
    <n v="2880"/>
  </r>
  <r>
    <s v="INV2360"/>
    <x v="313"/>
    <x v="0"/>
    <x v="0"/>
    <n v="60000"/>
    <n v="3"/>
    <n v="180000"/>
    <x v="0"/>
    <n v="72000"/>
    <n v="216000"/>
  </r>
  <r>
    <s v="INV2361"/>
    <x v="313"/>
    <x v="3"/>
    <x v="29"/>
    <n v="6900"/>
    <n v="4"/>
    <n v="27600"/>
    <x v="0"/>
    <n v="8280"/>
    <n v="33120"/>
  </r>
  <r>
    <s v="INV2362"/>
    <x v="313"/>
    <x v="2"/>
    <x v="39"/>
    <n v="1750"/>
    <n v="1"/>
    <n v="1750"/>
    <x v="0"/>
    <n v="2100"/>
    <n v="2100"/>
  </r>
  <r>
    <s v="INV2363"/>
    <x v="313"/>
    <x v="2"/>
    <x v="2"/>
    <n v="2880"/>
    <n v="5"/>
    <n v="14400"/>
    <x v="1"/>
    <n v="3456"/>
    <n v="17280"/>
  </r>
  <r>
    <s v="INV3505"/>
    <x v="313"/>
    <x v="4"/>
    <x v="45"/>
    <n v="120"/>
    <n v="8"/>
    <n v="960"/>
    <x v="2"/>
    <n v="144"/>
    <n v="1152"/>
  </r>
  <r>
    <s v="INV3743"/>
    <x v="313"/>
    <x v="3"/>
    <x v="3"/>
    <n v="800"/>
    <n v="3"/>
    <n v="2400"/>
    <x v="2"/>
    <n v="960"/>
    <n v="2880"/>
  </r>
  <r>
    <s v="INV2364"/>
    <x v="314"/>
    <x v="3"/>
    <x v="4"/>
    <n v="1200"/>
    <n v="5"/>
    <n v="6000"/>
    <x v="1"/>
    <n v="1440"/>
    <n v="7200"/>
  </r>
  <r>
    <s v="INV2365"/>
    <x v="314"/>
    <x v="3"/>
    <x v="4"/>
    <n v="1200"/>
    <n v="7"/>
    <n v="8400"/>
    <x v="2"/>
    <n v="1440"/>
    <n v="10080"/>
  </r>
  <r>
    <s v="INV2366"/>
    <x v="314"/>
    <x v="3"/>
    <x v="4"/>
    <n v="1200"/>
    <n v="10"/>
    <n v="12000"/>
    <x v="1"/>
    <n v="1440"/>
    <n v="14400"/>
  </r>
  <r>
    <s v="INV2367"/>
    <x v="314"/>
    <x v="3"/>
    <x v="3"/>
    <n v="800"/>
    <n v="7"/>
    <n v="5600"/>
    <x v="1"/>
    <n v="960"/>
    <n v="6720"/>
  </r>
  <r>
    <s v="INV2368"/>
    <x v="314"/>
    <x v="1"/>
    <x v="7"/>
    <n v="5200"/>
    <n v="1"/>
    <n v="5200"/>
    <x v="2"/>
    <n v="6240"/>
    <n v="6240"/>
  </r>
  <r>
    <s v="INV2369"/>
    <x v="314"/>
    <x v="1"/>
    <x v="1"/>
    <n v="400"/>
    <n v="10"/>
    <n v="4000"/>
    <x v="1"/>
    <n v="480"/>
    <n v="4800"/>
  </r>
  <r>
    <s v="INV2370"/>
    <x v="314"/>
    <x v="0"/>
    <x v="22"/>
    <n v="6000"/>
    <n v="7"/>
    <n v="42000"/>
    <x v="0"/>
    <n v="7200"/>
    <n v="50400"/>
  </r>
  <r>
    <s v="INV2832"/>
    <x v="314"/>
    <x v="0"/>
    <x v="23"/>
    <n v="600"/>
    <n v="7"/>
    <n v="4200"/>
    <x v="0"/>
    <n v="720"/>
    <n v="5040"/>
  </r>
  <r>
    <s v="INV3102"/>
    <x v="314"/>
    <x v="0"/>
    <x v="9"/>
    <n v="500"/>
    <n v="1"/>
    <n v="500"/>
    <x v="0"/>
    <n v="600"/>
    <n v="600"/>
  </r>
  <r>
    <s v="INV3266"/>
    <x v="314"/>
    <x v="0"/>
    <x v="23"/>
    <n v="600"/>
    <n v="9"/>
    <n v="5400"/>
    <x v="2"/>
    <n v="720"/>
    <n v="6480"/>
  </r>
  <r>
    <s v="INV3478"/>
    <x v="314"/>
    <x v="4"/>
    <x v="45"/>
    <n v="120"/>
    <n v="10"/>
    <n v="1200"/>
    <x v="2"/>
    <n v="144"/>
    <n v="1440"/>
  </r>
  <r>
    <s v="INV3556"/>
    <x v="314"/>
    <x v="0"/>
    <x v="31"/>
    <n v="3600"/>
    <n v="4"/>
    <n v="14400"/>
    <x v="0"/>
    <n v="4320"/>
    <n v="17280"/>
  </r>
  <r>
    <s v="INV3670"/>
    <x v="314"/>
    <x v="0"/>
    <x v="31"/>
    <n v="3600"/>
    <n v="4"/>
    <n v="14400"/>
    <x v="2"/>
    <n v="4320"/>
    <n v="17280"/>
  </r>
  <r>
    <s v="INV3859"/>
    <x v="314"/>
    <x v="4"/>
    <x v="10"/>
    <n v="9100"/>
    <n v="6"/>
    <n v="54600"/>
    <x v="1"/>
    <n v="10920"/>
    <n v="65520"/>
  </r>
  <r>
    <s v="INV3868"/>
    <x v="314"/>
    <x v="0"/>
    <x v="24"/>
    <n v="1900"/>
    <n v="4"/>
    <n v="7600"/>
    <x v="2"/>
    <n v="2280"/>
    <n v="9120"/>
  </r>
  <r>
    <s v="INV2371"/>
    <x v="315"/>
    <x v="0"/>
    <x v="19"/>
    <n v="48000"/>
    <n v="2"/>
    <n v="96000"/>
    <x v="2"/>
    <n v="57600"/>
    <n v="115200"/>
  </r>
  <r>
    <s v="INV2372"/>
    <x v="315"/>
    <x v="0"/>
    <x v="9"/>
    <n v="500"/>
    <n v="6"/>
    <n v="3000"/>
    <x v="2"/>
    <n v="600"/>
    <n v="3600"/>
  </r>
  <r>
    <s v="INV2373"/>
    <x v="315"/>
    <x v="1"/>
    <x v="7"/>
    <n v="5200"/>
    <n v="6"/>
    <n v="31200"/>
    <x v="0"/>
    <n v="6240"/>
    <n v="37440"/>
  </r>
  <r>
    <s v="INV2374"/>
    <x v="315"/>
    <x v="0"/>
    <x v="9"/>
    <n v="500"/>
    <n v="3"/>
    <n v="1500"/>
    <x v="0"/>
    <n v="600"/>
    <n v="1800"/>
  </r>
  <r>
    <s v="INV2375"/>
    <x v="315"/>
    <x v="1"/>
    <x v="5"/>
    <n v="3000"/>
    <n v="10"/>
    <n v="30000"/>
    <x v="1"/>
    <n v="3600"/>
    <n v="36000"/>
  </r>
  <r>
    <s v="INV2376"/>
    <x v="315"/>
    <x v="0"/>
    <x v="0"/>
    <n v="60000"/>
    <n v="4"/>
    <n v="240000"/>
    <x v="1"/>
    <n v="72000"/>
    <n v="288000"/>
  </r>
  <r>
    <s v="INV2377"/>
    <x v="315"/>
    <x v="1"/>
    <x v="1"/>
    <n v="400"/>
    <n v="10"/>
    <n v="4000"/>
    <x v="2"/>
    <n v="480"/>
    <n v="4800"/>
  </r>
  <r>
    <s v="INV2378"/>
    <x v="315"/>
    <x v="3"/>
    <x v="4"/>
    <n v="1200"/>
    <n v="6"/>
    <n v="7200"/>
    <x v="0"/>
    <n v="1440"/>
    <n v="8640"/>
  </r>
  <r>
    <s v="INV3533"/>
    <x v="315"/>
    <x v="0"/>
    <x v="9"/>
    <n v="500"/>
    <n v="5"/>
    <n v="2500"/>
    <x v="1"/>
    <n v="600"/>
    <n v="3000"/>
  </r>
  <r>
    <s v="INV3568"/>
    <x v="315"/>
    <x v="0"/>
    <x v="31"/>
    <n v="3600"/>
    <n v="2"/>
    <n v="7200"/>
    <x v="2"/>
    <n v="4320"/>
    <n v="8640"/>
  </r>
  <r>
    <s v="INV3904"/>
    <x v="315"/>
    <x v="0"/>
    <x v="31"/>
    <n v="3600"/>
    <n v="10"/>
    <n v="36000"/>
    <x v="1"/>
    <n v="4320"/>
    <n v="43200"/>
  </r>
  <r>
    <s v="INV3911"/>
    <x v="315"/>
    <x v="0"/>
    <x v="24"/>
    <n v="1900"/>
    <n v="4"/>
    <n v="7600"/>
    <x v="0"/>
    <n v="2280"/>
    <n v="9120"/>
  </r>
  <r>
    <s v="INV2379"/>
    <x v="316"/>
    <x v="0"/>
    <x v="19"/>
    <n v="48000"/>
    <n v="10"/>
    <n v="480000"/>
    <x v="1"/>
    <n v="57600"/>
    <n v="576000"/>
  </r>
  <r>
    <s v="INV2380"/>
    <x v="316"/>
    <x v="1"/>
    <x v="7"/>
    <n v="5200"/>
    <n v="10"/>
    <n v="52000"/>
    <x v="0"/>
    <n v="6240"/>
    <n v="62400"/>
  </r>
  <r>
    <s v="INV2381"/>
    <x v="316"/>
    <x v="0"/>
    <x v="9"/>
    <n v="500"/>
    <n v="9"/>
    <n v="4500"/>
    <x v="1"/>
    <n v="600"/>
    <n v="5400"/>
  </r>
  <r>
    <s v="INV2382"/>
    <x v="316"/>
    <x v="0"/>
    <x v="19"/>
    <n v="48000"/>
    <n v="10"/>
    <n v="480000"/>
    <x v="1"/>
    <n v="57600"/>
    <n v="576000"/>
  </r>
  <r>
    <s v="INV2383"/>
    <x v="316"/>
    <x v="2"/>
    <x v="6"/>
    <n v="2880"/>
    <n v="6"/>
    <n v="17280"/>
    <x v="2"/>
    <n v="3456"/>
    <n v="20736"/>
  </r>
  <r>
    <s v="INV2384"/>
    <x v="316"/>
    <x v="2"/>
    <x v="2"/>
    <n v="2880"/>
    <n v="2"/>
    <n v="5760"/>
    <x v="0"/>
    <n v="3456"/>
    <n v="6912"/>
  </r>
  <r>
    <s v="INV2385"/>
    <x v="316"/>
    <x v="2"/>
    <x v="30"/>
    <n v="2880"/>
    <n v="6"/>
    <n v="17280"/>
    <x v="1"/>
    <n v="3456"/>
    <n v="20736"/>
  </r>
  <r>
    <s v="INV2386"/>
    <x v="316"/>
    <x v="3"/>
    <x v="21"/>
    <n v="1700"/>
    <n v="7"/>
    <n v="11900"/>
    <x v="2"/>
    <n v="2040"/>
    <n v="14280"/>
  </r>
  <r>
    <s v="INV2387"/>
    <x v="316"/>
    <x v="1"/>
    <x v="5"/>
    <n v="3000"/>
    <n v="6"/>
    <n v="18000"/>
    <x v="2"/>
    <n v="3600"/>
    <n v="21600"/>
  </r>
  <r>
    <s v="INV2759"/>
    <x v="316"/>
    <x v="4"/>
    <x v="10"/>
    <n v="9100"/>
    <n v="5"/>
    <n v="45500"/>
    <x v="2"/>
    <n v="10920"/>
    <n v="54600"/>
  </r>
  <r>
    <s v="INV3039"/>
    <x v="316"/>
    <x v="3"/>
    <x v="21"/>
    <n v="1700"/>
    <n v="6"/>
    <n v="10200"/>
    <x v="0"/>
    <n v="2040"/>
    <n v="12240"/>
  </r>
  <r>
    <s v="INV3053"/>
    <x v="316"/>
    <x v="3"/>
    <x v="21"/>
    <n v="1700"/>
    <n v="9"/>
    <n v="15300"/>
    <x v="2"/>
    <n v="2040"/>
    <n v="18360"/>
  </r>
  <r>
    <s v="INV3140"/>
    <x v="316"/>
    <x v="0"/>
    <x v="31"/>
    <n v="3600"/>
    <n v="6"/>
    <n v="21600"/>
    <x v="0"/>
    <n v="4320"/>
    <n v="25920"/>
  </r>
  <r>
    <s v="INV3145"/>
    <x v="316"/>
    <x v="0"/>
    <x v="19"/>
    <n v="48000"/>
    <n v="5"/>
    <n v="240000"/>
    <x v="1"/>
    <n v="57600"/>
    <n v="288000"/>
  </r>
  <r>
    <s v="INV2388"/>
    <x v="317"/>
    <x v="2"/>
    <x v="39"/>
    <n v="1750"/>
    <n v="1"/>
    <n v="1750"/>
    <x v="0"/>
    <n v="2100"/>
    <n v="2100"/>
  </r>
  <r>
    <s v="INV2389"/>
    <x v="317"/>
    <x v="0"/>
    <x v="22"/>
    <n v="6000"/>
    <n v="10"/>
    <n v="60000"/>
    <x v="2"/>
    <n v="7200"/>
    <n v="72000"/>
  </r>
  <r>
    <s v="INV2390"/>
    <x v="317"/>
    <x v="2"/>
    <x v="2"/>
    <n v="2880"/>
    <n v="6"/>
    <n v="17280"/>
    <x v="1"/>
    <n v="3456"/>
    <n v="20736"/>
  </r>
  <r>
    <s v="INV2391"/>
    <x v="317"/>
    <x v="2"/>
    <x v="30"/>
    <n v="2880"/>
    <n v="7"/>
    <n v="20160"/>
    <x v="2"/>
    <n v="3456"/>
    <n v="24192"/>
  </r>
  <r>
    <s v="INV2392"/>
    <x v="317"/>
    <x v="0"/>
    <x v="9"/>
    <n v="500"/>
    <n v="10"/>
    <n v="5000"/>
    <x v="1"/>
    <n v="600"/>
    <n v="6000"/>
  </r>
  <r>
    <s v="INV2393"/>
    <x v="317"/>
    <x v="2"/>
    <x v="6"/>
    <n v="2880"/>
    <n v="2"/>
    <n v="5760"/>
    <x v="1"/>
    <n v="3456"/>
    <n v="6912"/>
  </r>
  <r>
    <s v="INV2394"/>
    <x v="317"/>
    <x v="0"/>
    <x v="0"/>
    <n v="60000"/>
    <n v="8"/>
    <n v="480000"/>
    <x v="1"/>
    <n v="72000"/>
    <n v="576000"/>
  </r>
  <r>
    <s v="INV2395"/>
    <x v="317"/>
    <x v="1"/>
    <x v="7"/>
    <n v="5200"/>
    <n v="7"/>
    <n v="36400"/>
    <x v="1"/>
    <n v="6240"/>
    <n v="43680"/>
  </r>
  <r>
    <s v="INV3195"/>
    <x v="317"/>
    <x v="0"/>
    <x v="8"/>
    <n v="3300"/>
    <n v="6"/>
    <n v="19800"/>
    <x v="2"/>
    <n v="3960"/>
    <n v="23760"/>
  </r>
  <r>
    <s v="INV3492"/>
    <x v="317"/>
    <x v="0"/>
    <x v="31"/>
    <n v="3600"/>
    <n v="10"/>
    <n v="36000"/>
    <x v="1"/>
    <n v="4320"/>
    <n v="43200"/>
  </r>
  <r>
    <s v="INV3516"/>
    <x v="317"/>
    <x v="0"/>
    <x v="8"/>
    <n v="3300"/>
    <n v="6"/>
    <n v="19800"/>
    <x v="2"/>
    <n v="3960"/>
    <n v="23760"/>
  </r>
  <r>
    <s v="INV3761"/>
    <x v="317"/>
    <x v="0"/>
    <x v="31"/>
    <n v="3600"/>
    <n v="5"/>
    <n v="18000"/>
    <x v="1"/>
    <n v="4320"/>
    <n v="21600"/>
  </r>
  <r>
    <s v="INV2396"/>
    <x v="318"/>
    <x v="1"/>
    <x v="5"/>
    <n v="3000"/>
    <n v="1"/>
    <n v="3000"/>
    <x v="1"/>
    <n v="3600"/>
    <n v="3600"/>
  </r>
  <r>
    <s v="INV2397"/>
    <x v="318"/>
    <x v="2"/>
    <x v="30"/>
    <n v="2880"/>
    <n v="9"/>
    <n v="25920"/>
    <x v="0"/>
    <n v="3456"/>
    <n v="31104"/>
  </r>
  <r>
    <s v="INV2398"/>
    <x v="318"/>
    <x v="3"/>
    <x v="3"/>
    <n v="800"/>
    <n v="2"/>
    <n v="1600"/>
    <x v="1"/>
    <n v="960"/>
    <n v="1920"/>
  </r>
  <r>
    <s v="INV2399"/>
    <x v="318"/>
    <x v="2"/>
    <x v="39"/>
    <n v="1750"/>
    <n v="3"/>
    <n v="5250"/>
    <x v="0"/>
    <n v="2100"/>
    <n v="6300"/>
  </r>
  <r>
    <s v="INV2400"/>
    <x v="318"/>
    <x v="0"/>
    <x v="0"/>
    <n v="60000"/>
    <n v="7"/>
    <n v="420000"/>
    <x v="0"/>
    <n v="72000"/>
    <n v="504000"/>
  </r>
  <r>
    <s v="INV3250"/>
    <x v="318"/>
    <x v="0"/>
    <x v="8"/>
    <n v="3300"/>
    <n v="2"/>
    <n v="6600"/>
    <x v="2"/>
    <n v="3960"/>
    <n v="7920"/>
  </r>
  <r>
    <s v="INV3293"/>
    <x v="318"/>
    <x v="0"/>
    <x v="24"/>
    <n v="1900"/>
    <n v="9"/>
    <n v="17100"/>
    <x v="1"/>
    <n v="2280"/>
    <n v="20520"/>
  </r>
  <r>
    <s v="INV3358"/>
    <x v="318"/>
    <x v="4"/>
    <x v="45"/>
    <n v="120"/>
    <n v="1"/>
    <n v="120"/>
    <x v="2"/>
    <n v="144"/>
    <n v="144"/>
  </r>
  <r>
    <s v="INV3834"/>
    <x v="318"/>
    <x v="3"/>
    <x v="3"/>
    <n v="800"/>
    <n v="6"/>
    <n v="4800"/>
    <x v="1"/>
    <n v="960"/>
    <n v="5760"/>
  </r>
  <r>
    <s v="INV2401"/>
    <x v="319"/>
    <x v="1"/>
    <x v="5"/>
    <n v="3000"/>
    <n v="9"/>
    <n v="27000"/>
    <x v="1"/>
    <n v="3600"/>
    <n v="32400"/>
  </r>
  <r>
    <s v="INV2402"/>
    <x v="319"/>
    <x v="0"/>
    <x v="22"/>
    <n v="6000"/>
    <n v="4"/>
    <n v="24000"/>
    <x v="0"/>
    <n v="7200"/>
    <n v="28800"/>
  </r>
  <r>
    <s v="INV2403"/>
    <x v="319"/>
    <x v="0"/>
    <x v="0"/>
    <n v="60000"/>
    <n v="8"/>
    <n v="480000"/>
    <x v="0"/>
    <n v="72000"/>
    <n v="576000"/>
  </r>
  <r>
    <s v="INV2404"/>
    <x v="319"/>
    <x v="3"/>
    <x v="29"/>
    <n v="6900"/>
    <n v="4"/>
    <n v="27600"/>
    <x v="1"/>
    <n v="8280"/>
    <n v="33120"/>
  </r>
  <r>
    <s v="INV2405"/>
    <x v="319"/>
    <x v="3"/>
    <x v="4"/>
    <n v="1200"/>
    <n v="8"/>
    <n v="9600"/>
    <x v="1"/>
    <n v="1440"/>
    <n v="11520"/>
  </r>
  <r>
    <s v="INV2406"/>
    <x v="319"/>
    <x v="0"/>
    <x v="9"/>
    <n v="500"/>
    <n v="7"/>
    <n v="3500"/>
    <x v="2"/>
    <n v="600"/>
    <n v="4200"/>
  </r>
  <r>
    <s v="INV3262"/>
    <x v="319"/>
    <x v="3"/>
    <x v="3"/>
    <n v="800"/>
    <n v="6"/>
    <n v="4800"/>
    <x v="0"/>
    <n v="960"/>
    <n v="5760"/>
  </r>
  <r>
    <s v="INV3759"/>
    <x v="319"/>
    <x v="3"/>
    <x v="21"/>
    <n v="1700"/>
    <n v="7"/>
    <n v="11900"/>
    <x v="0"/>
    <n v="2040"/>
    <n v="14280"/>
  </r>
  <r>
    <s v="INV2407"/>
    <x v="320"/>
    <x v="3"/>
    <x v="3"/>
    <n v="800"/>
    <n v="3"/>
    <n v="2400"/>
    <x v="0"/>
    <n v="960"/>
    <n v="2880"/>
  </r>
  <r>
    <s v="INV2408"/>
    <x v="320"/>
    <x v="1"/>
    <x v="1"/>
    <n v="400"/>
    <n v="9"/>
    <n v="3600"/>
    <x v="0"/>
    <n v="480"/>
    <n v="4320"/>
  </r>
  <r>
    <s v="INV2409"/>
    <x v="320"/>
    <x v="2"/>
    <x v="30"/>
    <n v="2880"/>
    <n v="9"/>
    <n v="25920"/>
    <x v="2"/>
    <n v="3456"/>
    <n v="31104"/>
  </r>
  <r>
    <s v="INV2410"/>
    <x v="320"/>
    <x v="0"/>
    <x v="9"/>
    <n v="500"/>
    <n v="5"/>
    <n v="2500"/>
    <x v="1"/>
    <n v="600"/>
    <n v="3000"/>
  </r>
  <r>
    <s v="INV2411"/>
    <x v="320"/>
    <x v="1"/>
    <x v="5"/>
    <n v="3000"/>
    <n v="6"/>
    <n v="18000"/>
    <x v="0"/>
    <n v="3600"/>
    <n v="21600"/>
  </r>
  <r>
    <s v="INV2412"/>
    <x v="320"/>
    <x v="0"/>
    <x v="0"/>
    <n v="60000"/>
    <n v="5"/>
    <n v="300000"/>
    <x v="2"/>
    <n v="72000"/>
    <n v="360000"/>
  </r>
  <r>
    <s v="INV2413"/>
    <x v="320"/>
    <x v="0"/>
    <x v="19"/>
    <n v="48000"/>
    <n v="6"/>
    <n v="288000"/>
    <x v="2"/>
    <n v="57600"/>
    <n v="345600"/>
  </r>
  <r>
    <s v="INV2414"/>
    <x v="320"/>
    <x v="3"/>
    <x v="3"/>
    <n v="800"/>
    <n v="4"/>
    <n v="3200"/>
    <x v="0"/>
    <n v="960"/>
    <n v="3840"/>
  </r>
  <r>
    <s v="INV2415"/>
    <x v="320"/>
    <x v="3"/>
    <x v="3"/>
    <n v="800"/>
    <n v="2"/>
    <n v="1600"/>
    <x v="1"/>
    <n v="960"/>
    <n v="1920"/>
  </r>
  <r>
    <s v="INV3546"/>
    <x v="320"/>
    <x v="4"/>
    <x v="45"/>
    <n v="120"/>
    <n v="5"/>
    <n v="600"/>
    <x v="2"/>
    <n v="144"/>
    <n v="720"/>
  </r>
  <r>
    <s v="INV2416"/>
    <x v="321"/>
    <x v="0"/>
    <x v="19"/>
    <n v="48000"/>
    <n v="8"/>
    <n v="384000"/>
    <x v="2"/>
    <n v="57600"/>
    <n v="460800"/>
  </r>
  <r>
    <s v="INV2417"/>
    <x v="321"/>
    <x v="1"/>
    <x v="1"/>
    <n v="400"/>
    <n v="4"/>
    <n v="1600"/>
    <x v="0"/>
    <n v="480"/>
    <n v="1920"/>
  </r>
  <r>
    <s v="INV2418"/>
    <x v="321"/>
    <x v="1"/>
    <x v="7"/>
    <n v="5200"/>
    <n v="7"/>
    <n v="36400"/>
    <x v="2"/>
    <n v="6240"/>
    <n v="43680"/>
  </r>
  <r>
    <s v="INV2419"/>
    <x v="321"/>
    <x v="2"/>
    <x v="6"/>
    <n v="2880"/>
    <n v="8"/>
    <n v="23040"/>
    <x v="1"/>
    <n v="3456"/>
    <n v="27648"/>
  </r>
  <r>
    <s v="INV2420"/>
    <x v="321"/>
    <x v="1"/>
    <x v="1"/>
    <n v="400"/>
    <n v="6"/>
    <n v="2400"/>
    <x v="1"/>
    <n v="480"/>
    <n v="2880"/>
  </r>
  <r>
    <s v="INV2421"/>
    <x v="321"/>
    <x v="1"/>
    <x v="1"/>
    <n v="400"/>
    <n v="9"/>
    <n v="3600"/>
    <x v="0"/>
    <n v="480"/>
    <n v="4320"/>
  </r>
  <r>
    <s v="INV2422"/>
    <x v="321"/>
    <x v="1"/>
    <x v="7"/>
    <n v="5200"/>
    <n v="1"/>
    <n v="5200"/>
    <x v="1"/>
    <n v="6240"/>
    <n v="6240"/>
  </r>
  <r>
    <s v="INV2423"/>
    <x v="321"/>
    <x v="1"/>
    <x v="5"/>
    <n v="3000"/>
    <n v="1"/>
    <n v="3000"/>
    <x v="2"/>
    <n v="3600"/>
    <n v="3600"/>
  </r>
  <r>
    <s v="INV2424"/>
    <x v="321"/>
    <x v="0"/>
    <x v="0"/>
    <n v="60000"/>
    <n v="5"/>
    <n v="300000"/>
    <x v="1"/>
    <n v="72000"/>
    <n v="360000"/>
  </r>
  <r>
    <s v="INV2425"/>
    <x v="321"/>
    <x v="2"/>
    <x v="2"/>
    <n v="2880"/>
    <n v="8"/>
    <n v="23040"/>
    <x v="2"/>
    <n v="3456"/>
    <n v="27648"/>
  </r>
  <r>
    <s v="INV2864"/>
    <x v="321"/>
    <x v="0"/>
    <x v="24"/>
    <n v="1900"/>
    <n v="6"/>
    <n v="11400"/>
    <x v="2"/>
    <n v="2280"/>
    <n v="13680"/>
  </r>
  <r>
    <s v="INV2909"/>
    <x v="321"/>
    <x v="0"/>
    <x v="23"/>
    <n v="600"/>
    <n v="9"/>
    <n v="5400"/>
    <x v="1"/>
    <n v="720"/>
    <n v="6480"/>
  </r>
  <r>
    <s v="INV2426"/>
    <x v="322"/>
    <x v="1"/>
    <x v="7"/>
    <n v="5200"/>
    <n v="1"/>
    <n v="5200"/>
    <x v="2"/>
    <n v="6240"/>
    <n v="6240"/>
  </r>
  <r>
    <s v="INV2427"/>
    <x v="322"/>
    <x v="0"/>
    <x v="19"/>
    <n v="48000"/>
    <n v="4"/>
    <n v="192000"/>
    <x v="2"/>
    <n v="57600"/>
    <n v="230400"/>
  </r>
  <r>
    <s v="INV2428"/>
    <x v="322"/>
    <x v="3"/>
    <x v="29"/>
    <n v="6900"/>
    <n v="6"/>
    <n v="41400"/>
    <x v="2"/>
    <n v="8280"/>
    <n v="49680"/>
  </r>
  <r>
    <s v="INV2429"/>
    <x v="322"/>
    <x v="0"/>
    <x v="9"/>
    <n v="500"/>
    <n v="10"/>
    <n v="5000"/>
    <x v="2"/>
    <n v="600"/>
    <n v="6000"/>
  </r>
  <r>
    <s v="INV2430"/>
    <x v="322"/>
    <x v="3"/>
    <x v="29"/>
    <n v="6900"/>
    <n v="9"/>
    <n v="62100"/>
    <x v="0"/>
    <n v="8280"/>
    <n v="74520"/>
  </r>
  <r>
    <s v="INV3585"/>
    <x v="322"/>
    <x v="4"/>
    <x v="45"/>
    <n v="120"/>
    <n v="9"/>
    <n v="1080"/>
    <x v="0"/>
    <n v="144"/>
    <n v="1296"/>
  </r>
  <r>
    <s v="INV3917"/>
    <x v="322"/>
    <x v="3"/>
    <x v="3"/>
    <n v="800"/>
    <n v="6"/>
    <n v="4800"/>
    <x v="1"/>
    <n v="960"/>
    <n v="5760"/>
  </r>
  <r>
    <s v="INV2431"/>
    <x v="323"/>
    <x v="3"/>
    <x v="29"/>
    <n v="6900"/>
    <n v="2"/>
    <n v="13800"/>
    <x v="0"/>
    <n v="8280"/>
    <n v="16560"/>
  </r>
  <r>
    <s v="INV2432"/>
    <x v="323"/>
    <x v="0"/>
    <x v="9"/>
    <n v="500"/>
    <n v="3"/>
    <n v="1500"/>
    <x v="2"/>
    <n v="600"/>
    <n v="1800"/>
  </r>
  <r>
    <s v="INV2433"/>
    <x v="323"/>
    <x v="2"/>
    <x v="6"/>
    <n v="2880"/>
    <n v="4"/>
    <n v="11520"/>
    <x v="2"/>
    <n v="3456"/>
    <n v="13824"/>
  </r>
  <r>
    <s v="INV2434"/>
    <x v="323"/>
    <x v="1"/>
    <x v="7"/>
    <n v="5200"/>
    <n v="8"/>
    <n v="41600"/>
    <x v="0"/>
    <n v="6240"/>
    <n v="49920"/>
  </r>
  <r>
    <s v="INV2435"/>
    <x v="323"/>
    <x v="2"/>
    <x v="2"/>
    <n v="2880"/>
    <n v="10"/>
    <n v="28800"/>
    <x v="1"/>
    <n v="3456"/>
    <n v="34560"/>
  </r>
  <r>
    <s v="INV2436"/>
    <x v="323"/>
    <x v="2"/>
    <x v="30"/>
    <n v="2880"/>
    <n v="1"/>
    <n v="2880"/>
    <x v="2"/>
    <n v="3456"/>
    <n v="3456"/>
  </r>
  <r>
    <s v="INV2437"/>
    <x v="323"/>
    <x v="2"/>
    <x v="30"/>
    <n v="2880"/>
    <n v="7"/>
    <n v="20160"/>
    <x v="2"/>
    <n v="3456"/>
    <n v="24192"/>
  </r>
  <r>
    <s v="INV2438"/>
    <x v="323"/>
    <x v="2"/>
    <x v="30"/>
    <n v="2880"/>
    <n v="2"/>
    <n v="5760"/>
    <x v="0"/>
    <n v="3456"/>
    <n v="6912"/>
  </r>
  <r>
    <s v="INV3021"/>
    <x v="323"/>
    <x v="0"/>
    <x v="8"/>
    <n v="3300"/>
    <n v="8"/>
    <n v="26400"/>
    <x v="1"/>
    <n v="3960"/>
    <n v="31680"/>
  </r>
  <r>
    <s v="INV3059"/>
    <x v="323"/>
    <x v="3"/>
    <x v="21"/>
    <n v="1700"/>
    <n v="10"/>
    <n v="17000"/>
    <x v="0"/>
    <n v="2040"/>
    <n v="20400"/>
  </r>
  <r>
    <s v="INV2439"/>
    <x v="324"/>
    <x v="2"/>
    <x v="6"/>
    <n v="2880"/>
    <n v="3"/>
    <n v="8640"/>
    <x v="1"/>
    <n v="3456"/>
    <n v="10368"/>
  </r>
  <r>
    <s v="INV2440"/>
    <x v="324"/>
    <x v="3"/>
    <x v="21"/>
    <n v="1700"/>
    <n v="6"/>
    <n v="10200"/>
    <x v="0"/>
    <n v="2040"/>
    <n v="12240"/>
  </r>
  <r>
    <s v="INV2441"/>
    <x v="324"/>
    <x v="1"/>
    <x v="5"/>
    <n v="3000"/>
    <n v="8"/>
    <n v="24000"/>
    <x v="1"/>
    <n v="3600"/>
    <n v="28800"/>
  </r>
  <r>
    <s v="INV2442"/>
    <x v="324"/>
    <x v="3"/>
    <x v="3"/>
    <n v="800"/>
    <n v="3"/>
    <n v="2400"/>
    <x v="1"/>
    <n v="960"/>
    <n v="2880"/>
  </r>
  <r>
    <s v="INV2443"/>
    <x v="324"/>
    <x v="0"/>
    <x v="22"/>
    <n v="6000"/>
    <n v="7"/>
    <n v="42000"/>
    <x v="0"/>
    <n v="7200"/>
    <n v="50400"/>
  </r>
  <r>
    <s v="INV2444"/>
    <x v="324"/>
    <x v="1"/>
    <x v="7"/>
    <n v="5200"/>
    <n v="3"/>
    <n v="15600"/>
    <x v="0"/>
    <n v="6240"/>
    <n v="18720"/>
  </r>
  <r>
    <s v="INV2445"/>
    <x v="324"/>
    <x v="2"/>
    <x v="6"/>
    <n v="2880"/>
    <n v="5"/>
    <n v="14400"/>
    <x v="0"/>
    <n v="3456"/>
    <n v="17280"/>
  </r>
  <r>
    <s v="INV2446"/>
    <x v="324"/>
    <x v="2"/>
    <x v="6"/>
    <n v="2880"/>
    <n v="8"/>
    <n v="23040"/>
    <x v="2"/>
    <n v="3456"/>
    <n v="27648"/>
  </r>
  <r>
    <s v="INV2447"/>
    <x v="324"/>
    <x v="0"/>
    <x v="0"/>
    <n v="60000"/>
    <n v="9"/>
    <n v="540000"/>
    <x v="1"/>
    <n v="72000"/>
    <n v="648000"/>
  </r>
  <r>
    <s v="INV2880"/>
    <x v="324"/>
    <x v="4"/>
    <x v="45"/>
    <n v="120"/>
    <n v="8"/>
    <n v="960"/>
    <x v="2"/>
    <n v="144"/>
    <n v="1152"/>
  </r>
  <r>
    <s v="INV3212"/>
    <x v="324"/>
    <x v="0"/>
    <x v="19"/>
    <n v="48000"/>
    <n v="10"/>
    <n v="480000"/>
    <x v="2"/>
    <n v="57600"/>
    <n v="576000"/>
  </r>
  <r>
    <s v="INV2448"/>
    <x v="325"/>
    <x v="0"/>
    <x v="19"/>
    <n v="48000"/>
    <n v="1"/>
    <n v="48000"/>
    <x v="1"/>
    <n v="57600"/>
    <n v="57600"/>
  </r>
  <r>
    <s v="INV2449"/>
    <x v="325"/>
    <x v="3"/>
    <x v="29"/>
    <n v="6900"/>
    <n v="5"/>
    <n v="34500"/>
    <x v="1"/>
    <n v="8280"/>
    <n v="41400"/>
  </r>
  <r>
    <s v="INV2450"/>
    <x v="325"/>
    <x v="3"/>
    <x v="29"/>
    <n v="6900"/>
    <n v="5"/>
    <n v="34500"/>
    <x v="0"/>
    <n v="8280"/>
    <n v="41400"/>
  </r>
  <r>
    <s v="INV2451"/>
    <x v="325"/>
    <x v="2"/>
    <x v="39"/>
    <n v="1750"/>
    <n v="6"/>
    <n v="10500"/>
    <x v="2"/>
    <n v="2100"/>
    <n v="12600"/>
  </r>
  <r>
    <s v="INV2452"/>
    <x v="325"/>
    <x v="3"/>
    <x v="21"/>
    <n v="1700"/>
    <n v="4"/>
    <n v="6800"/>
    <x v="0"/>
    <n v="2040"/>
    <n v="8160"/>
  </r>
  <r>
    <s v="INV3032"/>
    <x v="325"/>
    <x v="0"/>
    <x v="19"/>
    <n v="48000"/>
    <n v="6"/>
    <n v="288000"/>
    <x v="0"/>
    <n v="57600"/>
    <n v="345600"/>
  </r>
  <r>
    <s v="INV2453"/>
    <x v="326"/>
    <x v="0"/>
    <x v="22"/>
    <n v="6000"/>
    <n v="6"/>
    <n v="36000"/>
    <x v="2"/>
    <n v="7200"/>
    <n v="43200"/>
  </r>
  <r>
    <s v="INV2454"/>
    <x v="326"/>
    <x v="0"/>
    <x v="9"/>
    <n v="500"/>
    <n v="2"/>
    <n v="1000"/>
    <x v="2"/>
    <n v="600"/>
    <n v="1200"/>
  </r>
  <r>
    <s v="INV2455"/>
    <x v="326"/>
    <x v="0"/>
    <x v="19"/>
    <n v="48000"/>
    <n v="5"/>
    <n v="240000"/>
    <x v="1"/>
    <n v="57600"/>
    <n v="288000"/>
  </r>
  <r>
    <s v="INV2456"/>
    <x v="326"/>
    <x v="2"/>
    <x v="6"/>
    <n v="2880"/>
    <n v="6"/>
    <n v="17280"/>
    <x v="1"/>
    <n v="3456"/>
    <n v="20736"/>
  </r>
  <r>
    <s v="INV2457"/>
    <x v="326"/>
    <x v="1"/>
    <x v="1"/>
    <n v="400"/>
    <n v="6"/>
    <n v="2400"/>
    <x v="1"/>
    <n v="480"/>
    <n v="2880"/>
  </r>
  <r>
    <s v="INV2458"/>
    <x v="326"/>
    <x v="3"/>
    <x v="4"/>
    <n v="1200"/>
    <n v="10"/>
    <n v="12000"/>
    <x v="1"/>
    <n v="1440"/>
    <n v="14400"/>
  </r>
  <r>
    <s v="INV2459"/>
    <x v="326"/>
    <x v="0"/>
    <x v="22"/>
    <n v="6000"/>
    <n v="9"/>
    <n v="54000"/>
    <x v="2"/>
    <n v="7200"/>
    <n v="64800"/>
  </r>
  <r>
    <s v="INV2460"/>
    <x v="326"/>
    <x v="2"/>
    <x v="39"/>
    <n v="1750"/>
    <n v="8"/>
    <n v="14000"/>
    <x v="0"/>
    <n v="2100"/>
    <n v="16800"/>
  </r>
  <r>
    <s v="INV3129"/>
    <x v="326"/>
    <x v="0"/>
    <x v="31"/>
    <n v="3600"/>
    <n v="2"/>
    <n v="7200"/>
    <x v="0"/>
    <n v="4320"/>
    <n v="8640"/>
  </r>
  <r>
    <s v="INV2461"/>
    <x v="327"/>
    <x v="0"/>
    <x v="22"/>
    <n v="6000"/>
    <n v="8"/>
    <n v="48000"/>
    <x v="1"/>
    <n v="7200"/>
    <n v="57600"/>
  </r>
  <r>
    <s v="INV2462"/>
    <x v="327"/>
    <x v="0"/>
    <x v="19"/>
    <n v="48000"/>
    <n v="8"/>
    <n v="384000"/>
    <x v="2"/>
    <n v="57600"/>
    <n v="460800"/>
  </r>
  <r>
    <s v="INV2463"/>
    <x v="327"/>
    <x v="0"/>
    <x v="0"/>
    <n v="60000"/>
    <n v="5"/>
    <n v="300000"/>
    <x v="1"/>
    <n v="72000"/>
    <n v="360000"/>
  </r>
  <r>
    <s v="INV2464"/>
    <x v="327"/>
    <x v="2"/>
    <x v="30"/>
    <n v="2880"/>
    <n v="5"/>
    <n v="14400"/>
    <x v="2"/>
    <n v="3456"/>
    <n v="17280"/>
  </r>
  <r>
    <s v="INV2465"/>
    <x v="327"/>
    <x v="3"/>
    <x v="4"/>
    <n v="1200"/>
    <n v="8"/>
    <n v="9600"/>
    <x v="1"/>
    <n v="1440"/>
    <n v="11520"/>
  </r>
  <r>
    <s v="INV2466"/>
    <x v="327"/>
    <x v="2"/>
    <x v="30"/>
    <n v="2880"/>
    <n v="3"/>
    <n v="8640"/>
    <x v="0"/>
    <n v="3456"/>
    <n v="10368"/>
  </r>
  <r>
    <s v="INV2784"/>
    <x v="327"/>
    <x v="4"/>
    <x v="45"/>
    <n v="120"/>
    <n v="7"/>
    <n v="840"/>
    <x v="2"/>
    <n v="144"/>
    <n v="1008"/>
  </r>
  <r>
    <s v="INV3042"/>
    <x v="327"/>
    <x v="0"/>
    <x v="19"/>
    <n v="48000"/>
    <n v="9"/>
    <n v="432000"/>
    <x v="0"/>
    <n v="57600"/>
    <n v="518400"/>
  </r>
  <r>
    <s v="INV3898"/>
    <x v="327"/>
    <x v="0"/>
    <x v="9"/>
    <n v="500"/>
    <n v="7"/>
    <n v="3500"/>
    <x v="1"/>
    <n v="600"/>
    <n v="4200"/>
  </r>
  <r>
    <s v="INV2467"/>
    <x v="328"/>
    <x v="3"/>
    <x v="4"/>
    <n v="1200"/>
    <n v="3"/>
    <n v="3600"/>
    <x v="1"/>
    <n v="1440"/>
    <n v="4320"/>
  </r>
  <r>
    <s v="INV2468"/>
    <x v="328"/>
    <x v="3"/>
    <x v="3"/>
    <n v="800"/>
    <n v="6"/>
    <n v="4800"/>
    <x v="0"/>
    <n v="960"/>
    <n v="5760"/>
  </r>
  <r>
    <s v="INV2469"/>
    <x v="328"/>
    <x v="1"/>
    <x v="1"/>
    <n v="400"/>
    <n v="5"/>
    <n v="2000"/>
    <x v="2"/>
    <n v="480"/>
    <n v="2400"/>
  </r>
  <r>
    <s v="INV2470"/>
    <x v="328"/>
    <x v="1"/>
    <x v="1"/>
    <n v="400"/>
    <n v="8"/>
    <n v="3200"/>
    <x v="1"/>
    <n v="480"/>
    <n v="3840"/>
  </r>
  <r>
    <s v="INV2471"/>
    <x v="328"/>
    <x v="2"/>
    <x v="39"/>
    <n v="1750"/>
    <n v="6"/>
    <n v="10500"/>
    <x v="1"/>
    <n v="2100"/>
    <n v="12600"/>
  </r>
  <r>
    <s v="INV2472"/>
    <x v="328"/>
    <x v="3"/>
    <x v="3"/>
    <n v="800"/>
    <n v="3"/>
    <n v="2400"/>
    <x v="0"/>
    <n v="960"/>
    <n v="2880"/>
  </r>
  <r>
    <s v="INV2473"/>
    <x v="328"/>
    <x v="3"/>
    <x v="3"/>
    <n v="800"/>
    <n v="9"/>
    <n v="7200"/>
    <x v="0"/>
    <n v="960"/>
    <n v="8640"/>
  </r>
  <r>
    <s v="INV2474"/>
    <x v="328"/>
    <x v="1"/>
    <x v="5"/>
    <n v="3000"/>
    <n v="1"/>
    <n v="3000"/>
    <x v="1"/>
    <n v="3600"/>
    <n v="3600"/>
  </r>
  <r>
    <s v="INV2475"/>
    <x v="328"/>
    <x v="2"/>
    <x v="39"/>
    <n v="1750"/>
    <n v="1"/>
    <n v="1750"/>
    <x v="2"/>
    <n v="2100"/>
    <n v="2100"/>
  </r>
  <r>
    <s v="INV3065"/>
    <x v="328"/>
    <x v="4"/>
    <x v="10"/>
    <n v="9100"/>
    <n v="2"/>
    <n v="18200"/>
    <x v="2"/>
    <n v="10920"/>
    <n v="21840"/>
  </r>
  <r>
    <s v="INV3625"/>
    <x v="328"/>
    <x v="4"/>
    <x v="45"/>
    <n v="120"/>
    <n v="4"/>
    <n v="480"/>
    <x v="1"/>
    <n v="144"/>
    <n v="576"/>
  </r>
  <r>
    <s v="INV2476"/>
    <x v="329"/>
    <x v="0"/>
    <x v="9"/>
    <n v="500"/>
    <n v="4"/>
    <n v="2000"/>
    <x v="2"/>
    <n v="600"/>
    <n v="2400"/>
  </r>
  <r>
    <s v="INV2477"/>
    <x v="329"/>
    <x v="0"/>
    <x v="9"/>
    <n v="500"/>
    <n v="4"/>
    <n v="2000"/>
    <x v="2"/>
    <n v="600"/>
    <n v="2400"/>
  </r>
  <r>
    <s v="INV2478"/>
    <x v="329"/>
    <x v="3"/>
    <x v="29"/>
    <n v="6900"/>
    <n v="3"/>
    <n v="20700"/>
    <x v="2"/>
    <n v="8280"/>
    <n v="24840"/>
  </r>
  <r>
    <s v="INV2479"/>
    <x v="329"/>
    <x v="0"/>
    <x v="22"/>
    <n v="6000"/>
    <n v="8"/>
    <n v="48000"/>
    <x v="0"/>
    <n v="7200"/>
    <n v="57600"/>
  </r>
  <r>
    <s v="INV2480"/>
    <x v="329"/>
    <x v="2"/>
    <x v="39"/>
    <n v="1750"/>
    <n v="3"/>
    <n v="5250"/>
    <x v="0"/>
    <n v="2100"/>
    <n v="6300"/>
  </r>
  <r>
    <s v="INV2481"/>
    <x v="329"/>
    <x v="3"/>
    <x v="29"/>
    <n v="6900"/>
    <n v="6"/>
    <n v="41400"/>
    <x v="0"/>
    <n v="8280"/>
    <n v="49680"/>
  </r>
  <r>
    <s v="INV2482"/>
    <x v="329"/>
    <x v="3"/>
    <x v="21"/>
    <n v="1700"/>
    <n v="6"/>
    <n v="10200"/>
    <x v="2"/>
    <n v="2040"/>
    <n v="12240"/>
  </r>
  <r>
    <s v="INV2483"/>
    <x v="329"/>
    <x v="3"/>
    <x v="4"/>
    <n v="1200"/>
    <n v="6"/>
    <n v="7200"/>
    <x v="1"/>
    <n v="1440"/>
    <n v="8640"/>
  </r>
  <r>
    <s v="INV2484"/>
    <x v="329"/>
    <x v="2"/>
    <x v="30"/>
    <n v="2880"/>
    <n v="7"/>
    <n v="20160"/>
    <x v="0"/>
    <n v="3456"/>
    <n v="24192"/>
  </r>
  <r>
    <s v="INV2854"/>
    <x v="329"/>
    <x v="4"/>
    <x v="45"/>
    <n v="120"/>
    <n v="8"/>
    <n v="960"/>
    <x v="1"/>
    <n v="144"/>
    <n v="1152"/>
  </r>
  <r>
    <s v="INV3016"/>
    <x v="329"/>
    <x v="0"/>
    <x v="9"/>
    <n v="500"/>
    <n v="10"/>
    <n v="5000"/>
    <x v="0"/>
    <n v="600"/>
    <n v="6000"/>
  </r>
  <r>
    <s v="INV3261"/>
    <x v="329"/>
    <x v="3"/>
    <x v="3"/>
    <n v="800"/>
    <n v="9"/>
    <n v="7200"/>
    <x v="1"/>
    <n v="960"/>
    <n v="8640"/>
  </r>
  <r>
    <s v="INV3542"/>
    <x v="329"/>
    <x v="3"/>
    <x v="3"/>
    <n v="800"/>
    <n v="8"/>
    <n v="6400"/>
    <x v="2"/>
    <n v="960"/>
    <n v="7680"/>
  </r>
  <r>
    <s v="INV2485"/>
    <x v="330"/>
    <x v="1"/>
    <x v="7"/>
    <n v="5200"/>
    <n v="4"/>
    <n v="20800"/>
    <x v="1"/>
    <n v="6240"/>
    <n v="24960"/>
  </r>
  <r>
    <s v="INV2486"/>
    <x v="330"/>
    <x v="2"/>
    <x v="30"/>
    <n v="2880"/>
    <n v="8"/>
    <n v="23040"/>
    <x v="1"/>
    <n v="3456"/>
    <n v="27648"/>
  </r>
  <r>
    <s v="INV2487"/>
    <x v="330"/>
    <x v="3"/>
    <x v="3"/>
    <n v="800"/>
    <n v="2"/>
    <n v="1600"/>
    <x v="0"/>
    <n v="960"/>
    <n v="1920"/>
  </r>
  <r>
    <s v="INV2488"/>
    <x v="330"/>
    <x v="3"/>
    <x v="29"/>
    <n v="6900"/>
    <n v="3"/>
    <n v="20700"/>
    <x v="0"/>
    <n v="8280"/>
    <n v="24840"/>
  </r>
  <r>
    <s v="INV2489"/>
    <x v="330"/>
    <x v="1"/>
    <x v="5"/>
    <n v="3000"/>
    <n v="7"/>
    <n v="21000"/>
    <x v="1"/>
    <n v="3600"/>
    <n v="25200"/>
  </r>
  <r>
    <s v="INV2490"/>
    <x v="330"/>
    <x v="2"/>
    <x v="30"/>
    <n v="2880"/>
    <n v="5"/>
    <n v="14400"/>
    <x v="2"/>
    <n v="3456"/>
    <n v="17280"/>
  </r>
  <r>
    <s v="INV2491"/>
    <x v="330"/>
    <x v="1"/>
    <x v="5"/>
    <n v="3000"/>
    <n v="5"/>
    <n v="15000"/>
    <x v="2"/>
    <n v="3600"/>
    <n v="18000"/>
  </r>
  <r>
    <s v="INV2976"/>
    <x v="330"/>
    <x v="0"/>
    <x v="19"/>
    <n v="48000"/>
    <n v="9"/>
    <n v="432000"/>
    <x v="0"/>
    <n v="57600"/>
    <n v="518400"/>
  </r>
  <r>
    <s v="INV3734"/>
    <x v="330"/>
    <x v="4"/>
    <x v="10"/>
    <n v="9100"/>
    <n v="1"/>
    <n v="9100"/>
    <x v="2"/>
    <n v="10920"/>
    <n v="10920"/>
  </r>
  <r>
    <s v="INV2492"/>
    <x v="331"/>
    <x v="1"/>
    <x v="1"/>
    <n v="400"/>
    <n v="8"/>
    <n v="3200"/>
    <x v="1"/>
    <n v="480"/>
    <n v="3840"/>
  </r>
  <r>
    <s v="INV2493"/>
    <x v="331"/>
    <x v="3"/>
    <x v="21"/>
    <n v="1700"/>
    <n v="2"/>
    <n v="3400"/>
    <x v="2"/>
    <n v="2040"/>
    <n v="4080"/>
  </r>
  <r>
    <s v="INV2494"/>
    <x v="331"/>
    <x v="0"/>
    <x v="0"/>
    <n v="60000"/>
    <n v="6"/>
    <n v="360000"/>
    <x v="0"/>
    <n v="72000"/>
    <n v="432000"/>
  </r>
  <r>
    <s v="INV2495"/>
    <x v="331"/>
    <x v="0"/>
    <x v="9"/>
    <n v="500"/>
    <n v="1"/>
    <n v="500"/>
    <x v="2"/>
    <n v="600"/>
    <n v="600"/>
  </r>
  <r>
    <s v="INV2496"/>
    <x v="331"/>
    <x v="0"/>
    <x v="0"/>
    <n v="60000"/>
    <n v="4"/>
    <n v="240000"/>
    <x v="0"/>
    <n v="72000"/>
    <n v="288000"/>
  </r>
  <r>
    <s v="INV2497"/>
    <x v="331"/>
    <x v="2"/>
    <x v="39"/>
    <n v="1750"/>
    <n v="9"/>
    <n v="15750"/>
    <x v="2"/>
    <n v="2100"/>
    <n v="18900"/>
  </r>
  <r>
    <s v="INV2765"/>
    <x v="331"/>
    <x v="4"/>
    <x v="10"/>
    <n v="9100"/>
    <n v="6"/>
    <n v="54600"/>
    <x v="2"/>
    <n v="10920"/>
    <n v="65520"/>
  </r>
  <r>
    <s v="INV3299"/>
    <x v="331"/>
    <x v="0"/>
    <x v="24"/>
    <n v="1900"/>
    <n v="4"/>
    <n v="7600"/>
    <x v="0"/>
    <n v="2280"/>
    <n v="9120"/>
  </r>
  <r>
    <s v="INV3300"/>
    <x v="331"/>
    <x v="0"/>
    <x v="23"/>
    <n v="600"/>
    <n v="5"/>
    <n v="3000"/>
    <x v="0"/>
    <n v="720"/>
    <n v="3600"/>
  </r>
  <r>
    <s v="INV3489"/>
    <x v="331"/>
    <x v="0"/>
    <x v="23"/>
    <n v="600"/>
    <n v="1"/>
    <n v="600"/>
    <x v="0"/>
    <n v="720"/>
    <n v="720"/>
  </r>
  <r>
    <s v="INV3644"/>
    <x v="331"/>
    <x v="0"/>
    <x v="23"/>
    <n v="600"/>
    <n v="8"/>
    <n v="4800"/>
    <x v="2"/>
    <n v="720"/>
    <n v="5760"/>
  </r>
  <r>
    <s v="INV3773"/>
    <x v="331"/>
    <x v="0"/>
    <x v="8"/>
    <n v="3300"/>
    <n v="5"/>
    <n v="16500"/>
    <x v="1"/>
    <n v="3960"/>
    <n v="19800"/>
  </r>
  <r>
    <s v="INV2498"/>
    <x v="332"/>
    <x v="0"/>
    <x v="0"/>
    <n v="60000"/>
    <n v="10"/>
    <n v="600000"/>
    <x v="0"/>
    <n v="72000"/>
    <n v="720000"/>
  </r>
  <r>
    <s v="INV2499"/>
    <x v="332"/>
    <x v="3"/>
    <x v="21"/>
    <n v="1700"/>
    <n v="1"/>
    <n v="1700"/>
    <x v="1"/>
    <n v="2040"/>
    <n v="2040"/>
  </r>
  <r>
    <s v="INV2500"/>
    <x v="332"/>
    <x v="1"/>
    <x v="1"/>
    <n v="400"/>
    <n v="6"/>
    <n v="2400"/>
    <x v="1"/>
    <n v="480"/>
    <n v="2880"/>
  </r>
  <r>
    <s v="INV2501"/>
    <x v="332"/>
    <x v="2"/>
    <x v="39"/>
    <n v="1750"/>
    <n v="1"/>
    <n v="1750"/>
    <x v="0"/>
    <n v="2100"/>
    <n v="2100"/>
  </r>
  <r>
    <s v="INV2502"/>
    <x v="332"/>
    <x v="2"/>
    <x v="30"/>
    <n v="2880"/>
    <n v="3"/>
    <n v="8640"/>
    <x v="2"/>
    <n v="3456"/>
    <n v="10368"/>
  </r>
  <r>
    <s v="INV2503"/>
    <x v="332"/>
    <x v="0"/>
    <x v="22"/>
    <n v="6000"/>
    <n v="1"/>
    <n v="6000"/>
    <x v="1"/>
    <n v="7200"/>
    <n v="7200"/>
  </r>
  <r>
    <s v="INV2504"/>
    <x v="332"/>
    <x v="3"/>
    <x v="3"/>
    <n v="800"/>
    <n v="6"/>
    <n v="4800"/>
    <x v="0"/>
    <n v="960"/>
    <n v="5760"/>
  </r>
  <r>
    <s v="INV2505"/>
    <x v="332"/>
    <x v="1"/>
    <x v="1"/>
    <n v="400"/>
    <n v="3"/>
    <n v="1200"/>
    <x v="1"/>
    <n v="480"/>
    <n v="1440"/>
  </r>
  <r>
    <s v="INV2506"/>
    <x v="332"/>
    <x v="2"/>
    <x v="6"/>
    <n v="2880"/>
    <n v="1"/>
    <n v="2880"/>
    <x v="0"/>
    <n v="3456"/>
    <n v="3456"/>
  </r>
  <r>
    <s v="INV2507"/>
    <x v="332"/>
    <x v="0"/>
    <x v="22"/>
    <n v="6000"/>
    <n v="6"/>
    <n v="36000"/>
    <x v="2"/>
    <n v="7200"/>
    <n v="43200"/>
  </r>
  <r>
    <s v="INV2791"/>
    <x v="332"/>
    <x v="0"/>
    <x v="19"/>
    <n v="48000"/>
    <n v="2"/>
    <n v="96000"/>
    <x v="0"/>
    <n v="57600"/>
    <n v="115200"/>
  </r>
  <r>
    <s v="INV3842"/>
    <x v="332"/>
    <x v="4"/>
    <x v="45"/>
    <n v="120"/>
    <n v="4"/>
    <n v="480"/>
    <x v="2"/>
    <n v="144"/>
    <n v="576"/>
  </r>
  <r>
    <s v="INV2508"/>
    <x v="333"/>
    <x v="2"/>
    <x v="39"/>
    <n v="1750"/>
    <n v="10"/>
    <n v="17500"/>
    <x v="0"/>
    <n v="2100"/>
    <n v="21000"/>
  </r>
  <r>
    <s v="INV2509"/>
    <x v="333"/>
    <x v="0"/>
    <x v="9"/>
    <n v="500"/>
    <n v="7"/>
    <n v="3500"/>
    <x v="0"/>
    <n v="600"/>
    <n v="4200"/>
  </r>
  <r>
    <s v="INV2510"/>
    <x v="333"/>
    <x v="1"/>
    <x v="1"/>
    <n v="400"/>
    <n v="3"/>
    <n v="1200"/>
    <x v="0"/>
    <n v="480"/>
    <n v="1440"/>
  </r>
  <r>
    <s v="INV2511"/>
    <x v="333"/>
    <x v="0"/>
    <x v="19"/>
    <n v="48000"/>
    <n v="3"/>
    <n v="144000"/>
    <x v="0"/>
    <n v="57600"/>
    <n v="172800"/>
  </r>
  <r>
    <s v="INV2512"/>
    <x v="333"/>
    <x v="1"/>
    <x v="5"/>
    <n v="3000"/>
    <n v="6"/>
    <n v="18000"/>
    <x v="1"/>
    <n v="3600"/>
    <n v="21600"/>
  </r>
  <r>
    <s v="INV2780"/>
    <x v="333"/>
    <x v="0"/>
    <x v="23"/>
    <n v="600"/>
    <n v="6"/>
    <n v="3600"/>
    <x v="0"/>
    <n v="720"/>
    <n v="4320"/>
  </r>
  <r>
    <s v="INV3691"/>
    <x v="333"/>
    <x v="0"/>
    <x v="24"/>
    <n v="1900"/>
    <n v="7"/>
    <n v="13300"/>
    <x v="2"/>
    <n v="2280"/>
    <n v="15960"/>
  </r>
  <r>
    <s v="INV2513"/>
    <x v="334"/>
    <x v="1"/>
    <x v="5"/>
    <n v="3000"/>
    <n v="3"/>
    <n v="9000"/>
    <x v="0"/>
    <n v="3600"/>
    <n v="10800"/>
  </r>
  <r>
    <s v="INV2514"/>
    <x v="334"/>
    <x v="0"/>
    <x v="19"/>
    <n v="48000"/>
    <n v="3"/>
    <n v="144000"/>
    <x v="0"/>
    <n v="57600"/>
    <n v="172800"/>
  </r>
  <r>
    <s v="INV2515"/>
    <x v="334"/>
    <x v="1"/>
    <x v="7"/>
    <n v="5200"/>
    <n v="7"/>
    <n v="36400"/>
    <x v="1"/>
    <n v="6240"/>
    <n v="43680"/>
  </r>
  <r>
    <s v="INV2516"/>
    <x v="334"/>
    <x v="2"/>
    <x v="30"/>
    <n v="2880"/>
    <n v="4"/>
    <n v="11520"/>
    <x v="1"/>
    <n v="3456"/>
    <n v="13824"/>
  </r>
  <r>
    <s v="INV2517"/>
    <x v="334"/>
    <x v="3"/>
    <x v="4"/>
    <n v="1200"/>
    <n v="5"/>
    <n v="6000"/>
    <x v="2"/>
    <n v="1440"/>
    <n v="7200"/>
  </r>
  <r>
    <s v="INV2518"/>
    <x v="334"/>
    <x v="1"/>
    <x v="5"/>
    <n v="3000"/>
    <n v="1"/>
    <n v="3000"/>
    <x v="0"/>
    <n v="3600"/>
    <n v="3600"/>
  </r>
  <r>
    <s v="INV2519"/>
    <x v="334"/>
    <x v="1"/>
    <x v="1"/>
    <n v="400"/>
    <n v="10"/>
    <n v="4000"/>
    <x v="1"/>
    <n v="480"/>
    <n v="4800"/>
  </r>
  <r>
    <s v="INV3148"/>
    <x v="334"/>
    <x v="0"/>
    <x v="24"/>
    <n v="1900"/>
    <n v="3"/>
    <n v="5700"/>
    <x v="1"/>
    <n v="2280"/>
    <n v="6840"/>
  </r>
  <r>
    <s v="INV3286"/>
    <x v="334"/>
    <x v="0"/>
    <x v="24"/>
    <n v="1900"/>
    <n v="10"/>
    <n v="19000"/>
    <x v="0"/>
    <n v="2280"/>
    <n v="22800"/>
  </r>
  <r>
    <s v="INV2520"/>
    <x v="335"/>
    <x v="0"/>
    <x v="9"/>
    <n v="500"/>
    <n v="2"/>
    <n v="1000"/>
    <x v="1"/>
    <n v="600"/>
    <n v="1200"/>
  </r>
  <r>
    <s v="INV2521"/>
    <x v="335"/>
    <x v="3"/>
    <x v="29"/>
    <n v="6900"/>
    <n v="1"/>
    <n v="6900"/>
    <x v="2"/>
    <n v="8280"/>
    <n v="8280"/>
  </r>
  <r>
    <s v="INV2522"/>
    <x v="335"/>
    <x v="2"/>
    <x v="2"/>
    <n v="2880"/>
    <n v="1"/>
    <n v="2880"/>
    <x v="1"/>
    <n v="3456"/>
    <n v="3456"/>
  </r>
  <r>
    <s v="INV2523"/>
    <x v="335"/>
    <x v="3"/>
    <x v="29"/>
    <n v="6900"/>
    <n v="3"/>
    <n v="20700"/>
    <x v="1"/>
    <n v="8280"/>
    <n v="24840"/>
  </r>
  <r>
    <s v="INV2524"/>
    <x v="335"/>
    <x v="1"/>
    <x v="5"/>
    <n v="3000"/>
    <n v="1"/>
    <n v="3000"/>
    <x v="0"/>
    <n v="3600"/>
    <n v="3600"/>
  </r>
  <r>
    <s v="INV2525"/>
    <x v="335"/>
    <x v="0"/>
    <x v="0"/>
    <n v="60000"/>
    <n v="10"/>
    <n v="600000"/>
    <x v="2"/>
    <n v="72000"/>
    <n v="720000"/>
  </r>
  <r>
    <s v="INV2526"/>
    <x v="335"/>
    <x v="0"/>
    <x v="22"/>
    <n v="6000"/>
    <n v="2"/>
    <n v="12000"/>
    <x v="0"/>
    <n v="7200"/>
    <n v="14400"/>
  </r>
  <r>
    <s v="INV2527"/>
    <x v="335"/>
    <x v="0"/>
    <x v="9"/>
    <n v="500"/>
    <n v="6"/>
    <n v="3000"/>
    <x v="1"/>
    <n v="600"/>
    <n v="3600"/>
  </r>
  <r>
    <s v="INV2528"/>
    <x v="335"/>
    <x v="3"/>
    <x v="3"/>
    <n v="800"/>
    <n v="8"/>
    <n v="6400"/>
    <x v="0"/>
    <n v="960"/>
    <n v="7680"/>
  </r>
  <r>
    <s v="INV3208"/>
    <x v="335"/>
    <x v="0"/>
    <x v="24"/>
    <n v="1900"/>
    <n v="6"/>
    <n v="11400"/>
    <x v="2"/>
    <n v="2280"/>
    <n v="13680"/>
  </r>
  <r>
    <s v="INV3945"/>
    <x v="335"/>
    <x v="3"/>
    <x v="21"/>
    <n v="1700"/>
    <n v="3"/>
    <n v="5100"/>
    <x v="0"/>
    <n v="2040"/>
    <n v="6120"/>
  </r>
  <r>
    <s v="INV2529"/>
    <x v="336"/>
    <x v="2"/>
    <x v="2"/>
    <n v="2880"/>
    <n v="7"/>
    <n v="20160"/>
    <x v="1"/>
    <n v="3456"/>
    <n v="24192"/>
  </r>
  <r>
    <s v="INV2530"/>
    <x v="336"/>
    <x v="3"/>
    <x v="21"/>
    <n v="1700"/>
    <n v="3"/>
    <n v="5100"/>
    <x v="1"/>
    <n v="2040"/>
    <n v="6120"/>
  </r>
  <r>
    <s v="INV2531"/>
    <x v="336"/>
    <x v="3"/>
    <x v="3"/>
    <n v="800"/>
    <n v="4"/>
    <n v="3200"/>
    <x v="1"/>
    <n v="960"/>
    <n v="3840"/>
  </r>
  <r>
    <s v="INV2532"/>
    <x v="336"/>
    <x v="2"/>
    <x v="6"/>
    <n v="2880"/>
    <n v="1"/>
    <n v="2880"/>
    <x v="2"/>
    <n v="3456"/>
    <n v="3456"/>
  </r>
  <r>
    <s v="INV2533"/>
    <x v="336"/>
    <x v="0"/>
    <x v="0"/>
    <n v="60000"/>
    <n v="3"/>
    <n v="180000"/>
    <x v="0"/>
    <n v="72000"/>
    <n v="216000"/>
  </r>
  <r>
    <s v="INV2804"/>
    <x v="336"/>
    <x v="0"/>
    <x v="8"/>
    <n v="3300"/>
    <n v="7"/>
    <n v="23100"/>
    <x v="2"/>
    <n v="3960"/>
    <n v="27720"/>
  </r>
  <r>
    <s v="INV3238"/>
    <x v="336"/>
    <x v="0"/>
    <x v="8"/>
    <n v="3300"/>
    <n v="6"/>
    <n v="19800"/>
    <x v="0"/>
    <n v="3960"/>
    <n v="23760"/>
  </r>
  <r>
    <s v="INV3637"/>
    <x v="336"/>
    <x v="0"/>
    <x v="9"/>
    <n v="500"/>
    <n v="8"/>
    <n v="4000"/>
    <x v="0"/>
    <n v="600"/>
    <n v="4800"/>
  </r>
  <r>
    <s v="INV2534"/>
    <x v="337"/>
    <x v="3"/>
    <x v="3"/>
    <n v="800"/>
    <n v="6"/>
    <n v="4800"/>
    <x v="0"/>
    <n v="960"/>
    <n v="5760"/>
  </r>
  <r>
    <s v="INV2535"/>
    <x v="337"/>
    <x v="3"/>
    <x v="21"/>
    <n v="1700"/>
    <n v="2"/>
    <n v="3400"/>
    <x v="0"/>
    <n v="2040"/>
    <n v="4080"/>
  </r>
  <r>
    <s v="INV2536"/>
    <x v="337"/>
    <x v="3"/>
    <x v="29"/>
    <n v="6900"/>
    <n v="8"/>
    <n v="55200"/>
    <x v="1"/>
    <n v="8280"/>
    <n v="66240"/>
  </r>
  <r>
    <s v="INV2537"/>
    <x v="337"/>
    <x v="3"/>
    <x v="3"/>
    <n v="800"/>
    <n v="4"/>
    <n v="3200"/>
    <x v="1"/>
    <n v="960"/>
    <n v="3840"/>
  </r>
  <r>
    <s v="INV2538"/>
    <x v="337"/>
    <x v="1"/>
    <x v="1"/>
    <n v="400"/>
    <n v="5"/>
    <n v="2000"/>
    <x v="1"/>
    <n v="480"/>
    <n v="2400"/>
  </r>
  <r>
    <s v="INV2539"/>
    <x v="337"/>
    <x v="3"/>
    <x v="29"/>
    <n v="6900"/>
    <n v="7"/>
    <n v="48300"/>
    <x v="0"/>
    <n v="8280"/>
    <n v="57960"/>
  </r>
  <r>
    <s v="INV2540"/>
    <x v="337"/>
    <x v="1"/>
    <x v="5"/>
    <n v="3000"/>
    <n v="9"/>
    <n v="27000"/>
    <x v="2"/>
    <n v="3600"/>
    <n v="32400"/>
  </r>
  <r>
    <s v="INV2541"/>
    <x v="337"/>
    <x v="0"/>
    <x v="0"/>
    <n v="60000"/>
    <n v="4"/>
    <n v="240000"/>
    <x v="1"/>
    <n v="72000"/>
    <n v="288000"/>
  </r>
  <r>
    <s v="INV2949"/>
    <x v="337"/>
    <x v="0"/>
    <x v="24"/>
    <n v="1900"/>
    <n v="5"/>
    <n v="9500"/>
    <x v="1"/>
    <n v="2280"/>
    <n v="11400"/>
  </r>
  <r>
    <s v="INV3665"/>
    <x v="337"/>
    <x v="0"/>
    <x v="19"/>
    <n v="48000"/>
    <n v="2"/>
    <n v="96000"/>
    <x v="2"/>
    <n v="57600"/>
    <n v="115200"/>
  </r>
  <r>
    <s v="INV2542"/>
    <x v="338"/>
    <x v="2"/>
    <x v="2"/>
    <n v="2880"/>
    <n v="6"/>
    <n v="17280"/>
    <x v="2"/>
    <n v="3456"/>
    <n v="20736"/>
  </r>
  <r>
    <s v="INV2543"/>
    <x v="338"/>
    <x v="2"/>
    <x v="2"/>
    <n v="2880"/>
    <n v="2"/>
    <n v="5760"/>
    <x v="0"/>
    <n v="3456"/>
    <n v="6912"/>
  </r>
  <r>
    <s v="INV2544"/>
    <x v="338"/>
    <x v="1"/>
    <x v="5"/>
    <n v="3000"/>
    <n v="1"/>
    <n v="3000"/>
    <x v="2"/>
    <n v="3600"/>
    <n v="3600"/>
  </r>
  <r>
    <s v="INV2545"/>
    <x v="338"/>
    <x v="2"/>
    <x v="39"/>
    <n v="1750"/>
    <n v="6"/>
    <n v="10500"/>
    <x v="2"/>
    <n v="2100"/>
    <n v="12600"/>
  </r>
  <r>
    <s v="INV2546"/>
    <x v="338"/>
    <x v="2"/>
    <x v="30"/>
    <n v="2880"/>
    <n v="5"/>
    <n v="14400"/>
    <x v="2"/>
    <n v="3456"/>
    <n v="17280"/>
  </r>
  <r>
    <s v="INV2547"/>
    <x v="338"/>
    <x v="2"/>
    <x v="2"/>
    <n v="2880"/>
    <n v="9"/>
    <n v="25920"/>
    <x v="2"/>
    <n v="3456"/>
    <n v="31104"/>
  </r>
  <r>
    <s v="INV2548"/>
    <x v="338"/>
    <x v="2"/>
    <x v="6"/>
    <n v="2880"/>
    <n v="4"/>
    <n v="11520"/>
    <x v="1"/>
    <n v="3456"/>
    <n v="13824"/>
  </r>
  <r>
    <s v="INV2549"/>
    <x v="338"/>
    <x v="0"/>
    <x v="9"/>
    <n v="500"/>
    <n v="10"/>
    <n v="5000"/>
    <x v="0"/>
    <n v="600"/>
    <n v="6000"/>
  </r>
  <r>
    <s v="INV2550"/>
    <x v="338"/>
    <x v="2"/>
    <x v="39"/>
    <n v="1750"/>
    <n v="6"/>
    <n v="10500"/>
    <x v="2"/>
    <n v="2100"/>
    <n v="12600"/>
  </r>
  <r>
    <s v="INV2551"/>
    <x v="338"/>
    <x v="1"/>
    <x v="7"/>
    <n v="5200"/>
    <n v="7"/>
    <n v="36400"/>
    <x v="2"/>
    <n v="6240"/>
    <n v="43680"/>
  </r>
  <r>
    <s v="INV2552"/>
    <x v="339"/>
    <x v="1"/>
    <x v="7"/>
    <n v="5200"/>
    <n v="1"/>
    <n v="5200"/>
    <x v="2"/>
    <n v="6240"/>
    <n v="6240"/>
  </r>
  <r>
    <s v="INV2553"/>
    <x v="339"/>
    <x v="3"/>
    <x v="21"/>
    <n v="1700"/>
    <n v="9"/>
    <n v="15300"/>
    <x v="2"/>
    <n v="2040"/>
    <n v="18360"/>
  </r>
  <r>
    <s v="INV2554"/>
    <x v="339"/>
    <x v="3"/>
    <x v="3"/>
    <n v="800"/>
    <n v="1"/>
    <n v="800"/>
    <x v="1"/>
    <n v="960"/>
    <n v="960"/>
  </r>
  <r>
    <s v="INV2555"/>
    <x v="339"/>
    <x v="1"/>
    <x v="7"/>
    <n v="5200"/>
    <n v="10"/>
    <n v="52000"/>
    <x v="2"/>
    <n v="6240"/>
    <n v="62400"/>
  </r>
  <r>
    <s v="INV2556"/>
    <x v="339"/>
    <x v="1"/>
    <x v="7"/>
    <n v="5200"/>
    <n v="10"/>
    <n v="52000"/>
    <x v="2"/>
    <n v="6240"/>
    <n v="62400"/>
  </r>
  <r>
    <s v="INV2557"/>
    <x v="339"/>
    <x v="3"/>
    <x v="3"/>
    <n v="800"/>
    <n v="1"/>
    <n v="800"/>
    <x v="1"/>
    <n v="960"/>
    <n v="960"/>
  </r>
  <r>
    <s v="INV2558"/>
    <x v="339"/>
    <x v="0"/>
    <x v="19"/>
    <n v="48000"/>
    <n v="7"/>
    <n v="336000"/>
    <x v="2"/>
    <n v="57600"/>
    <n v="403200"/>
  </r>
  <r>
    <s v="INV2559"/>
    <x v="339"/>
    <x v="1"/>
    <x v="5"/>
    <n v="3000"/>
    <n v="2"/>
    <n v="6000"/>
    <x v="2"/>
    <n v="3600"/>
    <n v="7200"/>
  </r>
  <r>
    <s v="INV3055"/>
    <x v="339"/>
    <x v="0"/>
    <x v="31"/>
    <n v="3600"/>
    <n v="3"/>
    <n v="10800"/>
    <x v="2"/>
    <n v="4320"/>
    <n v="12960"/>
  </r>
  <r>
    <s v="INV2560"/>
    <x v="340"/>
    <x v="0"/>
    <x v="22"/>
    <n v="6000"/>
    <n v="2"/>
    <n v="12000"/>
    <x v="2"/>
    <n v="7200"/>
    <n v="14400"/>
  </r>
  <r>
    <s v="INV2561"/>
    <x v="340"/>
    <x v="2"/>
    <x v="30"/>
    <n v="2880"/>
    <n v="4"/>
    <n v="11520"/>
    <x v="1"/>
    <n v="3456"/>
    <n v="13824"/>
  </r>
  <r>
    <s v="INV2562"/>
    <x v="340"/>
    <x v="2"/>
    <x v="2"/>
    <n v="2880"/>
    <n v="9"/>
    <n v="25920"/>
    <x v="2"/>
    <n v="3456"/>
    <n v="31104"/>
  </r>
  <r>
    <s v="INV2563"/>
    <x v="340"/>
    <x v="3"/>
    <x v="29"/>
    <n v="6900"/>
    <n v="10"/>
    <n v="69000"/>
    <x v="1"/>
    <n v="8280"/>
    <n v="82800"/>
  </r>
  <r>
    <s v="INV2564"/>
    <x v="340"/>
    <x v="3"/>
    <x v="4"/>
    <n v="1200"/>
    <n v="1"/>
    <n v="1200"/>
    <x v="0"/>
    <n v="1440"/>
    <n v="1440"/>
  </r>
  <r>
    <s v="INV2565"/>
    <x v="340"/>
    <x v="0"/>
    <x v="19"/>
    <n v="48000"/>
    <n v="8"/>
    <n v="384000"/>
    <x v="2"/>
    <n v="57600"/>
    <n v="460800"/>
  </r>
  <r>
    <s v="INV2566"/>
    <x v="340"/>
    <x v="0"/>
    <x v="0"/>
    <n v="60000"/>
    <n v="9"/>
    <n v="540000"/>
    <x v="0"/>
    <n v="72000"/>
    <n v="648000"/>
  </r>
  <r>
    <s v="INV2788"/>
    <x v="340"/>
    <x v="0"/>
    <x v="24"/>
    <n v="1900"/>
    <n v="5"/>
    <n v="9500"/>
    <x v="0"/>
    <n v="2280"/>
    <n v="11400"/>
  </r>
  <r>
    <s v="INV2851"/>
    <x v="340"/>
    <x v="0"/>
    <x v="24"/>
    <n v="1900"/>
    <n v="6"/>
    <n v="11400"/>
    <x v="1"/>
    <n v="2280"/>
    <n v="13680"/>
  </r>
  <r>
    <s v="INV3855"/>
    <x v="340"/>
    <x v="0"/>
    <x v="31"/>
    <n v="3600"/>
    <n v="4"/>
    <n v="14400"/>
    <x v="0"/>
    <n v="4320"/>
    <n v="17280"/>
  </r>
  <r>
    <s v="INV2567"/>
    <x v="341"/>
    <x v="3"/>
    <x v="3"/>
    <n v="800"/>
    <n v="4"/>
    <n v="3200"/>
    <x v="0"/>
    <n v="960"/>
    <n v="3840"/>
  </r>
  <r>
    <s v="INV2568"/>
    <x v="341"/>
    <x v="3"/>
    <x v="21"/>
    <n v="1700"/>
    <n v="1"/>
    <n v="1700"/>
    <x v="2"/>
    <n v="2040"/>
    <n v="2040"/>
  </r>
  <r>
    <s v="INV2569"/>
    <x v="341"/>
    <x v="0"/>
    <x v="19"/>
    <n v="48000"/>
    <n v="6"/>
    <n v="288000"/>
    <x v="2"/>
    <n v="57600"/>
    <n v="345600"/>
  </r>
  <r>
    <s v="INV2570"/>
    <x v="341"/>
    <x v="2"/>
    <x v="2"/>
    <n v="2880"/>
    <n v="5"/>
    <n v="14400"/>
    <x v="0"/>
    <n v="3456"/>
    <n v="17280"/>
  </r>
  <r>
    <s v="INV2571"/>
    <x v="341"/>
    <x v="2"/>
    <x v="30"/>
    <n v="2880"/>
    <n v="4"/>
    <n v="11520"/>
    <x v="0"/>
    <n v="3456"/>
    <n v="13824"/>
  </r>
  <r>
    <s v="INV2572"/>
    <x v="341"/>
    <x v="3"/>
    <x v="3"/>
    <n v="800"/>
    <n v="6"/>
    <n v="4800"/>
    <x v="0"/>
    <n v="960"/>
    <n v="5760"/>
  </r>
  <r>
    <s v="INV2573"/>
    <x v="341"/>
    <x v="0"/>
    <x v="0"/>
    <n v="60000"/>
    <n v="10"/>
    <n v="600000"/>
    <x v="1"/>
    <n v="72000"/>
    <n v="720000"/>
  </r>
  <r>
    <s v="INV2574"/>
    <x v="341"/>
    <x v="1"/>
    <x v="5"/>
    <n v="3000"/>
    <n v="10"/>
    <n v="30000"/>
    <x v="0"/>
    <n v="3600"/>
    <n v="36000"/>
  </r>
  <r>
    <s v="INV2575"/>
    <x v="341"/>
    <x v="0"/>
    <x v="0"/>
    <n v="60000"/>
    <n v="5"/>
    <n v="300000"/>
    <x v="2"/>
    <n v="72000"/>
    <n v="360000"/>
  </r>
  <r>
    <s v="INV3242"/>
    <x v="341"/>
    <x v="4"/>
    <x v="10"/>
    <n v="9100"/>
    <n v="9"/>
    <n v="81900"/>
    <x v="0"/>
    <n v="10920"/>
    <n v="98280"/>
  </r>
  <r>
    <s v="INV2576"/>
    <x v="342"/>
    <x v="1"/>
    <x v="1"/>
    <n v="400"/>
    <n v="4"/>
    <n v="1600"/>
    <x v="1"/>
    <n v="480"/>
    <n v="1920"/>
  </r>
  <r>
    <s v="INV2577"/>
    <x v="342"/>
    <x v="3"/>
    <x v="21"/>
    <n v="1700"/>
    <n v="2"/>
    <n v="3400"/>
    <x v="1"/>
    <n v="2040"/>
    <n v="4080"/>
  </r>
  <r>
    <s v="INV2578"/>
    <x v="342"/>
    <x v="0"/>
    <x v="9"/>
    <n v="500"/>
    <n v="4"/>
    <n v="2000"/>
    <x v="0"/>
    <n v="600"/>
    <n v="2400"/>
  </r>
  <r>
    <s v="INV2579"/>
    <x v="342"/>
    <x v="2"/>
    <x v="39"/>
    <n v="1750"/>
    <n v="10"/>
    <n v="17500"/>
    <x v="0"/>
    <n v="2100"/>
    <n v="21000"/>
  </r>
  <r>
    <s v="INV2580"/>
    <x v="342"/>
    <x v="2"/>
    <x v="30"/>
    <n v="2880"/>
    <n v="8"/>
    <n v="23040"/>
    <x v="1"/>
    <n v="3456"/>
    <n v="27648"/>
  </r>
  <r>
    <s v="INV2581"/>
    <x v="342"/>
    <x v="3"/>
    <x v="3"/>
    <n v="800"/>
    <n v="1"/>
    <n v="800"/>
    <x v="1"/>
    <n v="960"/>
    <n v="960"/>
  </r>
  <r>
    <s v="INV3025"/>
    <x v="342"/>
    <x v="0"/>
    <x v="24"/>
    <n v="1900"/>
    <n v="10"/>
    <n v="19000"/>
    <x v="0"/>
    <n v="2280"/>
    <n v="22800"/>
  </r>
  <r>
    <s v="INV3415"/>
    <x v="342"/>
    <x v="4"/>
    <x v="10"/>
    <n v="9100"/>
    <n v="2"/>
    <n v="18200"/>
    <x v="0"/>
    <n v="10920"/>
    <n v="21840"/>
  </r>
  <r>
    <s v="INV3723"/>
    <x v="342"/>
    <x v="0"/>
    <x v="19"/>
    <n v="48000"/>
    <n v="4"/>
    <n v="192000"/>
    <x v="0"/>
    <n v="57600"/>
    <n v="230400"/>
  </r>
  <r>
    <s v="INV2582"/>
    <x v="343"/>
    <x v="0"/>
    <x v="22"/>
    <n v="6000"/>
    <n v="1"/>
    <n v="6000"/>
    <x v="1"/>
    <n v="7200"/>
    <n v="7200"/>
  </r>
  <r>
    <s v="INV2583"/>
    <x v="343"/>
    <x v="2"/>
    <x v="30"/>
    <n v="2880"/>
    <n v="7"/>
    <n v="20160"/>
    <x v="1"/>
    <n v="3456"/>
    <n v="24192"/>
  </r>
  <r>
    <s v="INV2584"/>
    <x v="343"/>
    <x v="1"/>
    <x v="5"/>
    <n v="3000"/>
    <n v="3"/>
    <n v="9000"/>
    <x v="2"/>
    <n v="3600"/>
    <n v="10800"/>
  </r>
  <r>
    <s v="INV2585"/>
    <x v="343"/>
    <x v="0"/>
    <x v="9"/>
    <n v="500"/>
    <n v="5"/>
    <n v="2500"/>
    <x v="0"/>
    <n v="600"/>
    <n v="3000"/>
  </r>
  <r>
    <s v="INV2586"/>
    <x v="343"/>
    <x v="0"/>
    <x v="9"/>
    <n v="500"/>
    <n v="10"/>
    <n v="5000"/>
    <x v="0"/>
    <n v="600"/>
    <n v="6000"/>
  </r>
  <r>
    <s v="INV2587"/>
    <x v="343"/>
    <x v="3"/>
    <x v="29"/>
    <n v="6900"/>
    <n v="1"/>
    <n v="6900"/>
    <x v="2"/>
    <n v="8280"/>
    <n v="8280"/>
  </r>
  <r>
    <s v="INV2588"/>
    <x v="343"/>
    <x v="0"/>
    <x v="9"/>
    <n v="500"/>
    <n v="8"/>
    <n v="4000"/>
    <x v="0"/>
    <n v="600"/>
    <n v="4800"/>
  </r>
  <r>
    <s v="INV2589"/>
    <x v="343"/>
    <x v="3"/>
    <x v="29"/>
    <n v="6900"/>
    <n v="2"/>
    <n v="13800"/>
    <x v="2"/>
    <n v="8280"/>
    <n v="16560"/>
  </r>
  <r>
    <s v="INV2590"/>
    <x v="343"/>
    <x v="3"/>
    <x v="21"/>
    <n v="1700"/>
    <n v="7"/>
    <n v="11900"/>
    <x v="0"/>
    <n v="2040"/>
    <n v="14280"/>
  </r>
  <r>
    <s v="INV3338"/>
    <x v="343"/>
    <x v="0"/>
    <x v="19"/>
    <n v="48000"/>
    <n v="8"/>
    <n v="384000"/>
    <x v="1"/>
    <n v="57600"/>
    <n v="460800"/>
  </r>
  <r>
    <s v="INV3477"/>
    <x v="343"/>
    <x v="0"/>
    <x v="23"/>
    <n v="600"/>
    <n v="3"/>
    <n v="1800"/>
    <x v="2"/>
    <n v="720"/>
    <n v="2160"/>
  </r>
  <r>
    <s v="INV3874"/>
    <x v="343"/>
    <x v="3"/>
    <x v="21"/>
    <n v="1700"/>
    <n v="6"/>
    <n v="10200"/>
    <x v="1"/>
    <n v="2040"/>
    <n v="12240"/>
  </r>
  <r>
    <s v="INV2591"/>
    <x v="344"/>
    <x v="2"/>
    <x v="6"/>
    <n v="2880"/>
    <n v="10"/>
    <n v="28800"/>
    <x v="2"/>
    <n v="3456"/>
    <n v="34560"/>
  </r>
  <r>
    <s v="INV2592"/>
    <x v="344"/>
    <x v="0"/>
    <x v="22"/>
    <n v="6000"/>
    <n v="3"/>
    <n v="18000"/>
    <x v="2"/>
    <n v="7200"/>
    <n v="21600"/>
  </r>
  <r>
    <s v="INV2593"/>
    <x v="344"/>
    <x v="2"/>
    <x v="2"/>
    <n v="2880"/>
    <n v="4"/>
    <n v="11520"/>
    <x v="1"/>
    <n v="3456"/>
    <n v="13824"/>
  </r>
  <r>
    <s v="INV2594"/>
    <x v="344"/>
    <x v="3"/>
    <x v="3"/>
    <n v="800"/>
    <n v="3"/>
    <n v="2400"/>
    <x v="1"/>
    <n v="960"/>
    <n v="2880"/>
  </r>
  <r>
    <s v="INV2595"/>
    <x v="344"/>
    <x v="2"/>
    <x v="39"/>
    <n v="1750"/>
    <n v="4"/>
    <n v="7000"/>
    <x v="0"/>
    <n v="2100"/>
    <n v="8400"/>
  </r>
  <r>
    <s v="INV2596"/>
    <x v="344"/>
    <x v="2"/>
    <x v="39"/>
    <n v="1750"/>
    <n v="9"/>
    <n v="15750"/>
    <x v="0"/>
    <n v="2100"/>
    <n v="18900"/>
  </r>
  <r>
    <s v="INV2597"/>
    <x v="344"/>
    <x v="0"/>
    <x v="0"/>
    <n v="60000"/>
    <n v="10"/>
    <n v="600000"/>
    <x v="1"/>
    <n v="72000"/>
    <n v="720000"/>
  </r>
  <r>
    <s v="INV2598"/>
    <x v="344"/>
    <x v="3"/>
    <x v="29"/>
    <n v="6900"/>
    <n v="10"/>
    <n v="69000"/>
    <x v="0"/>
    <n v="8280"/>
    <n v="82800"/>
  </r>
  <r>
    <s v="INV3203"/>
    <x v="344"/>
    <x v="0"/>
    <x v="19"/>
    <n v="48000"/>
    <n v="4"/>
    <n v="192000"/>
    <x v="1"/>
    <n v="57600"/>
    <n v="230400"/>
  </r>
  <r>
    <s v="INV3774"/>
    <x v="344"/>
    <x v="4"/>
    <x v="45"/>
    <n v="120"/>
    <n v="2"/>
    <n v="240"/>
    <x v="2"/>
    <n v="144"/>
    <n v="288"/>
  </r>
  <r>
    <s v="INV3801"/>
    <x v="344"/>
    <x v="0"/>
    <x v="8"/>
    <n v="3300"/>
    <n v="5"/>
    <n v="16500"/>
    <x v="0"/>
    <n v="3960"/>
    <n v="19800"/>
  </r>
  <r>
    <s v="INV2599"/>
    <x v="345"/>
    <x v="1"/>
    <x v="5"/>
    <n v="3000"/>
    <n v="5"/>
    <n v="15000"/>
    <x v="0"/>
    <n v="3600"/>
    <n v="18000"/>
  </r>
  <r>
    <s v="INV2600"/>
    <x v="345"/>
    <x v="0"/>
    <x v="19"/>
    <n v="48000"/>
    <n v="3"/>
    <n v="144000"/>
    <x v="0"/>
    <n v="57600"/>
    <n v="172800"/>
  </r>
  <r>
    <s v="INV2601"/>
    <x v="345"/>
    <x v="1"/>
    <x v="7"/>
    <n v="5200"/>
    <n v="6"/>
    <n v="31200"/>
    <x v="2"/>
    <n v="6240"/>
    <n v="37440"/>
  </r>
  <r>
    <s v="INV2602"/>
    <x v="345"/>
    <x v="1"/>
    <x v="7"/>
    <n v="5200"/>
    <n v="1"/>
    <n v="5200"/>
    <x v="2"/>
    <n v="6240"/>
    <n v="6240"/>
  </r>
  <r>
    <s v="INV2603"/>
    <x v="345"/>
    <x v="2"/>
    <x v="2"/>
    <n v="2880"/>
    <n v="4"/>
    <n v="11520"/>
    <x v="0"/>
    <n v="3456"/>
    <n v="13824"/>
  </r>
  <r>
    <s v="INV2604"/>
    <x v="345"/>
    <x v="3"/>
    <x v="21"/>
    <n v="1700"/>
    <n v="8"/>
    <n v="13600"/>
    <x v="1"/>
    <n v="2040"/>
    <n v="16320"/>
  </r>
  <r>
    <s v="INV2605"/>
    <x v="345"/>
    <x v="3"/>
    <x v="21"/>
    <n v="1700"/>
    <n v="7"/>
    <n v="11900"/>
    <x v="2"/>
    <n v="2040"/>
    <n v="14280"/>
  </r>
  <r>
    <s v="INV2606"/>
    <x v="345"/>
    <x v="3"/>
    <x v="4"/>
    <n v="1200"/>
    <n v="4"/>
    <n v="4800"/>
    <x v="2"/>
    <n v="1440"/>
    <n v="5760"/>
  </r>
  <r>
    <s v="INV3246"/>
    <x v="345"/>
    <x v="3"/>
    <x v="3"/>
    <n v="800"/>
    <n v="8"/>
    <n v="6400"/>
    <x v="1"/>
    <n v="960"/>
    <n v="7680"/>
  </r>
  <r>
    <s v="INV3611"/>
    <x v="345"/>
    <x v="3"/>
    <x v="3"/>
    <n v="800"/>
    <n v="10"/>
    <n v="8000"/>
    <x v="2"/>
    <n v="960"/>
    <n v="9600"/>
  </r>
  <r>
    <s v="INV2607"/>
    <x v="346"/>
    <x v="1"/>
    <x v="1"/>
    <n v="400"/>
    <n v="7"/>
    <n v="2800"/>
    <x v="0"/>
    <n v="480"/>
    <n v="3360"/>
  </r>
  <r>
    <s v="INV2608"/>
    <x v="346"/>
    <x v="2"/>
    <x v="6"/>
    <n v="2880"/>
    <n v="10"/>
    <n v="28800"/>
    <x v="2"/>
    <n v="3456"/>
    <n v="34560"/>
  </r>
  <r>
    <s v="INV2609"/>
    <x v="346"/>
    <x v="2"/>
    <x v="2"/>
    <n v="2880"/>
    <n v="3"/>
    <n v="8640"/>
    <x v="1"/>
    <n v="3456"/>
    <n v="10368"/>
  </r>
  <r>
    <s v="INV2610"/>
    <x v="346"/>
    <x v="1"/>
    <x v="5"/>
    <n v="3000"/>
    <n v="10"/>
    <n v="30000"/>
    <x v="2"/>
    <n v="3600"/>
    <n v="36000"/>
  </r>
  <r>
    <s v="INV2611"/>
    <x v="346"/>
    <x v="0"/>
    <x v="19"/>
    <n v="48000"/>
    <n v="6"/>
    <n v="288000"/>
    <x v="0"/>
    <n v="57600"/>
    <n v="345600"/>
  </r>
  <r>
    <s v="INV2612"/>
    <x v="346"/>
    <x v="1"/>
    <x v="7"/>
    <n v="5200"/>
    <n v="6"/>
    <n v="31200"/>
    <x v="0"/>
    <n v="6240"/>
    <n v="37440"/>
  </r>
  <r>
    <s v="INV2613"/>
    <x v="346"/>
    <x v="0"/>
    <x v="9"/>
    <n v="500"/>
    <n v="10"/>
    <n v="5000"/>
    <x v="0"/>
    <n v="600"/>
    <n v="6000"/>
  </r>
  <r>
    <s v="INV2614"/>
    <x v="346"/>
    <x v="3"/>
    <x v="3"/>
    <n v="800"/>
    <n v="3"/>
    <n v="2400"/>
    <x v="1"/>
    <n v="960"/>
    <n v="2880"/>
  </r>
  <r>
    <s v="INV2937"/>
    <x v="346"/>
    <x v="0"/>
    <x v="8"/>
    <n v="3300"/>
    <n v="10"/>
    <n v="33000"/>
    <x v="0"/>
    <n v="3960"/>
    <n v="39600"/>
  </r>
  <r>
    <s v="INV3398"/>
    <x v="346"/>
    <x v="4"/>
    <x v="10"/>
    <n v="9100"/>
    <n v="4"/>
    <n v="36400"/>
    <x v="0"/>
    <n v="10920"/>
    <n v="43680"/>
  </r>
  <r>
    <s v="INV3416"/>
    <x v="346"/>
    <x v="3"/>
    <x v="21"/>
    <n v="1700"/>
    <n v="5"/>
    <n v="8500"/>
    <x v="1"/>
    <n v="2040"/>
    <n v="10200"/>
  </r>
  <r>
    <s v="INV3484"/>
    <x v="346"/>
    <x v="0"/>
    <x v="8"/>
    <n v="3300"/>
    <n v="1"/>
    <n v="3300"/>
    <x v="1"/>
    <n v="3960"/>
    <n v="3960"/>
  </r>
  <r>
    <s v="INV2615"/>
    <x v="347"/>
    <x v="1"/>
    <x v="1"/>
    <n v="400"/>
    <n v="2"/>
    <n v="800"/>
    <x v="1"/>
    <n v="480"/>
    <n v="960"/>
  </r>
  <r>
    <s v="INV2616"/>
    <x v="347"/>
    <x v="0"/>
    <x v="19"/>
    <n v="48000"/>
    <n v="9"/>
    <n v="432000"/>
    <x v="0"/>
    <n v="57600"/>
    <n v="518400"/>
  </r>
  <r>
    <s v="INV2617"/>
    <x v="347"/>
    <x v="3"/>
    <x v="4"/>
    <n v="1200"/>
    <n v="9"/>
    <n v="10800"/>
    <x v="1"/>
    <n v="1440"/>
    <n v="12960"/>
  </r>
  <r>
    <s v="INV2618"/>
    <x v="347"/>
    <x v="2"/>
    <x v="2"/>
    <n v="2880"/>
    <n v="9"/>
    <n v="25920"/>
    <x v="0"/>
    <n v="3456"/>
    <n v="31104"/>
  </r>
  <r>
    <s v="INV2619"/>
    <x v="347"/>
    <x v="1"/>
    <x v="7"/>
    <n v="5200"/>
    <n v="1"/>
    <n v="5200"/>
    <x v="0"/>
    <n v="6240"/>
    <n v="6240"/>
  </r>
  <r>
    <s v="INV2620"/>
    <x v="347"/>
    <x v="0"/>
    <x v="0"/>
    <n v="60000"/>
    <n v="10"/>
    <n v="600000"/>
    <x v="1"/>
    <n v="72000"/>
    <n v="720000"/>
  </r>
  <r>
    <s v="INV2778"/>
    <x v="347"/>
    <x v="4"/>
    <x v="45"/>
    <n v="120"/>
    <n v="5"/>
    <n v="600"/>
    <x v="2"/>
    <n v="144"/>
    <n v="720"/>
  </r>
  <r>
    <s v="INV3146"/>
    <x v="347"/>
    <x v="0"/>
    <x v="9"/>
    <n v="500"/>
    <n v="8"/>
    <n v="4000"/>
    <x v="1"/>
    <n v="600"/>
    <n v="4800"/>
  </r>
  <r>
    <s v="INV3525"/>
    <x v="347"/>
    <x v="4"/>
    <x v="10"/>
    <n v="9100"/>
    <n v="10"/>
    <n v="91000"/>
    <x v="1"/>
    <n v="10920"/>
    <n v="109200"/>
  </r>
  <r>
    <s v="INV2621"/>
    <x v="348"/>
    <x v="0"/>
    <x v="22"/>
    <n v="6000"/>
    <n v="7"/>
    <n v="42000"/>
    <x v="1"/>
    <n v="7200"/>
    <n v="50400"/>
  </r>
  <r>
    <s v="INV2622"/>
    <x v="348"/>
    <x v="3"/>
    <x v="29"/>
    <n v="6900"/>
    <n v="7"/>
    <n v="48300"/>
    <x v="1"/>
    <n v="8280"/>
    <n v="57960"/>
  </r>
  <r>
    <s v="INV2623"/>
    <x v="348"/>
    <x v="1"/>
    <x v="7"/>
    <n v="5200"/>
    <n v="6"/>
    <n v="31200"/>
    <x v="0"/>
    <n v="6240"/>
    <n v="37440"/>
  </r>
  <r>
    <s v="INV2624"/>
    <x v="348"/>
    <x v="1"/>
    <x v="5"/>
    <n v="3000"/>
    <n v="10"/>
    <n v="30000"/>
    <x v="0"/>
    <n v="3600"/>
    <n v="36000"/>
  </r>
  <r>
    <s v="INV2625"/>
    <x v="348"/>
    <x v="3"/>
    <x v="4"/>
    <n v="1200"/>
    <n v="5"/>
    <n v="6000"/>
    <x v="0"/>
    <n v="1440"/>
    <n v="7200"/>
  </r>
  <r>
    <s v="INV2626"/>
    <x v="348"/>
    <x v="0"/>
    <x v="19"/>
    <n v="48000"/>
    <n v="6"/>
    <n v="288000"/>
    <x v="0"/>
    <n v="57600"/>
    <n v="345600"/>
  </r>
  <r>
    <s v="INV2627"/>
    <x v="348"/>
    <x v="1"/>
    <x v="5"/>
    <n v="3000"/>
    <n v="10"/>
    <n v="30000"/>
    <x v="0"/>
    <n v="3600"/>
    <n v="36000"/>
  </r>
  <r>
    <s v="INV2628"/>
    <x v="348"/>
    <x v="1"/>
    <x v="7"/>
    <n v="5200"/>
    <n v="5"/>
    <n v="26000"/>
    <x v="2"/>
    <n v="6240"/>
    <n v="31200"/>
  </r>
  <r>
    <s v="INV2629"/>
    <x v="348"/>
    <x v="0"/>
    <x v="9"/>
    <n v="500"/>
    <n v="10"/>
    <n v="5000"/>
    <x v="2"/>
    <n v="600"/>
    <n v="6000"/>
  </r>
  <r>
    <s v="INV3307"/>
    <x v="348"/>
    <x v="0"/>
    <x v="31"/>
    <n v="3600"/>
    <n v="7"/>
    <n v="25200"/>
    <x v="1"/>
    <n v="4320"/>
    <n v="30240"/>
  </r>
  <r>
    <s v="INV2630"/>
    <x v="349"/>
    <x v="2"/>
    <x v="39"/>
    <n v="1750"/>
    <n v="8"/>
    <n v="14000"/>
    <x v="0"/>
    <n v="2100"/>
    <n v="16800"/>
  </r>
  <r>
    <s v="INV2631"/>
    <x v="349"/>
    <x v="3"/>
    <x v="3"/>
    <n v="800"/>
    <n v="1"/>
    <n v="800"/>
    <x v="1"/>
    <n v="960"/>
    <n v="960"/>
  </r>
  <r>
    <s v="INV2632"/>
    <x v="349"/>
    <x v="2"/>
    <x v="6"/>
    <n v="2880"/>
    <n v="9"/>
    <n v="25920"/>
    <x v="2"/>
    <n v="3456"/>
    <n v="31104"/>
  </r>
  <r>
    <s v="INV2633"/>
    <x v="349"/>
    <x v="3"/>
    <x v="29"/>
    <n v="6900"/>
    <n v="9"/>
    <n v="62100"/>
    <x v="2"/>
    <n v="8280"/>
    <n v="74520"/>
  </r>
  <r>
    <s v="INV2634"/>
    <x v="349"/>
    <x v="0"/>
    <x v="19"/>
    <n v="48000"/>
    <n v="6"/>
    <n v="288000"/>
    <x v="1"/>
    <n v="57600"/>
    <n v="345600"/>
  </r>
  <r>
    <s v="INV2635"/>
    <x v="349"/>
    <x v="1"/>
    <x v="5"/>
    <n v="3000"/>
    <n v="1"/>
    <n v="3000"/>
    <x v="1"/>
    <n v="3600"/>
    <n v="3600"/>
  </r>
  <r>
    <s v="INV3008"/>
    <x v="349"/>
    <x v="0"/>
    <x v="24"/>
    <n v="1900"/>
    <n v="2"/>
    <n v="3800"/>
    <x v="0"/>
    <n v="2280"/>
    <n v="4560"/>
  </r>
  <r>
    <s v="INV3311"/>
    <x v="349"/>
    <x v="0"/>
    <x v="31"/>
    <n v="3600"/>
    <n v="9"/>
    <n v="32400"/>
    <x v="0"/>
    <n v="4320"/>
    <n v="38880"/>
  </r>
  <r>
    <s v="INV3719"/>
    <x v="349"/>
    <x v="0"/>
    <x v="19"/>
    <n v="48000"/>
    <n v="4"/>
    <n v="192000"/>
    <x v="0"/>
    <n v="57600"/>
    <n v="230400"/>
  </r>
  <r>
    <s v="INV3732"/>
    <x v="349"/>
    <x v="0"/>
    <x v="24"/>
    <n v="1900"/>
    <n v="2"/>
    <n v="3800"/>
    <x v="2"/>
    <n v="2280"/>
    <n v="4560"/>
  </r>
  <r>
    <s v="INV3906"/>
    <x v="349"/>
    <x v="0"/>
    <x v="9"/>
    <n v="500"/>
    <n v="3"/>
    <n v="1500"/>
    <x v="0"/>
    <n v="600"/>
    <n v="1800"/>
  </r>
  <r>
    <s v="INV2636"/>
    <x v="350"/>
    <x v="3"/>
    <x v="29"/>
    <n v="6900"/>
    <n v="4"/>
    <n v="27600"/>
    <x v="1"/>
    <n v="8280"/>
    <n v="33120"/>
  </r>
  <r>
    <s v="INV2637"/>
    <x v="350"/>
    <x v="0"/>
    <x v="22"/>
    <n v="6000"/>
    <n v="9"/>
    <n v="54000"/>
    <x v="2"/>
    <n v="7200"/>
    <n v="64800"/>
  </r>
  <r>
    <s v="INV2638"/>
    <x v="350"/>
    <x v="2"/>
    <x v="39"/>
    <n v="1750"/>
    <n v="10"/>
    <n v="17500"/>
    <x v="2"/>
    <n v="2100"/>
    <n v="21000"/>
  </r>
  <r>
    <s v="INV2639"/>
    <x v="350"/>
    <x v="1"/>
    <x v="1"/>
    <n v="400"/>
    <n v="1"/>
    <n v="400"/>
    <x v="1"/>
    <n v="480"/>
    <n v="480"/>
  </r>
  <r>
    <s v="INV2640"/>
    <x v="350"/>
    <x v="2"/>
    <x v="2"/>
    <n v="2880"/>
    <n v="5"/>
    <n v="14400"/>
    <x v="0"/>
    <n v="3456"/>
    <n v="17280"/>
  </r>
  <r>
    <s v="INV2641"/>
    <x v="350"/>
    <x v="3"/>
    <x v="21"/>
    <n v="1700"/>
    <n v="2"/>
    <n v="3400"/>
    <x v="2"/>
    <n v="2040"/>
    <n v="4080"/>
  </r>
  <r>
    <s v="INV2642"/>
    <x v="350"/>
    <x v="0"/>
    <x v="19"/>
    <n v="48000"/>
    <n v="8"/>
    <n v="384000"/>
    <x v="2"/>
    <n v="57600"/>
    <n v="460800"/>
  </r>
  <r>
    <s v="INV2643"/>
    <x v="350"/>
    <x v="3"/>
    <x v="21"/>
    <n v="1700"/>
    <n v="5"/>
    <n v="8500"/>
    <x v="0"/>
    <n v="2040"/>
    <n v="10200"/>
  </r>
  <r>
    <s v="INV3673"/>
    <x v="350"/>
    <x v="4"/>
    <x v="45"/>
    <n v="120"/>
    <n v="1"/>
    <n v="120"/>
    <x v="1"/>
    <n v="144"/>
    <n v="144"/>
  </r>
  <r>
    <s v="INV3926"/>
    <x v="350"/>
    <x v="3"/>
    <x v="3"/>
    <n v="800"/>
    <n v="6"/>
    <n v="4800"/>
    <x v="2"/>
    <n v="960"/>
    <n v="5760"/>
  </r>
  <r>
    <s v="INV2644"/>
    <x v="351"/>
    <x v="3"/>
    <x v="3"/>
    <n v="800"/>
    <n v="9"/>
    <n v="7200"/>
    <x v="2"/>
    <n v="960"/>
    <n v="8640"/>
  </r>
  <r>
    <s v="INV2645"/>
    <x v="351"/>
    <x v="3"/>
    <x v="21"/>
    <n v="1700"/>
    <n v="7"/>
    <n v="11900"/>
    <x v="0"/>
    <n v="2040"/>
    <n v="14280"/>
  </r>
  <r>
    <s v="INV2646"/>
    <x v="351"/>
    <x v="2"/>
    <x v="6"/>
    <n v="2880"/>
    <n v="5"/>
    <n v="14400"/>
    <x v="1"/>
    <n v="3456"/>
    <n v="17280"/>
  </r>
  <r>
    <s v="INV2647"/>
    <x v="351"/>
    <x v="3"/>
    <x v="21"/>
    <n v="1700"/>
    <n v="3"/>
    <n v="5100"/>
    <x v="2"/>
    <n v="2040"/>
    <n v="6120"/>
  </r>
  <r>
    <s v="INV2648"/>
    <x v="351"/>
    <x v="0"/>
    <x v="19"/>
    <n v="48000"/>
    <n v="2"/>
    <n v="96000"/>
    <x v="1"/>
    <n v="57600"/>
    <n v="115200"/>
  </r>
  <r>
    <s v="INV2649"/>
    <x v="351"/>
    <x v="3"/>
    <x v="21"/>
    <n v="1700"/>
    <n v="10"/>
    <n v="17000"/>
    <x v="2"/>
    <n v="2040"/>
    <n v="20400"/>
  </r>
  <r>
    <s v="INV2650"/>
    <x v="351"/>
    <x v="0"/>
    <x v="22"/>
    <n v="6000"/>
    <n v="9"/>
    <n v="54000"/>
    <x v="2"/>
    <n v="7200"/>
    <n v="64800"/>
  </r>
  <r>
    <s v="INV3127"/>
    <x v="351"/>
    <x v="0"/>
    <x v="31"/>
    <n v="3600"/>
    <n v="5"/>
    <n v="18000"/>
    <x v="1"/>
    <n v="4320"/>
    <n v="21600"/>
  </r>
  <r>
    <s v="INV3239"/>
    <x v="351"/>
    <x v="0"/>
    <x v="31"/>
    <n v="3600"/>
    <n v="1"/>
    <n v="3600"/>
    <x v="2"/>
    <n v="4320"/>
    <n v="4320"/>
  </r>
  <r>
    <s v="INV3463"/>
    <x v="351"/>
    <x v="0"/>
    <x v="23"/>
    <n v="600"/>
    <n v="2"/>
    <n v="1200"/>
    <x v="1"/>
    <n v="720"/>
    <n v="1440"/>
  </r>
  <r>
    <s v="INV3741"/>
    <x v="351"/>
    <x v="3"/>
    <x v="21"/>
    <n v="1700"/>
    <n v="10"/>
    <n v="17000"/>
    <x v="0"/>
    <n v="2040"/>
    <n v="20400"/>
  </r>
  <r>
    <s v="INV2651"/>
    <x v="352"/>
    <x v="2"/>
    <x v="39"/>
    <n v="1750"/>
    <n v="3"/>
    <n v="5250"/>
    <x v="2"/>
    <n v="2100"/>
    <n v="6300"/>
  </r>
  <r>
    <s v="INV2652"/>
    <x v="352"/>
    <x v="1"/>
    <x v="1"/>
    <n v="400"/>
    <n v="8"/>
    <n v="3200"/>
    <x v="1"/>
    <n v="480"/>
    <n v="3840"/>
  </r>
  <r>
    <s v="INV2653"/>
    <x v="352"/>
    <x v="1"/>
    <x v="1"/>
    <n v="400"/>
    <n v="9"/>
    <n v="3600"/>
    <x v="1"/>
    <n v="480"/>
    <n v="4320"/>
  </r>
  <r>
    <s v="INV2654"/>
    <x v="352"/>
    <x v="2"/>
    <x v="39"/>
    <n v="1750"/>
    <n v="1"/>
    <n v="1750"/>
    <x v="1"/>
    <n v="2100"/>
    <n v="2100"/>
  </r>
  <r>
    <s v="INV2655"/>
    <x v="352"/>
    <x v="0"/>
    <x v="19"/>
    <n v="48000"/>
    <n v="5"/>
    <n v="240000"/>
    <x v="0"/>
    <n v="57600"/>
    <n v="288000"/>
  </r>
  <r>
    <s v="INV2656"/>
    <x v="352"/>
    <x v="2"/>
    <x v="39"/>
    <n v="1750"/>
    <n v="8"/>
    <n v="14000"/>
    <x v="2"/>
    <n v="2100"/>
    <n v="16800"/>
  </r>
  <r>
    <s v="INV2819"/>
    <x v="352"/>
    <x v="0"/>
    <x v="24"/>
    <n v="1900"/>
    <n v="7"/>
    <n v="13300"/>
    <x v="0"/>
    <n v="2280"/>
    <n v="15960"/>
  </r>
  <r>
    <s v="INV3385"/>
    <x v="352"/>
    <x v="0"/>
    <x v="24"/>
    <n v="1900"/>
    <n v="2"/>
    <n v="3800"/>
    <x v="2"/>
    <n v="2280"/>
    <n v="4560"/>
  </r>
  <r>
    <s v="INV3490"/>
    <x v="352"/>
    <x v="0"/>
    <x v="9"/>
    <n v="500"/>
    <n v="1"/>
    <n v="500"/>
    <x v="1"/>
    <n v="600"/>
    <n v="600"/>
  </r>
  <r>
    <s v="INV3736"/>
    <x v="352"/>
    <x v="0"/>
    <x v="23"/>
    <n v="600"/>
    <n v="6"/>
    <n v="3600"/>
    <x v="2"/>
    <n v="720"/>
    <n v="4320"/>
  </r>
  <r>
    <s v="INV3891"/>
    <x v="352"/>
    <x v="0"/>
    <x v="23"/>
    <n v="600"/>
    <n v="5"/>
    <n v="3000"/>
    <x v="0"/>
    <n v="720"/>
    <n v="3600"/>
  </r>
  <r>
    <s v="INV2657"/>
    <x v="353"/>
    <x v="0"/>
    <x v="22"/>
    <n v="6000"/>
    <n v="1"/>
    <n v="6000"/>
    <x v="0"/>
    <n v="7200"/>
    <n v="7200"/>
  </r>
  <r>
    <s v="INV2658"/>
    <x v="353"/>
    <x v="0"/>
    <x v="9"/>
    <n v="500"/>
    <n v="8"/>
    <n v="4000"/>
    <x v="0"/>
    <n v="600"/>
    <n v="4800"/>
  </r>
  <r>
    <s v="INV2659"/>
    <x v="353"/>
    <x v="3"/>
    <x v="21"/>
    <n v="1700"/>
    <n v="5"/>
    <n v="8500"/>
    <x v="2"/>
    <n v="2040"/>
    <n v="10200"/>
  </r>
  <r>
    <s v="INV2660"/>
    <x v="353"/>
    <x v="3"/>
    <x v="3"/>
    <n v="800"/>
    <n v="6"/>
    <n v="4800"/>
    <x v="0"/>
    <n v="960"/>
    <n v="5760"/>
  </r>
  <r>
    <s v="INV2661"/>
    <x v="353"/>
    <x v="1"/>
    <x v="7"/>
    <n v="5200"/>
    <n v="9"/>
    <n v="46800"/>
    <x v="2"/>
    <n v="6240"/>
    <n v="56160"/>
  </r>
  <r>
    <s v="INV2662"/>
    <x v="353"/>
    <x v="0"/>
    <x v="0"/>
    <n v="60000"/>
    <n v="5"/>
    <n v="300000"/>
    <x v="2"/>
    <n v="72000"/>
    <n v="360000"/>
  </r>
  <r>
    <s v="INV2663"/>
    <x v="353"/>
    <x v="0"/>
    <x v="19"/>
    <n v="48000"/>
    <n v="1"/>
    <n v="48000"/>
    <x v="0"/>
    <n v="57600"/>
    <n v="57600"/>
  </r>
  <r>
    <s v="INV2664"/>
    <x v="353"/>
    <x v="2"/>
    <x v="30"/>
    <n v="2880"/>
    <n v="4"/>
    <n v="11520"/>
    <x v="2"/>
    <n v="3456"/>
    <n v="13824"/>
  </r>
  <r>
    <s v="INV2665"/>
    <x v="353"/>
    <x v="3"/>
    <x v="21"/>
    <n v="1700"/>
    <n v="8"/>
    <n v="13600"/>
    <x v="2"/>
    <n v="2040"/>
    <n v="16320"/>
  </r>
  <r>
    <s v="INV2797"/>
    <x v="353"/>
    <x v="3"/>
    <x v="3"/>
    <n v="800"/>
    <n v="9"/>
    <n v="7200"/>
    <x v="0"/>
    <n v="960"/>
    <n v="8640"/>
  </r>
  <r>
    <s v="INV3312"/>
    <x v="353"/>
    <x v="0"/>
    <x v="31"/>
    <n v="3600"/>
    <n v="10"/>
    <n v="36000"/>
    <x v="1"/>
    <n v="4320"/>
    <n v="43200"/>
  </r>
  <r>
    <s v="INV3560"/>
    <x v="353"/>
    <x v="0"/>
    <x v="8"/>
    <n v="3300"/>
    <n v="1"/>
    <n v="3300"/>
    <x v="0"/>
    <n v="3960"/>
    <n v="3960"/>
  </r>
  <r>
    <s v="INV3635"/>
    <x v="353"/>
    <x v="4"/>
    <x v="45"/>
    <n v="120"/>
    <n v="5"/>
    <n v="600"/>
    <x v="2"/>
    <n v="144"/>
    <n v="720"/>
  </r>
  <r>
    <s v="INV2666"/>
    <x v="354"/>
    <x v="1"/>
    <x v="7"/>
    <n v="5200"/>
    <n v="4"/>
    <n v="20800"/>
    <x v="0"/>
    <n v="6240"/>
    <n v="24960"/>
  </r>
  <r>
    <s v="INV2667"/>
    <x v="354"/>
    <x v="0"/>
    <x v="0"/>
    <n v="60000"/>
    <n v="5"/>
    <n v="300000"/>
    <x v="2"/>
    <n v="72000"/>
    <n v="360000"/>
  </r>
  <r>
    <s v="INV2668"/>
    <x v="354"/>
    <x v="2"/>
    <x v="2"/>
    <n v="2880"/>
    <n v="10"/>
    <n v="28800"/>
    <x v="2"/>
    <n v="3456"/>
    <n v="34560"/>
  </r>
  <r>
    <s v="INV2669"/>
    <x v="354"/>
    <x v="0"/>
    <x v="19"/>
    <n v="48000"/>
    <n v="1"/>
    <n v="48000"/>
    <x v="1"/>
    <n v="57600"/>
    <n v="57600"/>
  </r>
  <r>
    <s v="INV2670"/>
    <x v="354"/>
    <x v="2"/>
    <x v="2"/>
    <n v="2880"/>
    <n v="1"/>
    <n v="2880"/>
    <x v="1"/>
    <n v="3456"/>
    <n v="3456"/>
  </r>
  <r>
    <s v="INV2671"/>
    <x v="354"/>
    <x v="3"/>
    <x v="4"/>
    <n v="1200"/>
    <n v="8"/>
    <n v="9600"/>
    <x v="0"/>
    <n v="1440"/>
    <n v="11520"/>
  </r>
  <r>
    <s v="INV2672"/>
    <x v="354"/>
    <x v="3"/>
    <x v="3"/>
    <n v="800"/>
    <n v="2"/>
    <n v="1600"/>
    <x v="0"/>
    <n v="960"/>
    <n v="1920"/>
  </r>
  <r>
    <s v="INV3020"/>
    <x v="354"/>
    <x v="0"/>
    <x v="23"/>
    <n v="600"/>
    <n v="3"/>
    <n v="1800"/>
    <x v="1"/>
    <n v="720"/>
    <n v="2160"/>
  </r>
  <r>
    <s v="INV3427"/>
    <x v="354"/>
    <x v="0"/>
    <x v="31"/>
    <n v="3600"/>
    <n v="6"/>
    <n v="21600"/>
    <x v="0"/>
    <n v="4320"/>
    <n v="25920"/>
  </r>
  <r>
    <s v="INV3678"/>
    <x v="354"/>
    <x v="3"/>
    <x v="21"/>
    <n v="1700"/>
    <n v="8"/>
    <n v="13600"/>
    <x v="0"/>
    <n v="2040"/>
    <n v="16320"/>
  </r>
  <r>
    <s v="INV2673"/>
    <x v="355"/>
    <x v="2"/>
    <x v="39"/>
    <n v="1750"/>
    <n v="1"/>
    <n v="1750"/>
    <x v="2"/>
    <n v="2100"/>
    <n v="2100"/>
  </r>
  <r>
    <s v="INV2674"/>
    <x v="355"/>
    <x v="3"/>
    <x v="3"/>
    <n v="800"/>
    <n v="6"/>
    <n v="4800"/>
    <x v="0"/>
    <n v="960"/>
    <n v="5760"/>
  </r>
  <r>
    <s v="INV2675"/>
    <x v="355"/>
    <x v="1"/>
    <x v="5"/>
    <n v="3000"/>
    <n v="1"/>
    <n v="3000"/>
    <x v="2"/>
    <n v="3600"/>
    <n v="3600"/>
  </r>
  <r>
    <s v="INV2676"/>
    <x v="355"/>
    <x v="3"/>
    <x v="21"/>
    <n v="1700"/>
    <n v="9"/>
    <n v="15300"/>
    <x v="0"/>
    <n v="2040"/>
    <n v="18360"/>
  </r>
  <r>
    <s v="INV2677"/>
    <x v="355"/>
    <x v="3"/>
    <x v="4"/>
    <n v="1200"/>
    <n v="2"/>
    <n v="2400"/>
    <x v="1"/>
    <n v="1440"/>
    <n v="2880"/>
  </r>
  <r>
    <s v="INV2678"/>
    <x v="355"/>
    <x v="3"/>
    <x v="21"/>
    <n v="1700"/>
    <n v="4"/>
    <n v="6800"/>
    <x v="2"/>
    <n v="2040"/>
    <n v="8160"/>
  </r>
  <r>
    <s v="INV2679"/>
    <x v="355"/>
    <x v="1"/>
    <x v="7"/>
    <n v="5200"/>
    <n v="8"/>
    <n v="41600"/>
    <x v="1"/>
    <n v="6240"/>
    <n v="49920"/>
  </r>
  <r>
    <s v="INV2680"/>
    <x v="355"/>
    <x v="0"/>
    <x v="22"/>
    <n v="6000"/>
    <n v="4"/>
    <n v="24000"/>
    <x v="0"/>
    <n v="7200"/>
    <n v="28800"/>
  </r>
  <r>
    <s v="INV2681"/>
    <x v="355"/>
    <x v="2"/>
    <x v="39"/>
    <n v="1750"/>
    <n v="1"/>
    <n v="1750"/>
    <x v="1"/>
    <n v="2100"/>
    <n v="2100"/>
  </r>
  <r>
    <s v="INV2777"/>
    <x v="355"/>
    <x v="0"/>
    <x v="19"/>
    <n v="48000"/>
    <n v="8"/>
    <n v="384000"/>
    <x v="0"/>
    <n v="57600"/>
    <n v="460800"/>
  </r>
  <r>
    <s v="INV2892"/>
    <x v="355"/>
    <x v="0"/>
    <x v="8"/>
    <n v="3300"/>
    <n v="6"/>
    <n v="19800"/>
    <x v="1"/>
    <n v="3960"/>
    <n v="23760"/>
  </r>
  <r>
    <s v="INV3235"/>
    <x v="355"/>
    <x v="0"/>
    <x v="9"/>
    <n v="500"/>
    <n v="9"/>
    <n v="4500"/>
    <x v="0"/>
    <n v="600"/>
    <n v="5400"/>
  </r>
  <r>
    <s v="INV2682"/>
    <x v="356"/>
    <x v="2"/>
    <x v="39"/>
    <n v="1750"/>
    <n v="10"/>
    <n v="17500"/>
    <x v="0"/>
    <n v="2100"/>
    <n v="21000"/>
  </r>
  <r>
    <s v="INV2683"/>
    <x v="356"/>
    <x v="0"/>
    <x v="0"/>
    <n v="60000"/>
    <n v="1"/>
    <n v="60000"/>
    <x v="1"/>
    <n v="72000"/>
    <n v="72000"/>
  </r>
  <r>
    <s v="INV2684"/>
    <x v="356"/>
    <x v="2"/>
    <x v="2"/>
    <n v="2880"/>
    <n v="2"/>
    <n v="5760"/>
    <x v="0"/>
    <n v="3456"/>
    <n v="6912"/>
  </r>
  <r>
    <s v="INV2685"/>
    <x v="356"/>
    <x v="2"/>
    <x v="2"/>
    <n v="2880"/>
    <n v="5"/>
    <n v="14400"/>
    <x v="0"/>
    <n v="3456"/>
    <n v="17280"/>
  </r>
  <r>
    <s v="INV2686"/>
    <x v="356"/>
    <x v="0"/>
    <x v="19"/>
    <n v="48000"/>
    <n v="6"/>
    <n v="288000"/>
    <x v="2"/>
    <n v="57600"/>
    <n v="345600"/>
  </r>
  <r>
    <s v="INV2687"/>
    <x v="356"/>
    <x v="3"/>
    <x v="21"/>
    <n v="1700"/>
    <n v="4"/>
    <n v="6800"/>
    <x v="1"/>
    <n v="2040"/>
    <n v="8160"/>
  </r>
  <r>
    <s v="INV2688"/>
    <x v="356"/>
    <x v="1"/>
    <x v="7"/>
    <n v="5200"/>
    <n v="1"/>
    <n v="5200"/>
    <x v="2"/>
    <n v="6240"/>
    <n v="6240"/>
  </r>
  <r>
    <s v="INV2689"/>
    <x v="356"/>
    <x v="1"/>
    <x v="1"/>
    <n v="400"/>
    <n v="7"/>
    <n v="2800"/>
    <x v="2"/>
    <n v="480"/>
    <n v="3360"/>
  </r>
  <r>
    <s v="INV2983"/>
    <x v="356"/>
    <x v="0"/>
    <x v="9"/>
    <n v="500"/>
    <n v="9"/>
    <n v="4500"/>
    <x v="2"/>
    <n v="600"/>
    <n v="5400"/>
  </r>
  <r>
    <s v="INV3080"/>
    <x v="356"/>
    <x v="0"/>
    <x v="31"/>
    <n v="3600"/>
    <n v="10"/>
    <n v="36000"/>
    <x v="1"/>
    <n v="4320"/>
    <n v="43200"/>
  </r>
  <r>
    <s v="INV3455"/>
    <x v="356"/>
    <x v="0"/>
    <x v="23"/>
    <n v="600"/>
    <n v="1"/>
    <n v="600"/>
    <x v="2"/>
    <n v="720"/>
    <n v="720"/>
  </r>
  <r>
    <s v="INV3471"/>
    <x v="356"/>
    <x v="0"/>
    <x v="24"/>
    <n v="1900"/>
    <n v="1"/>
    <n v="1900"/>
    <x v="1"/>
    <n v="2280"/>
    <n v="2280"/>
  </r>
  <r>
    <s v="INV2690"/>
    <x v="357"/>
    <x v="3"/>
    <x v="3"/>
    <n v="800"/>
    <n v="9"/>
    <n v="7200"/>
    <x v="2"/>
    <n v="960"/>
    <n v="8640"/>
  </r>
  <r>
    <s v="INV2691"/>
    <x v="357"/>
    <x v="2"/>
    <x v="2"/>
    <n v="2880"/>
    <n v="4"/>
    <n v="11520"/>
    <x v="0"/>
    <n v="3456"/>
    <n v="13824"/>
  </r>
  <r>
    <s v="INV2692"/>
    <x v="357"/>
    <x v="1"/>
    <x v="5"/>
    <n v="3000"/>
    <n v="4"/>
    <n v="12000"/>
    <x v="0"/>
    <n v="3600"/>
    <n v="14400"/>
  </r>
  <r>
    <s v="INV2693"/>
    <x v="357"/>
    <x v="0"/>
    <x v="19"/>
    <n v="48000"/>
    <n v="1"/>
    <n v="48000"/>
    <x v="0"/>
    <n v="57600"/>
    <n v="57600"/>
  </r>
  <r>
    <s v="INV2694"/>
    <x v="357"/>
    <x v="2"/>
    <x v="39"/>
    <n v="1750"/>
    <n v="5"/>
    <n v="8750"/>
    <x v="0"/>
    <n v="2100"/>
    <n v="10500"/>
  </r>
  <r>
    <s v="INV2695"/>
    <x v="357"/>
    <x v="0"/>
    <x v="0"/>
    <n v="60000"/>
    <n v="1"/>
    <n v="60000"/>
    <x v="2"/>
    <n v="72000"/>
    <n v="72000"/>
  </r>
  <r>
    <s v="INV2866"/>
    <x v="357"/>
    <x v="0"/>
    <x v="23"/>
    <n v="600"/>
    <n v="7"/>
    <n v="4200"/>
    <x v="0"/>
    <n v="720"/>
    <n v="5040"/>
  </r>
  <r>
    <s v="INV2930"/>
    <x v="357"/>
    <x v="0"/>
    <x v="19"/>
    <n v="48000"/>
    <n v="4"/>
    <n v="192000"/>
    <x v="1"/>
    <n v="57600"/>
    <n v="230400"/>
  </r>
  <r>
    <s v="INV3244"/>
    <x v="357"/>
    <x v="0"/>
    <x v="23"/>
    <n v="600"/>
    <n v="6"/>
    <n v="3600"/>
    <x v="2"/>
    <n v="720"/>
    <n v="4320"/>
  </r>
  <r>
    <s v="INV3639"/>
    <x v="357"/>
    <x v="4"/>
    <x v="45"/>
    <n v="120"/>
    <n v="10"/>
    <n v="1200"/>
    <x v="1"/>
    <n v="144"/>
    <n v="1440"/>
  </r>
  <r>
    <s v="INV2696"/>
    <x v="358"/>
    <x v="0"/>
    <x v="9"/>
    <n v="500"/>
    <n v="2"/>
    <n v="1000"/>
    <x v="0"/>
    <n v="600"/>
    <n v="1200"/>
  </r>
  <r>
    <s v="INV2697"/>
    <x v="358"/>
    <x v="2"/>
    <x v="6"/>
    <n v="2880"/>
    <n v="8"/>
    <n v="23040"/>
    <x v="2"/>
    <n v="3456"/>
    <n v="27648"/>
  </r>
  <r>
    <s v="INV2698"/>
    <x v="358"/>
    <x v="0"/>
    <x v="0"/>
    <n v="60000"/>
    <n v="6"/>
    <n v="360000"/>
    <x v="2"/>
    <n v="72000"/>
    <n v="432000"/>
  </r>
  <r>
    <s v="INV2699"/>
    <x v="358"/>
    <x v="0"/>
    <x v="0"/>
    <n v="60000"/>
    <n v="10"/>
    <n v="600000"/>
    <x v="1"/>
    <n v="72000"/>
    <n v="720000"/>
  </r>
  <r>
    <s v="INV2700"/>
    <x v="358"/>
    <x v="3"/>
    <x v="21"/>
    <n v="1700"/>
    <n v="2"/>
    <n v="3400"/>
    <x v="1"/>
    <n v="2040"/>
    <n v="4080"/>
  </r>
  <r>
    <s v="INV2701"/>
    <x v="358"/>
    <x v="1"/>
    <x v="1"/>
    <n v="400"/>
    <n v="3"/>
    <n v="1200"/>
    <x v="1"/>
    <n v="480"/>
    <n v="1440"/>
  </r>
  <r>
    <s v="INV3013"/>
    <x v="358"/>
    <x v="0"/>
    <x v="31"/>
    <n v="3600"/>
    <n v="10"/>
    <n v="36000"/>
    <x v="1"/>
    <n v="4320"/>
    <n v="43200"/>
  </r>
  <r>
    <s v="INV3222"/>
    <x v="358"/>
    <x v="0"/>
    <x v="23"/>
    <n v="600"/>
    <n v="10"/>
    <n v="6000"/>
    <x v="0"/>
    <n v="720"/>
    <n v="7200"/>
  </r>
  <r>
    <s v="INV3259"/>
    <x v="358"/>
    <x v="0"/>
    <x v="9"/>
    <n v="500"/>
    <n v="2"/>
    <n v="1000"/>
    <x v="0"/>
    <n v="600"/>
    <n v="1200"/>
  </r>
  <r>
    <s v="INV3594"/>
    <x v="358"/>
    <x v="3"/>
    <x v="21"/>
    <n v="1700"/>
    <n v="10"/>
    <n v="17000"/>
    <x v="2"/>
    <n v="2040"/>
    <n v="20400"/>
  </r>
  <r>
    <s v="INV2702"/>
    <x v="359"/>
    <x v="3"/>
    <x v="3"/>
    <n v="800"/>
    <n v="10"/>
    <n v="8000"/>
    <x v="2"/>
    <n v="960"/>
    <n v="9600"/>
  </r>
  <r>
    <s v="INV2703"/>
    <x v="359"/>
    <x v="0"/>
    <x v="0"/>
    <n v="60000"/>
    <n v="2"/>
    <n v="120000"/>
    <x v="0"/>
    <n v="72000"/>
    <n v="144000"/>
  </r>
  <r>
    <s v="INV2704"/>
    <x v="359"/>
    <x v="3"/>
    <x v="3"/>
    <n v="800"/>
    <n v="6"/>
    <n v="4800"/>
    <x v="1"/>
    <n v="960"/>
    <n v="5760"/>
  </r>
  <r>
    <s v="INV2705"/>
    <x v="359"/>
    <x v="0"/>
    <x v="0"/>
    <n v="60000"/>
    <n v="10"/>
    <n v="600000"/>
    <x v="2"/>
    <n v="72000"/>
    <n v="720000"/>
  </r>
  <r>
    <s v="INV2706"/>
    <x v="359"/>
    <x v="0"/>
    <x v="22"/>
    <n v="6000"/>
    <n v="6"/>
    <n v="36000"/>
    <x v="0"/>
    <n v="7200"/>
    <n v="43200"/>
  </r>
  <r>
    <s v="INV2707"/>
    <x v="359"/>
    <x v="2"/>
    <x v="6"/>
    <n v="2880"/>
    <n v="5"/>
    <n v="14400"/>
    <x v="2"/>
    <n v="3456"/>
    <n v="17280"/>
  </r>
  <r>
    <s v="INV2708"/>
    <x v="359"/>
    <x v="3"/>
    <x v="4"/>
    <n v="1200"/>
    <n v="7"/>
    <n v="8400"/>
    <x v="1"/>
    <n v="1440"/>
    <n v="10080"/>
  </r>
  <r>
    <s v="INV3274"/>
    <x v="359"/>
    <x v="4"/>
    <x v="45"/>
    <n v="120"/>
    <n v="6"/>
    <n v="720"/>
    <x v="1"/>
    <n v="144"/>
    <n v="864"/>
  </r>
  <r>
    <s v="INV3530"/>
    <x v="359"/>
    <x v="4"/>
    <x v="10"/>
    <n v="9100"/>
    <n v="4"/>
    <n v="36400"/>
    <x v="0"/>
    <n v="10920"/>
    <n v="43680"/>
  </r>
  <r>
    <s v="INV2709"/>
    <x v="360"/>
    <x v="2"/>
    <x v="2"/>
    <n v="2880"/>
    <n v="2"/>
    <n v="5760"/>
    <x v="0"/>
    <n v="3456"/>
    <n v="6912"/>
  </r>
  <r>
    <s v="INV2710"/>
    <x v="360"/>
    <x v="1"/>
    <x v="5"/>
    <n v="3000"/>
    <n v="5"/>
    <n v="15000"/>
    <x v="1"/>
    <n v="3600"/>
    <n v="18000"/>
  </r>
  <r>
    <s v="INV2711"/>
    <x v="360"/>
    <x v="0"/>
    <x v="19"/>
    <n v="48000"/>
    <n v="8"/>
    <n v="384000"/>
    <x v="0"/>
    <n v="57600"/>
    <n v="460800"/>
  </r>
  <r>
    <s v="INV2712"/>
    <x v="360"/>
    <x v="2"/>
    <x v="30"/>
    <n v="2880"/>
    <n v="8"/>
    <n v="23040"/>
    <x v="0"/>
    <n v="3456"/>
    <n v="27648"/>
  </r>
  <r>
    <s v="INV2713"/>
    <x v="360"/>
    <x v="0"/>
    <x v="0"/>
    <n v="60000"/>
    <n v="5"/>
    <n v="300000"/>
    <x v="2"/>
    <n v="72000"/>
    <n v="360000"/>
  </r>
  <r>
    <s v="INV2714"/>
    <x v="360"/>
    <x v="0"/>
    <x v="22"/>
    <n v="6000"/>
    <n v="8"/>
    <n v="48000"/>
    <x v="1"/>
    <n v="7200"/>
    <n v="57600"/>
  </r>
  <r>
    <s v="INV3856"/>
    <x v="360"/>
    <x v="0"/>
    <x v="19"/>
    <n v="48000"/>
    <n v="9"/>
    <n v="432000"/>
    <x v="0"/>
    <n v="57600"/>
    <n v="518400"/>
  </r>
  <r>
    <s v="INV3890"/>
    <x v="360"/>
    <x v="3"/>
    <x v="21"/>
    <n v="1700"/>
    <n v="3"/>
    <n v="5100"/>
    <x v="1"/>
    <n v="2040"/>
    <n v="6120"/>
  </r>
  <r>
    <s v="INV2715"/>
    <x v="361"/>
    <x v="0"/>
    <x v="9"/>
    <n v="500"/>
    <n v="7"/>
    <n v="3500"/>
    <x v="0"/>
    <n v="600"/>
    <n v="4200"/>
  </r>
  <r>
    <s v="INV2716"/>
    <x v="361"/>
    <x v="0"/>
    <x v="22"/>
    <n v="6000"/>
    <n v="4"/>
    <n v="24000"/>
    <x v="1"/>
    <n v="7200"/>
    <n v="28800"/>
  </r>
  <r>
    <s v="INV2717"/>
    <x v="361"/>
    <x v="3"/>
    <x v="21"/>
    <n v="1700"/>
    <n v="5"/>
    <n v="8500"/>
    <x v="0"/>
    <n v="2040"/>
    <n v="10200"/>
  </r>
  <r>
    <s v="INV2718"/>
    <x v="361"/>
    <x v="0"/>
    <x v="19"/>
    <n v="48000"/>
    <n v="3"/>
    <n v="144000"/>
    <x v="0"/>
    <n v="57600"/>
    <n v="172800"/>
  </r>
  <r>
    <s v="INV2719"/>
    <x v="361"/>
    <x v="2"/>
    <x v="39"/>
    <n v="1750"/>
    <n v="3"/>
    <n v="5250"/>
    <x v="1"/>
    <n v="2100"/>
    <n v="6300"/>
  </r>
  <r>
    <s v="INV2720"/>
    <x v="361"/>
    <x v="1"/>
    <x v="1"/>
    <n v="400"/>
    <n v="8"/>
    <n v="3200"/>
    <x v="2"/>
    <n v="480"/>
    <n v="3840"/>
  </r>
  <r>
    <s v="INV2721"/>
    <x v="361"/>
    <x v="1"/>
    <x v="7"/>
    <n v="5200"/>
    <n v="8"/>
    <n v="41600"/>
    <x v="2"/>
    <n v="6240"/>
    <n v="49920"/>
  </r>
  <r>
    <s v="INV2722"/>
    <x v="361"/>
    <x v="3"/>
    <x v="4"/>
    <n v="1200"/>
    <n v="9"/>
    <n v="10800"/>
    <x v="1"/>
    <n v="1440"/>
    <n v="12960"/>
  </r>
  <r>
    <s v="INV2723"/>
    <x v="361"/>
    <x v="2"/>
    <x v="30"/>
    <n v="2880"/>
    <n v="1"/>
    <n v="2880"/>
    <x v="0"/>
    <n v="3456"/>
    <n v="3456"/>
  </r>
  <r>
    <s v="INV2724"/>
    <x v="361"/>
    <x v="2"/>
    <x v="6"/>
    <n v="2880"/>
    <n v="4"/>
    <n v="11520"/>
    <x v="0"/>
    <n v="3456"/>
    <n v="13824"/>
  </r>
  <r>
    <s v="INV2725"/>
    <x v="361"/>
    <x v="0"/>
    <x v="0"/>
    <n v="60000"/>
    <n v="10"/>
    <n v="600000"/>
    <x v="0"/>
    <n v="72000"/>
    <n v="720000"/>
  </r>
  <r>
    <s v="INV2726"/>
    <x v="361"/>
    <x v="1"/>
    <x v="1"/>
    <n v="400"/>
    <n v="9"/>
    <n v="3600"/>
    <x v="0"/>
    <n v="480"/>
    <n v="4320"/>
  </r>
  <r>
    <s v="INV2727"/>
    <x v="361"/>
    <x v="2"/>
    <x v="30"/>
    <n v="2880"/>
    <n v="9"/>
    <n v="25920"/>
    <x v="1"/>
    <n v="3456"/>
    <n v="31104"/>
  </r>
  <r>
    <s v="INV2728"/>
    <x v="361"/>
    <x v="2"/>
    <x v="30"/>
    <n v="2880"/>
    <n v="7"/>
    <n v="20160"/>
    <x v="2"/>
    <n v="3456"/>
    <n v="24192"/>
  </r>
  <r>
    <s v="INV2729"/>
    <x v="361"/>
    <x v="0"/>
    <x v="19"/>
    <n v="48000"/>
    <n v="9"/>
    <n v="432000"/>
    <x v="1"/>
    <n v="57600"/>
    <n v="518400"/>
  </r>
  <r>
    <s v="INV2730"/>
    <x v="361"/>
    <x v="2"/>
    <x v="30"/>
    <n v="2880"/>
    <n v="5"/>
    <n v="14400"/>
    <x v="2"/>
    <n v="3456"/>
    <n v="17280"/>
  </r>
  <r>
    <s v="INV2809"/>
    <x v="361"/>
    <x v="0"/>
    <x v="8"/>
    <n v="3300"/>
    <n v="10"/>
    <n v="33000"/>
    <x v="0"/>
    <n v="3960"/>
    <n v="39600"/>
  </r>
  <r>
    <s v="INV2966"/>
    <x v="361"/>
    <x v="0"/>
    <x v="24"/>
    <n v="1900"/>
    <n v="5"/>
    <n v="9500"/>
    <x v="2"/>
    <n v="2280"/>
    <n v="11400"/>
  </r>
  <r>
    <s v="INV3162"/>
    <x v="361"/>
    <x v="0"/>
    <x v="9"/>
    <n v="500"/>
    <n v="5"/>
    <n v="2500"/>
    <x v="0"/>
    <n v="600"/>
    <n v="3000"/>
  </r>
  <r>
    <s v="INV3378"/>
    <x v="361"/>
    <x v="4"/>
    <x v="10"/>
    <n v="9100"/>
    <n v="2"/>
    <n v="18200"/>
    <x v="1"/>
    <n v="10920"/>
    <n v="21840"/>
  </r>
  <r>
    <s v="INV3450"/>
    <x v="361"/>
    <x v="0"/>
    <x v="9"/>
    <n v="500"/>
    <n v="6"/>
    <n v="3000"/>
    <x v="1"/>
    <n v="600"/>
    <n v="3600"/>
  </r>
  <r>
    <s v="INV3844"/>
    <x v="361"/>
    <x v="3"/>
    <x v="3"/>
    <n v="800"/>
    <n v="5"/>
    <n v="4000"/>
    <x v="0"/>
    <n v="960"/>
    <n v="4800"/>
  </r>
  <r>
    <s v="INV2731"/>
    <x v="362"/>
    <x v="3"/>
    <x v="3"/>
    <n v="800"/>
    <n v="10"/>
    <n v="8000"/>
    <x v="2"/>
    <n v="960"/>
    <n v="9600"/>
  </r>
  <r>
    <s v="INV2732"/>
    <x v="362"/>
    <x v="0"/>
    <x v="19"/>
    <n v="48000"/>
    <n v="5"/>
    <n v="240000"/>
    <x v="0"/>
    <n v="57600"/>
    <n v="288000"/>
  </r>
  <r>
    <s v="INV2733"/>
    <x v="362"/>
    <x v="0"/>
    <x v="0"/>
    <n v="60000"/>
    <n v="6"/>
    <n v="360000"/>
    <x v="0"/>
    <n v="72000"/>
    <n v="432000"/>
  </r>
  <r>
    <s v="INV2734"/>
    <x v="362"/>
    <x v="3"/>
    <x v="4"/>
    <n v="1200"/>
    <n v="7"/>
    <n v="8400"/>
    <x v="0"/>
    <n v="1440"/>
    <n v="10080"/>
  </r>
  <r>
    <s v="INV2735"/>
    <x v="362"/>
    <x v="3"/>
    <x v="21"/>
    <n v="1700"/>
    <n v="9"/>
    <n v="15300"/>
    <x v="0"/>
    <n v="2040"/>
    <n v="18360"/>
  </r>
  <r>
    <s v="INV2736"/>
    <x v="362"/>
    <x v="3"/>
    <x v="4"/>
    <n v="1200"/>
    <n v="10"/>
    <n v="12000"/>
    <x v="2"/>
    <n v="1440"/>
    <n v="14400"/>
  </r>
  <r>
    <s v="INV2737"/>
    <x v="362"/>
    <x v="0"/>
    <x v="19"/>
    <n v="48000"/>
    <n v="3"/>
    <n v="144000"/>
    <x v="0"/>
    <n v="57600"/>
    <n v="172800"/>
  </r>
  <r>
    <s v="INV2738"/>
    <x v="362"/>
    <x v="3"/>
    <x v="3"/>
    <n v="800"/>
    <n v="3"/>
    <n v="2400"/>
    <x v="0"/>
    <n v="960"/>
    <n v="2880"/>
  </r>
  <r>
    <s v="INV2739"/>
    <x v="362"/>
    <x v="0"/>
    <x v="9"/>
    <n v="500"/>
    <n v="8"/>
    <n v="4000"/>
    <x v="2"/>
    <n v="600"/>
    <n v="4800"/>
  </r>
  <r>
    <s v="INV2740"/>
    <x v="362"/>
    <x v="0"/>
    <x v="19"/>
    <n v="48000"/>
    <n v="8"/>
    <n v="384000"/>
    <x v="1"/>
    <n v="57600"/>
    <n v="460800"/>
  </r>
  <r>
    <s v="INV2799"/>
    <x v="362"/>
    <x v="0"/>
    <x v="24"/>
    <n v="1900"/>
    <n v="7"/>
    <n v="13300"/>
    <x v="1"/>
    <n v="2280"/>
    <n v="15960"/>
  </r>
  <r>
    <s v="INV2887"/>
    <x v="362"/>
    <x v="0"/>
    <x v="23"/>
    <n v="600"/>
    <n v="1"/>
    <n v="600"/>
    <x v="0"/>
    <n v="720"/>
    <n v="720"/>
  </r>
  <r>
    <s v="INV2963"/>
    <x v="362"/>
    <x v="3"/>
    <x v="21"/>
    <n v="1700"/>
    <n v="5"/>
    <n v="8500"/>
    <x v="1"/>
    <n v="2040"/>
    <n v="10200"/>
  </r>
  <r>
    <s v="INV3089"/>
    <x v="362"/>
    <x v="0"/>
    <x v="23"/>
    <n v="600"/>
    <n v="1"/>
    <n v="600"/>
    <x v="1"/>
    <n v="720"/>
    <n v="720"/>
  </r>
  <r>
    <s v="INV3333"/>
    <x v="362"/>
    <x v="0"/>
    <x v="8"/>
    <n v="3300"/>
    <n v="10"/>
    <n v="33000"/>
    <x v="1"/>
    <n v="3960"/>
    <n v="39600"/>
  </r>
  <r>
    <s v="INV3727"/>
    <x v="362"/>
    <x v="4"/>
    <x v="10"/>
    <n v="9100"/>
    <n v="2"/>
    <n v="18200"/>
    <x v="0"/>
    <n v="10920"/>
    <n v="21840"/>
  </r>
  <r>
    <s v="INV3875"/>
    <x v="362"/>
    <x v="0"/>
    <x v="31"/>
    <n v="3600"/>
    <n v="2"/>
    <n v="7200"/>
    <x v="1"/>
    <n v="4320"/>
    <n v="8640"/>
  </r>
  <r>
    <s v="INV2741"/>
    <x v="363"/>
    <x v="1"/>
    <x v="5"/>
    <n v="3000"/>
    <n v="7"/>
    <n v="21000"/>
    <x v="0"/>
    <n v="3600"/>
    <n v="25200"/>
  </r>
  <r>
    <s v="INV2742"/>
    <x v="363"/>
    <x v="3"/>
    <x v="4"/>
    <n v="1200"/>
    <n v="9"/>
    <n v="10800"/>
    <x v="0"/>
    <n v="1440"/>
    <n v="12960"/>
  </r>
  <r>
    <s v="INV2743"/>
    <x v="363"/>
    <x v="0"/>
    <x v="22"/>
    <n v="6000"/>
    <n v="7"/>
    <n v="42000"/>
    <x v="2"/>
    <n v="7200"/>
    <n v="50400"/>
  </r>
  <r>
    <s v="INV2744"/>
    <x v="363"/>
    <x v="2"/>
    <x v="30"/>
    <n v="2880"/>
    <n v="4"/>
    <n v="11520"/>
    <x v="1"/>
    <n v="3456"/>
    <n v="13824"/>
  </r>
  <r>
    <s v="INV2745"/>
    <x v="363"/>
    <x v="0"/>
    <x v="22"/>
    <n v="6000"/>
    <n v="5"/>
    <n v="30000"/>
    <x v="0"/>
    <n v="7200"/>
    <n v="36000"/>
  </r>
  <r>
    <s v="INV2746"/>
    <x v="363"/>
    <x v="3"/>
    <x v="3"/>
    <n v="800"/>
    <n v="10"/>
    <n v="8000"/>
    <x v="0"/>
    <n v="960"/>
    <n v="9600"/>
  </r>
  <r>
    <s v="INV2747"/>
    <x v="363"/>
    <x v="1"/>
    <x v="5"/>
    <n v="3000"/>
    <n v="3"/>
    <n v="9000"/>
    <x v="2"/>
    <n v="3600"/>
    <n v="10800"/>
  </r>
  <r>
    <s v="INV3535"/>
    <x v="363"/>
    <x v="0"/>
    <x v="8"/>
    <n v="3300"/>
    <n v="8"/>
    <n v="26400"/>
    <x v="1"/>
    <n v="3960"/>
    <n v="31680"/>
  </r>
  <r>
    <s v="INV3558"/>
    <x v="363"/>
    <x v="0"/>
    <x v="31"/>
    <n v="3600"/>
    <n v="5"/>
    <n v="18000"/>
    <x v="0"/>
    <n v="4320"/>
    <n v="216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EE75C4-7A67-4CBD-A47E-303FB72A4B4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14" firstHeaderRow="1" firstDataRow="1" firstDataCol="1"/>
  <pivotFields count="12">
    <pivotField showAll="0"/>
    <pivotField axis="axisRow"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1"/>
    <field x="10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 (Naira)" fld="6" baseField="11" baseItem="1" numFmtId="166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1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11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B89A82-5B30-4436-9975-94C47CFD8C59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:B50" firstHeaderRow="1" firstDataRow="1" firstDataCol="1"/>
  <pivotFields count="12">
    <pivotField showAll="0"/>
    <pivotField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showAll="0"/>
    <pivotField axis="axisRow" showAll="0">
      <items count="49">
        <item x="34"/>
        <item x="0"/>
        <item x="7"/>
        <item x="9"/>
        <item x="42"/>
        <item x="12"/>
        <item x="45"/>
        <item x="38"/>
        <item x="1"/>
        <item x="5"/>
        <item x="24"/>
        <item x="30"/>
        <item x="46"/>
        <item x="37"/>
        <item x="29"/>
        <item x="11"/>
        <item x="36"/>
        <item x="8"/>
        <item x="13"/>
        <item x="2"/>
        <item x="14"/>
        <item x="20"/>
        <item x="28"/>
        <item x="40"/>
        <item x="15"/>
        <item x="10"/>
        <item x="27"/>
        <item x="41"/>
        <item x="16"/>
        <item x="6"/>
        <item x="35"/>
        <item x="47"/>
        <item x="19"/>
        <item x="18"/>
        <item x="4"/>
        <item x="17"/>
        <item x="25"/>
        <item x="21"/>
        <item x="22"/>
        <item x="31"/>
        <item x="23"/>
        <item x="33"/>
        <item x="3"/>
        <item x="26"/>
        <item x="32"/>
        <item x="39"/>
        <item x="44"/>
        <item x="4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3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Sales (Naira)" fld="6" baseField="3" baseItem="0" numFmtId="166"/>
  </dataFields>
  <chartFormats count="5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8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8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8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8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  <chartFormat chart="8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15"/>
          </reference>
        </references>
      </pivotArea>
    </chartFormat>
    <chartFormat chart="8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16"/>
          </reference>
        </references>
      </pivotArea>
    </chartFormat>
    <chartFormat chart="8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7"/>
          </reference>
        </references>
      </pivotArea>
    </chartFormat>
    <chartFormat chart="8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8"/>
          </reference>
        </references>
      </pivotArea>
    </chartFormat>
    <chartFormat chart="8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19"/>
          </reference>
        </references>
      </pivotArea>
    </chartFormat>
    <chartFormat chart="8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20"/>
          </reference>
        </references>
      </pivotArea>
    </chartFormat>
    <chartFormat chart="8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21"/>
          </reference>
        </references>
      </pivotArea>
    </chartFormat>
    <chartFormat chart="8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22"/>
          </reference>
        </references>
      </pivotArea>
    </chartFormat>
    <chartFormat chart="8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23"/>
          </reference>
        </references>
      </pivotArea>
    </chartFormat>
    <chartFormat chart="8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24"/>
          </reference>
        </references>
      </pivotArea>
    </chartFormat>
    <chartFormat chart="8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5"/>
          </reference>
        </references>
      </pivotArea>
    </chartFormat>
    <chartFormat chart="8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26"/>
          </reference>
        </references>
      </pivotArea>
    </chartFormat>
    <chartFormat chart="8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27"/>
          </reference>
        </references>
      </pivotArea>
    </chartFormat>
    <chartFormat chart="8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28"/>
          </reference>
        </references>
      </pivotArea>
    </chartFormat>
    <chartFormat chart="8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29"/>
          </reference>
        </references>
      </pivotArea>
    </chartFormat>
    <chartFormat chart="8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30"/>
          </reference>
        </references>
      </pivotArea>
    </chartFormat>
    <chartFormat chart="8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31"/>
          </reference>
        </references>
      </pivotArea>
    </chartFormat>
    <chartFormat chart="8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32"/>
          </reference>
        </references>
      </pivotArea>
    </chartFormat>
    <chartFormat chart="8" format="34">
      <pivotArea type="data" outline="0" fieldPosition="0">
        <references count="2">
          <reference field="4294967294" count="1" selected="0">
            <x v="0"/>
          </reference>
          <reference field="3" count="1" selected="0">
            <x v="33"/>
          </reference>
        </references>
      </pivotArea>
    </chartFormat>
    <chartFormat chart="8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34"/>
          </reference>
        </references>
      </pivotArea>
    </chartFormat>
    <chartFormat chart="8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35"/>
          </reference>
        </references>
      </pivotArea>
    </chartFormat>
    <chartFormat chart="8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36"/>
          </reference>
        </references>
      </pivotArea>
    </chartFormat>
    <chartFormat chart="8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37"/>
          </reference>
        </references>
      </pivotArea>
    </chartFormat>
    <chartFormat chart="8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38"/>
          </reference>
        </references>
      </pivotArea>
    </chartFormat>
    <chartFormat chart="8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39"/>
          </reference>
        </references>
      </pivotArea>
    </chartFormat>
    <chartFormat chart="8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40"/>
          </reference>
        </references>
      </pivotArea>
    </chartFormat>
    <chartFormat chart="8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41"/>
          </reference>
        </references>
      </pivotArea>
    </chartFormat>
    <chartFormat chart="8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42"/>
          </reference>
        </references>
      </pivotArea>
    </chartFormat>
    <chartFormat chart="8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43"/>
          </reference>
        </references>
      </pivotArea>
    </chartFormat>
    <chartFormat chart="8" format="45">
      <pivotArea type="data" outline="0" fieldPosition="0">
        <references count="2">
          <reference field="4294967294" count="1" selected="0">
            <x v="0"/>
          </reference>
          <reference field="3" count="1" selected="0">
            <x v="44"/>
          </reference>
        </references>
      </pivotArea>
    </chartFormat>
    <chartFormat chart="8" format="46">
      <pivotArea type="data" outline="0" fieldPosition="0">
        <references count="2">
          <reference field="4294967294" count="1" selected="0">
            <x v="0"/>
          </reference>
          <reference field="3" count="1" selected="0">
            <x v="45"/>
          </reference>
        </references>
      </pivotArea>
    </chartFormat>
    <chartFormat chart="8" format="47">
      <pivotArea type="data" outline="0" fieldPosition="0">
        <references count="2">
          <reference field="4294967294" count="1" selected="0">
            <x v="0"/>
          </reference>
          <reference field="3" count="1" selected="0">
            <x v="46"/>
          </reference>
        </references>
      </pivotArea>
    </chartFormat>
    <chartFormat chart="8" format="48">
      <pivotArea type="data" outline="0" fieldPosition="0">
        <references count="2">
          <reference field="4294967294" count="1" selected="0">
            <x v="0"/>
          </reference>
          <reference field="3" count="1" selected="0">
            <x v="4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A74438-B6E5-41FE-9B88-6DE69334A128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5" firstHeaderRow="1" firstDataRow="1" firstDataCol="1"/>
  <pivotFields count="12">
    <pivotField showAll="0"/>
    <pivotField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showAll="0">
      <items count="10">
        <item x="2"/>
        <item x="8"/>
        <item x="4"/>
        <item x="6"/>
        <item x="0"/>
        <item x="3"/>
        <item x="7"/>
        <item x="1"/>
        <item x="5"/>
        <item t="default"/>
      </items>
    </pivotField>
    <pivotField showAll="0">
      <items count="49">
        <item x="34"/>
        <item x="0"/>
        <item x="7"/>
        <item x="9"/>
        <item x="42"/>
        <item x="12"/>
        <item x="45"/>
        <item x="38"/>
        <item x="1"/>
        <item x="5"/>
        <item x="24"/>
        <item x="30"/>
        <item x="46"/>
        <item x="37"/>
        <item x="29"/>
        <item x="11"/>
        <item x="36"/>
        <item x="8"/>
        <item x="13"/>
        <item x="2"/>
        <item x="14"/>
        <item x="20"/>
        <item x="28"/>
        <item x="40"/>
        <item x="15"/>
        <item x="10"/>
        <item x="27"/>
        <item x="41"/>
        <item x="16"/>
        <item x="6"/>
        <item x="35"/>
        <item x="47"/>
        <item x="19"/>
        <item x="18"/>
        <item x="4"/>
        <item x="17"/>
        <item x="25"/>
        <item x="21"/>
        <item x="22"/>
        <item x="31"/>
        <item x="23"/>
        <item x="33"/>
        <item x="3"/>
        <item x="26"/>
        <item x="32"/>
        <item x="39"/>
        <item x="44"/>
        <item x="43"/>
        <item t="default"/>
      </items>
    </pivotField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 (Naira)" fld="6" baseField="7" baseItem="0" numFmtId="166"/>
  </dataFields>
  <chartFormats count="1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7F47DA-A7F9-45E4-B06B-0B3B460970DE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C366" firstHeaderRow="0" firstDataRow="1" firstDataCol="1"/>
  <pivotFields count="12">
    <pivotField showAll="0"/>
    <pivotField axis="axisRow"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2">
    <field x="10"/>
    <field x="1"/>
  </rowFields>
  <rowItems count="36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5"/>
    </i>
    <i>
      <x v="36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(Naira)" fld="6" baseField="0" baseItem="0"/>
    <dataField name="Sum of Quantity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E8129F-D780-4DA6-935F-2134C16F4CEC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12">
    <pivotField showAll="0"/>
    <pivotField numFmtId="14" showAll="0">
      <items count="3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t="default"/>
      </items>
    </pivotField>
    <pivotField axis="axisRow" showAll="0">
      <items count="10">
        <item x="2"/>
        <item x="8"/>
        <item x="4"/>
        <item x="6"/>
        <item x="0"/>
        <item x="3"/>
        <item x="7"/>
        <item x="1"/>
        <item x="5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 (Naira)" fld="6" baseField="0" baseItem="0" numFmtId="164"/>
  </dataFields>
  <formats count="2">
    <format dxfId="5">
      <pivotArea outline="0" collapsedLevelsAreSubtotals="1" fieldPosition="0"/>
    </format>
    <format dxfId="4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92AD1C8-851D-4263-B12E-0436B29567D1}" name="Table11" displayName="Table11" ref="A1:E397" totalsRowShown="0">
  <autoFilter ref="A1:E397" xr:uid="{A92AD1C8-851D-4263-B12E-0436B29567D1}"/>
  <tableColumns count="5">
    <tableColumn id="1" xr3:uid="{8E708747-8CCF-4B22-B034-29E40DB96B0B}" name="Row Labels" dataDxfId="3"/>
    <tableColumn id="2" xr3:uid="{10766001-4E33-4BA3-B104-CCE0E21E032F}" name="Sum of Quantity"/>
    <tableColumn id="3" xr3:uid="{921A685C-1027-483D-AFBE-A5ED373650D4}" name="Forecast(Sum of Quantity)">
      <calculatedColumnFormula>_xlfn.FORECAST.ETS(A2,$B$2:$B$365,$A$2:$A$365,1,1)</calculatedColumnFormula>
    </tableColumn>
    <tableColumn id="4" xr3:uid="{F31E8FAF-198E-4546-ADFF-D1AA5663B9D5}" name="Lower Confidence Bound(Sum of Quantity)" dataDxfId="2">
      <calculatedColumnFormula>C2-_xlfn.FORECAST.ETS.CONFINT(A2,$B$2:$B$365,$A$2:$A$365,0.8,1,1)</calculatedColumnFormula>
    </tableColumn>
    <tableColumn id="5" xr3:uid="{E05A11C5-401C-465D-A221-D387CDC151CF}" name="Upper Confidence Bound(Sum of Quantity)" dataDxfId="1">
      <calculatedColumnFormula>C2+_xlfn.FORECAST.ETS.CONFINT(A2,$B$2:$B$365,$A$2:$A$365,0.8,1,1)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657B90E-37F3-4E3F-892F-3A5323E3E37B}" name="Table12" displayName="Table12" ref="G1:H8" totalsRowShown="0">
  <autoFilter ref="G1:H8" xr:uid="{8657B90E-37F3-4E3F-892F-3A5323E3E37B}"/>
  <tableColumns count="2">
    <tableColumn id="1" xr3:uid="{04299E71-3641-44CA-9847-00A9871D221D}" name="Statistic"/>
    <tableColumn id="2" xr3:uid="{1089A6C4-CEB5-4045-8C86-DA02FC52F86F}" name="Valu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"/>
  <sheetViews>
    <sheetView tabSelected="1" zoomScaleNormal="100" workbookViewId="0">
      <selection activeCell="E45" sqref="E45"/>
    </sheetView>
  </sheetViews>
  <sheetFormatPr defaultRowHeight="14.25" x14ac:dyDescent="0.45"/>
  <cols>
    <col min="1" max="1" width="14.9296875" customWidth="1"/>
    <col min="2" max="2" width="14.73046875" customWidth="1"/>
    <col min="4" max="4" width="16.3984375" customWidth="1"/>
    <col min="5" max="5" width="11.796875" customWidth="1"/>
    <col min="6" max="6" width="14.19921875" customWidth="1"/>
  </cols>
  <sheetData>
    <row r="1" spans="1:6" x14ac:dyDescent="0.45">
      <c r="A1" t="s">
        <v>2</v>
      </c>
      <c r="B1" t="s">
        <v>3</v>
      </c>
      <c r="C1" t="s">
        <v>2768</v>
      </c>
      <c r="D1" t="s">
        <v>2769</v>
      </c>
      <c r="E1" t="s">
        <v>5018</v>
      </c>
      <c r="F1" t="s">
        <v>5403</v>
      </c>
    </row>
    <row r="2" spans="1:6" x14ac:dyDescent="0.45">
      <c r="A2" t="s">
        <v>12</v>
      </c>
      <c r="B2" t="s">
        <v>5022</v>
      </c>
      <c r="C2">
        <v>1200</v>
      </c>
      <c r="D2">
        <f>C2- SUMIF('Sales Data'!D:D,"Coke",'Sales Data'!F:F)</f>
        <v>163</v>
      </c>
      <c r="E2" s="7">
        <f>D2/C2*100</f>
        <v>13.583333333333334</v>
      </c>
      <c r="F2" t="str">
        <f>IF(E2&lt;=5,"Restock Alert",IF(E2&gt;50,"Overstock Alert","Stock Level OK"))</f>
        <v>Stock Level OK</v>
      </c>
    </row>
    <row r="3" spans="1:6" x14ac:dyDescent="0.45">
      <c r="A3" t="s">
        <v>12</v>
      </c>
      <c r="B3" t="s">
        <v>5021</v>
      </c>
      <c r="C3">
        <v>1200</v>
      </c>
      <c r="D3">
        <f>C3- SUMIF('Sales Data'!D:D,"Pepsi",'Sales Data'!F:F)</f>
        <v>237</v>
      </c>
      <c r="E3" s="7">
        <f t="shared" ref="E3:E49" si="0">D3/C3*100</f>
        <v>19.75</v>
      </c>
      <c r="F3" t="str">
        <f t="shared" ref="F3:F49" si="1">IF(E3&lt;=5,"Restock Alert",IF(E3&gt;50,"Overstock Alert","Stock Level OK"))</f>
        <v>Stock Level OK</v>
      </c>
    </row>
    <row r="4" spans="1:6" x14ac:dyDescent="0.45">
      <c r="A4" t="s">
        <v>12</v>
      </c>
      <c r="B4" t="s">
        <v>5020</v>
      </c>
      <c r="C4">
        <v>1200</v>
      </c>
      <c r="D4">
        <f>C4- SUMIF('Sales Data'!D:D,"Fanta",'Sales Data'!F:F)</f>
        <v>314</v>
      </c>
      <c r="E4" s="7">
        <f t="shared" si="0"/>
        <v>26.166666666666664</v>
      </c>
      <c r="F4" t="str">
        <f t="shared" si="1"/>
        <v>Stock Level OK</v>
      </c>
    </row>
    <row r="5" spans="1:6" x14ac:dyDescent="0.45">
      <c r="A5" t="s">
        <v>12</v>
      </c>
      <c r="B5" t="s">
        <v>5023</v>
      </c>
      <c r="C5">
        <v>1200</v>
      </c>
      <c r="D5">
        <f>C5- SUMIF('Sales Data'!D:D,"Water",'Sales Data'!F:F)</f>
        <v>357</v>
      </c>
      <c r="E5" s="7">
        <f t="shared" si="0"/>
        <v>29.75</v>
      </c>
      <c r="F5" t="str">
        <f t="shared" si="1"/>
        <v>Stock Level OK</v>
      </c>
    </row>
    <row r="6" spans="1:6" x14ac:dyDescent="0.45">
      <c r="A6" t="s">
        <v>4007</v>
      </c>
      <c r="B6" t="s">
        <v>5015</v>
      </c>
      <c r="C6">
        <v>2000</v>
      </c>
      <c r="D6">
        <f>C6- SUMIF('Sales Data'!D:D,"Rice",'Sales Data'!F:F)</f>
        <v>66</v>
      </c>
      <c r="E6" s="7">
        <f t="shared" si="0"/>
        <v>3.3000000000000003</v>
      </c>
      <c r="F6" t="str">
        <f t="shared" si="1"/>
        <v>Restock Alert</v>
      </c>
    </row>
    <row r="7" spans="1:6" x14ac:dyDescent="0.45">
      <c r="A7" t="s">
        <v>4007</v>
      </c>
      <c r="B7" t="s">
        <v>4005</v>
      </c>
      <c r="C7">
        <v>2000</v>
      </c>
      <c r="D7">
        <f>C7- SUMIF('Sales Data'!D:D,"Beans",'Sales Data'!F:F)</f>
        <v>816</v>
      </c>
      <c r="E7" s="7">
        <f t="shared" si="0"/>
        <v>40.799999999999997</v>
      </c>
      <c r="F7" t="str">
        <f t="shared" si="1"/>
        <v>Stock Level OK</v>
      </c>
    </row>
    <row r="8" spans="1:6" x14ac:dyDescent="0.45">
      <c r="A8" t="s">
        <v>4007</v>
      </c>
      <c r="B8" t="s">
        <v>28</v>
      </c>
      <c r="C8">
        <v>2000</v>
      </c>
      <c r="D8">
        <f>C8- SUMIF('Sales Data'!D:D,"Bread",'Sales Data'!F:F)</f>
        <v>196</v>
      </c>
      <c r="E8" s="7">
        <f t="shared" si="0"/>
        <v>9.8000000000000007</v>
      </c>
      <c r="F8" t="str">
        <f t="shared" si="1"/>
        <v>Stock Level OK</v>
      </c>
    </row>
    <row r="9" spans="1:6" x14ac:dyDescent="0.45">
      <c r="A9" t="s">
        <v>4007</v>
      </c>
      <c r="B9" t="s">
        <v>39</v>
      </c>
      <c r="C9">
        <v>1200</v>
      </c>
      <c r="D9">
        <f>C9- SUMIF('Sales Data'!D:D,"Spaghetti",'Sales Data'!F:F)</f>
        <v>131</v>
      </c>
      <c r="E9" s="7">
        <f t="shared" si="0"/>
        <v>10.916666666666666</v>
      </c>
      <c r="F9" t="str">
        <f t="shared" si="1"/>
        <v>Stock Level OK</v>
      </c>
    </row>
    <row r="10" spans="1:6" x14ac:dyDescent="0.45">
      <c r="A10" t="s">
        <v>9</v>
      </c>
      <c r="B10" t="s">
        <v>25</v>
      </c>
      <c r="C10">
        <v>1000</v>
      </c>
      <c r="D10">
        <f>C10- SUMIF('Sales Data'!D:D,"Biscuits",'Sales Data'!F:F)</f>
        <v>121</v>
      </c>
      <c r="E10" s="7">
        <f t="shared" si="0"/>
        <v>12.1</v>
      </c>
      <c r="F10" t="str">
        <f t="shared" si="1"/>
        <v>Stock Level OK</v>
      </c>
    </row>
    <row r="11" spans="1:6" x14ac:dyDescent="0.45">
      <c r="A11" t="s">
        <v>9</v>
      </c>
      <c r="B11" t="s">
        <v>19</v>
      </c>
      <c r="C11">
        <v>1000</v>
      </c>
      <c r="D11">
        <f>C11- SUMIF('Sales Data'!D:D,"Chocolate",'Sales Data'!F:F)</f>
        <v>0</v>
      </c>
      <c r="E11" s="7">
        <f t="shared" si="0"/>
        <v>0</v>
      </c>
      <c r="F11" t="str">
        <f t="shared" si="1"/>
        <v>Restock Alert</v>
      </c>
    </row>
    <row r="12" spans="1:6" x14ac:dyDescent="0.45">
      <c r="A12" t="s">
        <v>9</v>
      </c>
      <c r="B12" t="s">
        <v>10</v>
      </c>
      <c r="C12">
        <v>1000</v>
      </c>
      <c r="D12">
        <f>C12- SUMIF('Sales Data'!D:D,"Chips",'Sales Data'!F:F)</f>
        <v>31</v>
      </c>
      <c r="E12" s="7">
        <f t="shared" si="0"/>
        <v>3.1</v>
      </c>
      <c r="F12" t="str">
        <f t="shared" si="1"/>
        <v>Restock Alert</v>
      </c>
    </row>
    <row r="13" spans="1:6" x14ac:dyDescent="0.45">
      <c r="A13" t="s">
        <v>33</v>
      </c>
      <c r="B13" t="s">
        <v>42</v>
      </c>
      <c r="C13">
        <v>1500</v>
      </c>
      <c r="D13">
        <f>C13- SUMIF('Sales Data'!D:D,"Detergent",'Sales Data'!F:F)</f>
        <v>376</v>
      </c>
      <c r="E13" s="7">
        <f t="shared" si="0"/>
        <v>25.066666666666666</v>
      </c>
      <c r="F13" t="str">
        <f t="shared" si="1"/>
        <v>Stock Level OK</v>
      </c>
    </row>
    <row r="14" spans="1:6" x14ac:dyDescent="0.45">
      <c r="A14" t="s">
        <v>33</v>
      </c>
      <c r="B14" t="s">
        <v>34</v>
      </c>
      <c r="C14">
        <v>2000</v>
      </c>
      <c r="D14">
        <f>C14- SUMIF('Sales Data'!D:D,"Soap",'Sales Data'!F:F)</f>
        <v>210</v>
      </c>
      <c r="E14" s="7">
        <f t="shared" si="0"/>
        <v>10.5</v>
      </c>
      <c r="F14" t="str">
        <f t="shared" si="1"/>
        <v>Stock Level OK</v>
      </c>
    </row>
    <row r="15" spans="1:6" x14ac:dyDescent="0.45">
      <c r="A15" t="s">
        <v>33</v>
      </c>
      <c r="B15" t="s">
        <v>14</v>
      </c>
      <c r="C15">
        <v>1700</v>
      </c>
      <c r="D15">
        <f>C15- SUMIF('Sales Data'!D:D,"Toothpaste",'Sales Data'!F:F)</f>
        <v>26</v>
      </c>
      <c r="E15" s="7">
        <f t="shared" si="0"/>
        <v>1.5294117647058825</v>
      </c>
      <c r="F15" t="str">
        <f t="shared" si="1"/>
        <v>Restock Alert</v>
      </c>
    </row>
    <row r="16" spans="1:6" x14ac:dyDescent="0.45">
      <c r="A16" t="s">
        <v>33</v>
      </c>
      <c r="B16" t="s">
        <v>16</v>
      </c>
      <c r="C16">
        <v>1000</v>
      </c>
      <c r="D16">
        <f>C16- SUMIF('Sales Data'!D:D,"Shampoo",'Sales Data'!F:F)</f>
        <v>63</v>
      </c>
      <c r="E16" s="7">
        <f t="shared" si="0"/>
        <v>6.3</v>
      </c>
      <c r="F16" t="str">
        <f t="shared" si="1"/>
        <v>Stock Level OK</v>
      </c>
    </row>
    <row r="17" spans="1:6" x14ac:dyDescent="0.45">
      <c r="A17" t="s">
        <v>5008</v>
      </c>
      <c r="B17" t="s">
        <v>3996</v>
      </c>
      <c r="C17">
        <v>300</v>
      </c>
      <c r="D17">
        <f>C17- SUMIF('Sales Data'!D:D,"Cap",'Sales Data'!F:F)</f>
        <v>133</v>
      </c>
      <c r="E17" s="7">
        <f t="shared" si="0"/>
        <v>44.333333333333336</v>
      </c>
      <c r="F17" t="str">
        <f t="shared" si="1"/>
        <v>Stock Level OK</v>
      </c>
    </row>
    <row r="18" spans="1:6" x14ac:dyDescent="0.45">
      <c r="A18" t="s">
        <v>5008</v>
      </c>
      <c r="B18" t="s">
        <v>4003</v>
      </c>
      <c r="C18">
        <v>300</v>
      </c>
      <c r="D18">
        <f>C18- SUMIF('Sales Data'!D:D,"Jeans",'Sales Data'!F:F)</f>
        <v>62</v>
      </c>
      <c r="E18" s="7">
        <f t="shared" si="0"/>
        <v>20.666666666666668</v>
      </c>
      <c r="F18" t="str">
        <f t="shared" si="1"/>
        <v>Stock Level OK</v>
      </c>
    </row>
    <row r="19" spans="1:6" x14ac:dyDescent="0.45">
      <c r="A19" t="s">
        <v>5008</v>
      </c>
      <c r="B19" t="s">
        <v>3995</v>
      </c>
      <c r="C19">
        <v>300</v>
      </c>
      <c r="D19">
        <f>C19- SUMIF('Sales Data'!D:D,"Shoes",'Sales Data'!F:F)</f>
        <v>110</v>
      </c>
      <c r="E19" s="7">
        <f t="shared" si="0"/>
        <v>36.666666666666664</v>
      </c>
      <c r="F19" t="str">
        <f t="shared" si="1"/>
        <v>Stock Level OK</v>
      </c>
    </row>
    <row r="20" spans="1:6" x14ac:dyDescent="0.45">
      <c r="A20" t="s">
        <v>5008</v>
      </c>
      <c r="B20" t="s">
        <v>3998</v>
      </c>
      <c r="C20">
        <v>300</v>
      </c>
      <c r="D20">
        <f>C20- SUMIF('Sales Data'!D:D,"T-shirt",'Sales Data'!F:F)</f>
        <v>173</v>
      </c>
      <c r="E20" s="7">
        <f t="shared" si="0"/>
        <v>57.666666666666664</v>
      </c>
      <c r="F20" t="str">
        <f t="shared" si="1"/>
        <v>Overstock Alert</v>
      </c>
    </row>
    <row r="21" spans="1:6" x14ac:dyDescent="0.45">
      <c r="A21" t="s">
        <v>5008</v>
      </c>
      <c r="B21" t="s">
        <v>3986</v>
      </c>
      <c r="C21">
        <v>200</v>
      </c>
      <c r="D21">
        <f>C21- SUMIF('Sales Data'!D:D,"Wristwatch",'Sales Data'!F:F)</f>
        <v>20</v>
      </c>
      <c r="E21" s="7">
        <f t="shared" si="0"/>
        <v>10</v>
      </c>
      <c r="F21" t="str">
        <f t="shared" si="1"/>
        <v>Stock Level OK</v>
      </c>
    </row>
    <row r="22" spans="1:6" x14ac:dyDescent="0.45">
      <c r="A22" t="s">
        <v>3979</v>
      </c>
      <c r="B22" t="s">
        <v>3983</v>
      </c>
      <c r="C22">
        <v>300</v>
      </c>
      <c r="D22">
        <f>C22- SUMIF('Sales Data'!D:D,"Earphones",'Sales Data'!F:F)</f>
        <v>147</v>
      </c>
      <c r="E22" s="7">
        <f t="shared" si="0"/>
        <v>49</v>
      </c>
      <c r="F22" t="str">
        <f t="shared" si="1"/>
        <v>Stock Level OK</v>
      </c>
    </row>
    <row r="23" spans="1:6" x14ac:dyDescent="0.45">
      <c r="A23" t="s">
        <v>3979</v>
      </c>
      <c r="B23" t="s">
        <v>3987</v>
      </c>
      <c r="C23">
        <v>200</v>
      </c>
      <c r="D23">
        <f>C23- SUMIF('Sales Data'!D:D,"Extension Box",'Sales Data'!F:F)</f>
        <v>27</v>
      </c>
      <c r="E23" s="7">
        <f t="shared" si="0"/>
        <v>13.5</v>
      </c>
      <c r="F23" t="str">
        <f t="shared" si="1"/>
        <v>Stock Level OK</v>
      </c>
    </row>
    <row r="24" spans="1:6" x14ac:dyDescent="0.45">
      <c r="A24" t="s">
        <v>3979</v>
      </c>
      <c r="B24" t="s">
        <v>3980</v>
      </c>
      <c r="C24">
        <v>300</v>
      </c>
      <c r="D24">
        <f>C24- SUMIF('Sales Data'!D:D,"LED Bulb",'Sales Data'!F:F)</f>
        <v>11</v>
      </c>
      <c r="E24" s="7">
        <f t="shared" si="0"/>
        <v>3.6666666666666665</v>
      </c>
      <c r="F24" t="str">
        <f t="shared" si="1"/>
        <v>Restock Alert</v>
      </c>
    </row>
    <row r="25" spans="1:6" x14ac:dyDescent="0.45">
      <c r="A25" t="s">
        <v>3979</v>
      </c>
      <c r="B25" t="s">
        <v>3984</v>
      </c>
      <c r="C25">
        <v>200</v>
      </c>
      <c r="D25">
        <f>C25- SUMIF('Sales Data'!D:D,"Power Bank",'Sales Data'!F:F)</f>
        <v>1</v>
      </c>
      <c r="E25" s="7">
        <f t="shared" si="0"/>
        <v>0.5</v>
      </c>
      <c r="F25" t="str">
        <f t="shared" si="1"/>
        <v>Restock Alert</v>
      </c>
    </row>
    <row r="26" spans="1:6" x14ac:dyDescent="0.45">
      <c r="A26" t="s">
        <v>5019</v>
      </c>
      <c r="B26" t="s">
        <v>2775</v>
      </c>
      <c r="C26">
        <v>1000</v>
      </c>
      <c r="D26">
        <f>C26- SUMIF('Sales Data'!D:D,"Milk",'Sales Data'!F:F)</f>
        <v>311</v>
      </c>
      <c r="E26" s="7">
        <f t="shared" si="0"/>
        <v>31.1</v>
      </c>
      <c r="F26" t="str">
        <f t="shared" si="1"/>
        <v>Stock Level OK</v>
      </c>
    </row>
    <row r="27" spans="1:6" x14ac:dyDescent="0.45">
      <c r="A27" t="s">
        <v>4007</v>
      </c>
      <c r="B27" t="s">
        <v>3988</v>
      </c>
      <c r="C27">
        <v>310</v>
      </c>
      <c r="D27">
        <f>C27- SUMIF('Sales Data'!D:D,"Garri",'Sales Data'!F:F)</f>
        <v>143</v>
      </c>
      <c r="E27" s="7">
        <f t="shared" si="0"/>
        <v>46.12903225806452</v>
      </c>
      <c r="F27" t="str">
        <f t="shared" si="1"/>
        <v>Stock Level OK</v>
      </c>
    </row>
    <row r="28" spans="1:6" x14ac:dyDescent="0.45">
      <c r="A28" t="s">
        <v>4007</v>
      </c>
      <c r="B28" t="s">
        <v>5014</v>
      </c>
      <c r="C28">
        <v>310</v>
      </c>
      <c r="D28">
        <f>C28- SUMIF('Sales Data'!D:D,"Palm oil",'Sales Data'!F:F)</f>
        <v>101</v>
      </c>
      <c r="E28" s="7">
        <f t="shared" si="0"/>
        <v>32.58064516129032</v>
      </c>
      <c r="F28" t="str">
        <f t="shared" si="1"/>
        <v>Stock Level OK</v>
      </c>
    </row>
    <row r="29" spans="1:6" x14ac:dyDescent="0.45">
      <c r="A29" t="s">
        <v>5019</v>
      </c>
      <c r="B29" t="s">
        <v>2771</v>
      </c>
      <c r="C29">
        <v>2000</v>
      </c>
      <c r="D29">
        <f>C29- SUMIF('Sales Data'!D:D,"Butter",'Sales Data'!F:F)</f>
        <v>1325</v>
      </c>
      <c r="E29" s="7">
        <f t="shared" si="0"/>
        <v>66.25</v>
      </c>
      <c r="F29" t="str">
        <f t="shared" si="1"/>
        <v>Overstock Alert</v>
      </c>
    </row>
    <row r="30" spans="1:6" x14ac:dyDescent="0.45">
      <c r="A30" t="s">
        <v>5017</v>
      </c>
      <c r="B30" t="s">
        <v>4000</v>
      </c>
      <c r="C30">
        <v>300</v>
      </c>
      <c r="D30">
        <f>C30- SUMIF('Sales Data'!D:D,"Skipping Rope",'Sales Data'!F:F)</f>
        <v>150</v>
      </c>
      <c r="E30" s="7">
        <f t="shared" si="0"/>
        <v>50</v>
      </c>
      <c r="F30" t="str">
        <f t="shared" si="1"/>
        <v>Stock Level OK</v>
      </c>
    </row>
    <row r="31" spans="1:6" x14ac:dyDescent="0.45">
      <c r="A31" t="s">
        <v>4007</v>
      </c>
      <c r="B31" t="s">
        <v>5016</v>
      </c>
      <c r="C31">
        <v>300</v>
      </c>
      <c r="D31">
        <f>C31- SUMIF('Sales Data'!D:D,"Yam flour",'Sales Data'!F:F)</f>
        <v>60</v>
      </c>
      <c r="E31" s="7">
        <f t="shared" si="0"/>
        <v>20</v>
      </c>
      <c r="F31" t="str">
        <f t="shared" si="1"/>
        <v>Stock Level OK</v>
      </c>
    </row>
    <row r="32" spans="1:6" x14ac:dyDescent="0.45">
      <c r="A32" t="s">
        <v>33</v>
      </c>
      <c r="B32" t="s">
        <v>4001</v>
      </c>
      <c r="C32">
        <v>300</v>
      </c>
      <c r="D32">
        <f>C32- SUMIF('Sales Data'!D:D,"Broom",'Sales Data'!F:F)</f>
        <v>110</v>
      </c>
      <c r="E32" s="7">
        <f t="shared" si="0"/>
        <v>36.666666666666664</v>
      </c>
      <c r="F32" t="str">
        <f t="shared" si="1"/>
        <v>Stock Level OK</v>
      </c>
    </row>
    <row r="33" spans="1:6" x14ac:dyDescent="0.45">
      <c r="A33" t="s">
        <v>33</v>
      </c>
      <c r="B33" t="s">
        <v>3994</v>
      </c>
      <c r="C33">
        <v>300</v>
      </c>
      <c r="D33">
        <f>C33- SUMIF('Sales Data'!D:D,"Bucket",'Sales Data'!F:F)</f>
        <v>110</v>
      </c>
      <c r="E33" s="7">
        <f t="shared" si="0"/>
        <v>36.666666666666664</v>
      </c>
      <c r="F33" t="str">
        <f t="shared" si="1"/>
        <v>Stock Level OK</v>
      </c>
    </row>
    <row r="34" spans="1:6" x14ac:dyDescent="0.45">
      <c r="A34" t="s">
        <v>4007</v>
      </c>
      <c r="B34" t="s">
        <v>2773</v>
      </c>
      <c r="C34">
        <v>1000</v>
      </c>
      <c r="D34">
        <f>C34- SUMIF('Sales Data'!D:D,"Eggs",'Sales Data'!F:F)</f>
        <v>372</v>
      </c>
      <c r="E34" s="7">
        <f t="shared" si="0"/>
        <v>37.200000000000003</v>
      </c>
      <c r="F34" t="str">
        <f t="shared" si="1"/>
        <v>Stock Level OK</v>
      </c>
    </row>
    <row r="35" spans="1:6" x14ac:dyDescent="0.45">
      <c r="A35" t="s">
        <v>33</v>
      </c>
      <c r="B35" t="s">
        <v>3981</v>
      </c>
      <c r="C35">
        <v>310</v>
      </c>
      <c r="D35">
        <f>C35- SUMIF('Sales Data'!D:D,"Toilet Paper",'Sales Data'!F:F)</f>
        <v>108</v>
      </c>
      <c r="E35" s="7">
        <f t="shared" si="0"/>
        <v>34.838709677419352</v>
      </c>
      <c r="F35" t="str">
        <f t="shared" si="1"/>
        <v>Stock Level OK</v>
      </c>
    </row>
    <row r="36" spans="1:6" x14ac:dyDescent="0.45">
      <c r="A36" t="s">
        <v>33</v>
      </c>
      <c r="B36" t="s">
        <v>3985</v>
      </c>
      <c r="C36">
        <v>310</v>
      </c>
      <c r="D36">
        <f>C36- SUMIF('Sales Data'!D:D,"Cooking Gas",'Sales Data'!F:F)</f>
        <v>161</v>
      </c>
      <c r="E36" s="7">
        <f t="shared" si="0"/>
        <v>51.935483870967744</v>
      </c>
      <c r="F36" t="str">
        <f t="shared" si="1"/>
        <v>Overstock Alert</v>
      </c>
    </row>
    <row r="37" spans="1:6" x14ac:dyDescent="0.45">
      <c r="A37" t="s">
        <v>3977</v>
      </c>
      <c r="B37" t="s">
        <v>3978</v>
      </c>
      <c r="C37">
        <v>200</v>
      </c>
      <c r="D37">
        <f>C37- SUMIF('Sales Data'!D:D,"Antibiotics",'Sales Data'!F:F)</f>
        <v>38</v>
      </c>
      <c r="E37" s="7">
        <f t="shared" si="0"/>
        <v>19</v>
      </c>
      <c r="F37" t="str">
        <f t="shared" si="1"/>
        <v>Stock Level OK</v>
      </c>
    </row>
    <row r="38" spans="1:6" x14ac:dyDescent="0.45">
      <c r="A38" t="s">
        <v>3977</v>
      </c>
      <c r="B38" t="s">
        <v>3991</v>
      </c>
      <c r="C38">
        <v>200</v>
      </c>
      <c r="D38">
        <f>C38- SUMIF('Sales Data'!D:D,"Cough Syrup",'Sales Data'!F:F)</f>
        <v>41</v>
      </c>
      <c r="E38" s="7">
        <f t="shared" si="0"/>
        <v>20.5</v>
      </c>
      <c r="F38" t="str">
        <f t="shared" si="1"/>
        <v>Stock Level OK</v>
      </c>
    </row>
    <row r="39" spans="1:6" x14ac:dyDescent="0.45">
      <c r="A39" t="s">
        <v>3977</v>
      </c>
      <c r="B39" t="s">
        <v>4002</v>
      </c>
      <c r="C39">
        <v>200</v>
      </c>
      <c r="D39">
        <f>C39- SUMIF('Sales Data'!D:D,"Pain Relief Balm",'Sales Data'!F:F)</f>
        <v>8</v>
      </c>
      <c r="E39" s="7">
        <f t="shared" si="0"/>
        <v>4</v>
      </c>
      <c r="F39" t="str">
        <f t="shared" si="1"/>
        <v>Restock Alert</v>
      </c>
    </row>
    <row r="40" spans="1:6" x14ac:dyDescent="0.45">
      <c r="A40" t="s">
        <v>3977</v>
      </c>
      <c r="B40" t="s">
        <v>3989</v>
      </c>
      <c r="C40">
        <v>200</v>
      </c>
      <c r="D40">
        <f>C40- SUMIF('Sales Data'!D:D,"Paracetamol",'Sales Data'!F:F)</f>
        <v>6</v>
      </c>
      <c r="E40" s="7">
        <f t="shared" si="0"/>
        <v>3</v>
      </c>
      <c r="F40" t="str">
        <f t="shared" si="1"/>
        <v>Restock Alert</v>
      </c>
    </row>
    <row r="41" spans="1:6" x14ac:dyDescent="0.45">
      <c r="A41" t="s">
        <v>3977</v>
      </c>
      <c r="B41" t="s">
        <v>3993</v>
      </c>
      <c r="C41">
        <v>200</v>
      </c>
      <c r="D41">
        <f>C41- SUMIF('Sales Data'!D:D,"Vitamin C",'Sales Data'!F:F)</f>
        <v>53</v>
      </c>
      <c r="E41" s="7">
        <f t="shared" si="0"/>
        <v>26.5</v>
      </c>
      <c r="F41" t="str">
        <f t="shared" si="1"/>
        <v>Stock Level OK</v>
      </c>
    </row>
    <row r="42" spans="1:6" x14ac:dyDescent="0.45">
      <c r="A42" t="s">
        <v>5017</v>
      </c>
      <c r="B42" t="s">
        <v>3992</v>
      </c>
      <c r="C42">
        <v>200</v>
      </c>
      <c r="D42">
        <f>C42- SUMIF('Sales Data'!D:D,"Dumbbells",'Sales Data'!F:F)</f>
        <v>34</v>
      </c>
      <c r="E42" s="7">
        <f t="shared" si="0"/>
        <v>17</v>
      </c>
      <c r="F42" t="str">
        <f t="shared" si="1"/>
        <v>Stock Level OK</v>
      </c>
    </row>
    <row r="43" spans="1:6" x14ac:dyDescent="0.45">
      <c r="A43" t="s">
        <v>5017</v>
      </c>
      <c r="B43" t="s">
        <v>3990</v>
      </c>
      <c r="C43">
        <v>310</v>
      </c>
      <c r="D43">
        <f>C43- SUMIF('Sales Data'!D:D,"Football",'Sales Data'!F:F)</f>
        <v>125</v>
      </c>
      <c r="E43" s="7">
        <f t="shared" si="0"/>
        <v>40.322580645161288</v>
      </c>
      <c r="F43" t="str">
        <f t="shared" si="1"/>
        <v>Stock Level OK</v>
      </c>
    </row>
    <row r="44" spans="1:6" x14ac:dyDescent="0.45">
      <c r="A44" t="s">
        <v>5017</v>
      </c>
      <c r="B44" t="s">
        <v>3982</v>
      </c>
      <c r="C44">
        <v>220</v>
      </c>
      <c r="D44">
        <f>C44- SUMIF('Sales Data'!D:D,"Jersey",'Sales Data'!F:F)</f>
        <v>2</v>
      </c>
      <c r="E44" s="7">
        <f t="shared" si="0"/>
        <v>0.90909090909090906</v>
      </c>
      <c r="F44" t="str">
        <f t="shared" si="1"/>
        <v>Restock Alert</v>
      </c>
    </row>
    <row r="45" spans="1:6" x14ac:dyDescent="0.45">
      <c r="A45" t="s">
        <v>5017</v>
      </c>
      <c r="B45" t="s">
        <v>4004</v>
      </c>
      <c r="C45">
        <v>200</v>
      </c>
      <c r="D45">
        <f>C45- SUMIF('Sales Data'!D:D,"Running Shoes",'Sales Data'!F:F)</f>
        <v>0</v>
      </c>
      <c r="E45" s="7">
        <f t="shared" si="0"/>
        <v>0</v>
      </c>
      <c r="F45" t="str">
        <f t="shared" si="1"/>
        <v>Restock Alert</v>
      </c>
    </row>
    <row r="46" spans="1:6" x14ac:dyDescent="0.45">
      <c r="A46" t="s">
        <v>4007</v>
      </c>
      <c r="B46" t="s">
        <v>2774</v>
      </c>
      <c r="C46">
        <v>1000</v>
      </c>
      <c r="D46">
        <f>C46- SUMIF('Sales Data'!D:D,"Coffee",'Sales Data'!F:F)</f>
        <v>213</v>
      </c>
      <c r="E46" s="7">
        <f t="shared" si="0"/>
        <v>21.3</v>
      </c>
      <c r="F46" t="str">
        <f t="shared" si="1"/>
        <v>Stock Level OK</v>
      </c>
    </row>
    <row r="47" spans="1:6" x14ac:dyDescent="0.45">
      <c r="A47" t="s">
        <v>3979</v>
      </c>
      <c r="B47" t="s">
        <v>4006</v>
      </c>
      <c r="C47">
        <v>500</v>
      </c>
      <c r="D47">
        <f>C47- SUMIF('Sales Data'!D:D,"Phone Charger",'Sales Data'!F:F)</f>
        <v>343</v>
      </c>
      <c r="E47" s="7">
        <f t="shared" si="0"/>
        <v>68.600000000000009</v>
      </c>
      <c r="F47" t="str">
        <f t="shared" si="1"/>
        <v>Overstock Alert</v>
      </c>
    </row>
    <row r="48" spans="1:6" x14ac:dyDescent="0.45">
      <c r="A48" t="s">
        <v>4007</v>
      </c>
      <c r="B48" t="s">
        <v>2776</v>
      </c>
      <c r="C48">
        <v>1000</v>
      </c>
      <c r="D48">
        <f>C48- SUMIF('Sales Data'!D:D,"Sugar",'Sales Data'!F:F)</f>
        <v>381</v>
      </c>
      <c r="E48" s="7">
        <f t="shared" si="0"/>
        <v>38.1</v>
      </c>
      <c r="F48" t="str">
        <f t="shared" si="1"/>
        <v>Stock Level OK</v>
      </c>
    </row>
    <row r="49" spans="1:6" x14ac:dyDescent="0.45">
      <c r="A49" t="s">
        <v>4007</v>
      </c>
      <c r="B49" t="s">
        <v>2770</v>
      </c>
      <c r="C49">
        <v>1000</v>
      </c>
      <c r="D49">
        <f>C49- SUMIF('Sales Data'!D:D,"Tea",'Sales Data'!F:F)</f>
        <v>399</v>
      </c>
      <c r="E49" s="7">
        <f t="shared" si="0"/>
        <v>39.900000000000006</v>
      </c>
      <c r="F49" t="str">
        <f t="shared" si="1"/>
        <v>Stock Level OK</v>
      </c>
    </row>
  </sheetData>
  <autoFilter ref="A1:G46" xr:uid="{00000000-0001-0000-01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D6EE-8F08-49B5-9E14-CF4956B46E2C}">
  <dimension ref="A1:B14"/>
  <sheetViews>
    <sheetView workbookViewId="0">
      <selection sqref="A1:B13"/>
    </sheetView>
  </sheetViews>
  <sheetFormatPr defaultRowHeight="14.25" x14ac:dyDescent="0.45"/>
  <cols>
    <col min="1" max="1" width="12.06640625" bestFit="1" customWidth="1"/>
    <col min="2" max="2" width="17.1328125" bestFit="1" customWidth="1"/>
  </cols>
  <sheetData>
    <row r="1" spans="1:2" x14ac:dyDescent="0.45">
      <c r="A1" s="4" t="s">
        <v>5025</v>
      </c>
      <c r="B1" t="s">
        <v>5024</v>
      </c>
    </row>
    <row r="2" spans="1:2" x14ac:dyDescent="0.45">
      <c r="A2" s="5" t="s">
        <v>5027</v>
      </c>
      <c r="B2" s="6">
        <v>43517380</v>
      </c>
    </row>
    <row r="3" spans="1:2" x14ac:dyDescent="0.45">
      <c r="A3" s="5" t="s">
        <v>5028</v>
      </c>
      <c r="B3" s="6">
        <v>39014420</v>
      </c>
    </row>
    <row r="4" spans="1:2" x14ac:dyDescent="0.45">
      <c r="A4" s="5" t="s">
        <v>5029</v>
      </c>
      <c r="B4" s="6">
        <v>38658540</v>
      </c>
    </row>
    <row r="5" spans="1:2" x14ac:dyDescent="0.45">
      <c r="A5" s="5" t="s">
        <v>5030</v>
      </c>
      <c r="B5" s="6">
        <v>16436940</v>
      </c>
    </row>
    <row r="6" spans="1:2" x14ac:dyDescent="0.45">
      <c r="A6" s="5" t="s">
        <v>5031</v>
      </c>
      <c r="B6" s="6">
        <v>16535680</v>
      </c>
    </row>
    <row r="7" spans="1:2" x14ac:dyDescent="0.45">
      <c r="A7" s="5" t="s">
        <v>5032</v>
      </c>
      <c r="B7" s="6">
        <v>12672720</v>
      </c>
    </row>
    <row r="8" spans="1:2" x14ac:dyDescent="0.45">
      <c r="A8" s="5" t="s">
        <v>5033</v>
      </c>
      <c r="B8" s="6">
        <v>15214970</v>
      </c>
    </row>
    <row r="9" spans="1:2" x14ac:dyDescent="0.45">
      <c r="A9" s="5" t="s">
        <v>5034</v>
      </c>
      <c r="B9" s="6">
        <v>15425050</v>
      </c>
    </row>
    <row r="10" spans="1:2" x14ac:dyDescent="0.45">
      <c r="A10" s="5" t="s">
        <v>5035</v>
      </c>
      <c r="B10" s="6">
        <v>16424350</v>
      </c>
    </row>
    <row r="11" spans="1:2" x14ac:dyDescent="0.45">
      <c r="A11" s="5" t="s">
        <v>5036</v>
      </c>
      <c r="B11" s="6">
        <v>19579100</v>
      </c>
    </row>
    <row r="12" spans="1:2" x14ac:dyDescent="0.45">
      <c r="A12" s="5" t="s">
        <v>5037</v>
      </c>
      <c r="B12" s="6">
        <v>16831380</v>
      </c>
    </row>
    <row r="13" spans="1:2" x14ac:dyDescent="0.45">
      <c r="A13" s="5" t="s">
        <v>5038</v>
      </c>
      <c r="B13" s="6">
        <v>18706050</v>
      </c>
    </row>
    <row r="14" spans="1:2" x14ac:dyDescent="0.45">
      <c r="A14" s="5" t="s">
        <v>5026</v>
      </c>
      <c r="B14" s="6">
        <v>269016580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7F67-6E38-4FA3-9413-E13233BD7B7C}">
  <dimension ref="A1:B50"/>
  <sheetViews>
    <sheetView topLeftCell="D1" zoomScaleNormal="100" workbookViewId="0">
      <selection sqref="A1:B49"/>
    </sheetView>
  </sheetViews>
  <sheetFormatPr defaultRowHeight="14.25" x14ac:dyDescent="0.45"/>
  <cols>
    <col min="1" max="1" width="13.59765625" bestFit="1" customWidth="1"/>
    <col min="2" max="2" width="17.1328125" bestFit="1" customWidth="1"/>
  </cols>
  <sheetData>
    <row r="1" spans="1:2" x14ac:dyDescent="0.45">
      <c r="A1" s="4" t="s">
        <v>5025</v>
      </c>
      <c r="B1" t="s">
        <v>5024</v>
      </c>
    </row>
    <row r="2" spans="1:2" x14ac:dyDescent="0.45">
      <c r="A2" s="5" t="s">
        <v>3978</v>
      </c>
      <c r="B2" s="6">
        <v>324000</v>
      </c>
    </row>
    <row r="3" spans="1:2" x14ac:dyDescent="0.45">
      <c r="A3" s="5" t="s">
        <v>4005</v>
      </c>
      <c r="B3" s="6">
        <v>71040000</v>
      </c>
    </row>
    <row r="4" spans="1:2" x14ac:dyDescent="0.45">
      <c r="A4" s="5" t="s">
        <v>25</v>
      </c>
      <c r="B4" s="6">
        <v>4570800</v>
      </c>
    </row>
    <row r="5" spans="1:2" x14ac:dyDescent="0.45">
      <c r="A5" s="5" t="s">
        <v>28</v>
      </c>
      <c r="B5" s="6">
        <v>902000</v>
      </c>
    </row>
    <row r="6" spans="1:2" x14ac:dyDescent="0.45">
      <c r="A6" s="5" t="s">
        <v>4001</v>
      </c>
      <c r="B6" s="6">
        <v>95000</v>
      </c>
    </row>
    <row r="7" spans="1:2" x14ac:dyDescent="0.45">
      <c r="A7" s="5" t="s">
        <v>3994</v>
      </c>
      <c r="B7" s="6">
        <v>475000</v>
      </c>
    </row>
    <row r="8" spans="1:2" x14ac:dyDescent="0.45">
      <c r="A8" s="5" t="s">
        <v>2771</v>
      </c>
      <c r="B8" s="6">
        <v>81000</v>
      </c>
    </row>
    <row r="9" spans="1:2" x14ac:dyDescent="0.45">
      <c r="A9" s="5" t="s">
        <v>3996</v>
      </c>
      <c r="B9" s="6">
        <v>334000</v>
      </c>
    </row>
    <row r="10" spans="1:2" x14ac:dyDescent="0.45">
      <c r="A10" s="5" t="s">
        <v>10</v>
      </c>
      <c r="B10" s="6">
        <v>387600</v>
      </c>
    </row>
    <row r="11" spans="1:2" x14ac:dyDescent="0.45">
      <c r="A11" s="5" t="s">
        <v>19</v>
      </c>
      <c r="B11" s="6">
        <v>3000000</v>
      </c>
    </row>
    <row r="12" spans="1:2" x14ac:dyDescent="0.45">
      <c r="A12" s="5" t="s">
        <v>2774</v>
      </c>
      <c r="B12" s="6">
        <v>1495300</v>
      </c>
    </row>
    <row r="13" spans="1:2" x14ac:dyDescent="0.45">
      <c r="A13" s="5" t="s">
        <v>5022</v>
      </c>
      <c r="B13" s="6">
        <v>2986560</v>
      </c>
    </row>
    <row r="14" spans="1:2" x14ac:dyDescent="0.45">
      <c r="A14" s="5" t="s">
        <v>3985</v>
      </c>
      <c r="B14" s="6">
        <v>290550</v>
      </c>
    </row>
    <row r="15" spans="1:2" x14ac:dyDescent="0.45">
      <c r="A15" s="5" t="s">
        <v>3991</v>
      </c>
      <c r="B15" s="6">
        <v>318000</v>
      </c>
    </row>
    <row r="16" spans="1:2" x14ac:dyDescent="0.45">
      <c r="A16" s="5" t="s">
        <v>42</v>
      </c>
      <c r="B16" s="6">
        <v>7755600</v>
      </c>
    </row>
    <row r="17" spans="1:2" x14ac:dyDescent="0.45">
      <c r="A17" s="5" t="s">
        <v>3992</v>
      </c>
      <c r="B17" s="6">
        <v>66400</v>
      </c>
    </row>
    <row r="18" spans="1:2" x14ac:dyDescent="0.45">
      <c r="A18" s="5" t="s">
        <v>3983</v>
      </c>
      <c r="B18" s="6">
        <v>153000</v>
      </c>
    </row>
    <row r="19" spans="1:2" x14ac:dyDescent="0.45">
      <c r="A19" s="5" t="s">
        <v>2773</v>
      </c>
      <c r="B19" s="6">
        <v>2072400</v>
      </c>
    </row>
    <row r="20" spans="1:2" x14ac:dyDescent="0.45">
      <c r="A20" s="5" t="s">
        <v>3987</v>
      </c>
      <c r="B20" s="6">
        <v>1384000</v>
      </c>
    </row>
    <row r="21" spans="1:2" x14ac:dyDescent="0.45">
      <c r="A21" s="5" t="s">
        <v>5020</v>
      </c>
      <c r="B21" s="6">
        <v>2551680</v>
      </c>
    </row>
    <row r="22" spans="1:2" x14ac:dyDescent="0.45">
      <c r="A22" s="5" t="s">
        <v>3990</v>
      </c>
      <c r="B22" s="6">
        <v>518000</v>
      </c>
    </row>
    <row r="23" spans="1:2" x14ac:dyDescent="0.45">
      <c r="A23" s="5" t="s">
        <v>3988</v>
      </c>
      <c r="B23" s="6">
        <v>5845000</v>
      </c>
    </row>
    <row r="24" spans="1:2" x14ac:dyDescent="0.45">
      <c r="A24" s="5" t="s">
        <v>4003</v>
      </c>
      <c r="B24" s="6">
        <v>2380000</v>
      </c>
    </row>
    <row r="25" spans="1:2" x14ac:dyDescent="0.45">
      <c r="A25" s="5" t="s">
        <v>3982</v>
      </c>
      <c r="B25" s="6">
        <v>2834000</v>
      </c>
    </row>
    <row r="26" spans="1:2" x14ac:dyDescent="0.45">
      <c r="A26" s="5" t="s">
        <v>3980</v>
      </c>
      <c r="B26" s="6">
        <v>144500</v>
      </c>
    </row>
    <row r="27" spans="1:2" x14ac:dyDescent="0.45">
      <c r="A27" s="5" t="s">
        <v>2775</v>
      </c>
      <c r="B27" s="6">
        <v>6269900</v>
      </c>
    </row>
    <row r="28" spans="1:2" x14ac:dyDescent="0.45">
      <c r="A28" s="5" t="s">
        <v>4002</v>
      </c>
      <c r="B28" s="6">
        <v>480000</v>
      </c>
    </row>
    <row r="29" spans="1:2" x14ac:dyDescent="0.45">
      <c r="A29" s="5" t="s">
        <v>3999</v>
      </c>
      <c r="B29" s="6">
        <v>10450000</v>
      </c>
    </row>
    <row r="30" spans="1:2" x14ac:dyDescent="0.45">
      <c r="A30" s="5" t="s">
        <v>3989</v>
      </c>
      <c r="B30" s="6">
        <v>194000</v>
      </c>
    </row>
    <row r="31" spans="1:2" x14ac:dyDescent="0.45">
      <c r="A31" s="5" t="s">
        <v>5021</v>
      </c>
      <c r="B31" s="6">
        <v>2773440</v>
      </c>
    </row>
    <row r="32" spans="1:2" x14ac:dyDescent="0.45">
      <c r="A32" s="5" t="s">
        <v>4006</v>
      </c>
      <c r="B32" s="6">
        <v>314000</v>
      </c>
    </row>
    <row r="33" spans="1:2" x14ac:dyDescent="0.45">
      <c r="A33" s="5" t="s">
        <v>3984</v>
      </c>
      <c r="B33" s="6">
        <v>2388000</v>
      </c>
    </row>
    <row r="34" spans="1:2" x14ac:dyDescent="0.45">
      <c r="A34" s="5" t="s">
        <v>5015</v>
      </c>
      <c r="B34" s="6">
        <v>92832000</v>
      </c>
    </row>
    <row r="35" spans="1:2" x14ac:dyDescent="0.45">
      <c r="A35" s="5" t="s">
        <v>4004</v>
      </c>
      <c r="B35" s="6">
        <v>3015000</v>
      </c>
    </row>
    <row r="36" spans="1:2" x14ac:dyDescent="0.45">
      <c r="A36" s="5" t="s">
        <v>16</v>
      </c>
      <c r="B36" s="6">
        <v>1124400</v>
      </c>
    </row>
    <row r="37" spans="1:2" x14ac:dyDescent="0.45">
      <c r="A37" s="5" t="s">
        <v>3995</v>
      </c>
      <c r="B37" s="6">
        <v>2850000</v>
      </c>
    </row>
    <row r="38" spans="1:2" x14ac:dyDescent="0.45">
      <c r="A38" s="5" t="s">
        <v>4000</v>
      </c>
      <c r="B38" s="6">
        <v>450000</v>
      </c>
    </row>
    <row r="39" spans="1:2" x14ac:dyDescent="0.45">
      <c r="A39" s="5" t="s">
        <v>34</v>
      </c>
      <c r="B39" s="6">
        <v>3043000</v>
      </c>
    </row>
    <row r="40" spans="1:2" x14ac:dyDescent="0.45">
      <c r="A40" s="5" t="s">
        <v>39</v>
      </c>
      <c r="B40" s="6">
        <v>6414000</v>
      </c>
    </row>
    <row r="41" spans="1:2" x14ac:dyDescent="0.45">
      <c r="A41" s="5" t="s">
        <v>2776</v>
      </c>
      <c r="B41" s="6">
        <v>2228400</v>
      </c>
    </row>
    <row r="42" spans="1:2" x14ac:dyDescent="0.45">
      <c r="A42" s="5" t="s">
        <v>2770</v>
      </c>
      <c r="B42" s="6">
        <v>360600</v>
      </c>
    </row>
    <row r="43" spans="1:2" x14ac:dyDescent="0.45">
      <c r="A43" s="5" t="s">
        <v>3981</v>
      </c>
      <c r="B43" s="6">
        <v>808000</v>
      </c>
    </row>
    <row r="44" spans="1:2" x14ac:dyDescent="0.45">
      <c r="A44" s="5" t="s">
        <v>14</v>
      </c>
      <c r="B44" s="6">
        <v>1339200</v>
      </c>
    </row>
    <row r="45" spans="1:2" x14ac:dyDescent="0.45">
      <c r="A45" s="5" t="s">
        <v>3998</v>
      </c>
      <c r="B45" s="6">
        <v>1016000</v>
      </c>
    </row>
    <row r="46" spans="1:2" x14ac:dyDescent="0.45">
      <c r="A46" s="5" t="s">
        <v>3993</v>
      </c>
      <c r="B46" s="6">
        <v>147000</v>
      </c>
    </row>
    <row r="47" spans="1:2" x14ac:dyDescent="0.45">
      <c r="A47" s="5" t="s">
        <v>5023</v>
      </c>
      <c r="B47" s="6">
        <v>1475250</v>
      </c>
    </row>
    <row r="48" spans="1:2" x14ac:dyDescent="0.45">
      <c r="A48" s="5" t="s">
        <v>3986</v>
      </c>
      <c r="B48" s="6">
        <v>2160000</v>
      </c>
    </row>
    <row r="49" spans="1:2" x14ac:dyDescent="0.45">
      <c r="A49" s="5" t="s">
        <v>3997</v>
      </c>
      <c r="B49" s="6">
        <v>14880000</v>
      </c>
    </row>
    <row r="50" spans="1:2" x14ac:dyDescent="0.45">
      <c r="A50" s="5" t="s">
        <v>5026</v>
      </c>
      <c r="B50" s="6">
        <v>269016580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C80B-15BF-457C-B1A4-B63E8D36C9DE}">
  <dimension ref="A1:B5"/>
  <sheetViews>
    <sheetView workbookViewId="0">
      <selection activeCell="B1" sqref="B1"/>
    </sheetView>
  </sheetViews>
  <sheetFormatPr defaultRowHeight="14.25" x14ac:dyDescent="0.45"/>
  <cols>
    <col min="1" max="1" width="12.06640625" bestFit="1" customWidth="1"/>
    <col min="2" max="2" width="17.1328125" bestFit="1" customWidth="1"/>
    <col min="3" max="3" width="17.46484375" bestFit="1" customWidth="1"/>
  </cols>
  <sheetData>
    <row r="1" spans="1:2" x14ac:dyDescent="0.45">
      <c r="A1" s="4" t="s">
        <v>5025</v>
      </c>
      <c r="B1" t="s">
        <v>5024</v>
      </c>
    </row>
    <row r="2" spans="1:2" x14ac:dyDescent="0.45">
      <c r="A2" s="5" t="s">
        <v>17</v>
      </c>
      <c r="B2" s="6">
        <v>86885270</v>
      </c>
    </row>
    <row r="3" spans="1:2" x14ac:dyDescent="0.45">
      <c r="A3" s="5" t="s">
        <v>7</v>
      </c>
      <c r="B3" s="6">
        <v>87390950</v>
      </c>
    </row>
    <row r="4" spans="1:2" x14ac:dyDescent="0.45">
      <c r="A4" s="5" t="s">
        <v>21</v>
      </c>
      <c r="B4" s="6">
        <v>94740360</v>
      </c>
    </row>
    <row r="5" spans="1:2" x14ac:dyDescent="0.45">
      <c r="A5" s="5" t="s">
        <v>5026</v>
      </c>
      <c r="B5" s="6">
        <v>269016580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5E2D4-F0CC-46C6-B856-8B85CE8C2007}">
  <dimension ref="A1:C366"/>
  <sheetViews>
    <sheetView workbookViewId="0">
      <selection activeCell="B1" sqref="B1:B366"/>
      <pivotSelection pane="bottomRight" showHeader="1" extendable="1" axis="axisCol" max="2" activeCol="1" previousCol="1" click="1" r:id="rId1">
        <pivotArea dataOnly="0" outline="0" axis="axisCol" fieldPosition="0">
          <references count="1">
            <reference field="4294967294" count="1">
              <x v="0"/>
            </reference>
          </references>
        </pivotArea>
      </pivotSelection>
    </sheetView>
  </sheetViews>
  <sheetFormatPr defaultRowHeight="14.25" x14ac:dyDescent="0.45"/>
  <cols>
    <col min="1" max="1" width="12.06640625" bestFit="1" customWidth="1"/>
    <col min="2" max="2" width="17.1328125" bestFit="1" customWidth="1"/>
    <col min="3" max="3" width="14.1328125" bestFit="1" customWidth="1"/>
  </cols>
  <sheetData>
    <row r="1" spans="1:3" x14ac:dyDescent="0.45">
      <c r="A1" s="4" t="s">
        <v>5025</v>
      </c>
      <c r="B1" t="s">
        <v>5024</v>
      </c>
      <c r="C1" t="s">
        <v>5413</v>
      </c>
    </row>
    <row r="2" spans="1:3" x14ac:dyDescent="0.45">
      <c r="A2" s="5" t="s">
        <v>5039</v>
      </c>
      <c r="B2" s="8">
        <v>1433380</v>
      </c>
      <c r="C2" s="8">
        <v>134</v>
      </c>
    </row>
    <row r="3" spans="1:3" x14ac:dyDescent="0.45">
      <c r="A3" s="5" t="s">
        <v>5040</v>
      </c>
      <c r="B3" s="8">
        <v>2077500</v>
      </c>
      <c r="C3" s="8">
        <v>136</v>
      </c>
    </row>
    <row r="4" spans="1:3" x14ac:dyDescent="0.45">
      <c r="A4" s="5" t="s">
        <v>5041</v>
      </c>
      <c r="B4" s="8">
        <v>525820</v>
      </c>
      <c r="C4" s="8">
        <v>103</v>
      </c>
    </row>
    <row r="5" spans="1:3" x14ac:dyDescent="0.45">
      <c r="A5" s="5" t="s">
        <v>5042</v>
      </c>
      <c r="B5" s="8">
        <v>1682080</v>
      </c>
      <c r="C5" s="8">
        <v>83</v>
      </c>
    </row>
    <row r="6" spans="1:3" x14ac:dyDescent="0.45">
      <c r="A6" s="5" t="s">
        <v>5043</v>
      </c>
      <c r="B6" s="8">
        <v>881260</v>
      </c>
      <c r="C6" s="8">
        <v>94</v>
      </c>
    </row>
    <row r="7" spans="1:3" x14ac:dyDescent="0.45">
      <c r="A7" s="5" t="s">
        <v>5044</v>
      </c>
      <c r="B7" s="8">
        <v>1497580</v>
      </c>
      <c r="C7" s="8">
        <v>101</v>
      </c>
    </row>
    <row r="8" spans="1:3" x14ac:dyDescent="0.45">
      <c r="A8" s="5" t="s">
        <v>5045</v>
      </c>
      <c r="B8" s="8">
        <v>895600</v>
      </c>
      <c r="C8" s="8">
        <v>148</v>
      </c>
    </row>
    <row r="9" spans="1:3" x14ac:dyDescent="0.45">
      <c r="A9" s="5" t="s">
        <v>5046</v>
      </c>
      <c r="B9" s="8">
        <v>3226720</v>
      </c>
      <c r="C9" s="8">
        <v>190</v>
      </c>
    </row>
    <row r="10" spans="1:3" x14ac:dyDescent="0.45">
      <c r="A10" s="5" t="s">
        <v>5047</v>
      </c>
      <c r="B10" s="8">
        <v>1182410</v>
      </c>
      <c r="C10" s="8">
        <v>115</v>
      </c>
    </row>
    <row r="11" spans="1:3" x14ac:dyDescent="0.45">
      <c r="A11" s="5" t="s">
        <v>5048</v>
      </c>
      <c r="B11" s="8">
        <v>1182830</v>
      </c>
      <c r="C11" s="8">
        <v>132</v>
      </c>
    </row>
    <row r="12" spans="1:3" x14ac:dyDescent="0.45">
      <c r="A12" s="5" t="s">
        <v>5049</v>
      </c>
      <c r="B12" s="8">
        <v>2244180</v>
      </c>
      <c r="C12" s="8">
        <v>104</v>
      </c>
    </row>
    <row r="13" spans="1:3" x14ac:dyDescent="0.45">
      <c r="A13" s="5" t="s">
        <v>5050</v>
      </c>
      <c r="B13" s="8">
        <v>1306700</v>
      </c>
      <c r="C13" s="8">
        <v>114</v>
      </c>
    </row>
    <row r="14" spans="1:3" x14ac:dyDescent="0.45">
      <c r="A14" s="5" t="s">
        <v>5051</v>
      </c>
      <c r="B14" s="8">
        <v>813280</v>
      </c>
      <c r="C14" s="8">
        <v>127</v>
      </c>
    </row>
    <row r="15" spans="1:3" x14ac:dyDescent="0.45">
      <c r="A15" s="5" t="s">
        <v>5052</v>
      </c>
      <c r="B15" s="8">
        <v>1463800</v>
      </c>
      <c r="C15" s="8">
        <v>107</v>
      </c>
    </row>
    <row r="16" spans="1:3" x14ac:dyDescent="0.45">
      <c r="A16" s="5" t="s">
        <v>5053</v>
      </c>
      <c r="B16" s="8">
        <v>1492800</v>
      </c>
      <c r="C16" s="8">
        <v>141</v>
      </c>
    </row>
    <row r="17" spans="1:3" x14ac:dyDescent="0.45">
      <c r="A17" s="5" t="s">
        <v>5054</v>
      </c>
      <c r="B17" s="8">
        <v>1250350</v>
      </c>
      <c r="C17" s="8">
        <v>134</v>
      </c>
    </row>
    <row r="18" spans="1:3" x14ac:dyDescent="0.45">
      <c r="A18" s="5" t="s">
        <v>5055</v>
      </c>
      <c r="B18" s="8">
        <v>1703700</v>
      </c>
      <c r="C18" s="8">
        <v>130</v>
      </c>
    </row>
    <row r="19" spans="1:3" x14ac:dyDescent="0.45">
      <c r="A19" s="5" t="s">
        <v>5056</v>
      </c>
      <c r="B19" s="8">
        <v>898180</v>
      </c>
      <c r="C19" s="8">
        <v>116</v>
      </c>
    </row>
    <row r="20" spans="1:3" x14ac:dyDescent="0.45">
      <c r="A20" s="5" t="s">
        <v>5057</v>
      </c>
      <c r="B20" s="8">
        <v>2329080</v>
      </c>
      <c r="C20" s="8">
        <v>137</v>
      </c>
    </row>
    <row r="21" spans="1:3" x14ac:dyDescent="0.45">
      <c r="A21" s="5" t="s">
        <v>5058</v>
      </c>
      <c r="B21" s="8">
        <v>888080</v>
      </c>
      <c r="C21" s="8">
        <v>123</v>
      </c>
    </row>
    <row r="22" spans="1:3" x14ac:dyDescent="0.45">
      <c r="A22" s="5" t="s">
        <v>5059</v>
      </c>
      <c r="B22" s="8">
        <v>803630</v>
      </c>
      <c r="C22" s="8">
        <v>100</v>
      </c>
    </row>
    <row r="23" spans="1:3" x14ac:dyDescent="0.45">
      <c r="A23" s="5" t="s">
        <v>5060</v>
      </c>
      <c r="B23" s="8">
        <v>652070</v>
      </c>
      <c r="C23" s="8">
        <v>89</v>
      </c>
    </row>
    <row r="24" spans="1:3" x14ac:dyDescent="0.45">
      <c r="A24" s="5" t="s">
        <v>5061</v>
      </c>
      <c r="B24" s="8">
        <v>2954620</v>
      </c>
      <c r="C24" s="8">
        <v>157</v>
      </c>
    </row>
    <row r="25" spans="1:3" x14ac:dyDescent="0.45">
      <c r="A25" s="5" t="s">
        <v>5062</v>
      </c>
      <c r="B25" s="8">
        <v>1229890</v>
      </c>
      <c r="C25" s="8">
        <v>133</v>
      </c>
    </row>
    <row r="26" spans="1:3" x14ac:dyDescent="0.45">
      <c r="A26" s="5" t="s">
        <v>5063</v>
      </c>
      <c r="B26" s="8">
        <v>1674810</v>
      </c>
      <c r="C26" s="8">
        <v>161</v>
      </c>
    </row>
    <row r="27" spans="1:3" x14ac:dyDescent="0.45">
      <c r="A27" s="5" t="s">
        <v>5064</v>
      </c>
      <c r="B27" s="8">
        <v>1161750</v>
      </c>
      <c r="C27" s="8">
        <v>125</v>
      </c>
    </row>
    <row r="28" spans="1:3" x14ac:dyDescent="0.45">
      <c r="A28" s="5" t="s">
        <v>5065</v>
      </c>
      <c r="B28" s="8">
        <v>1090320</v>
      </c>
      <c r="C28" s="8">
        <v>126</v>
      </c>
    </row>
    <row r="29" spans="1:3" x14ac:dyDescent="0.45">
      <c r="A29" s="5" t="s">
        <v>5066</v>
      </c>
      <c r="B29" s="8">
        <v>1774670</v>
      </c>
      <c r="C29" s="8">
        <v>158</v>
      </c>
    </row>
    <row r="30" spans="1:3" x14ac:dyDescent="0.45">
      <c r="A30" s="5" t="s">
        <v>5067</v>
      </c>
      <c r="B30" s="8">
        <v>1385720</v>
      </c>
      <c r="C30" s="8">
        <v>148</v>
      </c>
    </row>
    <row r="31" spans="1:3" x14ac:dyDescent="0.45">
      <c r="A31" s="5" t="s">
        <v>5068</v>
      </c>
      <c r="B31" s="8">
        <v>1043110</v>
      </c>
      <c r="C31" s="8">
        <v>98</v>
      </c>
    </row>
    <row r="32" spans="1:3" x14ac:dyDescent="0.45">
      <c r="A32" s="5" t="s">
        <v>5069</v>
      </c>
      <c r="B32" s="8">
        <v>771460</v>
      </c>
      <c r="C32" s="8">
        <v>126</v>
      </c>
    </row>
    <row r="33" spans="1:3" x14ac:dyDescent="0.45">
      <c r="A33" s="5" t="s">
        <v>5070</v>
      </c>
      <c r="B33" s="8">
        <v>660720</v>
      </c>
      <c r="C33" s="8">
        <v>64</v>
      </c>
    </row>
    <row r="34" spans="1:3" x14ac:dyDescent="0.45">
      <c r="A34" s="5" t="s">
        <v>5071</v>
      </c>
      <c r="B34" s="8">
        <v>2925200</v>
      </c>
      <c r="C34" s="8">
        <v>165</v>
      </c>
    </row>
    <row r="35" spans="1:3" x14ac:dyDescent="0.45">
      <c r="A35" s="5" t="s">
        <v>5072</v>
      </c>
      <c r="B35" s="8">
        <v>2020300</v>
      </c>
      <c r="C35" s="8">
        <v>128</v>
      </c>
    </row>
    <row r="36" spans="1:3" x14ac:dyDescent="0.45">
      <c r="A36" s="5" t="s">
        <v>5073</v>
      </c>
      <c r="B36" s="8">
        <v>928880</v>
      </c>
      <c r="C36" s="8">
        <v>87</v>
      </c>
    </row>
    <row r="37" spans="1:3" x14ac:dyDescent="0.45">
      <c r="A37" s="5" t="s">
        <v>5074</v>
      </c>
      <c r="B37" s="8">
        <v>1795840</v>
      </c>
      <c r="C37" s="8">
        <v>139</v>
      </c>
    </row>
    <row r="38" spans="1:3" x14ac:dyDescent="0.45">
      <c r="A38" s="5" t="s">
        <v>5075</v>
      </c>
      <c r="B38" s="8">
        <v>1849460</v>
      </c>
      <c r="C38" s="8">
        <v>119</v>
      </c>
    </row>
    <row r="39" spans="1:3" x14ac:dyDescent="0.45">
      <c r="A39" s="5" t="s">
        <v>5076</v>
      </c>
      <c r="B39" s="8">
        <v>2347060</v>
      </c>
      <c r="C39" s="8">
        <v>203</v>
      </c>
    </row>
    <row r="40" spans="1:3" x14ac:dyDescent="0.45">
      <c r="A40" s="5" t="s">
        <v>5077</v>
      </c>
      <c r="B40" s="8">
        <v>1087660</v>
      </c>
      <c r="C40" s="8">
        <v>123</v>
      </c>
    </row>
    <row r="41" spans="1:3" x14ac:dyDescent="0.45">
      <c r="A41" s="5" t="s">
        <v>5078</v>
      </c>
      <c r="B41" s="8">
        <v>1250460</v>
      </c>
      <c r="C41" s="8">
        <v>123</v>
      </c>
    </row>
    <row r="42" spans="1:3" x14ac:dyDescent="0.45">
      <c r="A42" s="5" t="s">
        <v>5079</v>
      </c>
      <c r="B42" s="8">
        <v>808910</v>
      </c>
      <c r="C42" s="8">
        <v>100</v>
      </c>
    </row>
    <row r="43" spans="1:3" x14ac:dyDescent="0.45">
      <c r="A43" s="5" t="s">
        <v>5080</v>
      </c>
      <c r="B43" s="8">
        <v>1736990</v>
      </c>
      <c r="C43" s="8">
        <v>97</v>
      </c>
    </row>
    <row r="44" spans="1:3" x14ac:dyDescent="0.45">
      <c r="A44" s="5" t="s">
        <v>5081</v>
      </c>
      <c r="B44" s="8">
        <v>1388850</v>
      </c>
      <c r="C44" s="8">
        <v>83</v>
      </c>
    </row>
    <row r="45" spans="1:3" x14ac:dyDescent="0.45">
      <c r="A45" s="5" t="s">
        <v>5082</v>
      </c>
      <c r="B45" s="8">
        <v>904460</v>
      </c>
      <c r="C45" s="8">
        <v>87</v>
      </c>
    </row>
    <row r="46" spans="1:3" x14ac:dyDescent="0.45">
      <c r="A46" s="5" t="s">
        <v>5083</v>
      </c>
      <c r="B46" s="8">
        <v>1305150</v>
      </c>
      <c r="C46" s="8">
        <v>67</v>
      </c>
    </row>
    <row r="47" spans="1:3" x14ac:dyDescent="0.45">
      <c r="A47" s="5" t="s">
        <v>5084</v>
      </c>
      <c r="B47" s="8">
        <v>1806540</v>
      </c>
      <c r="C47" s="8">
        <v>184</v>
      </c>
    </row>
    <row r="48" spans="1:3" x14ac:dyDescent="0.45">
      <c r="A48" s="5" t="s">
        <v>5085</v>
      </c>
      <c r="B48" s="8">
        <v>1331420</v>
      </c>
      <c r="C48" s="8">
        <v>134</v>
      </c>
    </row>
    <row r="49" spans="1:3" x14ac:dyDescent="0.45">
      <c r="A49" s="5" t="s">
        <v>5086</v>
      </c>
      <c r="B49" s="8">
        <v>1397520</v>
      </c>
      <c r="C49" s="8">
        <v>130</v>
      </c>
    </row>
    <row r="50" spans="1:3" x14ac:dyDescent="0.45">
      <c r="A50" s="5" t="s">
        <v>5087</v>
      </c>
      <c r="B50" s="8">
        <v>746900</v>
      </c>
      <c r="C50" s="8">
        <v>85</v>
      </c>
    </row>
    <row r="51" spans="1:3" x14ac:dyDescent="0.45">
      <c r="A51" s="5" t="s">
        <v>5088</v>
      </c>
      <c r="B51" s="8">
        <v>912630</v>
      </c>
      <c r="C51" s="8">
        <v>111</v>
      </c>
    </row>
    <row r="52" spans="1:3" x14ac:dyDescent="0.45">
      <c r="A52" s="5" t="s">
        <v>5089</v>
      </c>
      <c r="B52" s="8">
        <v>1342760</v>
      </c>
      <c r="C52" s="8">
        <v>89</v>
      </c>
    </row>
    <row r="53" spans="1:3" x14ac:dyDescent="0.45">
      <c r="A53" s="5" t="s">
        <v>5090</v>
      </c>
      <c r="B53" s="8">
        <v>606480</v>
      </c>
      <c r="C53" s="8">
        <v>87</v>
      </c>
    </row>
    <row r="54" spans="1:3" x14ac:dyDescent="0.45">
      <c r="A54" s="5" t="s">
        <v>5091</v>
      </c>
      <c r="B54" s="8">
        <v>1226420</v>
      </c>
      <c r="C54" s="8">
        <v>145</v>
      </c>
    </row>
    <row r="55" spans="1:3" x14ac:dyDescent="0.45">
      <c r="A55" s="5" t="s">
        <v>5092</v>
      </c>
      <c r="B55" s="8">
        <v>1008300</v>
      </c>
      <c r="C55" s="8">
        <v>84</v>
      </c>
    </row>
    <row r="56" spans="1:3" x14ac:dyDescent="0.45">
      <c r="A56" s="5" t="s">
        <v>5093</v>
      </c>
      <c r="B56" s="8">
        <v>1406260</v>
      </c>
      <c r="C56" s="8">
        <v>128</v>
      </c>
    </row>
    <row r="57" spans="1:3" x14ac:dyDescent="0.45">
      <c r="A57" s="5" t="s">
        <v>5094</v>
      </c>
      <c r="B57" s="8">
        <v>1046800</v>
      </c>
      <c r="C57" s="8">
        <v>112</v>
      </c>
    </row>
    <row r="58" spans="1:3" x14ac:dyDescent="0.45">
      <c r="A58" s="5" t="s">
        <v>5095</v>
      </c>
      <c r="B58" s="8">
        <v>1587620</v>
      </c>
      <c r="C58" s="8">
        <v>110</v>
      </c>
    </row>
    <row r="59" spans="1:3" x14ac:dyDescent="0.45">
      <c r="A59" s="5" t="s">
        <v>5096</v>
      </c>
      <c r="B59" s="8">
        <v>2620050</v>
      </c>
      <c r="C59" s="8">
        <v>156</v>
      </c>
    </row>
    <row r="60" spans="1:3" x14ac:dyDescent="0.45">
      <c r="A60" s="5" t="s">
        <v>5097</v>
      </c>
      <c r="B60" s="8">
        <v>964780</v>
      </c>
      <c r="C60" s="8">
        <v>162</v>
      </c>
    </row>
    <row r="61" spans="1:3" x14ac:dyDescent="0.45">
      <c r="A61" s="5" t="s">
        <v>5098</v>
      </c>
      <c r="B61" s="8">
        <v>1207260</v>
      </c>
      <c r="C61" s="8">
        <v>112</v>
      </c>
    </row>
    <row r="62" spans="1:3" x14ac:dyDescent="0.45">
      <c r="A62" s="5" t="s">
        <v>5099</v>
      </c>
      <c r="B62" s="8">
        <v>1097290</v>
      </c>
      <c r="C62" s="8">
        <v>193</v>
      </c>
    </row>
    <row r="63" spans="1:3" x14ac:dyDescent="0.45">
      <c r="A63" s="5" t="s">
        <v>5100</v>
      </c>
      <c r="B63" s="8">
        <v>1942550</v>
      </c>
      <c r="C63" s="8">
        <v>159</v>
      </c>
    </row>
    <row r="64" spans="1:3" x14ac:dyDescent="0.45">
      <c r="A64" s="5" t="s">
        <v>5101</v>
      </c>
      <c r="B64" s="8">
        <v>1663640</v>
      </c>
      <c r="C64" s="8">
        <v>135</v>
      </c>
    </row>
    <row r="65" spans="1:3" x14ac:dyDescent="0.45">
      <c r="A65" s="5" t="s">
        <v>5102</v>
      </c>
      <c r="B65" s="8">
        <v>1747280</v>
      </c>
      <c r="C65" s="8">
        <v>167</v>
      </c>
    </row>
    <row r="66" spans="1:3" x14ac:dyDescent="0.45">
      <c r="A66" s="5" t="s">
        <v>5103</v>
      </c>
      <c r="B66" s="8">
        <v>1090540</v>
      </c>
      <c r="C66" s="8">
        <v>131</v>
      </c>
    </row>
    <row r="67" spans="1:3" x14ac:dyDescent="0.45">
      <c r="A67" s="5" t="s">
        <v>5104</v>
      </c>
      <c r="B67" s="8">
        <v>613260</v>
      </c>
      <c r="C67" s="8">
        <v>75</v>
      </c>
    </row>
    <row r="68" spans="1:3" x14ac:dyDescent="0.45">
      <c r="A68" s="5" t="s">
        <v>5105</v>
      </c>
      <c r="B68" s="8">
        <v>988540</v>
      </c>
      <c r="C68" s="8">
        <v>106</v>
      </c>
    </row>
    <row r="69" spans="1:3" x14ac:dyDescent="0.45">
      <c r="A69" s="5" t="s">
        <v>5106</v>
      </c>
      <c r="B69" s="8">
        <v>1144940</v>
      </c>
      <c r="C69" s="8">
        <v>162</v>
      </c>
    </row>
    <row r="70" spans="1:3" x14ac:dyDescent="0.45">
      <c r="A70" s="5" t="s">
        <v>5107</v>
      </c>
      <c r="B70" s="8">
        <v>1093840</v>
      </c>
      <c r="C70" s="8">
        <v>98</v>
      </c>
    </row>
    <row r="71" spans="1:3" x14ac:dyDescent="0.45">
      <c r="A71" s="5" t="s">
        <v>5108</v>
      </c>
      <c r="B71" s="8">
        <v>881100</v>
      </c>
      <c r="C71" s="8">
        <v>128</v>
      </c>
    </row>
    <row r="72" spans="1:3" x14ac:dyDescent="0.45">
      <c r="A72" s="5" t="s">
        <v>5109</v>
      </c>
      <c r="B72" s="8">
        <v>1069400</v>
      </c>
      <c r="C72" s="8">
        <v>131</v>
      </c>
    </row>
    <row r="73" spans="1:3" x14ac:dyDescent="0.45">
      <c r="A73" s="5" t="s">
        <v>5110</v>
      </c>
      <c r="B73" s="8">
        <v>1015780</v>
      </c>
      <c r="C73" s="8">
        <v>120</v>
      </c>
    </row>
    <row r="74" spans="1:3" x14ac:dyDescent="0.45">
      <c r="A74" s="5" t="s">
        <v>5111</v>
      </c>
      <c r="B74" s="8">
        <v>2178940</v>
      </c>
      <c r="C74" s="8">
        <v>178</v>
      </c>
    </row>
    <row r="75" spans="1:3" x14ac:dyDescent="0.45">
      <c r="A75" s="5" t="s">
        <v>5112</v>
      </c>
      <c r="B75" s="8">
        <v>962440</v>
      </c>
      <c r="C75" s="8">
        <v>136</v>
      </c>
    </row>
    <row r="76" spans="1:3" x14ac:dyDescent="0.45">
      <c r="A76" s="5" t="s">
        <v>5113</v>
      </c>
      <c r="B76" s="8">
        <v>1740780</v>
      </c>
      <c r="C76" s="8">
        <v>98</v>
      </c>
    </row>
    <row r="77" spans="1:3" x14ac:dyDescent="0.45">
      <c r="A77" s="5" t="s">
        <v>5114</v>
      </c>
      <c r="B77" s="8">
        <v>786760</v>
      </c>
      <c r="C77" s="8">
        <v>101</v>
      </c>
    </row>
    <row r="78" spans="1:3" x14ac:dyDescent="0.45">
      <c r="A78" s="5" t="s">
        <v>5115</v>
      </c>
      <c r="B78" s="8">
        <v>1624900</v>
      </c>
      <c r="C78" s="8">
        <v>115</v>
      </c>
    </row>
    <row r="79" spans="1:3" x14ac:dyDescent="0.45">
      <c r="A79" s="5" t="s">
        <v>5116</v>
      </c>
      <c r="B79" s="8">
        <v>740250</v>
      </c>
      <c r="C79" s="8">
        <v>139</v>
      </c>
    </row>
    <row r="80" spans="1:3" x14ac:dyDescent="0.45">
      <c r="A80" s="5" t="s">
        <v>5117</v>
      </c>
      <c r="B80" s="8">
        <v>2379180</v>
      </c>
      <c r="C80" s="8">
        <v>156</v>
      </c>
    </row>
    <row r="81" spans="1:3" x14ac:dyDescent="0.45">
      <c r="A81" s="5" t="s">
        <v>5118</v>
      </c>
      <c r="B81" s="8">
        <v>1649180</v>
      </c>
      <c r="C81" s="8">
        <v>113</v>
      </c>
    </row>
    <row r="82" spans="1:3" x14ac:dyDescent="0.45">
      <c r="A82" s="5" t="s">
        <v>5119</v>
      </c>
      <c r="B82" s="8">
        <v>1424670</v>
      </c>
      <c r="C82" s="8">
        <v>96</v>
      </c>
    </row>
    <row r="83" spans="1:3" x14ac:dyDescent="0.45">
      <c r="A83" s="5" t="s">
        <v>5120</v>
      </c>
      <c r="B83" s="8">
        <v>1827980</v>
      </c>
      <c r="C83" s="8">
        <v>114</v>
      </c>
    </row>
    <row r="84" spans="1:3" x14ac:dyDescent="0.45">
      <c r="A84" s="5" t="s">
        <v>5121</v>
      </c>
      <c r="B84" s="8">
        <v>1313350</v>
      </c>
      <c r="C84" s="8">
        <v>96</v>
      </c>
    </row>
    <row r="85" spans="1:3" x14ac:dyDescent="0.45">
      <c r="A85" s="5" t="s">
        <v>5122</v>
      </c>
      <c r="B85" s="8">
        <v>842080</v>
      </c>
      <c r="C85" s="8">
        <v>110</v>
      </c>
    </row>
    <row r="86" spans="1:3" x14ac:dyDescent="0.45">
      <c r="A86" s="5" t="s">
        <v>5123</v>
      </c>
      <c r="B86" s="8">
        <v>520800</v>
      </c>
      <c r="C86" s="8">
        <v>77</v>
      </c>
    </row>
    <row r="87" spans="1:3" x14ac:dyDescent="0.45">
      <c r="A87" s="5" t="s">
        <v>5124</v>
      </c>
      <c r="B87" s="8">
        <v>1227620</v>
      </c>
      <c r="C87" s="8">
        <v>102</v>
      </c>
    </row>
    <row r="88" spans="1:3" x14ac:dyDescent="0.45">
      <c r="A88" s="5" t="s">
        <v>5125</v>
      </c>
      <c r="B88" s="8">
        <v>1824580</v>
      </c>
      <c r="C88" s="8">
        <v>119</v>
      </c>
    </row>
    <row r="89" spans="1:3" x14ac:dyDescent="0.45">
      <c r="A89" s="5" t="s">
        <v>5126</v>
      </c>
      <c r="B89" s="8">
        <v>386340</v>
      </c>
      <c r="C89" s="8">
        <v>138</v>
      </c>
    </row>
    <row r="90" spans="1:3" x14ac:dyDescent="0.45">
      <c r="A90" s="5" t="s">
        <v>5127</v>
      </c>
      <c r="B90" s="8">
        <v>982420</v>
      </c>
      <c r="C90" s="8">
        <v>132</v>
      </c>
    </row>
    <row r="91" spans="1:3" x14ac:dyDescent="0.45">
      <c r="A91" s="5" t="s">
        <v>5128</v>
      </c>
      <c r="B91" s="8">
        <v>690850</v>
      </c>
      <c r="C91" s="8">
        <v>46</v>
      </c>
    </row>
    <row r="92" spans="1:3" x14ac:dyDescent="0.45">
      <c r="A92" s="5" t="s">
        <v>5129</v>
      </c>
      <c r="B92" s="8">
        <v>172590</v>
      </c>
      <c r="C92" s="8">
        <v>69</v>
      </c>
    </row>
    <row r="93" spans="1:3" x14ac:dyDescent="0.45">
      <c r="A93" s="5" t="s">
        <v>5130</v>
      </c>
      <c r="B93" s="8">
        <v>720680</v>
      </c>
      <c r="C93" s="8">
        <v>80</v>
      </c>
    </row>
    <row r="94" spans="1:3" x14ac:dyDescent="0.45">
      <c r="A94" s="5" t="s">
        <v>5131</v>
      </c>
      <c r="B94" s="8">
        <v>119650</v>
      </c>
      <c r="C94" s="8">
        <v>37</v>
      </c>
    </row>
    <row r="95" spans="1:3" x14ac:dyDescent="0.45">
      <c r="A95" s="5" t="s">
        <v>5132</v>
      </c>
      <c r="B95" s="8">
        <v>172300</v>
      </c>
      <c r="C95" s="8">
        <v>55</v>
      </c>
    </row>
    <row r="96" spans="1:3" x14ac:dyDescent="0.45">
      <c r="A96" s="5" t="s">
        <v>5133</v>
      </c>
      <c r="B96" s="8">
        <v>496700</v>
      </c>
      <c r="C96" s="8">
        <v>51</v>
      </c>
    </row>
    <row r="97" spans="1:3" x14ac:dyDescent="0.45">
      <c r="A97" s="5" t="s">
        <v>5134</v>
      </c>
      <c r="B97" s="8">
        <v>991310</v>
      </c>
      <c r="C97" s="8">
        <v>72</v>
      </c>
    </row>
    <row r="98" spans="1:3" x14ac:dyDescent="0.45">
      <c r="A98" s="5" t="s">
        <v>5135</v>
      </c>
      <c r="B98" s="8">
        <v>82340</v>
      </c>
      <c r="C98" s="8">
        <v>50</v>
      </c>
    </row>
    <row r="99" spans="1:3" x14ac:dyDescent="0.45">
      <c r="A99" s="5" t="s">
        <v>5136</v>
      </c>
      <c r="B99" s="8">
        <v>686940</v>
      </c>
      <c r="C99" s="8">
        <v>55</v>
      </c>
    </row>
    <row r="100" spans="1:3" x14ac:dyDescent="0.45">
      <c r="A100" s="5" t="s">
        <v>5137</v>
      </c>
      <c r="B100" s="8">
        <v>73800</v>
      </c>
      <c r="C100" s="8">
        <v>33</v>
      </c>
    </row>
    <row r="101" spans="1:3" x14ac:dyDescent="0.45">
      <c r="A101" s="5" t="s">
        <v>5138</v>
      </c>
      <c r="B101" s="8">
        <v>689900</v>
      </c>
      <c r="C101" s="8">
        <v>38</v>
      </c>
    </row>
    <row r="102" spans="1:3" x14ac:dyDescent="0.45">
      <c r="A102" s="5" t="s">
        <v>5139</v>
      </c>
      <c r="B102" s="8">
        <v>614220</v>
      </c>
      <c r="C102" s="8">
        <v>80</v>
      </c>
    </row>
    <row r="103" spans="1:3" x14ac:dyDescent="0.45">
      <c r="A103" s="5" t="s">
        <v>5140</v>
      </c>
      <c r="B103" s="8">
        <v>259700</v>
      </c>
      <c r="C103" s="8">
        <v>59</v>
      </c>
    </row>
    <row r="104" spans="1:3" x14ac:dyDescent="0.45">
      <c r="A104" s="5" t="s">
        <v>5141</v>
      </c>
      <c r="B104" s="8">
        <v>312550</v>
      </c>
      <c r="C104" s="8">
        <v>79</v>
      </c>
    </row>
    <row r="105" spans="1:3" x14ac:dyDescent="0.45">
      <c r="A105" s="5" t="s">
        <v>5142</v>
      </c>
      <c r="B105" s="8">
        <v>170340</v>
      </c>
      <c r="C105" s="8">
        <v>60</v>
      </c>
    </row>
    <row r="106" spans="1:3" x14ac:dyDescent="0.45">
      <c r="A106" s="5" t="s">
        <v>5143</v>
      </c>
      <c r="B106" s="8">
        <v>524420</v>
      </c>
      <c r="C106" s="8">
        <v>53</v>
      </c>
    </row>
    <row r="107" spans="1:3" x14ac:dyDescent="0.45">
      <c r="A107" s="5" t="s">
        <v>5144</v>
      </c>
      <c r="B107" s="8">
        <v>394760</v>
      </c>
      <c r="C107" s="8">
        <v>60</v>
      </c>
    </row>
    <row r="108" spans="1:3" x14ac:dyDescent="0.45">
      <c r="A108" s="5" t="s">
        <v>5145</v>
      </c>
      <c r="B108" s="8">
        <v>1127800</v>
      </c>
      <c r="C108" s="8">
        <v>77</v>
      </c>
    </row>
    <row r="109" spans="1:3" x14ac:dyDescent="0.45">
      <c r="A109" s="5" t="s">
        <v>5146</v>
      </c>
      <c r="B109" s="8">
        <v>1260200</v>
      </c>
      <c r="C109" s="8">
        <v>72</v>
      </c>
    </row>
    <row r="110" spans="1:3" x14ac:dyDescent="0.45">
      <c r="A110" s="5" t="s">
        <v>5147</v>
      </c>
      <c r="B110" s="8">
        <v>739710</v>
      </c>
      <c r="C110" s="8">
        <v>75</v>
      </c>
    </row>
    <row r="111" spans="1:3" x14ac:dyDescent="0.45">
      <c r="A111" s="5" t="s">
        <v>5148</v>
      </c>
      <c r="B111" s="8">
        <v>538340</v>
      </c>
      <c r="C111" s="8">
        <v>40</v>
      </c>
    </row>
    <row r="112" spans="1:3" x14ac:dyDescent="0.45">
      <c r="A112" s="5" t="s">
        <v>5149</v>
      </c>
      <c r="B112" s="8">
        <v>611200</v>
      </c>
      <c r="C112" s="8">
        <v>82</v>
      </c>
    </row>
    <row r="113" spans="1:3" x14ac:dyDescent="0.45">
      <c r="A113" s="5" t="s">
        <v>5150</v>
      </c>
      <c r="B113" s="8">
        <v>894530</v>
      </c>
      <c r="C113" s="8">
        <v>62</v>
      </c>
    </row>
    <row r="114" spans="1:3" x14ac:dyDescent="0.45">
      <c r="A114" s="5" t="s">
        <v>5151</v>
      </c>
      <c r="B114" s="8">
        <v>1351040</v>
      </c>
      <c r="C114" s="8">
        <v>87</v>
      </c>
    </row>
    <row r="115" spans="1:3" x14ac:dyDescent="0.45">
      <c r="A115" s="5" t="s">
        <v>5152</v>
      </c>
      <c r="B115" s="8">
        <v>1145500</v>
      </c>
      <c r="C115" s="8">
        <v>81</v>
      </c>
    </row>
    <row r="116" spans="1:3" x14ac:dyDescent="0.45">
      <c r="A116" s="5" t="s">
        <v>5153</v>
      </c>
      <c r="B116" s="8">
        <v>311100</v>
      </c>
      <c r="C116" s="8">
        <v>56</v>
      </c>
    </row>
    <row r="117" spans="1:3" x14ac:dyDescent="0.45">
      <c r="A117" s="5" t="s">
        <v>5154</v>
      </c>
      <c r="B117" s="8">
        <v>435800</v>
      </c>
      <c r="C117" s="8">
        <v>41</v>
      </c>
    </row>
    <row r="118" spans="1:3" x14ac:dyDescent="0.45">
      <c r="A118" s="5" t="s">
        <v>5155</v>
      </c>
      <c r="B118" s="8">
        <v>100360</v>
      </c>
      <c r="C118" s="8">
        <v>53</v>
      </c>
    </row>
    <row r="119" spans="1:3" x14ac:dyDescent="0.45">
      <c r="A119" s="5" t="s">
        <v>5156</v>
      </c>
      <c r="B119" s="8">
        <v>187530</v>
      </c>
      <c r="C119" s="8">
        <v>83</v>
      </c>
    </row>
    <row r="120" spans="1:3" x14ac:dyDescent="0.45">
      <c r="A120" s="5" t="s">
        <v>5157</v>
      </c>
      <c r="B120" s="8">
        <v>246990</v>
      </c>
      <c r="C120" s="8">
        <v>67</v>
      </c>
    </row>
    <row r="121" spans="1:3" x14ac:dyDescent="0.45">
      <c r="A121" s="5" t="s">
        <v>5158</v>
      </c>
      <c r="B121" s="8">
        <v>1004640</v>
      </c>
      <c r="C121" s="8">
        <v>50</v>
      </c>
    </row>
    <row r="122" spans="1:3" x14ac:dyDescent="0.45">
      <c r="A122" s="5" t="s">
        <v>5159</v>
      </c>
      <c r="B122" s="8">
        <v>1146540</v>
      </c>
      <c r="C122" s="8">
        <v>56</v>
      </c>
    </row>
    <row r="123" spans="1:3" x14ac:dyDescent="0.45">
      <c r="A123" s="5" t="s">
        <v>5160</v>
      </c>
      <c r="B123" s="8">
        <v>288220</v>
      </c>
      <c r="C123" s="8">
        <v>40</v>
      </c>
    </row>
    <row r="124" spans="1:3" x14ac:dyDescent="0.45">
      <c r="A124" s="5" t="s">
        <v>5161</v>
      </c>
      <c r="B124" s="8">
        <v>858480</v>
      </c>
      <c r="C124" s="8">
        <v>51</v>
      </c>
    </row>
    <row r="125" spans="1:3" x14ac:dyDescent="0.45">
      <c r="A125" s="5" t="s">
        <v>5162</v>
      </c>
      <c r="B125" s="8">
        <v>784950</v>
      </c>
      <c r="C125" s="8">
        <v>44</v>
      </c>
    </row>
    <row r="126" spans="1:3" x14ac:dyDescent="0.45">
      <c r="A126" s="5" t="s">
        <v>5163</v>
      </c>
      <c r="B126" s="8">
        <v>964150</v>
      </c>
      <c r="C126" s="8">
        <v>50</v>
      </c>
    </row>
    <row r="127" spans="1:3" x14ac:dyDescent="0.45">
      <c r="A127" s="5" t="s">
        <v>5164</v>
      </c>
      <c r="B127" s="8">
        <v>401500</v>
      </c>
      <c r="C127" s="8">
        <v>84</v>
      </c>
    </row>
    <row r="128" spans="1:3" x14ac:dyDescent="0.45">
      <c r="A128" s="5" t="s">
        <v>5165</v>
      </c>
      <c r="B128" s="8">
        <v>1191900</v>
      </c>
      <c r="C128" s="8">
        <v>72</v>
      </c>
    </row>
    <row r="129" spans="1:3" x14ac:dyDescent="0.45">
      <c r="A129" s="5" t="s">
        <v>5166</v>
      </c>
      <c r="B129" s="8">
        <v>1260700</v>
      </c>
      <c r="C129" s="8">
        <v>66</v>
      </c>
    </row>
    <row r="130" spans="1:3" x14ac:dyDescent="0.45">
      <c r="A130" s="5" t="s">
        <v>5167</v>
      </c>
      <c r="B130" s="8">
        <v>1293900</v>
      </c>
      <c r="C130" s="8">
        <v>80</v>
      </c>
    </row>
    <row r="131" spans="1:3" x14ac:dyDescent="0.45">
      <c r="A131" s="5" t="s">
        <v>5168</v>
      </c>
      <c r="B131" s="8">
        <v>141300</v>
      </c>
      <c r="C131" s="8">
        <v>35</v>
      </c>
    </row>
    <row r="132" spans="1:3" x14ac:dyDescent="0.45">
      <c r="A132" s="5" t="s">
        <v>5169</v>
      </c>
      <c r="B132" s="8">
        <v>158910</v>
      </c>
      <c r="C132" s="8">
        <v>51</v>
      </c>
    </row>
    <row r="133" spans="1:3" x14ac:dyDescent="0.45">
      <c r="A133" s="5" t="s">
        <v>5170</v>
      </c>
      <c r="B133" s="8">
        <v>539220</v>
      </c>
      <c r="C133" s="8">
        <v>69</v>
      </c>
    </row>
    <row r="134" spans="1:3" x14ac:dyDescent="0.45">
      <c r="A134" s="5" t="s">
        <v>5171</v>
      </c>
      <c r="B134" s="8">
        <v>148820</v>
      </c>
      <c r="C134" s="8">
        <v>66</v>
      </c>
    </row>
    <row r="135" spans="1:3" x14ac:dyDescent="0.45">
      <c r="A135" s="5" t="s">
        <v>5172</v>
      </c>
      <c r="B135" s="8">
        <v>134280</v>
      </c>
      <c r="C135" s="8">
        <v>53</v>
      </c>
    </row>
    <row r="136" spans="1:3" x14ac:dyDescent="0.45">
      <c r="A136" s="5" t="s">
        <v>5173</v>
      </c>
      <c r="B136" s="8">
        <v>514240</v>
      </c>
      <c r="C136" s="8">
        <v>25</v>
      </c>
    </row>
    <row r="137" spans="1:3" x14ac:dyDescent="0.45">
      <c r="A137" s="5" t="s">
        <v>5174</v>
      </c>
      <c r="B137" s="8">
        <v>206950</v>
      </c>
      <c r="C137" s="8">
        <v>71</v>
      </c>
    </row>
    <row r="138" spans="1:3" x14ac:dyDescent="0.45">
      <c r="A138" s="5" t="s">
        <v>5175</v>
      </c>
      <c r="B138" s="8">
        <v>295400</v>
      </c>
      <c r="C138" s="8">
        <v>62</v>
      </c>
    </row>
    <row r="139" spans="1:3" x14ac:dyDescent="0.45">
      <c r="A139" s="5" t="s">
        <v>5176</v>
      </c>
      <c r="B139" s="8">
        <v>615260</v>
      </c>
      <c r="C139" s="8">
        <v>65</v>
      </c>
    </row>
    <row r="140" spans="1:3" x14ac:dyDescent="0.45">
      <c r="A140" s="5" t="s">
        <v>5177</v>
      </c>
      <c r="B140" s="8">
        <v>683600</v>
      </c>
      <c r="C140" s="8">
        <v>51</v>
      </c>
    </row>
    <row r="141" spans="1:3" x14ac:dyDescent="0.45">
      <c r="A141" s="5" t="s">
        <v>5178</v>
      </c>
      <c r="B141" s="8">
        <v>448000</v>
      </c>
      <c r="C141" s="8">
        <v>51</v>
      </c>
    </row>
    <row r="142" spans="1:3" x14ac:dyDescent="0.45">
      <c r="A142" s="5" t="s">
        <v>5179</v>
      </c>
      <c r="B142" s="8">
        <v>171870</v>
      </c>
      <c r="C142" s="8">
        <v>89</v>
      </c>
    </row>
    <row r="143" spans="1:3" x14ac:dyDescent="0.45">
      <c r="A143" s="5" t="s">
        <v>5180</v>
      </c>
      <c r="B143" s="8">
        <v>79220</v>
      </c>
      <c r="C143" s="8">
        <v>47</v>
      </c>
    </row>
    <row r="144" spans="1:3" x14ac:dyDescent="0.45">
      <c r="A144" s="5" t="s">
        <v>5181</v>
      </c>
      <c r="B144" s="8">
        <v>326580</v>
      </c>
      <c r="C144" s="8">
        <v>54</v>
      </c>
    </row>
    <row r="145" spans="1:3" x14ac:dyDescent="0.45">
      <c r="A145" s="5" t="s">
        <v>5182</v>
      </c>
      <c r="B145" s="8">
        <v>978980</v>
      </c>
      <c r="C145" s="8">
        <v>64</v>
      </c>
    </row>
    <row r="146" spans="1:3" x14ac:dyDescent="0.45">
      <c r="A146" s="5" t="s">
        <v>5183</v>
      </c>
      <c r="B146" s="8">
        <v>591100</v>
      </c>
      <c r="C146" s="8">
        <v>61</v>
      </c>
    </row>
    <row r="147" spans="1:3" x14ac:dyDescent="0.45">
      <c r="A147" s="5" t="s">
        <v>5184</v>
      </c>
      <c r="B147" s="8">
        <v>183820</v>
      </c>
      <c r="C147" s="8">
        <v>75</v>
      </c>
    </row>
    <row r="148" spans="1:3" x14ac:dyDescent="0.45">
      <c r="A148" s="5" t="s">
        <v>5185</v>
      </c>
      <c r="B148" s="8">
        <v>917410</v>
      </c>
      <c r="C148" s="8">
        <v>80</v>
      </c>
    </row>
    <row r="149" spans="1:3" x14ac:dyDescent="0.45">
      <c r="A149" s="5" t="s">
        <v>5186</v>
      </c>
      <c r="B149" s="8">
        <v>111690</v>
      </c>
      <c r="C149" s="8">
        <v>58</v>
      </c>
    </row>
    <row r="150" spans="1:3" x14ac:dyDescent="0.45">
      <c r="A150" s="5" t="s">
        <v>5187</v>
      </c>
      <c r="B150" s="8">
        <v>393430</v>
      </c>
      <c r="C150" s="8">
        <v>33</v>
      </c>
    </row>
    <row r="151" spans="1:3" x14ac:dyDescent="0.45">
      <c r="A151" s="5" t="s">
        <v>5188</v>
      </c>
      <c r="B151" s="8">
        <v>117700</v>
      </c>
      <c r="C151" s="8">
        <v>61</v>
      </c>
    </row>
    <row r="152" spans="1:3" x14ac:dyDescent="0.45">
      <c r="A152" s="5" t="s">
        <v>5189</v>
      </c>
      <c r="B152" s="8">
        <v>587560</v>
      </c>
      <c r="C152" s="8">
        <v>47</v>
      </c>
    </row>
    <row r="153" spans="1:3" x14ac:dyDescent="0.45">
      <c r="A153" s="5" t="s">
        <v>5190</v>
      </c>
      <c r="B153" s="8">
        <v>379540</v>
      </c>
      <c r="C153" s="8">
        <v>37</v>
      </c>
    </row>
    <row r="154" spans="1:3" x14ac:dyDescent="0.45">
      <c r="A154" s="5" t="s">
        <v>5191</v>
      </c>
      <c r="B154" s="8">
        <v>49540</v>
      </c>
      <c r="C154" s="8">
        <v>26</v>
      </c>
    </row>
    <row r="155" spans="1:3" x14ac:dyDescent="0.45">
      <c r="A155" s="5" t="s">
        <v>5192</v>
      </c>
      <c r="B155" s="8">
        <v>262120</v>
      </c>
      <c r="C155" s="8">
        <v>58</v>
      </c>
    </row>
    <row r="156" spans="1:3" x14ac:dyDescent="0.45">
      <c r="A156" s="5" t="s">
        <v>5193</v>
      </c>
      <c r="B156" s="8">
        <v>139830</v>
      </c>
      <c r="C156" s="8">
        <v>78</v>
      </c>
    </row>
    <row r="157" spans="1:3" x14ac:dyDescent="0.45">
      <c r="A157" s="5" t="s">
        <v>5194</v>
      </c>
      <c r="B157" s="8">
        <v>481300</v>
      </c>
      <c r="C157" s="8">
        <v>68</v>
      </c>
    </row>
    <row r="158" spans="1:3" x14ac:dyDescent="0.45">
      <c r="A158" s="5" t="s">
        <v>5195</v>
      </c>
      <c r="B158" s="8">
        <v>530010</v>
      </c>
      <c r="C158" s="8">
        <v>82</v>
      </c>
    </row>
    <row r="159" spans="1:3" x14ac:dyDescent="0.45">
      <c r="A159" s="5" t="s">
        <v>5196</v>
      </c>
      <c r="B159" s="8">
        <v>237040</v>
      </c>
      <c r="C159" s="8">
        <v>34</v>
      </c>
    </row>
    <row r="160" spans="1:3" x14ac:dyDescent="0.45">
      <c r="A160" s="5" t="s">
        <v>5197</v>
      </c>
      <c r="B160" s="8">
        <v>603140</v>
      </c>
      <c r="C160" s="8">
        <v>59</v>
      </c>
    </row>
    <row r="161" spans="1:3" x14ac:dyDescent="0.45">
      <c r="A161" s="5" t="s">
        <v>5198</v>
      </c>
      <c r="B161" s="8">
        <v>112100</v>
      </c>
      <c r="C161" s="8">
        <v>44</v>
      </c>
    </row>
    <row r="162" spans="1:3" x14ac:dyDescent="0.45">
      <c r="A162" s="5" t="s">
        <v>5199</v>
      </c>
      <c r="B162" s="8">
        <v>275330</v>
      </c>
      <c r="C162" s="8">
        <v>81</v>
      </c>
    </row>
    <row r="163" spans="1:3" x14ac:dyDescent="0.45">
      <c r="A163" s="5" t="s">
        <v>5200</v>
      </c>
      <c r="B163" s="8">
        <v>473880</v>
      </c>
      <c r="C163" s="8">
        <v>40</v>
      </c>
    </row>
    <row r="164" spans="1:3" x14ac:dyDescent="0.45">
      <c r="A164" s="5" t="s">
        <v>5201</v>
      </c>
      <c r="B164" s="8">
        <v>338680</v>
      </c>
      <c r="C164" s="8">
        <v>40</v>
      </c>
    </row>
    <row r="165" spans="1:3" x14ac:dyDescent="0.45">
      <c r="A165" s="5" t="s">
        <v>5202</v>
      </c>
      <c r="B165" s="8">
        <v>863840</v>
      </c>
      <c r="C165" s="8">
        <v>67</v>
      </c>
    </row>
    <row r="166" spans="1:3" x14ac:dyDescent="0.45">
      <c r="A166" s="5" t="s">
        <v>5203</v>
      </c>
      <c r="B166" s="8">
        <v>470930</v>
      </c>
      <c r="C166" s="8">
        <v>55</v>
      </c>
    </row>
    <row r="167" spans="1:3" x14ac:dyDescent="0.45">
      <c r="A167" s="5" t="s">
        <v>5204</v>
      </c>
      <c r="B167" s="8">
        <v>1247200</v>
      </c>
      <c r="C167" s="8">
        <v>70</v>
      </c>
    </row>
    <row r="168" spans="1:3" x14ac:dyDescent="0.45">
      <c r="A168" s="5" t="s">
        <v>5205</v>
      </c>
      <c r="B168" s="8">
        <v>136020</v>
      </c>
      <c r="C168" s="8">
        <v>71</v>
      </c>
    </row>
    <row r="169" spans="1:3" x14ac:dyDescent="0.45">
      <c r="A169" s="5" t="s">
        <v>5206</v>
      </c>
      <c r="B169" s="8">
        <v>864980</v>
      </c>
      <c r="C169" s="8">
        <v>92</v>
      </c>
    </row>
    <row r="170" spans="1:3" x14ac:dyDescent="0.45">
      <c r="A170" s="5" t="s">
        <v>5207</v>
      </c>
      <c r="B170" s="8">
        <v>146700</v>
      </c>
      <c r="C170" s="8">
        <v>52</v>
      </c>
    </row>
    <row r="171" spans="1:3" x14ac:dyDescent="0.45">
      <c r="A171" s="5" t="s">
        <v>5208</v>
      </c>
      <c r="B171" s="8">
        <v>1167390</v>
      </c>
      <c r="C171" s="8">
        <v>71</v>
      </c>
    </row>
    <row r="172" spans="1:3" x14ac:dyDescent="0.45">
      <c r="A172" s="5" t="s">
        <v>5209</v>
      </c>
      <c r="B172" s="8">
        <v>254360</v>
      </c>
      <c r="C172" s="8">
        <v>56</v>
      </c>
    </row>
    <row r="173" spans="1:3" x14ac:dyDescent="0.45">
      <c r="A173" s="5" t="s">
        <v>5210</v>
      </c>
      <c r="B173" s="8">
        <v>623280</v>
      </c>
      <c r="C173" s="8">
        <v>59</v>
      </c>
    </row>
    <row r="174" spans="1:3" x14ac:dyDescent="0.45">
      <c r="A174" s="5" t="s">
        <v>5211</v>
      </c>
      <c r="B174" s="8">
        <v>169860</v>
      </c>
      <c r="C174" s="8">
        <v>76</v>
      </c>
    </row>
    <row r="175" spans="1:3" x14ac:dyDescent="0.45">
      <c r="A175" s="5" t="s">
        <v>5212</v>
      </c>
      <c r="B175" s="8">
        <v>327330</v>
      </c>
      <c r="C175" s="8">
        <v>75</v>
      </c>
    </row>
    <row r="176" spans="1:3" x14ac:dyDescent="0.45">
      <c r="A176" s="5" t="s">
        <v>5213</v>
      </c>
      <c r="B176" s="8">
        <v>94920</v>
      </c>
      <c r="C176" s="8">
        <v>62</v>
      </c>
    </row>
    <row r="177" spans="1:3" x14ac:dyDescent="0.45">
      <c r="A177" s="5" t="s">
        <v>5214</v>
      </c>
      <c r="B177" s="8">
        <v>522000</v>
      </c>
      <c r="C177" s="8">
        <v>70</v>
      </c>
    </row>
    <row r="178" spans="1:3" x14ac:dyDescent="0.45">
      <c r="A178" s="5" t="s">
        <v>5215</v>
      </c>
      <c r="B178" s="8">
        <v>160430</v>
      </c>
      <c r="C178" s="8">
        <v>46</v>
      </c>
    </row>
    <row r="179" spans="1:3" x14ac:dyDescent="0.45">
      <c r="A179" s="5" t="s">
        <v>5216</v>
      </c>
      <c r="B179" s="8">
        <v>58220</v>
      </c>
      <c r="C179" s="8">
        <v>34</v>
      </c>
    </row>
    <row r="180" spans="1:3" x14ac:dyDescent="0.45">
      <c r="A180" s="5" t="s">
        <v>5217</v>
      </c>
      <c r="B180" s="8">
        <v>399800</v>
      </c>
      <c r="C180" s="8">
        <v>46</v>
      </c>
    </row>
    <row r="181" spans="1:3" x14ac:dyDescent="0.45">
      <c r="A181" s="5" t="s">
        <v>5218</v>
      </c>
      <c r="B181" s="8">
        <v>782650</v>
      </c>
      <c r="C181" s="8">
        <v>60</v>
      </c>
    </row>
    <row r="182" spans="1:3" x14ac:dyDescent="0.45">
      <c r="A182" s="5" t="s">
        <v>5219</v>
      </c>
      <c r="B182" s="8">
        <v>500300</v>
      </c>
      <c r="C182" s="8">
        <v>58</v>
      </c>
    </row>
    <row r="183" spans="1:3" x14ac:dyDescent="0.45">
      <c r="A183" s="5" t="s">
        <v>5220</v>
      </c>
      <c r="B183" s="8">
        <v>230880</v>
      </c>
      <c r="C183" s="8">
        <v>71</v>
      </c>
    </row>
    <row r="184" spans="1:3" x14ac:dyDescent="0.45">
      <c r="A184" s="5" t="s">
        <v>5221</v>
      </c>
      <c r="B184" s="8">
        <v>719610</v>
      </c>
      <c r="C184" s="8">
        <v>57</v>
      </c>
    </row>
    <row r="185" spans="1:3" x14ac:dyDescent="0.45">
      <c r="A185" s="5" t="s">
        <v>5222</v>
      </c>
      <c r="B185" s="8">
        <v>296630</v>
      </c>
      <c r="C185" s="8">
        <v>94</v>
      </c>
    </row>
    <row r="186" spans="1:3" x14ac:dyDescent="0.45">
      <c r="A186" s="5" t="s">
        <v>5223</v>
      </c>
      <c r="B186" s="8">
        <v>547100</v>
      </c>
      <c r="C186" s="8">
        <v>47</v>
      </c>
    </row>
    <row r="187" spans="1:3" x14ac:dyDescent="0.45">
      <c r="A187" s="5" t="s">
        <v>5224</v>
      </c>
      <c r="B187" s="8">
        <v>106060</v>
      </c>
      <c r="C187" s="8">
        <v>19</v>
      </c>
    </row>
    <row r="188" spans="1:3" x14ac:dyDescent="0.45">
      <c r="A188" s="5" t="s">
        <v>5225</v>
      </c>
      <c r="B188" s="8">
        <v>229000</v>
      </c>
      <c r="C188" s="8">
        <v>58</v>
      </c>
    </row>
    <row r="189" spans="1:3" x14ac:dyDescent="0.45">
      <c r="A189" s="5" t="s">
        <v>5226</v>
      </c>
      <c r="B189" s="8">
        <v>318820</v>
      </c>
      <c r="C189" s="8">
        <v>76</v>
      </c>
    </row>
    <row r="190" spans="1:3" x14ac:dyDescent="0.45">
      <c r="A190" s="5" t="s">
        <v>5227</v>
      </c>
      <c r="B190" s="8">
        <v>204240</v>
      </c>
      <c r="C190" s="8">
        <v>53</v>
      </c>
    </row>
    <row r="191" spans="1:3" x14ac:dyDescent="0.45">
      <c r="A191" s="5" t="s">
        <v>5228</v>
      </c>
      <c r="B191" s="8">
        <v>370900</v>
      </c>
      <c r="C191" s="8">
        <v>42</v>
      </c>
    </row>
    <row r="192" spans="1:3" x14ac:dyDescent="0.45">
      <c r="A192" s="5" t="s">
        <v>5229</v>
      </c>
      <c r="B192" s="8">
        <v>149400</v>
      </c>
      <c r="C192" s="8">
        <v>57</v>
      </c>
    </row>
    <row r="193" spans="1:3" x14ac:dyDescent="0.45">
      <c r="A193" s="5" t="s">
        <v>5230</v>
      </c>
      <c r="B193" s="8">
        <v>185020</v>
      </c>
      <c r="C193" s="8">
        <v>46</v>
      </c>
    </row>
    <row r="194" spans="1:3" x14ac:dyDescent="0.45">
      <c r="A194" s="5" t="s">
        <v>5231</v>
      </c>
      <c r="B194" s="8">
        <v>691210</v>
      </c>
      <c r="C194" s="8">
        <v>58</v>
      </c>
    </row>
    <row r="195" spans="1:3" x14ac:dyDescent="0.45">
      <c r="A195" s="5" t="s">
        <v>5232</v>
      </c>
      <c r="B195" s="8">
        <v>572880</v>
      </c>
      <c r="C195" s="8">
        <v>45</v>
      </c>
    </row>
    <row r="196" spans="1:3" x14ac:dyDescent="0.45">
      <c r="A196" s="5" t="s">
        <v>5233</v>
      </c>
      <c r="B196" s="8">
        <v>1121400</v>
      </c>
      <c r="C196" s="8">
        <v>81</v>
      </c>
    </row>
    <row r="197" spans="1:3" x14ac:dyDescent="0.45">
      <c r="A197" s="5" t="s">
        <v>5234</v>
      </c>
      <c r="B197" s="8">
        <v>776660</v>
      </c>
      <c r="C197" s="8">
        <v>52</v>
      </c>
    </row>
    <row r="198" spans="1:3" x14ac:dyDescent="0.45">
      <c r="A198" s="5" t="s">
        <v>5235</v>
      </c>
      <c r="B198" s="8">
        <v>1217240</v>
      </c>
      <c r="C198" s="8">
        <v>84</v>
      </c>
    </row>
    <row r="199" spans="1:3" x14ac:dyDescent="0.45">
      <c r="A199" s="5" t="s">
        <v>5236</v>
      </c>
      <c r="B199" s="8">
        <v>239760</v>
      </c>
      <c r="C199" s="8">
        <v>42</v>
      </c>
    </row>
    <row r="200" spans="1:3" x14ac:dyDescent="0.45">
      <c r="A200" s="5" t="s">
        <v>5237</v>
      </c>
      <c r="B200" s="8">
        <v>591700</v>
      </c>
      <c r="C200" s="8">
        <v>58</v>
      </c>
    </row>
    <row r="201" spans="1:3" x14ac:dyDescent="0.45">
      <c r="A201" s="5" t="s">
        <v>5238</v>
      </c>
      <c r="B201" s="8">
        <v>426200</v>
      </c>
      <c r="C201" s="8">
        <v>64</v>
      </c>
    </row>
    <row r="202" spans="1:3" x14ac:dyDescent="0.45">
      <c r="A202" s="5" t="s">
        <v>5239</v>
      </c>
      <c r="B202" s="8">
        <v>150100</v>
      </c>
      <c r="C202" s="8">
        <v>62</v>
      </c>
    </row>
    <row r="203" spans="1:3" x14ac:dyDescent="0.45">
      <c r="A203" s="5" t="s">
        <v>5240</v>
      </c>
      <c r="B203" s="8">
        <v>68730</v>
      </c>
      <c r="C203" s="8">
        <v>38</v>
      </c>
    </row>
    <row r="204" spans="1:3" x14ac:dyDescent="0.45">
      <c r="A204" s="5" t="s">
        <v>5241</v>
      </c>
      <c r="B204" s="8">
        <v>919940</v>
      </c>
      <c r="C204" s="8">
        <v>67</v>
      </c>
    </row>
    <row r="205" spans="1:3" x14ac:dyDescent="0.45">
      <c r="A205" s="5" t="s">
        <v>5242</v>
      </c>
      <c r="B205" s="8">
        <v>1889250</v>
      </c>
      <c r="C205" s="8">
        <v>66</v>
      </c>
    </row>
    <row r="206" spans="1:3" x14ac:dyDescent="0.45">
      <c r="A206" s="5" t="s">
        <v>5243</v>
      </c>
      <c r="B206" s="8">
        <v>63760</v>
      </c>
      <c r="C206" s="8">
        <v>28</v>
      </c>
    </row>
    <row r="207" spans="1:3" x14ac:dyDescent="0.45">
      <c r="A207" s="5" t="s">
        <v>5244</v>
      </c>
      <c r="B207" s="8">
        <v>128300</v>
      </c>
      <c r="C207" s="8">
        <v>47</v>
      </c>
    </row>
    <row r="208" spans="1:3" x14ac:dyDescent="0.45">
      <c r="A208" s="5" t="s">
        <v>5245</v>
      </c>
      <c r="B208" s="8">
        <v>661940</v>
      </c>
      <c r="C208" s="8">
        <v>90</v>
      </c>
    </row>
    <row r="209" spans="1:3" x14ac:dyDescent="0.45">
      <c r="A209" s="5" t="s">
        <v>5246</v>
      </c>
      <c r="B209" s="8">
        <v>875860</v>
      </c>
      <c r="C209" s="8">
        <v>42</v>
      </c>
    </row>
    <row r="210" spans="1:3" x14ac:dyDescent="0.45">
      <c r="A210" s="5" t="s">
        <v>5247</v>
      </c>
      <c r="B210" s="8">
        <v>596070</v>
      </c>
      <c r="C210" s="8">
        <v>64</v>
      </c>
    </row>
    <row r="211" spans="1:3" x14ac:dyDescent="0.45">
      <c r="A211" s="5" t="s">
        <v>5248</v>
      </c>
      <c r="B211" s="8">
        <v>291860</v>
      </c>
      <c r="C211" s="8">
        <v>47</v>
      </c>
    </row>
    <row r="212" spans="1:3" x14ac:dyDescent="0.45">
      <c r="A212" s="5" t="s">
        <v>5249</v>
      </c>
      <c r="B212" s="8">
        <v>196950</v>
      </c>
      <c r="C212" s="8">
        <v>53</v>
      </c>
    </row>
    <row r="213" spans="1:3" x14ac:dyDescent="0.45">
      <c r="A213" s="5" t="s">
        <v>5250</v>
      </c>
      <c r="B213" s="8">
        <v>377500</v>
      </c>
      <c r="C213" s="8">
        <v>48</v>
      </c>
    </row>
    <row r="214" spans="1:3" x14ac:dyDescent="0.45">
      <c r="A214" s="5" t="s">
        <v>5251</v>
      </c>
      <c r="B214" s="8">
        <v>178760</v>
      </c>
      <c r="C214" s="8">
        <v>48</v>
      </c>
    </row>
    <row r="215" spans="1:3" x14ac:dyDescent="0.45">
      <c r="A215" s="5" t="s">
        <v>5252</v>
      </c>
      <c r="B215" s="8">
        <v>136980</v>
      </c>
      <c r="C215" s="8">
        <v>40</v>
      </c>
    </row>
    <row r="216" spans="1:3" x14ac:dyDescent="0.45">
      <c r="A216" s="5" t="s">
        <v>5253</v>
      </c>
      <c r="B216" s="8">
        <v>228120</v>
      </c>
      <c r="C216" s="8">
        <v>58</v>
      </c>
    </row>
    <row r="217" spans="1:3" x14ac:dyDescent="0.45">
      <c r="A217" s="5" t="s">
        <v>5254</v>
      </c>
      <c r="B217" s="8">
        <v>787940</v>
      </c>
      <c r="C217" s="8">
        <v>47</v>
      </c>
    </row>
    <row r="218" spans="1:3" x14ac:dyDescent="0.45">
      <c r="A218" s="5" t="s">
        <v>5255</v>
      </c>
      <c r="B218" s="8">
        <v>271400</v>
      </c>
      <c r="C218" s="8">
        <v>43</v>
      </c>
    </row>
    <row r="219" spans="1:3" x14ac:dyDescent="0.45">
      <c r="A219" s="5" t="s">
        <v>5256</v>
      </c>
      <c r="B219" s="8">
        <v>176880</v>
      </c>
      <c r="C219" s="8">
        <v>36</v>
      </c>
    </row>
    <row r="220" spans="1:3" x14ac:dyDescent="0.45">
      <c r="A220" s="5" t="s">
        <v>5257</v>
      </c>
      <c r="B220" s="8">
        <v>1342660</v>
      </c>
      <c r="C220" s="8">
        <v>86</v>
      </c>
    </row>
    <row r="221" spans="1:3" x14ac:dyDescent="0.45">
      <c r="A221" s="5" t="s">
        <v>5258</v>
      </c>
      <c r="B221" s="8">
        <v>386830</v>
      </c>
      <c r="C221" s="8">
        <v>48</v>
      </c>
    </row>
    <row r="222" spans="1:3" x14ac:dyDescent="0.45">
      <c r="A222" s="5" t="s">
        <v>5259</v>
      </c>
      <c r="B222" s="8">
        <v>416030</v>
      </c>
      <c r="C222" s="8">
        <v>27</v>
      </c>
    </row>
    <row r="223" spans="1:3" x14ac:dyDescent="0.45">
      <c r="A223" s="5" t="s">
        <v>5260</v>
      </c>
      <c r="B223" s="8">
        <v>494500</v>
      </c>
      <c r="C223" s="8">
        <v>50</v>
      </c>
    </row>
    <row r="224" spans="1:3" x14ac:dyDescent="0.45">
      <c r="A224" s="5" t="s">
        <v>5261</v>
      </c>
      <c r="B224" s="8">
        <v>541360</v>
      </c>
      <c r="C224" s="8">
        <v>67</v>
      </c>
    </row>
    <row r="225" spans="1:3" x14ac:dyDescent="0.45">
      <c r="A225" s="5" t="s">
        <v>5262</v>
      </c>
      <c r="B225" s="8">
        <v>1145300</v>
      </c>
      <c r="C225" s="8">
        <v>45</v>
      </c>
    </row>
    <row r="226" spans="1:3" x14ac:dyDescent="0.45">
      <c r="A226" s="5" t="s">
        <v>5263</v>
      </c>
      <c r="B226" s="8">
        <v>160260</v>
      </c>
      <c r="C226" s="8">
        <v>55</v>
      </c>
    </row>
    <row r="227" spans="1:3" x14ac:dyDescent="0.45">
      <c r="A227" s="5" t="s">
        <v>5264</v>
      </c>
      <c r="B227" s="8">
        <v>911520</v>
      </c>
      <c r="C227" s="8">
        <v>76</v>
      </c>
    </row>
    <row r="228" spans="1:3" x14ac:dyDescent="0.45">
      <c r="A228" s="5" t="s">
        <v>5265</v>
      </c>
      <c r="B228" s="8">
        <v>139300</v>
      </c>
      <c r="C228" s="8">
        <v>55</v>
      </c>
    </row>
    <row r="229" spans="1:3" x14ac:dyDescent="0.45">
      <c r="A229" s="5" t="s">
        <v>5266</v>
      </c>
      <c r="B229" s="8">
        <v>207880</v>
      </c>
      <c r="C229" s="8">
        <v>57</v>
      </c>
    </row>
    <row r="230" spans="1:3" x14ac:dyDescent="0.45">
      <c r="A230" s="5" t="s">
        <v>5267</v>
      </c>
      <c r="B230" s="8">
        <v>192180</v>
      </c>
      <c r="C230" s="8">
        <v>45</v>
      </c>
    </row>
    <row r="231" spans="1:3" x14ac:dyDescent="0.45">
      <c r="A231" s="5" t="s">
        <v>5268</v>
      </c>
      <c r="B231" s="8">
        <v>267640</v>
      </c>
      <c r="C231" s="8">
        <v>62</v>
      </c>
    </row>
    <row r="232" spans="1:3" x14ac:dyDescent="0.45">
      <c r="A232" s="5" t="s">
        <v>5269</v>
      </c>
      <c r="B232" s="8">
        <v>1093340</v>
      </c>
      <c r="C232" s="8">
        <v>82</v>
      </c>
    </row>
    <row r="233" spans="1:3" x14ac:dyDescent="0.45">
      <c r="A233" s="5" t="s">
        <v>5270</v>
      </c>
      <c r="B233" s="8">
        <v>202650</v>
      </c>
      <c r="C233" s="8">
        <v>47</v>
      </c>
    </row>
    <row r="234" spans="1:3" x14ac:dyDescent="0.45">
      <c r="A234" s="5" t="s">
        <v>5271</v>
      </c>
      <c r="B234" s="8">
        <v>410740</v>
      </c>
      <c r="C234" s="8">
        <v>57</v>
      </c>
    </row>
    <row r="235" spans="1:3" x14ac:dyDescent="0.45">
      <c r="A235" s="5" t="s">
        <v>5272</v>
      </c>
      <c r="B235" s="8">
        <v>1165890</v>
      </c>
      <c r="C235" s="8">
        <v>85</v>
      </c>
    </row>
    <row r="236" spans="1:3" x14ac:dyDescent="0.45">
      <c r="A236" s="5" t="s">
        <v>5273</v>
      </c>
      <c r="B236" s="8">
        <v>339940</v>
      </c>
      <c r="C236" s="8">
        <v>58</v>
      </c>
    </row>
    <row r="237" spans="1:3" x14ac:dyDescent="0.45">
      <c r="A237" s="5" t="s">
        <v>5274</v>
      </c>
      <c r="B237" s="8">
        <v>876320</v>
      </c>
      <c r="C237" s="8">
        <v>66</v>
      </c>
    </row>
    <row r="238" spans="1:3" x14ac:dyDescent="0.45">
      <c r="A238" s="5" t="s">
        <v>5275</v>
      </c>
      <c r="B238" s="8">
        <v>136060</v>
      </c>
      <c r="C238" s="8">
        <v>69</v>
      </c>
    </row>
    <row r="239" spans="1:3" x14ac:dyDescent="0.45">
      <c r="A239" s="5" t="s">
        <v>5276</v>
      </c>
      <c r="B239" s="8">
        <v>361640</v>
      </c>
      <c r="C239" s="8">
        <v>59</v>
      </c>
    </row>
    <row r="240" spans="1:3" x14ac:dyDescent="0.45">
      <c r="A240" s="5" t="s">
        <v>5277</v>
      </c>
      <c r="B240" s="8">
        <v>670440</v>
      </c>
      <c r="C240" s="8">
        <v>39</v>
      </c>
    </row>
    <row r="241" spans="1:3" x14ac:dyDescent="0.45">
      <c r="A241" s="5" t="s">
        <v>5278</v>
      </c>
      <c r="B241" s="8">
        <v>122460</v>
      </c>
      <c r="C241" s="8">
        <v>56</v>
      </c>
    </row>
    <row r="242" spans="1:3" x14ac:dyDescent="0.45">
      <c r="A242" s="5" t="s">
        <v>5279</v>
      </c>
      <c r="B242" s="8">
        <v>620450</v>
      </c>
      <c r="C242" s="8">
        <v>47</v>
      </c>
    </row>
    <row r="243" spans="1:3" x14ac:dyDescent="0.45">
      <c r="A243" s="5" t="s">
        <v>5280</v>
      </c>
      <c r="B243" s="8">
        <v>603660</v>
      </c>
      <c r="C243" s="8">
        <v>76</v>
      </c>
    </row>
    <row r="244" spans="1:3" x14ac:dyDescent="0.45">
      <c r="A244" s="5" t="s">
        <v>5281</v>
      </c>
      <c r="B244" s="8">
        <v>835920</v>
      </c>
      <c r="C244" s="8">
        <v>65</v>
      </c>
    </row>
    <row r="245" spans="1:3" x14ac:dyDescent="0.45">
      <c r="A245" s="5" t="s">
        <v>5282</v>
      </c>
      <c r="B245" s="8">
        <v>218040</v>
      </c>
      <c r="C245" s="8">
        <v>51</v>
      </c>
    </row>
    <row r="246" spans="1:3" x14ac:dyDescent="0.45">
      <c r="A246" s="5" t="s">
        <v>5283</v>
      </c>
      <c r="B246" s="8">
        <v>573300</v>
      </c>
      <c r="C246" s="8">
        <v>64</v>
      </c>
    </row>
    <row r="247" spans="1:3" x14ac:dyDescent="0.45">
      <c r="A247" s="5" t="s">
        <v>5284</v>
      </c>
      <c r="B247" s="8">
        <v>121890</v>
      </c>
      <c r="C247" s="8">
        <v>63</v>
      </c>
    </row>
    <row r="248" spans="1:3" x14ac:dyDescent="0.45">
      <c r="A248" s="5" t="s">
        <v>5285</v>
      </c>
      <c r="B248" s="8">
        <v>128890</v>
      </c>
      <c r="C248" s="8">
        <v>40</v>
      </c>
    </row>
    <row r="249" spans="1:3" x14ac:dyDescent="0.45">
      <c r="A249" s="5" t="s">
        <v>5286</v>
      </c>
      <c r="B249" s="8">
        <v>459960</v>
      </c>
      <c r="C249" s="8">
        <v>64</v>
      </c>
    </row>
    <row r="250" spans="1:3" x14ac:dyDescent="0.45">
      <c r="A250" s="5" t="s">
        <v>5287</v>
      </c>
      <c r="B250" s="8">
        <v>621900</v>
      </c>
      <c r="C250" s="8">
        <v>65</v>
      </c>
    </row>
    <row r="251" spans="1:3" x14ac:dyDescent="0.45">
      <c r="A251" s="5" t="s">
        <v>5288</v>
      </c>
      <c r="B251" s="8">
        <v>157740</v>
      </c>
      <c r="C251" s="8">
        <v>38</v>
      </c>
    </row>
    <row r="252" spans="1:3" x14ac:dyDescent="0.45">
      <c r="A252" s="5" t="s">
        <v>5289</v>
      </c>
      <c r="B252" s="8">
        <v>832120</v>
      </c>
      <c r="C252" s="8">
        <v>53</v>
      </c>
    </row>
    <row r="253" spans="1:3" x14ac:dyDescent="0.45">
      <c r="A253" s="5" t="s">
        <v>5290</v>
      </c>
      <c r="B253" s="8">
        <v>702660</v>
      </c>
      <c r="C253" s="8">
        <v>51</v>
      </c>
    </row>
    <row r="254" spans="1:3" x14ac:dyDescent="0.45">
      <c r="A254" s="5" t="s">
        <v>5291</v>
      </c>
      <c r="B254" s="8">
        <v>155940</v>
      </c>
      <c r="C254" s="8">
        <v>61</v>
      </c>
    </row>
    <row r="255" spans="1:3" x14ac:dyDescent="0.45">
      <c r="A255" s="5" t="s">
        <v>5292</v>
      </c>
      <c r="B255" s="8">
        <v>120650</v>
      </c>
      <c r="C255" s="8">
        <v>29</v>
      </c>
    </row>
    <row r="256" spans="1:3" x14ac:dyDescent="0.45">
      <c r="A256" s="5" t="s">
        <v>5293</v>
      </c>
      <c r="B256" s="8">
        <v>432800</v>
      </c>
      <c r="C256" s="8">
        <v>51</v>
      </c>
    </row>
    <row r="257" spans="1:3" x14ac:dyDescent="0.45">
      <c r="A257" s="5" t="s">
        <v>5294</v>
      </c>
      <c r="B257" s="8">
        <v>245350</v>
      </c>
      <c r="C257" s="8">
        <v>66</v>
      </c>
    </row>
    <row r="258" spans="1:3" x14ac:dyDescent="0.45">
      <c r="A258" s="5" t="s">
        <v>5295</v>
      </c>
      <c r="B258" s="8">
        <v>464280</v>
      </c>
      <c r="C258" s="8">
        <v>81</v>
      </c>
    </row>
    <row r="259" spans="1:3" x14ac:dyDescent="0.45">
      <c r="A259" s="5" t="s">
        <v>5296</v>
      </c>
      <c r="B259" s="8">
        <v>1616160</v>
      </c>
      <c r="C259" s="8">
        <v>97</v>
      </c>
    </row>
    <row r="260" spans="1:3" x14ac:dyDescent="0.45">
      <c r="A260" s="5" t="s">
        <v>5297</v>
      </c>
      <c r="B260" s="8">
        <v>844160</v>
      </c>
      <c r="C260" s="8">
        <v>67</v>
      </c>
    </row>
    <row r="261" spans="1:3" x14ac:dyDescent="0.45">
      <c r="A261" s="5" t="s">
        <v>5298</v>
      </c>
      <c r="B261" s="8">
        <v>193080</v>
      </c>
      <c r="C261" s="8">
        <v>60</v>
      </c>
    </row>
    <row r="262" spans="1:3" x14ac:dyDescent="0.45">
      <c r="A262" s="5" t="s">
        <v>5299</v>
      </c>
      <c r="B262" s="8">
        <v>632640</v>
      </c>
      <c r="C262" s="8">
        <v>62</v>
      </c>
    </row>
    <row r="263" spans="1:3" x14ac:dyDescent="0.45">
      <c r="A263" s="5" t="s">
        <v>5300</v>
      </c>
      <c r="B263" s="8">
        <v>730940</v>
      </c>
      <c r="C263" s="8">
        <v>56</v>
      </c>
    </row>
    <row r="264" spans="1:3" x14ac:dyDescent="0.45">
      <c r="A264" s="5" t="s">
        <v>5301</v>
      </c>
      <c r="B264" s="8">
        <v>1195900</v>
      </c>
      <c r="C264" s="8">
        <v>65</v>
      </c>
    </row>
    <row r="265" spans="1:3" x14ac:dyDescent="0.45">
      <c r="A265" s="5" t="s">
        <v>5302</v>
      </c>
      <c r="B265" s="8">
        <v>126500</v>
      </c>
      <c r="C265" s="8">
        <v>45</v>
      </c>
    </row>
    <row r="266" spans="1:3" x14ac:dyDescent="0.45">
      <c r="A266" s="5" t="s">
        <v>5303</v>
      </c>
      <c r="B266" s="8">
        <v>123850</v>
      </c>
      <c r="C266" s="8">
        <v>67</v>
      </c>
    </row>
    <row r="267" spans="1:3" x14ac:dyDescent="0.45">
      <c r="A267" s="5" t="s">
        <v>5304</v>
      </c>
      <c r="B267" s="8">
        <v>1449520</v>
      </c>
      <c r="C267" s="8">
        <v>69</v>
      </c>
    </row>
    <row r="268" spans="1:3" x14ac:dyDescent="0.45">
      <c r="A268" s="5" t="s">
        <v>5305</v>
      </c>
      <c r="B268" s="8">
        <v>240460</v>
      </c>
      <c r="C268" s="8">
        <v>30</v>
      </c>
    </row>
    <row r="269" spans="1:3" x14ac:dyDescent="0.45">
      <c r="A269" s="5" t="s">
        <v>5306</v>
      </c>
      <c r="B269" s="8">
        <v>448040</v>
      </c>
      <c r="C269" s="8">
        <v>49</v>
      </c>
    </row>
    <row r="270" spans="1:3" x14ac:dyDescent="0.45">
      <c r="A270" s="5" t="s">
        <v>5307</v>
      </c>
      <c r="B270" s="8">
        <v>753200</v>
      </c>
      <c r="C270" s="8">
        <v>50</v>
      </c>
    </row>
    <row r="271" spans="1:3" x14ac:dyDescent="0.45">
      <c r="A271" s="5" t="s">
        <v>5308</v>
      </c>
      <c r="B271" s="8">
        <v>1096950</v>
      </c>
      <c r="C271" s="8">
        <v>65</v>
      </c>
    </row>
    <row r="272" spans="1:3" x14ac:dyDescent="0.45">
      <c r="A272" s="5" t="s">
        <v>5309</v>
      </c>
      <c r="B272" s="8">
        <v>728520</v>
      </c>
      <c r="C272" s="8">
        <v>58</v>
      </c>
    </row>
    <row r="273" spans="1:3" x14ac:dyDescent="0.45">
      <c r="A273" s="5" t="s">
        <v>5310</v>
      </c>
      <c r="B273" s="8">
        <v>725770</v>
      </c>
      <c r="C273" s="8">
        <v>67</v>
      </c>
    </row>
    <row r="274" spans="1:3" x14ac:dyDescent="0.45">
      <c r="A274" s="5" t="s">
        <v>5311</v>
      </c>
      <c r="B274" s="8">
        <v>283140</v>
      </c>
      <c r="C274" s="8">
        <v>54</v>
      </c>
    </row>
    <row r="275" spans="1:3" x14ac:dyDescent="0.45">
      <c r="A275" s="5" t="s">
        <v>5312</v>
      </c>
      <c r="B275" s="8">
        <v>647820</v>
      </c>
      <c r="C275" s="8">
        <v>79</v>
      </c>
    </row>
    <row r="276" spans="1:3" x14ac:dyDescent="0.45">
      <c r="A276" s="5" t="s">
        <v>5313</v>
      </c>
      <c r="B276" s="8">
        <v>403300</v>
      </c>
      <c r="C276" s="8">
        <v>46</v>
      </c>
    </row>
    <row r="277" spans="1:3" x14ac:dyDescent="0.45">
      <c r="A277" s="5" t="s">
        <v>5314</v>
      </c>
      <c r="B277" s="8">
        <v>1004960</v>
      </c>
      <c r="C277" s="8">
        <v>64</v>
      </c>
    </row>
    <row r="278" spans="1:3" x14ac:dyDescent="0.45">
      <c r="A278" s="5" t="s">
        <v>5315</v>
      </c>
      <c r="B278" s="8">
        <v>231000</v>
      </c>
      <c r="C278" s="8">
        <v>75</v>
      </c>
    </row>
    <row r="279" spans="1:3" x14ac:dyDescent="0.45">
      <c r="A279" s="5" t="s">
        <v>5316</v>
      </c>
      <c r="B279" s="8">
        <v>1173380</v>
      </c>
      <c r="C279" s="8">
        <v>119</v>
      </c>
    </row>
    <row r="280" spans="1:3" x14ac:dyDescent="0.45">
      <c r="A280" s="5" t="s">
        <v>5317</v>
      </c>
      <c r="B280" s="8">
        <v>166360</v>
      </c>
      <c r="C280" s="8">
        <v>46</v>
      </c>
    </row>
    <row r="281" spans="1:3" x14ac:dyDescent="0.45">
      <c r="A281" s="5" t="s">
        <v>5318</v>
      </c>
      <c r="B281" s="8">
        <v>565880</v>
      </c>
      <c r="C281" s="8">
        <v>58</v>
      </c>
    </row>
    <row r="282" spans="1:3" x14ac:dyDescent="0.45">
      <c r="A282" s="5" t="s">
        <v>5319</v>
      </c>
      <c r="B282" s="8">
        <v>486510</v>
      </c>
      <c r="C282" s="8">
        <v>49</v>
      </c>
    </row>
    <row r="283" spans="1:3" x14ac:dyDescent="0.45">
      <c r="A283" s="5" t="s">
        <v>5320</v>
      </c>
      <c r="B283" s="8">
        <v>454040</v>
      </c>
      <c r="C283" s="8">
        <v>32</v>
      </c>
    </row>
    <row r="284" spans="1:3" x14ac:dyDescent="0.45">
      <c r="A284" s="5" t="s">
        <v>5321</v>
      </c>
      <c r="B284" s="8">
        <v>143800</v>
      </c>
      <c r="C284" s="8">
        <v>59</v>
      </c>
    </row>
    <row r="285" spans="1:3" x14ac:dyDescent="0.45">
      <c r="A285" s="5" t="s">
        <v>5322</v>
      </c>
      <c r="B285" s="8">
        <v>864500</v>
      </c>
      <c r="C285" s="8">
        <v>54</v>
      </c>
    </row>
    <row r="286" spans="1:3" x14ac:dyDescent="0.45">
      <c r="A286" s="5" t="s">
        <v>5323</v>
      </c>
      <c r="B286" s="8">
        <v>722600</v>
      </c>
      <c r="C286" s="8">
        <v>63</v>
      </c>
    </row>
    <row r="287" spans="1:3" x14ac:dyDescent="0.45">
      <c r="A287" s="5" t="s">
        <v>5324</v>
      </c>
      <c r="B287" s="8">
        <v>821400</v>
      </c>
      <c r="C287" s="8">
        <v>79</v>
      </c>
    </row>
    <row r="288" spans="1:3" x14ac:dyDescent="0.45">
      <c r="A288" s="5" t="s">
        <v>5325</v>
      </c>
      <c r="B288" s="8">
        <v>674500</v>
      </c>
      <c r="C288" s="8">
        <v>36</v>
      </c>
    </row>
    <row r="289" spans="1:3" x14ac:dyDescent="0.45">
      <c r="A289" s="5" t="s">
        <v>5326</v>
      </c>
      <c r="B289" s="8">
        <v>180430</v>
      </c>
      <c r="C289" s="8">
        <v>45</v>
      </c>
    </row>
    <row r="290" spans="1:3" x14ac:dyDescent="0.45">
      <c r="A290" s="5" t="s">
        <v>5327</v>
      </c>
      <c r="B290" s="8">
        <v>876160</v>
      </c>
      <c r="C290" s="8">
        <v>67</v>
      </c>
    </row>
    <row r="291" spans="1:3" x14ac:dyDescent="0.45">
      <c r="A291" s="5" t="s">
        <v>5328</v>
      </c>
      <c r="B291" s="8">
        <v>758420</v>
      </c>
      <c r="C291" s="8">
        <v>42</v>
      </c>
    </row>
    <row r="292" spans="1:3" x14ac:dyDescent="0.45">
      <c r="A292" s="5" t="s">
        <v>5329</v>
      </c>
      <c r="B292" s="8">
        <v>2429510</v>
      </c>
      <c r="C292" s="8">
        <v>115</v>
      </c>
    </row>
    <row r="293" spans="1:3" x14ac:dyDescent="0.45">
      <c r="A293" s="5" t="s">
        <v>5330</v>
      </c>
      <c r="B293" s="8">
        <v>464600</v>
      </c>
      <c r="C293" s="8">
        <v>40</v>
      </c>
    </row>
    <row r="294" spans="1:3" x14ac:dyDescent="0.45">
      <c r="A294" s="5" t="s">
        <v>5331</v>
      </c>
      <c r="B294" s="8">
        <v>719820</v>
      </c>
      <c r="C294" s="8">
        <v>79</v>
      </c>
    </row>
    <row r="295" spans="1:3" x14ac:dyDescent="0.45">
      <c r="A295" s="5" t="s">
        <v>5332</v>
      </c>
      <c r="B295" s="8">
        <v>298940</v>
      </c>
      <c r="C295" s="8">
        <v>55</v>
      </c>
    </row>
    <row r="296" spans="1:3" x14ac:dyDescent="0.45">
      <c r="A296" s="5" t="s">
        <v>5333</v>
      </c>
      <c r="B296" s="8">
        <v>859680</v>
      </c>
      <c r="C296" s="8">
        <v>61</v>
      </c>
    </row>
    <row r="297" spans="1:3" x14ac:dyDescent="0.45">
      <c r="A297" s="5" t="s">
        <v>5334</v>
      </c>
      <c r="B297" s="8">
        <v>1297660</v>
      </c>
      <c r="C297" s="8">
        <v>68</v>
      </c>
    </row>
    <row r="298" spans="1:3" x14ac:dyDescent="0.45">
      <c r="A298" s="5" t="s">
        <v>5335</v>
      </c>
      <c r="B298" s="8">
        <v>275950</v>
      </c>
      <c r="C298" s="8">
        <v>47</v>
      </c>
    </row>
    <row r="299" spans="1:3" x14ac:dyDescent="0.45">
      <c r="A299" s="5" t="s">
        <v>5336</v>
      </c>
      <c r="B299" s="8">
        <v>551780</v>
      </c>
      <c r="C299" s="8">
        <v>41</v>
      </c>
    </row>
    <row r="300" spans="1:3" x14ac:dyDescent="0.45">
      <c r="A300" s="5" t="s">
        <v>5337</v>
      </c>
      <c r="B300" s="8">
        <v>87340</v>
      </c>
      <c r="C300" s="8">
        <v>27</v>
      </c>
    </row>
    <row r="301" spans="1:3" x14ac:dyDescent="0.45">
      <c r="A301" s="5" t="s">
        <v>5338</v>
      </c>
      <c r="B301" s="8">
        <v>916840</v>
      </c>
      <c r="C301" s="8">
        <v>73</v>
      </c>
    </row>
    <row r="302" spans="1:3" x14ac:dyDescent="0.45">
      <c r="A302" s="5" t="s">
        <v>5339</v>
      </c>
      <c r="B302" s="8">
        <v>74460</v>
      </c>
      <c r="C302" s="8">
        <v>42</v>
      </c>
    </row>
    <row r="303" spans="1:3" x14ac:dyDescent="0.45">
      <c r="A303" s="5" t="s">
        <v>5340</v>
      </c>
      <c r="B303" s="8">
        <v>213880</v>
      </c>
      <c r="C303" s="8">
        <v>93</v>
      </c>
    </row>
    <row r="304" spans="1:3" x14ac:dyDescent="0.45">
      <c r="A304" s="5" t="s">
        <v>5341</v>
      </c>
      <c r="B304" s="8">
        <v>137180</v>
      </c>
      <c r="C304" s="8">
        <v>56</v>
      </c>
    </row>
    <row r="305" spans="1:3" x14ac:dyDescent="0.45">
      <c r="A305" s="5" t="s">
        <v>5342</v>
      </c>
      <c r="B305" s="8">
        <v>1076400</v>
      </c>
      <c r="C305" s="8">
        <v>54</v>
      </c>
    </row>
    <row r="306" spans="1:3" x14ac:dyDescent="0.45">
      <c r="A306" s="5" t="s">
        <v>5343</v>
      </c>
      <c r="B306" s="8">
        <v>875820</v>
      </c>
      <c r="C306" s="8">
        <v>50</v>
      </c>
    </row>
    <row r="307" spans="1:3" x14ac:dyDescent="0.45">
      <c r="A307" s="5" t="s">
        <v>5344</v>
      </c>
      <c r="B307" s="8">
        <v>619850</v>
      </c>
      <c r="C307" s="8">
        <v>95</v>
      </c>
    </row>
    <row r="308" spans="1:3" x14ac:dyDescent="0.45">
      <c r="A308" s="5" t="s">
        <v>5345</v>
      </c>
      <c r="B308" s="8">
        <v>1127040</v>
      </c>
      <c r="C308" s="8">
        <v>69</v>
      </c>
    </row>
    <row r="309" spans="1:3" x14ac:dyDescent="0.45">
      <c r="A309" s="5" t="s">
        <v>5346</v>
      </c>
      <c r="B309" s="8">
        <v>426200</v>
      </c>
      <c r="C309" s="8">
        <v>44</v>
      </c>
    </row>
    <row r="310" spans="1:3" x14ac:dyDescent="0.45">
      <c r="A310" s="5" t="s">
        <v>5347</v>
      </c>
      <c r="B310" s="8">
        <v>365760</v>
      </c>
      <c r="C310" s="8">
        <v>67</v>
      </c>
    </row>
    <row r="311" spans="1:3" x14ac:dyDescent="0.45">
      <c r="A311" s="5" t="s">
        <v>5348</v>
      </c>
      <c r="B311" s="8">
        <v>415480</v>
      </c>
      <c r="C311" s="8">
        <v>41</v>
      </c>
    </row>
    <row r="312" spans="1:3" x14ac:dyDescent="0.45">
      <c r="A312" s="5" t="s">
        <v>5349</v>
      </c>
      <c r="B312" s="8">
        <v>132600</v>
      </c>
      <c r="C312" s="8">
        <v>74</v>
      </c>
    </row>
    <row r="313" spans="1:3" x14ac:dyDescent="0.45">
      <c r="A313" s="5" t="s">
        <v>5350</v>
      </c>
      <c r="B313" s="8">
        <v>488940</v>
      </c>
      <c r="C313" s="8">
        <v>63</v>
      </c>
    </row>
    <row r="314" spans="1:3" x14ac:dyDescent="0.45">
      <c r="A314" s="5" t="s">
        <v>5351</v>
      </c>
      <c r="B314" s="8">
        <v>727980</v>
      </c>
      <c r="C314" s="8">
        <v>53</v>
      </c>
    </row>
    <row r="315" spans="1:3" x14ac:dyDescent="0.45">
      <c r="A315" s="5" t="s">
        <v>5352</v>
      </c>
      <c r="B315" s="8">
        <v>229510</v>
      </c>
      <c r="C315" s="8">
        <v>26</v>
      </c>
    </row>
    <row r="316" spans="1:3" x14ac:dyDescent="0.45">
      <c r="A316" s="5" t="s">
        <v>5353</v>
      </c>
      <c r="B316" s="8">
        <v>185500</v>
      </c>
      <c r="C316" s="8">
        <v>92</v>
      </c>
    </row>
    <row r="317" spans="1:3" x14ac:dyDescent="0.45">
      <c r="A317" s="5" t="s">
        <v>5354</v>
      </c>
      <c r="B317" s="8">
        <v>466200</v>
      </c>
      <c r="C317" s="8">
        <v>68</v>
      </c>
    </row>
    <row r="318" spans="1:3" x14ac:dyDescent="0.45">
      <c r="A318" s="5" t="s">
        <v>5355</v>
      </c>
      <c r="B318" s="8">
        <v>1419320</v>
      </c>
      <c r="C318" s="8">
        <v>97</v>
      </c>
    </row>
    <row r="319" spans="1:3" x14ac:dyDescent="0.45">
      <c r="A319" s="5" t="s">
        <v>5356</v>
      </c>
      <c r="B319" s="8">
        <v>719950</v>
      </c>
      <c r="C319" s="8">
        <v>78</v>
      </c>
    </row>
    <row r="320" spans="1:3" x14ac:dyDescent="0.45">
      <c r="A320" s="5" t="s">
        <v>5357</v>
      </c>
      <c r="B320" s="8">
        <v>484390</v>
      </c>
      <c r="C320" s="8">
        <v>40</v>
      </c>
    </row>
    <row r="321" spans="1:3" x14ac:dyDescent="0.45">
      <c r="A321" s="5" t="s">
        <v>5358</v>
      </c>
      <c r="B321" s="8">
        <v>588400</v>
      </c>
      <c r="C321" s="8">
        <v>53</v>
      </c>
    </row>
    <row r="322" spans="1:3" x14ac:dyDescent="0.45">
      <c r="A322" s="5" t="s">
        <v>5359</v>
      </c>
      <c r="B322" s="8">
        <v>645820</v>
      </c>
      <c r="C322" s="8">
        <v>54</v>
      </c>
    </row>
    <row r="323" spans="1:3" x14ac:dyDescent="0.45">
      <c r="A323" s="5" t="s">
        <v>5360</v>
      </c>
      <c r="B323" s="8">
        <v>799080</v>
      </c>
      <c r="C323" s="8">
        <v>72</v>
      </c>
    </row>
    <row r="324" spans="1:3" x14ac:dyDescent="0.45">
      <c r="A324" s="5" t="s">
        <v>5361</v>
      </c>
      <c r="B324" s="8">
        <v>311580</v>
      </c>
      <c r="C324" s="8">
        <v>45</v>
      </c>
    </row>
    <row r="325" spans="1:3" x14ac:dyDescent="0.45">
      <c r="A325" s="5" t="s">
        <v>5362</v>
      </c>
      <c r="B325" s="8">
        <v>169420</v>
      </c>
      <c r="C325" s="8">
        <v>55</v>
      </c>
    </row>
    <row r="326" spans="1:3" x14ac:dyDescent="0.45">
      <c r="A326" s="5" t="s">
        <v>5363</v>
      </c>
      <c r="B326" s="8">
        <v>1161240</v>
      </c>
      <c r="C326" s="8">
        <v>70</v>
      </c>
    </row>
    <row r="327" spans="1:3" x14ac:dyDescent="0.45">
      <c r="A327" s="5" t="s">
        <v>5364</v>
      </c>
      <c r="B327" s="8">
        <v>422300</v>
      </c>
      <c r="C327" s="8">
        <v>27</v>
      </c>
    </row>
    <row r="328" spans="1:3" x14ac:dyDescent="0.45">
      <c r="A328" s="5" t="s">
        <v>5365</v>
      </c>
      <c r="B328" s="8">
        <v>383880</v>
      </c>
      <c r="C328" s="8">
        <v>54</v>
      </c>
    </row>
    <row r="329" spans="1:3" x14ac:dyDescent="0.45">
      <c r="A329" s="5" t="s">
        <v>5366</v>
      </c>
      <c r="B329" s="8">
        <v>1200980</v>
      </c>
      <c r="C329" s="8">
        <v>60</v>
      </c>
    </row>
    <row r="330" spans="1:3" x14ac:dyDescent="0.45">
      <c r="A330" s="5" t="s">
        <v>5367</v>
      </c>
      <c r="B330" s="8">
        <v>57130</v>
      </c>
      <c r="C330" s="8">
        <v>48</v>
      </c>
    </row>
    <row r="331" spans="1:3" x14ac:dyDescent="0.45">
      <c r="A331" s="5" t="s">
        <v>5368</v>
      </c>
      <c r="B331" s="8">
        <v>176470</v>
      </c>
      <c r="C331" s="8">
        <v>82</v>
      </c>
    </row>
    <row r="332" spans="1:3" x14ac:dyDescent="0.45">
      <c r="A332" s="5" t="s">
        <v>5369</v>
      </c>
      <c r="B332" s="8">
        <v>557640</v>
      </c>
      <c r="C332" s="8">
        <v>44</v>
      </c>
    </row>
    <row r="333" spans="1:3" x14ac:dyDescent="0.45">
      <c r="A333" s="5" t="s">
        <v>5370</v>
      </c>
      <c r="B333" s="8">
        <v>709950</v>
      </c>
      <c r="C333" s="8">
        <v>59</v>
      </c>
    </row>
    <row r="334" spans="1:3" x14ac:dyDescent="0.45">
      <c r="A334" s="5" t="s">
        <v>5371</v>
      </c>
      <c r="B334" s="8">
        <v>761850</v>
      </c>
      <c r="C334" s="8">
        <v>44</v>
      </c>
    </row>
    <row r="335" spans="1:3" x14ac:dyDescent="0.45">
      <c r="A335" s="5" t="s">
        <v>5372</v>
      </c>
      <c r="B335" s="8">
        <v>201100</v>
      </c>
      <c r="C335" s="8">
        <v>42</v>
      </c>
    </row>
    <row r="336" spans="1:3" x14ac:dyDescent="0.45">
      <c r="A336" s="5" t="s">
        <v>5373</v>
      </c>
      <c r="B336" s="8">
        <v>238620</v>
      </c>
      <c r="C336" s="8">
        <v>46</v>
      </c>
    </row>
    <row r="337" spans="1:3" x14ac:dyDescent="0.45">
      <c r="A337" s="5" t="s">
        <v>5374</v>
      </c>
      <c r="B337" s="8">
        <v>672380</v>
      </c>
      <c r="C337" s="8">
        <v>43</v>
      </c>
    </row>
    <row r="338" spans="1:3" x14ac:dyDescent="0.45">
      <c r="A338" s="5" t="s">
        <v>5375</v>
      </c>
      <c r="B338" s="8">
        <v>258240</v>
      </c>
      <c r="C338" s="8">
        <v>39</v>
      </c>
    </row>
    <row r="339" spans="1:3" x14ac:dyDescent="0.45">
      <c r="A339" s="5" t="s">
        <v>5376</v>
      </c>
      <c r="B339" s="8">
        <v>489400</v>
      </c>
      <c r="C339" s="8">
        <v>52</v>
      </c>
    </row>
    <row r="340" spans="1:3" x14ac:dyDescent="0.45">
      <c r="A340" s="5" t="s">
        <v>5377</v>
      </c>
      <c r="B340" s="8">
        <v>140280</v>
      </c>
      <c r="C340" s="8">
        <v>56</v>
      </c>
    </row>
    <row r="341" spans="1:3" x14ac:dyDescent="0.45">
      <c r="A341" s="5" t="s">
        <v>5378</v>
      </c>
      <c r="B341" s="8">
        <v>478900</v>
      </c>
      <c r="C341" s="8">
        <v>44</v>
      </c>
    </row>
    <row r="342" spans="1:3" x14ac:dyDescent="0.45">
      <c r="A342" s="5" t="s">
        <v>5379</v>
      </c>
      <c r="B342" s="8">
        <v>1078940</v>
      </c>
      <c r="C342" s="8">
        <v>58</v>
      </c>
    </row>
    <row r="343" spans="1:3" x14ac:dyDescent="0.45">
      <c r="A343" s="5" t="s">
        <v>5380</v>
      </c>
      <c r="B343" s="8">
        <v>1335520</v>
      </c>
      <c r="C343" s="8">
        <v>60</v>
      </c>
    </row>
    <row r="344" spans="1:3" x14ac:dyDescent="0.45">
      <c r="A344" s="5" t="s">
        <v>5381</v>
      </c>
      <c r="B344" s="8">
        <v>277540</v>
      </c>
      <c r="C344" s="8">
        <v>45</v>
      </c>
    </row>
    <row r="345" spans="1:3" x14ac:dyDescent="0.45">
      <c r="A345" s="5" t="s">
        <v>5382</v>
      </c>
      <c r="B345" s="8">
        <v>475260</v>
      </c>
      <c r="C345" s="8">
        <v>61</v>
      </c>
    </row>
    <row r="346" spans="1:3" x14ac:dyDescent="0.45">
      <c r="A346" s="5" t="s">
        <v>5383</v>
      </c>
      <c r="B346" s="8">
        <v>961210</v>
      </c>
      <c r="C346" s="8">
        <v>64</v>
      </c>
    </row>
    <row r="347" spans="1:3" x14ac:dyDescent="0.45">
      <c r="A347" s="5" t="s">
        <v>5384</v>
      </c>
      <c r="B347" s="8">
        <v>251620</v>
      </c>
      <c r="C347" s="8">
        <v>56</v>
      </c>
    </row>
    <row r="348" spans="1:3" x14ac:dyDescent="0.45">
      <c r="A348" s="5" t="s">
        <v>5385</v>
      </c>
      <c r="B348" s="8">
        <v>478040</v>
      </c>
      <c r="C348" s="8">
        <v>75</v>
      </c>
    </row>
    <row r="349" spans="1:3" x14ac:dyDescent="0.45">
      <c r="A349" s="5" t="s">
        <v>5386</v>
      </c>
      <c r="B349" s="8">
        <v>1170320</v>
      </c>
      <c r="C349" s="8">
        <v>63</v>
      </c>
    </row>
    <row r="350" spans="1:3" x14ac:dyDescent="0.45">
      <c r="A350" s="5" t="s">
        <v>5387</v>
      </c>
      <c r="B350" s="8">
        <v>531700</v>
      </c>
      <c r="C350" s="8">
        <v>73</v>
      </c>
    </row>
    <row r="351" spans="1:3" x14ac:dyDescent="0.45">
      <c r="A351" s="5" t="s">
        <v>5388</v>
      </c>
      <c r="B351" s="8">
        <v>627320</v>
      </c>
      <c r="C351" s="8">
        <v>54</v>
      </c>
    </row>
    <row r="352" spans="1:3" x14ac:dyDescent="0.45">
      <c r="A352" s="5" t="s">
        <v>5389</v>
      </c>
      <c r="B352" s="8">
        <v>514720</v>
      </c>
      <c r="C352" s="8">
        <v>51</v>
      </c>
    </row>
    <row r="353" spans="1:3" x14ac:dyDescent="0.45">
      <c r="A353" s="5" t="s">
        <v>5390</v>
      </c>
      <c r="B353" s="8">
        <v>245400</v>
      </c>
      <c r="C353" s="8">
        <v>63</v>
      </c>
    </row>
    <row r="354" spans="1:3" x14ac:dyDescent="0.45">
      <c r="A354" s="5" t="s">
        <v>5391</v>
      </c>
      <c r="B354" s="8">
        <v>292000</v>
      </c>
      <c r="C354" s="8">
        <v>55</v>
      </c>
    </row>
    <row r="355" spans="1:3" x14ac:dyDescent="0.45">
      <c r="A355" s="5" t="s">
        <v>5392</v>
      </c>
      <c r="B355" s="8">
        <v>490320</v>
      </c>
      <c r="C355" s="8">
        <v>72</v>
      </c>
    </row>
    <row r="356" spans="1:3" x14ac:dyDescent="0.45">
      <c r="A356" s="5" t="s">
        <v>5393</v>
      </c>
      <c r="B356" s="8">
        <v>448680</v>
      </c>
      <c r="C356" s="8">
        <v>48</v>
      </c>
    </row>
    <row r="357" spans="1:3" x14ac:dyDescent="0.45">
      <c r="A357" s="5" t="s">
        <v>5394</v>
      </c>
      <c r="B357" s="8">
        <v>509700</v>
      </c>
      <c r="C357" s="8">
        <v>59</v>
      </c>
    </row>
    <row r="358" spans="1:3" x14ac:dyDescent="0.45">
      <c r="A358" s="5" t="s">
        <v>5395</v>
      </c>
      <c r="B358" s="8">
        <v>443460</v>
      </c>
      <c r="C358" s="8">
        <v>57</v>
      </c>
    </row>
    <row r="359" spans="1:3" x14ac:dyDescent="0.45">
      <c r="A359" s="5" t="s">
        <v>5396</v>
      </c>
      <c r="B359" s="8">
        <v>348470</v>
      </c>
      <c r="C359" s="8">
        <v>51</v>
      </c>
    </row>
    <row r="360" spans="1:3" x14ac:dyDescent="0.45">
      <c r="A360" s="5" t="s">
        <v>5397</v>
      </c>
      <c r="B360" s="8">
        <v>1048640</v>
      </c>
      <c r="C360" s="8">
        <v>63</v>
      </c>
    </row>
    <row r="361" spans="1:3" x14ac:dyDescent="0.45">
      <c r="A361" s="5" t="s">
        <v>5398</v>
      </c>
      <c r="B361" s="8">
        <v>828720</v>
      </c>
      <c r="C361" s="8">
        <v>56</v>
      </c>
    </row>
    <row r="362" spans="1:3" x14ac:dyDescent="0.45">
      <c r="A362" s="5" t="s">
        <v>5399</v>
      </c>
      <c r="B362" s="8">
        <v>1212900</v>
      </c>
      <c r="C362" s="8">
        <v>48</v>
      </c>
    </row>
    <row r="363" spans="1:3" x14ac:dyDescent="0.45">
      <c r="A363" s="5" t="s">
        <v>5400</v>
      </c>
      <c r="B363" s="8">
        <v>1421530</v>
      </c>
      <c r="C363" s="8">
        <v>134</v>
      </c>
    </row>
    <row r="364" spans="1:3" x14ac:dyDescent="0.45">
      <c r="A364" s="5" t="s">
        <v>5401</v>
      </c>
      <c r="B364" s="8">
        <v>1259500</v>
      </c>
      <c r="C364" s="8">
        <v>97</v>
      </c>
    </row>
    <row r="365" spans="1:3" x14ac:dyDescent="0.45">
      <c r="A365" s="5" t="s">
        <v>5402</v>
      </c>
      <c r="B365" s="8">
        <v>176720</v>
      </c>
      <c r="C365" s="8">
        <v>58</v>
      </c>
    </row>
    <row r="366" spans="1:3" x14ac:dyDescent="0.45">
      <c r="A366" s="5" t="s">
        <v>5026</v>
      </c>
      <c r="B366" s="8">
        <v>269016580</v>
      </c>
      <c r="C366" s="8">
        <v>27086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17FF-9470-4F1D-AA7B-0C133260F452}">
  <dimension ref="A3:B13"/>
  <sheetViews>
    <sheetView workbookViewId="0">
      <selection activeCell="C3" sqref="C3"/>
    </sheetView>
  </sheetViews>
  <sheetFormatPr defaultRowHeight="14.25" x14ac:dyDescent="0.45"/>
  <cols>
    <col min="1" max="1" width="13.6640625" bestFit="1" customWidth="1"/>
    <col min="2" max="2" width="17.1328125" bestFit="1" customWidth="1"/>
  </cols>
  <sheetData>
    <row r="3" spans="1:2" x14ac:dyDescent="0.45">
      <c r="A3" s="4" t="s">
        <v>5025</v>
      </c>
      <c r="B3" s="2" t="s">
        <v>5024</v>
      </c>
    </row>
    <row r="4" spans="1:2" x14ac:dyDescent="0.45">
      <c r="A4" s="5" t="s">
        <v>12</v>
      </c>
      <c r="B4" s="2">
        <v>9786930</v>
      </c>
    </row>
    <row r="5" spans="1:2" x14ac:dyDescent="0.45">
      <c r="A5" s="5" t="s">
        <v>5008</v>
      </c>
      <c r="B5" s="2">
        <v>8740000</v>
      </c>
    </row>
    <row r="6" spans="1:2" x14ac:dyDescent="0.45">
      <c r="A6" s="5" t="s">
        <v>2772</v>
      </c>
      <c r="B6" s="2">
        <v>6350900</v>
      </c>
    </row>
    <row r="7" spans="1:2" x14ac:dyDescent="0.45">
      <c r="A7" s="5" t="s">
        <v>3979</v>
      </c>
      <c r="B7" s="2">
        <v>4383500</v>
      </c>
    </row>
    <row r="8" spans="1:2" x14ac:dyDescent="0.45">
      <c r="A8" s="5" t="s">
        <v>4007</v>
      </c>
      <c r="B8" s="2">
        <v>208519700</v>
      </c>
    </row>
    <row r="9" spans="1:2" x14ac:dyDescent="0.45">
      <c r="A9" s="5" t="s">
        <v>33</v>
      </c>
      <c r="B9" s="2">
        <v>14930750</v>
      </c>
    </row>
    <row r="10" spans="1:2" x14ac:dyDescent="0.45">
      <c r="A10" s="5" t="s">
        <v>3977</v>
      </c>
      <c r="B10" s="2">
        <v>1463000</v>
      </c>
    </row>
    <row r="11" spans="1:2" x14ac:dyDescent="0.45">
      <c r="A11" s="5" t="s">
        <v>9</v>
      </c>
      <c r="B11" s="2">
        <v>7958400</v>
      </c>
    </row>
    <row r="12" spans="1:2" x14ac:dyDescent="0.45">
      <c r="A12" s="5" t="s">
        <v>5009</v>
      </c>
      <c r="B12" s="2">
        <v>6883400</v>
      </c>
    </row>
    <row r="13" spans="1:2" x14ac:dyDescent="0.45">
      <c r="A13" s="5" t="s">
        <v>5026</v>
      </c>
      <c r="B13" s="2">
        <v>269016580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D0993-B8DD-4FF3-B62C-3DD79587E3F2}">
  <dimension ref="A1:H397"/>
  <sheetViews>
    <sheetView zoomScale="55" zoomScaleNormal="55" workbookViewId="0"/>
  </sheetViews>
  <sheetFormatPr defaultRowHeight="14.25" x14ac:dyDescent="0.45"/>
  <cols>
    <col min="1" max="1" width="11.73046875" customWidth="1"/>
    <col min="2" max="2" width="15.9296875" customWidth="1"/>
    <col min="3" max="3" width="23.9296875" customWidth="1"/>
    <col min="4" max="5" width="34.265625" customWidth="1"/>
    <col min="7" max="7" width="9" customWidth="1"/>
    <col min="8" max="8" width="7.19921875" customWidth="1"/>
  </cols>
  <sheetData>
    <row r="1" spans="1:8" x14ac:dyDescent="0.45">
      <c r="A1" t="s">
        <v>5025</v>
      </c>
      <c r="B1" t="s">
        <v>5413</v>
      </c>
      <c r="C1" t="s">
        <v>5424</v>
      </c>
      <c r="D1" t="s">
        <v>5425</v>
      </c>
      <c r="E1" t="s">
        <v>5426</v>
      </c>
      <c r="G1" t="s">
        <v>5404</v>
      </c>
      <c r="H1" t="s">
        <v>5405</v>
      </c>
    </row>
    <row r="2" spans="1:8" x14ac:dyDescent="0.45">
      <c r="A2" s="1">
        <v>45658</v>
      </c>
      <c r="B2">
        <v>134</v>
      </c>
      <c r="G2" t="s">
        <v>5406</v>
      </c>
      <c r="H2" s="10">
        <f>_xlfn.FORECAST.ETS.STAT($B$2:$B$365,$A$2:$A$365,1,1,1)</f>
        <v>0.126</v>
      </c>
    </row>
    <row r="3" spans="1:8" x14ac:dyDescent="0.45">
      <c r="A3" s="1">
        <v>45659</v>
      </c>
      <c r="B3">
        <v>136</v>
      </c>
      <c r="G3" t="s">
        <v>5407</v>
      </c>
      <c r="H3" s="10">
        <f>_xlfn.FORECAST.ETS.STAT($B$2:$B$365,$A$2:$A$365,2,1,1)</f>
        <v>1E-3</v>
      </c>
    </row>
    <row r="4" spans="1:8" x14ac:dyDescent="0.45">
      <c r="A4" s="1">
        <v>45660</v>
      </c>
      <c r="B4">
        <v>103</v>
      </c>
      <c r="G4" t="s">
        <v>5408</v>
      </c>
      <c r="H4" s="10">
        <f>_xlfn.FORECAST.ETS.STAT($B$2:$B$365,$A$2:$A$365,3,1,1)</f>
        <v>2.2204460492503131E-16</v>
      </c>
    </row>
    <row r="5" spans="1:8" x14ac:dyDescent="0.45">
      <c r="A5" s="1">
        <v>45661</v>
      </c>
      <c r="B5">
        <v>83</v>
      </c>
      <c r="G5" t="s">
        <v>5409</v>
      </c>
      <c r="H5" s="10">
        <f>_xlfn.FORECAST.ETS.STAT($B$2:$B$365,$A$2:$A$365,4,1,1)</f>
        <v>0.60658948814172831</v>
      </c>
    </row>
    <row r="6" spans="1:8" x14ac:dyDescent="0.45">
      <c r="A6" s="1">
        <v>45662</v>
      </c>
      <c r="B6">
        <v>94</v>
      </c>
      <c r="G6" t="s">
        <v>5410</v>
      </c>
      <c r="H6" s="10">
        <f>_xlfn.FORECAST.ETS.STAT($B$2:$B$365,$A$2:$A$365,5,1,1)</f>
        <v>0.22837643258771578</v>
      </c>
    </row>
    <row r="7" spans="1:8" x14ac:dyDescent="0.45">
      <c r="A7" s="1">
        <v>45663</v>
      </c>
      <c r="B7">
        <v>101</v>
      </c>
      <c r="G7" t="s">
        <v>5411</v>
      </c>
      <c r="H7" s="10">
        <f>_xlfn.FORECAST.ETS.STAT($B$2:$B$365,$A$2:$A$365,6,1,1)</f>
        <v>13.577146094923997</v>
      </c>
    </row>
    <row r="8" spans="1:8" x14ac:dyDescent="0.45">
      <c r="A8" s="1">
        <v>45664</v>
      </c>
      <c r="B8">
        <v>148</v>
      </c>
      <c r="G8" t="s">
        <v>5412</v>
      </c>
      <c r="H8" s="10">
        <f>_xlfn.FORECAST.ETS.STAT($B$2:$B$365,$A$2:$A$365,7,1,1)</f>
        <v>18.407100246424751</v>
      </c>
    </row>
    <row r="9" spans="1:8" x14ac:dyDescent="0.45">
      <c r="A9" s="1">
        <v>45665</v>
      </c>
      <c r="B9">
        <v>190</v>
      </c>
    </row>
    <row r="10" spans="1:8" x14ac:dyDescent="0.45">
      <c r="A10" s="1">
        <v>45666</v>
      </c>
      <c r="B10">
        <v>114</v>
      </c>
    </row>
    <row r="11" spans="1:8" x14ac:dyDescent="0.45">
      <c r="A11" s="1">
        <v>45667</v>
      </c>
      <c r="B11">
        <v>132</v>
      </c>
    </row>
    <row r="12" spans="1:8" x14ac:dyDescent="0.45">
      <c r="A12" s="1">
        <v>45668</v>
      </c>
      <c r="B12">
        <v>104</v>
      </c>
    </row>
    <row r="13" spans="1:8" x14ac:dyDescent="0.45">
      <c r="A13" s="1">
        <v>45669</v>
      </c>
      <c r="B13">
        <v>114</v>
      </c>
    </row>
    <row r="14" spans="1:8" x14ac:dyDescent="0.45">
      <c r="A14" s="1">
        <v>45670</v>
      </c>
      <c r="B14">
        <v>127</v>
      </c>
    </row>
    <row r="15" spans="1:8" x14ac:dyDescent="0.45">
      <c r="A15" s="1">
        <v>45671</v>
      </c>
      <c r="B15">
        <v>107</v>
      </c>
    </row>
    <row r="16" spans="1:8" x14ac:dyDescent="0.45">
      <c r="A16" s="1">
        <v>45672</v>
      </c>
      <c r="B16">
        <v>141</v>
      </c>
    </row>
    <row r="17" spans="1:2" x14ac:dyDescent="0.45">
      <c r="A17" s="1">
        <v>45673</v>
      </c>
      <c r="B17">
        <v>134</v>
      </c>
    </row>
    <row r="18" spans="1:2" x14ac:dyDescent="0.45">
      <c r="A18" s="1">
        <v>45674</v>
      </c>
      <c r="B18">
        <v>130</v>
      </c>
    </row>
    <row r="19" spans="1:2" x14ac:dyDescent="0.45">
      <c r="A19" s="1">
        <v>45675</v>
      </c>
      <c r="B19">
        <v>116</v>
      </c>
    </row>
    <row r="20" spans="1:2" x14ac:dyDescent="0.45">
      <c r="A20" s="1">
        <v>45676</v>
      </c>
      <c r="B20">
        <v>137</v>
      </c>
    </row>
    <row r="21" spans="1:2" x14ac:dyDescent="0.45">
      <c r="A21" s="1">
        <v>45677</v>
      </c>
      <c r="B21">
        <v>123</v>
      </c>
    </row>
    <row r="22" spans="1:2" x14ac:dyDescent="0.45">
      <c r="A22" s="1">
        <v>45678</v>
      </c>
      <c r="B22">
        <v>100</v>
      </c>
    </row>
    <row r="23" spans="1:2" x14ac:dyDescent="0.45">
      <c r="A23" s="1">
        <v>45679</v>
      </c>
      <c r="B23">
        <v>89</v>
      </c>
    </row>
    <row r="24" spans="1:2" x14ac:dyDescent="0.45">
      <c r="A24" s="1">
        <v>45680</v>
      </c>
      <c r="B24">
        <v>157</v>
      </c>
    </row>
    <row r="25" spans="1:2" x14ac:dyDescent="0.45">
      <c r="A25" s="1">
        <v>45681</v>
      </c>
      <c r="B25">
        <v>133</v>
      </c>
    </row>
    <row r="26" spans="1:2" x14ac:dyDescent="0.45">
      <c r="A26" s="1">
        <v>45682</v>
      </c>
      <c r="B26">
        <v>161</v>
      </c>
    </row>
    <row r="27" spans="1:2" x14ac:dyDescent="0.45">
      <c r="A27" s="1">
        <v>45683</v>
      </c>
      <c r="B27">
        <v>125</v>
      </c>
    </row>
    <row r="28" spans="1:2" x14ac:dyDescent="0.45">
      <c r="A28" s="1">
        <v>45684</v>
      </c>
      <c r="B28">
        <v>126</v>
      </c>
    </row>
    <row r="29" spans="1:2" x14ac:dyDescent="0.45">
      <c r="A29" s="1">
        <v>45685</v>
      </c>
      <c r="B29">
        <v>158</v>
      </c>
    </row>
    <row r="30" spans="1:2" x14ac:dyDescent="0.45">
      <c r="A30" s="1">
        <v>45686</v>
      </c>
      <c r="B30">
        <v>148</v>
      </c>
    </row>
    <row r="31" spans="1:2" x14ac:dyDescent="0.45">
      <c r="A31" s="1">
        <v>45687</v>
      </c>
      <c r="B31">
        <v>98</v>
      </c>
    </row>
    <row r="32" spans="1:2" x14ac:dyDescent="0.45">
      <c r="A32" s="1">
        <v>45688</v>
      </c>
      <c r="B32">
        <v>126</v>
      </c>
    </row>
    <row r="33" spans="1:2" x14ac:dyDescent="0.45">
      <c r="A33" s="1">
        <v>45689</v>
      </c>
      <c r="B33">
        <v>64</v>
      </c>
    </row>
    <row r="34" spans="1:2" x14ac:dyDescent="0.45">
      <c r="A34" s="1">
        <v>45690</v>
      </c>
      <c r="B34">
        <v>165</v>
      </c>
    </row>
    <row r="35" spans="1:2" x14ac:dyDescent="0.45">
      <c r="A35" s="1">
        <v>45691</v>
      </c>
      <c r="B35">
        <v>128</v>
      </c>
    </row>
    <row r="36" spans="1:2" x14ac:dyDescent="0.45">
      <c r="A36" s="1">
        <v>45692</v>
      </c>
      <c r="B36">
        <v>87</v>
      </c>
    </row>
    <row r="37" spans="1:2" x14ac:dyDescent="0.45">
      <c r="A37" s="1">
        <v>45693</v>
      </c>
      <c r="B37">
        <v>139</v>
      </c>
    </row>
    <row r="38" spans="1:2" x14ac:dyDescent="0.45">
      <c r="A38" s="1">
        <v>45694</v>
      </c>
      <c r="B38">
        <v>119</v>
      </c>
    </row>
    <row r="39" spans="1:2" x14ac:dyDescent="0.45">
      <c r="A39" s="1">
        <v>45695</v>
      </c>
      <c r="B39">
        <v>203</v>
      </c>
    </row>
    <row r="40" spans="1:2" x14ac:dyDescent="0.45">
      <c r="A40" s="1">
        <v>45696</v>
      </c>
      <c r="B40">
        <v>123</v>
      </c>
    </row>
    <row r="41" spans="1:2" x14ac:dyDescent="0.45">
      <c r="A41" s="1">
        <v>45697</v>
      </c>
      <c r="B41">
        <v>123</v>
      </c>
    </row>
    <row r="42" spans="1:2" x14ac:dyDescent="0.45">
      <c r="A42" s="1">
        <v>45698</v>
      </c>
      <c r="B42">
        <v>100</v>
      </c>
    </row>
    <row r="43" spans="1:2" x14ac:dyDescent="0.45">
      <c r="A43" s="1">
        <v>45699</v>
      </c>
      <c r="B43">
        <v>97</v>
      </c>
    </row>
    <row r="44" spans="1:2" x14ac:dyDescent="0.45">
      <c r="A44" s="1">
        <v>45700</v>
      </c>
      <c r="B44">
        <v>83</v>
      </c>
    </row>
    <row r="45" spans="1:2" x14ac:dyDescent="0.45">
      <c r="A45" s="1">
        <v>45701</v>
      </c>
      <c r="B45">
        <v>87</v>
      </c>
    </row>
    <row r="46" spans="1:2" x14ac:dyDescent="0.45">
      <c r="A46" s="1">
        <v>45702</v>
      </c>
      <c r="B46">
        <v>67</v>
      </c>
    </row>
    <row r="47" spans="1:2" x14ac:dyDescent="0.45">
      <c r="A47" s="1">
        <v>45703</v>
      </c>
      <c r="B47">
        <v>184</v>
      </c>
    </row>
    <row r="48" spans="1:2" x14ac:dyDescent="0.45">
      <c r="A48" s="1">
        <v>45704</v>
      </c>
      <c r="B48">
        <v>134</v>
      </c>
    </row>
    <row r="49" spans="1:2" x14ac:dyDescent="0.45">
      <c r="A49" s="1">
        <v>45705</v>
      </c>
      <c r="B49">
        <v>130</v>
      </c>
    </row>
    <row r="50" spans="1:2" x14ac:dyDescent="0.45">
      <c r="A50" s="1">
        <v>45706</v>
      </c>
      <c r="B50">
        <v>85</v>
      </c>
    </row>
    <row r="51" spans="1:2" x14ac:dyDescent="0.45">
      <c r="A51" s="1">
        <v>45707</v>
      </c>
      <c r="B51">
        <v>111</v>
      </c>
    </row>
    <row r="52" spans="1:2" x14ac:dyDescent="0.45">
      <c r="A52" s="1">
        <v>45708</v>
      </c>
      <c r="B52">
        <v>89</v>
      </c>
    </row>
    <row r="53" spans="1:2" x14ac:dyDescent="0.45">
      <c r="A53" s="1">
        <v>45709</v>
      </c>
      <c r="B53">
        <v>87</v>
      </c>
    </row>
    <row r="54" spans="1:2" x14ac:dyDescent="0.45">
      <c r="A54" s="1">
        <v>45710</v>
      </c>
      <c r="B54">
        <v>145</v>
      </c>
    </row>
    <row r="55" spans="1:2" x14ac:dyDescent="0.45">
      <c r="A55" s="1">
        <v>45711</v>
      </c>
      <c r="B55">
        <v>84</v>
      </c>
    </row>
    <row r="56" spans="1:2" x14ac:dyDescent="0.45">
      <c r="A56" s="1">
        <v>45712</v>
      </c>
      <c r="B56">
        <v>128</v>
      </c>
    </row>
    <row r="57" spans="1:2" x14ac:dyDescent="0.45">
      <c r="A57" s="1">
        <v>45713</v>
      </c>
      <c r="B57">
        <v>112</v>
      </c>
    </row>
    <row r="58" spans="1:2" x14ac:dyDescent="0.45">
      <c r="A58" s="1">
        <v>45714</v>
      </c>
      <c r="B58">
        <v>110</v>
      </c>
    </row>
    <row r="59" spans="1:2" x14ac:dyDescent="0.45">
      <c r="A59" s="1">
        <v>45715</v>
      </c>
      <c r="B59">
        <v>156</v>
      </c>
    </row>
    <row r="60" spans="1:2" x14ac:dyDescent="0.45">
      <c r="A60" s="1">
        <v>45716</v>
      </c>
      <c r="B60">
        <v>162</v>
      </c>
    </row>
    <row r="61" spans="1:2" x14ac:dyDescent="0.45">
      <c r="A61" s="1">
        <v>45717</v>
      </c>
      <c r="B61">
        <v>112</v>
      </c>
    </row>
    <row r="62" spans="1:2" x14ac:dyDescent="0.45">
      <c r="A62" s="1">
        <v>45718</v>
      </c>
      <c r="B62">
        <v>193</v>
      </c>
    </row>
    <row r="63" spans="1:2" x14ac:dyDescent="0.45">
      <c r="A63" s="1">
        <v>45719</v>
      </c>
      <c r="B63">
        <v>159</v>
      </c>
    </row>
    <row r="64" spans="1:2" x14ac:dyDescent="0.45">
      <c r="A64" s="1">
        <v>45720</v>
      </c>
      <c r="B64">
        <v>135</v>
      </c>
    </row>
    <row r="65" spans="1:2" x14ac:dyDescent="0.45">
      <c r="A65" s="1">
        <v>45721</v>
      </c>
      <c r="B65">
        <v>167</v>
      </c>
    </row>
    <row r="66" spans="1:2" x14ac:dyDescent="0.45">
      <c r="A66" s="1">
        <v>45722</v>
      </c>
      <c r="B66">
        <v>131</v>
      </c>
    </row>
    <row r="67" spans="1:2" x14ac:dyDescent="0.45">
      <c r="A67" s="1">
        <v>45723</v>
      </c>
      <c r="B67">
        <v>75</v>
      </c>
    </row>
    <row r="68" spans="1:2" x14ac:dyDescent="0.45">
      <c r="A68" s="1">
        <v>45724</v>
      </c>
      <c r="B68">
        <v>106</v>
      </c>
    </row>
    <row r="69" spans="1:2" x14ac:dyDescent="0.45">
      <c r="A69" s="1">
        <v>45725</v>
      </c>
      <c r="B69">
        <v>162</v>
      </c>
    </row>
    <row r="70" spans="1:2" x14ac:dyDescent="0.45">
      <c r="A70" s="1">
        <v>45726</v>
      </c>
      <c r="B70">
        <v>98</v>
      </c>
    </row>
    <row r="71" spans="1:2" x14ac:dyDescent="0.45">
      <c r="A71" s="1">
        <v>45727</v>
      </c>
      <c r="B71">
        <v>128</v>
      </c>
    </row>
    <row r="72" spans="1:2" x14ac:dyDescent="0.45">
      <c r="A72" s="1">
        <v>45728</v>
      </c>
      <c r="B72">
        <v>131</v>
      </c>
    </row>
    <row r="73" spans="1:2" x14ac:dyDescent="0.45">
      <c r="A73" s="1">
        <v>45729</v>
      </c>
      <c r="B73">
        <v>120</v>
      </c>
    </row>
    <row r="74" spans="1:2" x14ac:dyDescent="0.45">
      <c r="A74" s="1">
        <v>45730</v>
      </c>
      <c r="B74">
        <v>178</v>
      </c>
    </row>
    <row r="75" spans="1:2" x14ac:dyDescent="0.45">
      <c r="A75" s="1">
        <v>45731</v>
      </c>
      <c r="B75">
        <v>136</v>
      </c>
    </row>
    <row r="76" spans="1:2" x14ac:dyDescent="0.45">
      <c r="A76" s="1">
        <v>45732</v>
      </c>
      <c r="B76">
        <v>98</v>
      </c>
    </row>
    <row r="77" spans="1:2" x14ac:dyDescent="0.45">
      <c r="A77" s="1">
        <v>45733</v>
      </c>
      <c r="B77">
        <v>101</v>
      </c>
    </row>
    <row r="78" spans="1:2" x14ac:dyDescent="0.45">
      <c r="A78" s="1">
        <v>45734</v>
      </c>
      <c r="B78">
        <v>115</v>
      </c>
    </row>
    <row r="79" spans="1:2" x14ac:dyDescent="0.45">
      <c r="A79" s="1">
        <v>45735</v>
      </c>
      <c r="B79">
        <v>139</v>
      </c>
    </row>
    <row r="80" spans="1:2" x14ac:dyDescent="0.45">
      <c r="A80" s="1">
        <v>45736</v>
      </c>
      <c r="B80">
        <v>156</v>
      </c>
    </row>
    <row r="81" spans="1:2" x14ac:dyDescent="0.45">
      <c r="A81" s="1">
        <v>45737</v>
      </c>
      <c r="B81">
        <v>113</v>
      </c>
    </row>
    <row r="82" spans="1:2" x14ac:dyDescent="0.45">
      <c r="A82" s="1">
        <v>45738</v>
      </c>
      <c r="B82">
        <v>96</v>
      </c>
    </row>
    <row r="83" spans="1:2" x14ac:dyDescent="0.45">
      <c r="A83" s="1">
        <v>45739</v>
      </c>
      <c r="B83">
        <v>114</v>
      </c>
    </row>
    <row r="84" spans="1:2" x14ac:dyDescent="0.45">
      <c r="A84" s="1">
        <v>45740</v>
      </c>
      <c r="B84">
        <v>96</v>
      </c>
    </row>
    <row r="85" spans="1:2" x14ac:dyDescent="0.45">
      <c r="A85" s="1">
        <v>45741</v>
      </c>
      <c r="B85">
        <v>110</v>
      </c>
    </row>
    <row r="86" spans="1:2" x14ac:dyDescent="0.45">
      <c r="A86" s="1">
        <v>45742</v>
      </c>
      <c r="B86">
        <v>77</v>
      </c>
    </row>
    <row r="87" spans="1:2" x14ac:dyDescent="0.45">
      <c r="A87" s="1">
        <v>45743</v>
      </c>
      <c r="B87">
        <v>102</v>
      </c>
    </row>
    <row r="88" spans="1:2" x14ac:dyDescent="0.45">
      <c r="A88" s="1">
        <v>45744</v>
      </c>
      <c r="B88">
        <v>119</v>
      </c>
    </row>
    <row r="89" spans="1:2" x14ac:dyDescent="0.45">
      <c r="A89" s="1">
        <v>45745</v>
      </c>
      <c r="B89">
        <v>138</v>
      </c>
    </row>
    <row r="90" spans="1:2" x14ac:dyDescent="0.45">
      <c r="A90" s="1">
        <v>45746</v>
      </c>
      <c r="B90">
        <v>132</v>
      </c>
    </row>
    <row r="91" spans="1:2" x14ac:dyDescent="0.45">
      <c r="A91" s="1">
        <v>45747</v>
      </c>
      <c r="B91">
        <v>46</v>
      </c>
    </row>
    <row r="92" spans="1:2" x14ac:dyDescent="0.45">
      <c r="A92" s="1">
        <v>45748</v>
      </c>
      <c r="B92">
        <v>69</v>
      </c>
    </row>
    <row r="93" spans="1:2" x14ac:dyDescent="0.45">
      <c r="A93" s="1">
        <v>45749</v>
      </c>
      <c r="B93">
        <v>80</v>
      </c>
    </row>
    <row r="94" spans="1:2" x14ac:dyDescent="0.45">
      <c r="A94" s="1">
        <v>45750</v>
      </c>
      <c r="B94">
        <v>37</v>
      </c>
    </row>
    <row r="95" spans="1:2" x14ac:dyDescent="0.45">
      <c r="A95" s="1">
        <v>45751</v>
      </c>
      <c r="B95">
        <v>55</v>
      </c>
    </row>
    <row r="96" spans="1:2" x14ac:dyDescent="0.45">
      <c r="A96" s="1">
        <v>45752</v>
      </c>
      <c r="B96">
        <v>51</v>
      </c>
    </row>
    <row r="97" spans="1:2" x14ac:dyDescent="0.45">
      <c r="A97" s="1">
        <v>45753</v>
      </c>
      <c r="B97">
        <v>72</v>
      </c>
    </row>
    <row r="98" spans="1:2" x14ac:dyDescent="0.45">
      <c r="A98" s="1">
        <v>45754</v>
      </c>
      <c r="B98">
        <v>50</v>
      </c>
    </row>
    <row r="99" spans="1:2" x14ac:dyDescent="0.45">
      <c r="A99" s="1">
        <v>45755</v>
      </c>
      <c r="B99">
        <v>55</v>
      </c>
    </row>
    <row r="100" spans="1:2" x14ac:dyDescent="0.45">
      <c r="A100" s="1">
        <v>45756</v>
      </c>
      <c r="B100">
        <v>33</v>
      </c>
    </row>
    <row r="101" spans="1:2" x14ac:dyDescent="0.45">
      <c r="A101" s="1">
        <v>45757</v>
      </c>
      <c r="B101">
        <v>38</v>
      </c>
    </row>
    <row r="102" spans="1:2" x14ac:dyDescent="0.45">
      <c r="A102" s="1">
        <v>45758</v>
      </c>
      <c r="B102">
        <v>80</v>
      </c>
    </row>
    <row r="103" spans="1:2" x14ac:dyDescent="0.45">
      <c r="A103" s="1">
        <v>45759</v>
      </c>
      <c r="B103">
        <v>59</v>
      </c>
    </row>
    <row r="104" spans="1:2" x14ac:dyDescent="0.45">
      <c r="A104" s="1">
        <v>45760</v>
      </c>
      <c r="B104">
        <v>79</v>
      </c>
    </row>
    <row r="105" spans="1:2" x14ac:dyDescent="0.45">
      <c r="A105" s="1">
        <v>45761</v>
      </c>
      <c r="B105">
        <v>60</v>
      </c>
    </row>
    <row r="106" spans="1:2" x14ac:dyDescent="0.45">
      <c r="A106" s="1">
        <v>45762</v>
      </c>
      <c r="B106">
        <v>53</v>
      </c>
    </row>
    <row r="107" spans="1:2" x14ac:dyDescent="0.45">
      <c r="A107" s="1">
        <v>45763</v>
      </c>
      <c r="B107">
        <v>60</v>
      </c>
    </row>
    <row r="108" spans="1:2" x14ac:dyDescent="0.45">
      <c r="A108" s="1">
        <v>45764</v>
      </c>
      <c r="B108">
        <v>77</v>
      </c>
    </row>
    <row r="109" spans="1:2" x14ac:dyDescent="0.45">
      <c r="A109" s="1">
        <v>45765</v>
      </c>
      <c r="B109">
        <v>72</v>
      </c>
    </row>
    <row r="110" spans="1:2" x14ac:dyDescent="0.45">
      <c r="A110" s="1">
        <v>45766</v>
      </c>
      <c r="B110">
        <v>75</v>
      </c>
    </row>
    <row r="111" spans="1:2" x14ac:dyDescent="0.45">
      <c r="A111" s="1">
        <v>45767</v>
      </c>
      <c r="B111">
        <v>40</v>
      </c>
    </row>
    <row r="112" spans="1:2" x14ac:dyDescent="0.45">
      <c r="A112" s="1">
        <v>45768</v>
      </c>
      <c r="B112">
        <v>82</v>
      </c>
    </row>
    <row r="113" spans="1:2" x14ac:dyDescent="0.45">
      <c r="A113" s="1">
        <v>45769</v>
      </c>
      <c r="B113">
        <v>62</v>
      </c>
    </row>
    <row r="114" spans="1:2" x14ac:dyDescent="0.45">
      <c r="A114" s="1">
        <v>45770</v>
      </c>
      <c r="B114">
        <v>87</v>
      </c>
    </row>
    <row r="115" spans="1:2" x14ac:dyDescent="0.45">
      <c r="A115" s="1">
        <v>45771</v>
      </c>
      <c r="B115">
        <v>81</v>
      </c>
    </row>
    <row r="116" spans="1:2" x14ac:dyDescent="0.45">
      <c r="A116" s="1">
        <v>45772</v>
      </c>
      <c r="B116">
        <v>56</v>
      </c>
    </row>
    <row r="117" spans="1:2" x14ac:dyDescent="0.45">
      <c r="A117" s="1">
        <v>45773</v>
      </c>
      <c r="B117">
        <v>41</v>
      </c>
    </row>
    <row r="118" spans="1:2" x14ac:dyDescent="0.45">
      <c r="A118" s="1">
        <v>45774</v>
      </c>
      <c r="B118">
        <v>53</v>
      </c>
    </row>
    <row r="119" spans="1:2" x14ac:dyDescent="0.45">
      <c r="A119" s="1">
        <v>45775</v>
      </c>
      <c r="B119">
        <v>83</v>
      </c>
    </row>
    <row r="120" spans="1:2" x14ac:dyDescent="0.45">
      <c r="A120" s="1">
        <v>45776</v>
      </c>
      <c r="B120">
        <v>67</v>
      </c>
    </row>
    <row r="121" spans="1:2" x14ac:dyDescent="0.45">
      <c r="A121" s="1">
        <v>45777</v>
      </c>
      <c r="B121">
        <v>50</v>
      </c>
    </row>
    <row r="122" spans="1:2" x14ac:dyDescent="0.45">
      <c r="A122" s="1">
        <v>45778</v>
      </c>
      <c r="B122">
        <v>56</v>
      </c>
    </row>
    <row r="123" spans="1:2" x14ac:dyDescent="0.45">
      <c r="A123" s="1">
        <v>45779</v>
      </c>
      <c r="B123">
        <v>40</v>
      </c>
    </row>
    <row r="124" spans="1:2" x14ac:dyDescent="0.45">
      <c r="A124" s="1">
        <v>45780</v>
      </c>
      <c r="B124">
        <v>51</v>
      </c>
    </row>
    <row r="125" spans="1:2" x14ac:dyDescent="0.45">
      <c r="A125" s="1">
        <v>45781</v>
      </c>
      <c r="B125">
        <v>44</v>
      </c>
    </row>
    <row r="126" spans="1:2" x14ac:dyDescent="0.45">
      <c r="A126" s="1">
        <v>45782</v>
      </c>
      <c r="B126">
        <v>50</v>
      </c>
    </row>
    <row r="127" spans="1:2" x14ac:dyDescent="0.45">
      <c r="A127" s="1">
        <v>45783</v>
      </c>
      <c r="B127">
        <v>84</v>
      </c>
    </row>
    <row r="128" spans="1:2" x14ac:dyDescent="0.45">
      <c r="A128" s="1">
        <v>45784</v>
      </c>
      <c r="B128">
        <v>72</v>
      </c>
    </row>
    <row r="129" spans="1:2" x14ac:dyDescent="0.45">
      <c r="A129" s="1">
        <v>45785</v>
      </c>
      <c r="B129">
        <v>66</v>
      </c>
    </row>
    <row r="130" spans="1:2" x14ac:dyDescent="0.45">
      <c r="A130" s="1">
        <v>45786</v>
      </c>
      <c r="B130">
        <v>80</v>
      </c>
    </row>
    <row r="131" spans="1:2" x14ac:dyDescent="0.45">
      <c r="A131" s="1">
        <v>45787</v>
      </c>
      <c r="B131">
        <v>35</v>
      </c>
    </row>
    <row r="132" spans="1:2" x14ac:dyDescent="0.45">
      <c r="A132" s="1">
        <v>45788</v>
      </c>
      <c r="B132">
        <v>51</v>
      </c>
    </row>
    <row r="133" spans="1:2" x14ac:dyDescent="0.45">
      <c r="A133" s="1">
        <v>45789</v>
      </c>
      <c r="B133">
        <v>69</v>
      </c>
    </row>
    <row r="134" spans="1:2" x14ac:dyDescent="0.45">
      <c r="A134" s="1">
        <v>45790</v>
      </c>
      <c r="B134">
        <v>66</v>
      </c>
    </row>
    <row r="135" spans="1:2" x14ac:dyDescent="0.45">
      <c r="A135" s="1">
        <v>45791</v>
      </c>
      <c r="B135">
        <v>53</v>
      </c>
    </row>
    <row r="136" spans="1:2" x14ac:dyDescent="0.45">
      <c r="A136" s="1">
        <v>45792</v>
      </c>
      <c r="B136">
        <v>25</v>
      </c>
    </row>
    <row r="137" spans="1:2" x14ac:dyDescent="0.45">
      <c r="A137" s="1">
        <v>45793</v>
      </c>
      <c r="B137">
        <v>71</v>
      </c>
    </row>
    <row r="138" spans="1:2" x14ac:dyDescent="0.45">
      <c r="A138" s="1">
        <v>45794</v>
      </c>
      <c r="B138">
        <v>62</v>
      </c>
    </row>
    <row r="139" spans="1:2" x14ac:dyDescent="0.45">
      <c r="A139" s="1">
        <v>45795</v>
      </c>
      <c r="B139">
        <v>65</v>
      </c>
    </row>
    <row r="140" spans="1:2" x14ac:dyDescent="0.45">
      <c r="A140" s="1">
        <v>45796</v>
      </c>
      <c r="B140">
        <v>51</v>
      </c>
    </row>
    <row r="141" spans="1:2" x14ac:dyDescent="0.45">
      <c r="A141" s="1">
        <v>45797</v>
      </c>
      <c r="B141">
        <v>51</v>
      </c>
    </row>
    <row r="142" spans="1:2" x14ac:dyDescent="0.45">
      <c r="A142" s="1">
        <v>45798</v>
      </c>
      <c r="B142">
        <v>89</v>
      </c>
    </row>
    <row r="143" spans="1:2" x14ac:dyDescent="0.45">
      <c r="A143" s="1">
        <v>45799</v>
      </c>
      <c r="B143">
        <v>47</v>
      </c>
    </row>
    <row r="144" spans="1:2" x14ac:dyDescent="0.45">
      <c r="A144" s="1">
        <v>45800</v>
      </c>
      <c r="B144">
        <v>54</v>
      </c>
    </row>
    <row r="145" spans="1:2" x14ac:dyDescent="0.45">
      <c r="A145" s="1">
        <v>45801</v>
      </c>
      <c r="B145">
        <v>64</v>
      </c>
    </row>
    <row r="146" spans="1:2" x14ac:dyDescent="0.45">
      <c r="A146" s="1">
        <v>45802</v>
      </c>
      <c r="B146">
        <v>61</v>
      </c>
    </row>
    <row r="147" spans="1:2" x14ac:dyDescent="0.45">
      <c r="A147" s="1">
        <v>45803</v>
      </c>
      <c r="B147">
        <v>75</v>
      </c>
    </row>
    <row r="148" spans="1:2" x14ac:dyDescent="0.45">
      <c r="A148" s="1">
        <v>45804</v>
      </c>
      <c r="B148">
        <v>80</v>
      </c>
    </row>
    <row r="149" spans="1:2" x14ac:dyDescent="0.45">
      <c r="A149" s="1">
        <v>45805</v>
      </c>
      <c r="B149">
        <v>58</v>
      </c>
    </row>
    <row r="150" spans="1:2" x14ac:dyDescent="0.45">
      <c r="A150" s="1">
        <v>45806</v>
      </c>
      <c r="B150">
        <v>33</v>
      </c>
    </row>
    <row r="151" spans="1:2" x14ac:dyDescent="0.45">
      <c r="A151" s="1">
        <v>45807</v>
      </c>
      <c r="B151">
        <v>61</v>
      </c>
    </row>
    <row r="152" spans="1:2" x14ac:dyDescent="0.45">
      <c r="A152" s="1">
        <v>45808</v>
      </c>
      <c r="B152">
        <v>47</v>
      </c>
    </row>
    <row r="153" spans="1:2" x14ac:dyDescent="0.45">
      <c r="A153" s="1">
        <v>45809</v>
      </c>
      <c r="B153">
        <v>37</v>
      </c>
    </row>
    <row r="154" spans="1:2" x14ac:dyDescent="0.45">
      <c r="A154" s="1">
        <v>45810</v>
      </c>
      <c r="B154">
        <v>26</v>
      </c>
    </row>
    <row r="155" spans="1:2" x14ac:dyDescent="0.45">
      <c r="A155" s="1">
        <v>45811</v>
      </c>
      <c r="B155">
        <v>58</v>
      </c>
    </row>
    <row r="156" spans="1:2" x14ac:dyDescent="0.45">
      <c r="A156" s="1">
        <v>45812</v>
      </c>
      <c r="B156">
        <v>78</v>
      </c>
    </row>
    <row r="157" spans="1:2" x14ac:dyDescent="0.45">
      <c r="A157" s="1">
        <v>45813</v>
      </c>
      <c r="B157">
        <v>68</v>
      </c>
    </row>
    <row r="158" spans="1:2" x14ac:dyDescent="0.45">
      <c r="A158" s="1">
        <v>45814</v>
      </c>
      <c r="B158">
        <v>82</v>
      </c>
    </row>
    <row r="159" spans="1:2" x14ac:dyDescent="0.45">
      <c r="A159" s="1">
        <v>45815</v>
      </c>
      <c r="B159">
        <v>34</v>
      </c>
    </row>
    <row r="160" spans="1:2" x14ac:dyDescent="0.45">
      <c r="A160" s="1">
        <v>45816</v>
      </c>
      <c r="B160">
        <v>59</v>
      </c>
    </row>
    <row r="161" spans="1:2" x14ac:dyDescent="0.45">
      <c r="A161" s="1">
        <v>45817</v>
      </c>
      <c r="B161">
        <v>44</v>
      </c>
    </row>
    <row r="162" spans="1:2" x14ac:dyDescent="0.45">
      <c r="A162" s="1">
        <v>45818</v>
      </c>
      <c r="B162">
        <v>81</v>
      </c>
    </row>
    <row r="163" spans="1:2" x14ac:dyDescent="0.45">
      <c r="A163" s="1">
        <v>45819</v>
      </c>
      <c r="B163">
        <v>40</v>
      </c>
    </row>
    <row r="164" spans="1:2" x14ac:dyDescent="0.45">
      <c r="A164" s="1">
        <v>45820</v>
      </c>
      <c r="B164">
        <v>40</v>
      </c>
    </row>
    <row r="165" spans="1:2" x14ac:dyDescent="0.45">
      <c r="A165" s="1">
        <v>45821</v>
      </c>
      <c r="B165">
        <v>67</v>
      </c>
    </row>
    <row r="166" spans="1:2" x14ac:dyDescent="0.45">
      <c r="A166" s="1">
        <v>45822</v>
      </c>
      <c r="B166">
        <v>55</v>
      </c>
    </row>
    <row r="167" spans="1:2" x14ac:dyDescent="0.45">
      <c r="A167" s="1">
        <v>45823</v>
      </c>
      <c r="B167">
        <v>70</v>
      </c>
    </row>
    <row r="168" spans="1:2" x14ac:dyDescent="0.45">
      <c r="A168" s="1">
        <v>45824</v>
      </c>
      <c r="B168">
        <v>71</v>
      </c>
    </row>
    <row r="169" spans="1:2" x14ac:dyDescent="0.45">
      <c r="A169" s="1">
        <v>45825</v>
      </c>
      <c r="B169">
        <v>92</v>
      </c>
    </row>
    <row r="170" spans="1:2" x14ac:dyDescent="0.45">
      <c r="A170" s="1">
        <v>45826</v>
      </c>
      <c r="B170">
        <v>52</v>
      </c>
    </row>
    <row r="171" spans="1:2" x14ac:dyDescent="0.45">
      <c r="A171" s="1">
        <v>45827</v>
      </c>
      <c r="B171">
        <v>71</v>
      </c>
    </row>
    <row r="172" spans="1:2" x14ac:dyDescent="0.45">
      <c r="A172" s="1">
        <v>45828</v>
      </c>
      <c r="B172">
        <v>56</v>
      </c>
    </row>
    <row r="173" spans="1:2" x14ac:dyDescent="0.45">
      <c r="A173" s="1">
        <v>45829</v>
      </c>
      <c r="B173">
        <v>59</v>
      </c>
    </row>
    <row r="174" spans="1:2" x14ac:dyDescent="0.45">
      <c r="A174" s="1">
        <v>45830</v>
      </c>
      <c r="B174">
        <v>76</v>
      </c>
    </row>
    <row r="175" spans="1:2" x14ac:dyDescent="0.45">
      <c r="A175" s="1">
        <v>45831</v>
      </c>
      <c r="B175">
        <v>75</v>
      </c>
    </row>
    <row r="176" spans="1:2" x14ac:dyDescent="0.45">
      <c r="A176" s="1">
        <v>45832</v>
      </c>
      <c r="B176">
        <v>62</v>
      </c>
    </row>
    <row r="177" spans="1:2" x14ac:dyDescent="0.45">
      <c r="A177" s="1">
        <v>45833</v>
      </c>
      <c r="B177">
        <v>70</v>
      </c>
    </row>
    <row r="178" spans="1:2" x14ac:dyDescent="0.45">
      <c r="A178" s="1">
        <v>45834</v>
      </c>
      <c r="B178">
        <v>46</v>
      </c>
    </row>
    <row r="179" spans="1:2" x14ac:dyDescent="0.45">
      <c r="A179" s="1">
        <v>45835</v>
      </c>
      <c r="B179">
        <v>34</v>
      </c>
    </row>
    <row r="180" spans="1:2" x14ac:dyDescent="0.45">
      <c r="A180" s="1">
        <v>45836</v>
      </c>
      <c r="B180">
        <v>46</v>
      </c>
    </row>
    <row r="181" spans="1:2" x14ac:dyDescent="0.45">
      <c r="A181" s="1">
        <v>45837</v>
      </c>
      <c r="B181">
        <v>60</v>
      </c>
    </row>
    <row r="182" spans="1:2" x14ac:dyDescent="0.45">
      <c r="A182" s="1">
        <v>45838</v>
      </c>
      <c r="B182">
        <v>58</v>
      </c>
    </row>
    <row r="183" spans="1:2" x14ac:dyDescent="0.45">
      <c r="A183" s="1">
        <v>45839</v>
      </c>
      <c r="B183">
        <v>71</v>
      </c>
    </row>
    <row r="184" spans="1:2" x14ac:dyDescent="0.45">
      <c r="A184" s="1">
        <v>45840</v>
      </c>
      <c r="B184">
        <v>57</v>
      </c>
    </row>
    <row r="185" spans="1:2" x14ac:dyDescent="0.45">
      <c r="A185" s="1">
        <v>45841</v>
      </c>
      <c r="B185">
        <v>94</v>
      </c>
    </row>
    <row r="186" spans="1:2" x14ac:dyDescent="0.45">
      <c r="A186" s="1">
        <v>45842</v>
      </c>
      <c r="B186">
        <v>47</v>
      </c>
    </row>
    <row r="187" spans="1:2" x14ac:dyDescent="0.45">
      <c r="A187" s="1">
        <v>45843</v>
      </c>
      <c r="B187">
        <v>19</v>
      </c>
    </row>
    <row r="188" spans="1:2" x14ac:dyDescent="0.45">
      <c r="A188" s="1">
        <v>45844</v>
      </c>
      <c r="B188">
        <v>58</v>
      </c>
    </row>
    <row r="189" spans="1:2" x14ac:dyDescent="0.45">
      <c r="A189" s="1">
        <v>45845</v>
      </c>
      <c r="B189">
        <v>76</v>
      </c>
    </row>
    <row r="190" spans="1:2" x14ac:dyDescent="0.45">
      <c r="A190" s="1">
        <v>45846</v>
      </c>
      <c r="B190">
        <v>53</v>
      </c>
    </row>
    <row r="191" spans="1:2" x14ac:dyDescent="0.45">
      <c r="A191" s="1">
        <v>45847</v>
      </c>
      <c r="B191">
        <v>42</v>
      </c>
    </row>
    <row r="192" spans="1:2" x14ac:dyDescent="0.45">
      <c r="A192" s="1">
        <v>45848</v>
      </c>
      <c r="B192">
        <v>57</v>
      </c>
    </row>
    <row r="193" spans="1:2" x14ac:dyDescent="0.45">
      <c r="A193" s="1">
        <v>45849</v>
      </c>
      <c r="B193">
        <v>46</v>
      </c>
    </row>
    <row r="194" spans="1:2" x14ac:dyDescent="0.45">
      <c r="A194" s="1">
        <v>45850</v>
      </c>
      <c r="B194">
        <v>58</v>
      </c>
    </row>
    <row r="195" spans="1:2" x14ac:dyDescent="0.45">
      <c r="A195" s="1">
        <v>45851</v>
      </c>
      <c r="B195">
        <v>45</v>
      </c>
    </row>
    <row r="196" spans="1:2" x14ac:dyDescent="0.45">
      <c r="A196" s="1">
        <v>45852</v>
      </c>
      <c r="B196">
        <v>81</v>
      </c>
    </row>
    <row r="197" spans="1:2" x14ac:dyDescent="0.45">
      <c r="A197" s="1">
        <v>45853</v>
      </c>
      <c r="B197">
        <v>52</v>
      </c>
    </row>
    <row r="198" spans="1:2" x14ac:dyDescent="0.45">
      <c r="A198" s="1">
        <v>45854</v>
      </c>
      <c r="B198">
        <v>84</v>
      </c>
    </row>
    <row r="199" spans="1:2" x14ac:dyDescent="0.45">
      <c r="A199" s="1">
        <v>45855</v>
      </c>
      <c r="B199">
        <v>42</v>
      </c>
    </row>
    <row r="200" spans="1:2" x14ac:dyDescent="0.45">
      <c r="A200" s="1">
        <v>45856</v>
      </c>
      <c r="B200">
        <v>58</v>
      </c>
    </row>
    <row r="201" spans="1:2" x14ac:dyDescent="0.45">
      <c r="A201" s="1">
        <v>45857</v>
      </c>
      <c r="B201">
        <v>64</v>
      </c>
    </row>
    <row r="202" spans="1:2" x14ac:dyDescent="0.45">
      <c r="A202" s="1">
        <v>45858</v>
      </c>
      <c r="B202">
        <v>62</v>
      </c>
    </row>
    <row r="203" spans="1:2" x14ac:dyDescent="0.45">
      <c r="A203" s="1">
        <v>45859</v>
      </c>
      <c r="B203">
        <v>38</v>
      </c>
    </row>
    <row r="204" spans="1:2" x14ac:dyDescent="0.45">
      <c r="A204" s="1">
        <v>45860</v>
      </c>
      <c r="B204">
        <v>67</v>
      </c>
    </row>
    <row r="205" spans="1:2" x14ac:dyDescent="0.45">
      <c r="A205" s="1">
        <v>45861</v>
      </c>
      <c r="B205">
        <v>66</v>
      </c>
    </row>
    <row r="206" spans="1:2" x14ac:dyDescent="0.45">
      <c r="A206" s="1">
        <v>45862</v>
      </c>
      <c r="B206">
        <v>28</v>
      </c>
    </row>
    <row r="207" spans="1:2" x14ac:dyDescent="0.45">
      <c r="A207" s="1">
        <v>45863</v>
      </c>
      <c r="B207">
        <v>47</v>
      </c>
    </row>
    <row r="208" spans="1:2" x14ac:dyDescent="0.45">
      <c r="A208" s="1">
        <v>45864</v>
      </c>
      <c r="B208">
        <v>90</v>
      </c>
    </row>
    <row r="209" spans="1:2" x14ac:dyDescent="0.45">
      <c r="A209" s="1">
        <v>45865</v>
      </c>
      <c r="B209">
        <v>42</v>
      </c>
    </row>
    <row r="210" spans="1:2" x14ac:dyDescent="0.45">
      <c r="A210" s="1">
        <v>45866</v>
      </c>
      <c r="B210">
        <v>64</v>
      </c>
    </row>
    <row r="211" spans="1:2" x14ac:dyDescent="0.45">
      <c r="A211" s="1">
        <v>45867</v>
      </c>
      <c r="B211">
        <v>47</v>
      </c>
    </row>
    <row r="212" spans="1:2" x14ac:dyDescent="0.45">
      <c r="A212" s="1">
        <v>45868</v>
      </c>
      <c r="B212">
        <v>53</v>
      </c>
    </row>
    <row r="213" spans="1:2" x14ac:dyDescent="0.45">
      <c r="A213" s="1">
        <v>45869</v>
      </c>
      <c r="B213">
        <v>48</v>
      </c>
    </row>
    <row r="214" spans="1:2" x14ac:dyDescent="0.45">
      <c r="A214" s="1">
        <v>45870</v>
      </c>
      <c r="B214">
        <v>48</v>
      </c>
    </row>
    <row r="215" spans="1:2" x14ac:dyDescent="0.45">
      <c r="A215" s="1">
        <v>45871</v>
      </c>
      <c r="B215">
        <v>40</v>
      </c>
    </row>
    <row r="216" spans="1:2" x14ac:dyDescent="0.45">
      <c r="A216" s="1">
        <v>45872</v>
      </c>
      <c r="B216">
        <v>58</v>
      </c>
    </row>
    <row r="217" spans="1:2" x14ac:dyDescent="0.45">
      <c r="A217" s="1">
        <v>45873</v>
      </c>
      <c r="B217">
        <v>47</v>
      </c>
    </row>
    <row r="218" spans="1:2" x14ac:dyDescent="0.45">
      <c r="A218" s="1">
        <v>45874</v>
      </c>
      <c r="B218">
        <v>43</v>
      </c>
    </row>
    <row r="219" spans="1:2" x14ac:dyDescent="0.45">
      <c r="A219" s="1">
        <v>45875</v>
      </c>
      <c r="B219">
        <v>36</v>
      </c>
    </row>
    <row r="220" spans="1:2" x14ac:dyDescent="0.45">
      <c r="A220" s="1">
        <v>45876</v>
      </c>
      <c r="B220">
        <v>86</v>
      </c>
    </row>
    <row r="221" spans="1:2" x14ac:dyDescent="0.45">
      <c r="A221" s="1">
        <v>45877</v>
      </c>
      <c r="B221">
        <v>48</v>
      </c>
    </row>
    <row r="222" spans="1:2" x14ac:dyDescent="0.45">
      <c r="A222" s="1">
        <v>45878</v>
      </c>
      <c r="B222">
        <v>27</v>
      </c>
    </row>
    <row r="223" spans="1:2" x14ac:dyDescent="0.45">
      <c r="A223" s="1">
        <v>45879</v>
      </c>
      <c r="B223">
        <v>50</v>
      </c>
    </row>
    <row r="224" spans="1:2" x14ac:dyDescent="0.45">
      <c r="A224" s="1">
        <v>45880</v>
      </c>
      <c r="B224">
        <v>67</v>
      </c>
    </row>
    <row r="225" spans="1:2" x14ac:dyDescent="0.45">
      <c r="A225" s="1">
        <v>45881</v>
      </c>
      <c r="B225">
        <v>45</v>
      </c>
    </row>
    <row r="226" spans="1:2" x14ac:dyDescent="0.45">
      <c r="A226" s="1">
        <v>45882</v>
      </c>
      <c r="B226">
        <v>55</v>
      </c>
    </row>
    <row r="227" spans="1:2" x14ac:dyDescent="0.45">
      <c r="A227" s="1">
        <v>45883</v>
      </c>
      <c r="B227">
        <v>76</v>
      </c>
    </row>
    <row r="228" spans="1:2" x14ac:dyDescent="0.45">
      <c r="A228" s="1">
        <v>45884</v>
      </c>
      <c r="B228">
        <v>55</v>
      </c>
    </row>
    <row r="229" spans="1:2" x14ac:dyDescent="0.45">
      <c r="A229" s="1">
        <v>45885</v>
      </c>
      <c r="B229">
        <v>57</v>
      </c>
    </row>
    <row r="230" spans="1:2" x14ac:dyDescent="0.45">
      <c r="A230" s="1">
        <v>45886</v>
      </c>
      <c r="B230">
        <v>45</v>
      </c>
    </row>
    <row r="231" spans="1:2" x14ac:dyDescent="0.45">
      <c r="A231" s="1">
        <v>45887</v>
      </c>
      <c r="B231">
        <v>62</v>
      </c>
    </row>
    <row r="232" spans="1:2" x14ac:dyDescent="0.45">
      <c r="A232" s="1">
        <v>45888</v>
      </c>
      <c r="B232">
        <v>82</v>
      </c>
    </row>
    <row r="233" spans="1:2" x14ac:dyDescent="0.45">
      <c r="A233" s="1">
        <v>45889</v>
      </c>
      <c r="B233">
        <v>47</v>
      </c>
    </row>
    <row r="234" spans="1:2" x14ac:dyDescent="0.45">
      <c r="A234" s="1">
        <v>45890</v>
      </c>
      <c r="B234">
        <v>57</v>
      </c>
    </row>
    <row r="235" spans="1:2" x14ac:dyDescent="0.45">
      <c r="A235" s="1">
        <v>45891</v>
      </c>
      <c r="B235">
        <v>85</v>
      </c>
    </row>
    <row r="236" spans="1:2" x14ac:dyDescent="0.45">
      <c r="A236" s="1">
        <v>45892</v>
      </c>
      <c r="B236">
        <v>58</v>
      </c>
    </row>
    <row r="237" spans="1:2" x14ac:dyDescent="0.45">
      <c r="A237" s="1">
        <v>45893</v>
      </c>
      <c r="B237">
        <v>66</v>
      </c>
    </row>
    <row r="238" spans="1:2" x14ac:dyDescent="0.45">
      <c r="A238" s="1">
        <v>45894</v>
      </c>
      <c r="B238">
        <v>69</v>
      </c>
    </row>
    <row r="239" spans="1:2" x14ac:dyDescent="0.45">
      <c r="A239" s="1">
        <v>45895</v>
      </c>
      <c r="B239">
        <v>59</v>
      </c>
    </row>
    <row r="240" spans="1:2" x14ac:dyDescent="0.45">
      <c r="A240" s="1">
        <v>45896</v>
      </c>
      <c r="B240">
        <v>39</v>
      </c>
    </row>
    <row r="241" spans="1:2" x14ac:dyDescent="0.45">
      <c r="A241" s="1">
        <v>45897</v>
      </c>
      <c r="B241">
        <v>56</v>
      </c>
    </row>
    <row r="242" spans="1:2" x14ac:dyDescent="0.45">
      <c r="A242" s="1">
        <v>45898</v>
      </c>
      <c r="B242">
        <v>47</v>
      </c>
    </row>
    <row r="243" spans="1:2" x14ac:dyDescent="0.45">
      <c r="A243" s="1">
        <v>45899</v>
      </c>
      <c r="B243">
        <v>76</v>
      </c>
    </row>
    <row r="244" spans="1:2" x14ac:dyDescent="0.45">
      <c r="A244" s="1">
        <v>45900</v>
      </c>
      <c r="B244">
        <v>65</v>
      </c>
    </row>
    <row r="245" spans="1:2" x14ac:dyDescent="0.45">
      <c r="A245" s="1">
        <v>45901</v>
      </c>
      <c r="B245">
        <v>51</v>
      </c>
    </row>
    <row r="246" spans="1:2" x14ac:dyDescent="0.45">
      <c r="A246" s="1">
        <v>45902</v>
      </c>
      <c r="B246">
        <v>64</v>
      </c>
    </row>
    <row r="247" spans="1:2" x14ac:dyDescent="0.45">
      <c r="A247" s="1">
        <v>45903</v>
      </c>
      <c r="B247">
        <v>63</v>
      </c>
    </row>
    <row r="248" spans="1:2" x14ac:dyDescent="0.45">
      <c r="A248" s="1">
        <v>45904</v>
      </c>
      <c r="B248">
        <v>40</v>
      </c>
    </row>
    <row r="249" spans="1:2" x14ac:dyDescent="0.45">
      <c r="A249" s="1">
        <v>45905</v>
      </c>
      <c r="B249">
        <v>64</v>
      </c>
    </row>
    <row r="250" spans="1:2" x14ac:dyDescent="0.45">
      <c r="A250" s="1">
        <v>45906</v>
      </c>
      <c r="B250">
        <v>65</v>
      </c>
    </row>
    <row r="251" spans="1:2" x14ac:dyDescent="0.45">
      <c r="A251" s="1">
        <v>45907</v>
      </c>
      <c r="B251">
        <v>38</v>
      </c>
    </row>
    <row r="252" spans="1:2" x14ac:dyDescent="0.45">
      <c r="A252" s="1">
        <v>45908</v>
      </c>
      <c r="B252">
        <v>53</v>
      </c>
    </row>
    <row r="253" spans="1:2" x14ac:dyDescent="0.45">
      <c r="A253" s="1">
        <v>45909</v>
      </c>
      <c r="B253">
        <v>51</v>
      </c>
    </row>
    <row r="254" spans="1:2" x14ac:dyDescent="0.45">
      <c r="A254" s="1">
        <v>45910</v>
      </c>
      <c r="B254">
        <v>61</v>
      </c>
    </row>
    <row r="255" spans="1:2" x14ac:dyDescent="0.45">
      <c r="A255" s="1">
        <v>45911</v>
      </c>
      <c r="B255">
        <v>29</v>
      </c>
    </row>
    <row r="256" spans="1:2" x14ac:dyDescent="0.45">
      <c r="A256" s="1">
        <v>45912</v>
      </c>
      <c r="B256">
        <v>51</v>
      </c>
    </row>
    <row r="257" spans="1:2" x14ac:dyDescent="0.45">
      <c r="A257" s="1">
        <v>45913</v>
      </c>
      <c r="B257">
        <v>66</v>
      </c>
    </row>
    <row r="258" spans="1:2" x14ac:dyDescent="0.45">
      <c r="A258" s="1">
        <v>45914</v>
      </c>
      <c r="B258">
        <v>81</v>
      </c>
    </row>
    <row r="259" spans="1:2" x14ac:dyDescent="0.45">
      <c r="A259" s="1">
        <v>45915</v>
      </c>
      <c r="B259">
        <v>97</v>
      </c>
    </row>
    <row r="260" spans="1:2" x14ac:dyDescent="0.45">
      <c r="A260" s="1">
        <v>45916</v>
      </c>
      <c r="B260">
        <v>67</v>
      </c>
    </row>
    <row r="261" spans="1:2" x14ac:dyDescent="0.45">
      <c r="A261" s="1">
        <v>45917</v>
      </c>
      <c r="B261">
        <v>60</v>
      </c>
    </row>
    <row r="262" spans="1:2" x14ac:dyDescent="0.45">
      <c r="A262" s="1">
        <v>45918</v>
      </c>
      <c r="B262">
        <v>62</v>
      </c>
    </row>
    <row r="263" spans="1:2" x14ac:dyDescent="0.45">
      <c r="A263" s="1">
        <v>45919</v>
      </c>
      <c r="B263">
        <v>56</v>
      </c>
    </row>
    <row r="264" spans="1:2" x14ac:dyDescent="0.45">
      <c r="A264" s="1">
        <v>45920</v>
      </c>
      <c r="B264">
        <v>65</v>
      </c>
    </row>
    <row r="265" spans="1:2" x14ac:dyDescent="0.45">
      <c r="A265" s="1">
        <v>45921</v>
      </c>
      <c r="B265">
        <v>45</v>
      </c>
    </row>
    <row r="266" spans="1:2" x14ac:dyDescent="0.45">
      <c r="A266" s="1">
        <v>45922</v>
      </c>
      <c r="B266">
        <v>67</v>
      </c>
    </row>
    <row r="267" spans="1:2" x14ac:dyDescent="0.45">
      <c r="A267" s="1">
        <v>45923</v>
      </c>
      <c r="B267">
        <v>69</v>
      </c>
    </row>
    <row r="268" spans="1:2" x14ac:dyDescent="0.45">
      <c r="A268" s="1">
        <v>45924</v>
      </c>
      <c r="B268">
        <v>30</v>
      </c>
    </row>
    <row r="269" spans="1:2" x14ac:dyDescent="0.45">
      <c r="A269" s="1">
        <v>45925</v>
      </c>
      <c r="B269">
        <v>49</v>
      </c>
    </row>
    <row r="270" spans="1:2" x14ac:dyDescent="0.45">
      <c r="A270" s="1">
        <v>45926</v>
      </c>
      <c r="B270">
        <v>50</v>
      </c>
    </row>
    <row r="271" spans="1:2" x14ac:dyDescent="0.45">
      <c r="A271" s="1">
        <v>45927</v>
      </c>
      <c r="B271">
        <v>65</v>
      </c>
    </row>
    <row r="272" spans="1:2" x14ac:dyDescent="0.45">
      <c r="A272" s="1">
        <v>45928</v>
      </c>
      <c r="B272">
        <v>58</v>
      </c>
    </row>
    <row r="273" spans="1:2" x14ac:dyDescent="0.45">
      <c r="A273" s="1">
        <v>45929</v>
      </c>
      <c r="B273">
        <v>67</v>
      </c>
    </row>
    <row r="274" spans="1:2" x14ac:dyDescent="0.45">
      <c r="A274" s="1">
        <v>45930</v>
      </c>
      <c r="B274">
        <v>54</v>
      </c>
    </row>
    <row r="275" spans="1:2" x14ac:dyDescent="0.45">
      <c r="A275" s="1">
        <v>45931</v>
      </c>
      <c r="B275">
        <v>79</v>
      </c>
    </row>
    <row r="276" spans="1:2" x14ac:dyDescent="0.45">
      <c r="A276" s="1">
        <v>45932</v>
      </c>
      <c r="B276">
        <v>46</v>
      </c>
    </row>
    <row r="277" spans="1:2" x14ac:dyDescent="0.45">
      <c r="A277" s="1">
        <v>45933</v>
      </c>
      <c r="B277">
        <v>64</v>
      </c>
    </row>
    <row r="278" spans="1:2" x14ac:dyDescent="0.45">
      <c r="A278" s="1">
        <v>45934</v>
      </c>
      <c r="B278">
        <v>75</v>
      </c>
    </row>
    <row r="279" spans="1:2" x14ac:dyDescent="0.45">
      <c r="A279" s="1">
        <v>45935</v>
      </c>
      <c r="B279">
        <v>119</v>
      </c>
    </row>
    <row r="280" spans="1:2" x14ac:dyDescent="0.45">
      <c r="A280" s="1">
        <v>45936</v>
      </c>
      <c r="B280">
        <v>46</v>
      </c>
    </row>
    <row r="281" spans="1:2" x14ac:dyDescent="0.45">
      <c r="A281" s="1">
        <v>45937</v>
      </c>
      <c r="B281">
        <v>58</v>
      </c>
    </row>
    <row r="282" spans="1:2" x14ac:dyDescent="0.45">
      <c r="A282" s="1">
        <v>45938</v>
      </c>
      <c r="B282">
        <v>49</v>
      </c>
    </row>
    <row r="283" spans="1:2" x14ac:dyDescent="0.45">
      <c r="A283" s="1">
        <v>45939</v>
      </c>
      <c r="B283">
        <v>32</v>
      </c>
    </row>
    <row r="284" spans="1:2" x14ac:dyDescent="0.45">
      <c r="A284" s="1">
        <v>45940</v>
      </c>
      <c r="B284">
        <v>59</v>
      </c>
    </row>
    <row r="285" spans="1:2" x14ac:dyDescent="0.45">
      <c r="A285" s="1">
        <v>45941</v>
      </c>
      <c r="B285">
        <v>54</v>
      </c>
    </row>
    <row r="286" spans="1:2" x14ac:dyDescent="0.45">
      <c r="A286" s="1">
        <v>45942</v>
      </c>
      <c r="B286">
        <v>63</v>
      </c>
    </row>
    <row r="287" spans="1:2" x14ac:dyDescent="0.45">
      <c r="A287" s="1">
        <v>45943</v>
      </c>
      <c r="B287">
        <v>79</v>
      </c>
    </row>
    <row r="288" spans="1:2" x14ac:dyDescent="0.45">
      <c r="A288" s="1">
        <v>45944</v>
      </c>
      <c r="B288">
        <v>36</v>
      </c>
    </row>
    <row r="289" spans="1:2" x14ac:dyDescent="0.45">
      <c r="A289" s="1">
        <v>45945</v>
      </c>
      <c r="B289">
        <v>45</v>
      </c>
    </row>
    <row r="290" spans="1:2" x14ac:dyDescent="0.45">
      <c r="A290" s="1">
        <v>45946</v>
      </c>
      <c r="B290">
        <v>67</v>
      </c>
    </row>
    <row r="291" spans="1:2" x14ac:dyDescent="0.45">
      <c r="A291" s="1">
        <v>45947</v>
      </c>
      <c r="B291">
        <v>42</v>
      </c>
    </row>
    <row r="292" spans="1:2" x14ac:dyDescent="0.45">
      <c r="A292" s="1">
        <v>45948</v>
      </c>
      <c r="B292">
        <v>115</v>
      </c>
    </row>
    <row r="293" spans="1:2" x14ac:dyDescent="0.45">
      <c r="A293" s="1">
        <v>45949</v>
      </c>
      <c r="B293">
        <v>40</v>
      </c>
    </row>
    <row r="294" spans="1:2" x14ac:dyDescent="0.45">
      <c r="A294" s="1">
        <v>45950</v>
      </c>
      <c r="B294">
        <v>79</v>
      </c>
    </row>
    <row r="295" spans="1:2" x14ac:dyDescent="0.45">
      <c r="A295" s="1">
        <v>45951</v>
      </c>
      <c r="B295">
        <v>55</v>
      </c>
    </row>
    <row r="296" spans="1:2" x14ac:dyDescent="0.45">
      <c r="A296" s="1">
        <v>45952</v>
      </c>
      <c r="B296">
        <v>61</v>
      </c>
    </row>
    <row r="297" spans="1:2" x14ac:dyDescent="0.45">
      <c r="A297" s="1">
        <v>45953</v>
      </c>
      <c r="B297">
        <v>68</v>
      </c>
    </row>
    <row r="298" spans="1:2" x14ac:dyDescent="0.45">
      <c r="A298" s="1">
        <v>45954</v>
      </c>
      <c r="B298">
        <v>47</v>
      </c>
    </row>
    <row r="299" spans="1:2" x14ac:dyDescent="0.45">
      <c r="A299" s="1">
        <v>45955</v>
      </c>
      <c r="B299">
        <v>41</v>
      </c>
    </row>
    <row r="300" spans="1:2" x14ac:dyDescent="0.45">
      <c r="A300" s="1">
        <v>45956</v>
      </c>
      <c r="B300">
        <v>27</v>
      </c>
    </row>
    <row r="301" spans="1:2" x14ac:dyDescent="0.45">
      <c r="A301" s="1">
        <v>45957</v>
      </c>
      <c r="B301">
        <v>73</v>
      </c>
    </row>
    <row r="302" spans="1:2" x14ac:dyDescent="0.45">
      <c r="A302" s="1">
        <v>45958</v>
      </c>
      <c r="B302">
        <v>42</v>
      </c>
    </row>
    <row r="303" spans="1:2" x14ac:dyDescent="0.45">
      <c r="A303" s="1">
        <v>45959</v>
      </c>
      <c r="B303">
        <v>93</v>
      </c>
    </row>
    <row r="304" spans="1:2" x14ac:dyDescent="0.45">
      <c r="A304" s="1">
        <v>45960</v>
      </c>
      <c r="B304">
        <v>56</v>
      </c>
    </row>
    <row r="305" spans="1:2" x14ac:dyDescent="0.45">
      <c r="A305" s="1">
        <v>45961</v>
      </c>
      <c r="B305">
        <v>54</v>
      </c>
    </row>
    <row r="306" spans="1:2" x14ac:dyDescent="0.45">
      <c r="A306" s="1">
        <v>45962</v>
      </c>
      <c r="B306">
        <v>50</v>
      </c>
    </row>
    <row r="307" spans="1:2" x14ac:dyDescent="0.45">
      <c r="A307" s="1">
        <v>45963</v>
      </c>
      <c r="B307">
        <v>95</v>
      </c>
    </row>
    <row r="308" spans="1:2" x14ac:dyDescent="0.45">
      <c r="A308" s="1">
        <v>45964</v>
      </c>
      <c r="B308">
        <v>69</v>
      </c>
    </row>
    <row r="309" spans="1:2" x14ac:dyDescent="0.45">
      <c r="A309" s="1">
        <v>45965</v>
      </c>
      <c r="B309">
        <v>44</v>
      </c>
    </row>
    <row r="310" spans="1:2" x14ac:dyDescent="0.45">
      <c r="A310" s="1">
        <v>45966</v>
      </c>
      <c r="B310">
        <v>67</v>
      </c>
    </row>
    <row r="311" spans="1:2" x14ac:dyDescent="0.45">
      <c r="A311" s="1">
        <v>45967</v>
      </c>
      <c r="B311">
        <v>41</v>
      </c>
    </row>
    <row r="312" spans="1:2" x14ac:dyDescent="0.45">
      <c r="A312" s="1">
        <v>45968</v>
      </c>
      <c r="B312">
        <v>74</v>
      </c>
    </row>
    <row r="313" spans="1:2" x14ac:dyDescent="0.45">
      <c r="A313" s="1">
        <v>45969</v>
      </c>
      <c r="B313">
        <v>63</v>
      </c>
    </row>
    <row r="314" spans="1:2" x14ac:dyDescent="0.45">
      <c r="A314" s="1">
        <v>45970</v>
      </c>
      <c r="B314">
        <v>53</v>
      </c>
    </row>
    <row r="315" spans="1:2" x14ac:dyDescent="0.45">
      <c r="A315" s="1">
        <v>45971</v>
      </c>
      <c r="B315">
        <v>26</v>
      </c>
    </row>
    <row r="316" spans="1:2" x14ac:dyDescent="0.45">
      <c r="A316" s="1">
        <v>45972</v>
      </c>
      <c r="B316">
        <v>92</v>
      </c>
    </row>
    <row r="317" spans="1:2" x14ac:dyDescent="0.45">
      <c r="A317" s="1">
        <v>45973</v>
      </c>
      <c r="B317">
        <v>68</v>
      </c>
    </row>
    <row r="318" spans="1:2" x14ac:dyDescent="0.45">
      <c r="A318" s="1">
        <v>45974</v>
      </c>
      <c r="B318">
        <v>97</v>
      </c>
    </row>
    <row r="319" spans="1:2" x14ac:dyDescent="0.45">
      <c r="A319" s="1">
        <v>45975</v>
      </c>
      <c r="B319">
        <v>78</v>
      </c>
    </row>
    <row r="320" spans="1:2" x14ac:dyDescent="0.45">
      <c r="A320" s="1">
        <v>45976</v>
      </c>
      <c r="B320">
        <v>40</v>
      </c>
    </row>
    <row r="321" spans="1:2" x14ac:dyDescent="0.45">
      <c r="A321" s="1">
        <v>45977</v>
      </c>
      <c r="B321">
        <v>53</v>
      </c>
    </row>
    <row r="322" spans="1:2" x14ac:dyDescent="0.45">
      <c r="A322" s="1">
        <v>45978</v>
      </c>
      <c r="B322">
        <v>54</v>
      </c>
    </row>
    <row r="323" spans="1:2" x14ac:dyDescent="0.45">
      <c r="A323" s="1">
        <v>45979</v>
      </c>
      <c r="B323">
        <v>72</v>
      </c>
    </row>
    <row r="324" spans="1:2" x14ac:dyDescent="0.45">
      <c r="A324" s="1">
        <v>45980</v>
      </c>
      <c r="B324">
        <v>45</v>
      </c>
    </row>
    <row r="325" spans="1:2" x14ac:dyDescent="0.45">
      <c r="A325" s="1">
        <v>45981</v>
      </c>
      <c r="B325">
        <v>55</v>
      </c>
    </row>
    <row r="326" spans="1:2" x14ac:dyDescent="0.45">
      <c r="A326" s="1">
        <v>45982</v>
      </c>
      <c r="B326">
        <v>70</v>
      </c>
    </row>
    <row r="327" spans="1:2" x14ac:dyDescent="0.45">
      <c r="A327" s="1">
        <v>45983</v>
      </c>
      <c r="B327">
        <v>27</v>
      </c>
    </row>
    <row r="328" spans="1:2" x14ac:dyDescent="0.45">
      <c r="A328" s="1">
        <v>45984</v>
      </c>
      <c r="B328">
        <v>54</v>
      </c>
    </row>
    <row r="329" spans="1:2" x14ac:dyDescent="0.45">
      <c r="A329" s="1">
        <v>45985</v>
      </c>
      <c r="B329">
        <v>60</v>
      </c>
    </row>
    <row r="330" spans="1:2" x14ac:dyDescent="0.45">
      <c r="A330" s="1">
        <v>45986</v>
      </c>
      <c r="B330">
        <v>48</v>
      </c>
    </row>
    <row r="331" spans="1:2" x14ac:dyDescent="0.45">
      <c r="A331" s="1">
        <v>45987</v>
      </c>
      <c r="B331">
        <v>82</v>
      </c>
    </row>
    <row r="332" spans="1:2" x14ac:dyDescent="0.45">
      <c r="A332" s="1">
        <v>45988</v>
      </c>
      <c r="B332">
        <v>44</v>
      </c>
    </row>
    <row r="333" spans="1:2" x14ac:dyDescent="0.45">
      <c r="A333" s="1">
        <v>45989</v>
      </c>
      <c r="B333">
        <v>59</v>
      </c>
    </row>
    <row r="334" spans="1:2" x14ac:dyDescent="0.45">
      <c r="A334" s="1">
        <v>45990</v>
      </c>
      <c r="B334">
        <v>44</v>
      </c>
    </row>
    <row r="335" spans="1:2" x14ac:dyDescent="0.45">
      <c r="A335" s="1">
        <v>45991</v>
      </c>
      <c r="B335">
        <v>42</v>
      </c>
    </row>
    <row r="336" spans="1:2" x14ac:dyDescent="0.45">
      <c r="A336" s="1">
        <v>45992</v>
      </c>
      <c r="B336">
        <v>46</v>
      </c>
    </row>
    <row r="337" spans="1:2" x14ac:dyDescent="0.45">
      <c r="A337" s="1">
        <v>45993</v>
      </c>
      <c r="B337">
        <v>43</v>
      </c>
    </row>
    <row r="338" spans="1:2" x14ac:dyDescent="0.45">
      <c r="A338" s="1">
        <v>45994</v>
      </c>
      <c r="B338">
        <v>39</v>
      </c>
    </row>
    <row r="339" spans="1:2" x14ac:dyDescent="0.45">
      <c r="A339" s="1">
        <v>45995</v>
      </c>
      <c r="B339">
        <v>52</v>
      </c>
    </row>
    <row r="340" spans="1:2" x14ac:dyDescent="0.45">
      <c r="A340" s="1">
        <v>45996</v>
      </c>
      <c r="B340">
        <v>56</v>
      </c>
    </row>
    <row r="341" spans="1:2" x14ac:dyDescent="0.45">
      <c r="A341" s="1">
        <v>45997</v>
      </c>
      <c r="B341">
        <v>44</v>
      </c>
    </row>
    <row r="342" spans="1:2" x14ac:dyDescent="0.45">
      <c r="A342" s="1">
        <v>45998</v>
      </c>
      <c r="B342">
        <v>58</v>
      </c>
    </row>
    <row r="343" spans="1:2" x14ac:dyDescent="0.45">
      <c r="A343" s="1">
        <v>45999</v>
      </c>
      <c r="B343">
        <v>60</v>
      </c>
    </row>
    <row r="344" spans="1:2" x14ac:dyDescent="0.45">
      <c r="A344" s="1">
        <v>46000</v>
      </c>
      <c r="B344">
        <v>45</v>
      </c>
    </row>
    <row r="345" spans="1:2" x14ac:dyDescent="0.45">
      <c r="A345" s="1">
        <v>46001</v>
      </c>
      <c r="B345">
        <v>61</v>
      </c>
    </row>
    <row r="346" spans="1:2" x14ac:dyDescent="0.45">
      <c r="A346" s="1">
        <v>46002</v>
      </c>
      <c r="B346">
        <v>64</v>
      </c>
    </row>
    <row r="347" spans="1:2" x14ac:dyDescent="0.45">
      <c r="A347" s="1">
        <v>46003</v>
      </c>
      <c r="B347">
        <v>56</v>
      </c>
    </row>
    <row r="348" spans="1:2" x14ac:dyDescent="0.45">
      <c r="A348" s="1">
        <v>46004</v>
      </c>
      <c r="B348">
        <v>75</v>
      </c>
    </row>
    <row r="349" spans="1:2" x14ac:dyDescent="0.45">
      <c r="A349" s="1">
        <v>46005</v>
      </c>
      <c r="B349">
        <v>63</v>
      </c>
    </row>
    <row r="350" spans="1:2" x14ac:dyDescent="0.45">
      <c r="A350" s="1">
        <v>46006</v>
      </c>
      <c r="B350">
        <v>73</v>
      </c>
    </row>
    <row r="351" spans="1:2" x14ac:dyDescent="0.45">
      <c r="A351" s="1">
        <v>46007</v>
      </c>
      <c r="B351">
        <v>54</v>
      </c>
    </row>
    <row r="352" spans="1:2" x14ac:dyDescent="0.45">
      <c r="A352" s="1">
        <v>46008</v>
      </c>
      <c r="B352">
        <v>51</v>
      </c>
    </row>
    <row r="353" spans="1:5" x14ac:dyDescent="0.45">
      <c r="A353" s="1">
        <v>46009</v>
      </c>
      <c r="B353">
        <v>63</v>
      </c>
    </row>
    <row r="354" spans="1:5" x14ac:dyDescent="0.45">
      <c r="A354" s="1">
        <v>46010</v>
      </c>
      <c r="B354">
        <v>55</v>
      </c>
    </row>
    <row r="355" spans="1:5" x14ac:dyDescent="0.45">
      <c r="A355" s="1">
        <v>46011</v>
      </c>
      <c r="B355">
        <v>72</v>
      </c>
    </row>
    <row r="356" spans="1:5" x14ac:dyDescent="0.45">
      <c r="A356" s="1">
        <v>46012</v>
      </c>
      <c r="B356">
        <v>48</v>
      </c>
    </row>
    <row r="357" spans="1:5" x14ac:dyDescent="0.45">
      <c r="A357" s="1">
        <v>46013</v>
      </c>
      <c r="B357">
        <v>59</v>
      </c>
    </row>
    <row r="358" spans="1:5" x14ac:dyDescent="0.45">
      <c r="A358" s="1">
        <v>46014</v>
      </c>
      <c r="B358">
        <v>57</v>
      </c>
    </row>
    <row r="359" spans="1:5" x14ac:dyDescent="0.45">
      <c r="A359" s="1">
        <v>46015</v>
      </c>
      <c r="B359">
        <v>51</v>
      </c>
    </row>
    <row r="360" spans="1:5" x14ac:dyDescent="0.45">
      <c r="A360" s="1">
        <v>46016</v>
      </c>
      <c r="B360">
        <v>63</v>
      </c>
    </row>
    <row r="361" spans="1:5" x14ac:dyDescent="0.45">
      <c r="A361" s="1">
        <v>46017</v>
      </c>
      <c r="B361">
        <v>56</v>
      </c>
    </row>
    <row r="362" spans="1:5" x14ac:dyDescent="0.45">
      <c r="A362" s="1">
        <v>46018</v>
      </c>
      <c r="B362">
        <v>48</v>
      </c>
    </row>
    <row r="363" spans="1:5" x14ac:dyDescent="0.45">
      <c r="A363" s="1">
        <v>46019</v>
      </c>
      <c r="B363">
        <v>134</v>
      </c>
    </row>
    <row r="364" spans="1:5" x14ac:dyDescent="0.45">
      <c r="A364" s="1">
        <v>46020</v>
      </c>
      <c r="B364">
        <v>97</v>
      </c>
    </row>
    <row r="365" spans="1:5" x14ac:dyDescent="0.45">
      <c r="A365" s="1">
        <v>46021</v>
      </c>
      <c r="B365">
        <v>58</v>
      </c>
      <c r="C365">
        <v>58</v>
      </c>
      <c r="D365" s="9">
        <v>58</v>
      </c>
      <c r="E365" s="9">
        <v>58</v>
      </c>
    </row>
    <row r="366" spans="1:5" x14ac:dyDescent="0.45">
      <c r="A366" s="1">
        <v>46022</v>
      </c>
      <c r="C366">
        <f>_xlfn.FORECAST.ETS(A366,$B$2:$B$365,$A$2:$A$365,1,1)</f>
        <v>68.223867789147249</v>
      </c>
      <c r="D366" s="9">
        <f>C366-_xlfn.FORECAST.ETS.CONFINT(A366,$B$2:$B$365,$A$2:$A$365,0.8,1,1)</f>
        <v>39.838869827367859</v>
      </c>
      <c r="E366" s="9">
        <f>C366+_xlfn.FORECAST.ETS.CONFINT(A366,$B$2:$B$365,$A$2:$A$365,0.8,1,1)</f>
        <v>96.60886575092664</v>
      </c>
    </row>
    <row r="367" spans="1:5" x14ac:dyDescent="0.45">
      <c r="A367" s="1">
        <v>46023</v>
      </c>
      <c r="C367">
        <f>_xlfn.FORECAST.ETS(A367,$B$2:$B$365,$A$2:$A$365,1,1)</f>
        <v>68.235855637547374</v>
      </c>
      <c r="D367" s="9">
        <f>C367-_xlfn.FORECAST.ETS.CONFINT(A367,$B$2:$B$365,$A$2:$A$365,0.8,1,1)</f>
        <v>39.622862515803504</v>
      </c>
      <c r="E367" s="9">
        <f>C367+_xlfn.FORECAST.ETS.CONFINT(A367,$B$2:$B$365,$A$2:$A$365,0.8,1,1)</f>
        <v>96.848848759291243</v>
      </c>
    </row>
    <row r="368" spans="1:5" x14ac:dyDescent="0.45">
      <c r="A368" s="1">
        <v>46024</v>
      </c>
      <c r="C368">
        <f>_xlfn.FORECAST.ETS(A368,$B$2:$B$365,$A$2:$A$365,1,1)</f>
        <v>68.247843485947541</v>
      </c>
      <c r="D368" s="9">
        <f>C368-_xlfn.FORECAST.ETS.CONFINT(A368,$B$2:$B$365,$A$2:$A$365,0.8,1,1)</f>
        <v>39.405095748473343</v>
      </c>
      <c r="E368" s="9">
        <f>C368+_xlfn.FORECAST.ETS.CONFINT(A368,$B$2:$B$365,$A$2:$A$365,0.8,1,1)</f>
        <v>97.09059122342174</v>
      </c>
    </row>
    <row r="369" spans="1:5" x14ac:dyDescent="0.45">
      <c r="A369" s="1">
        <v>46025</v>
      </c>
      <c r="C369">
        <f>_xlfn.FORECAST.ETS(A369,$B$2:$B$365,$A$2:$A$365,1,1)</f>
        <v>68.259831334347652</v>
      </c>
      <c r="D369" s="9">
        <f>C369-_xlfn.FORECAST.ETS.CONFINT(A369,$B$2:$B$365,$A$2:$A$365,0.8,1,1)</f>
        <v>39.185583524743507</v>
      </c>
      <c r="E369" s="9">
        <f>C369+_xlfn.FORECAST.ETS.CONFINT(A369,$B$2:$B$365,$A$2:$A$365,0.8,1,1)</f>
        <v>97.334079143951797</v>
      </c>
    </row>
    <row r="370" spans="1:5" x14ac:dyDescent="0.45">
      <c r="A370" s="1">
        <v>46026</v>
      </c>
      <c r="C370">
        <f>_xlfn.FORECAST.ETS(A370,$B$2:$B$365,$A$2:$A$365,1,1)</f>
        <v>68.271819182747819</v>
      </c>
      <c r="D370" s="9">
        <f>C370-_xlfn.FORECAST.ETS.CONFINT(A370,$B$2:$B$365,$A$2:$A$365,0.8,1,1)</f>
        <v>38.964339715190796</v>
      </c>
      <c r="E370" s="9">
        <f>C370+_xlfn.FORECAST.ETS.CONFINT(A370,$B$2:$B$365,$A$2:$A$365,0.8,1,1)</f>
        <v>97.57929865030485</v>
      </c>
    </row>
    <row r="371" spans="1:5" x14ac:dyDescent="0.45">
      <c r="A371" s="1">
        <v>46027</v>
      </c>
      <c r="C371">
        <f>_xlfn.FORECAST.ETS(A371,$B$2:$B$365,$A$2:$A$365,1,1)</f>
        <v>68.283807031147944</v>
      </c>
      <c r="D371" s="9">
        <f>C371-_xlfn.FORECAST.ETS.CONFINT(A371,$B$2:$B$365,$A$2:$A$365,0.8,1,1)</f>
        <v>38.741378058485495</v>
      </c>
      <c r="E371" s="9">
        <f>C371+_xlfn.FORECAST.ETS.CONFINT(A371,$B$2:$B$365,$A$2:$A$365,0.8,1,1)</f>
        <v>97.826236003810394</v>
      </c>
    </row>
    <row r="372" spans="1:5" x14ac:dyDescent="0.45">
      <c r="A372" s="1">
        <v>46028</v>
      </c>
      <c r="C372">
        <f>_xlfn.FORECAST.ETS(A372,$B$2:$B$365,$A$2:$A$365,1,1)</f>
        <v>68.295794879548112</v>
      </c>
      <c r="D372" s="9">
        <f>C372-_xlfn.FORECAST.ETS.CONFINT(A372,$B$2:$B$365,$A$2:$A$365,0.8,1,1)</f>
        <v>38.516712158599859</v>
      </c>
      <c r="E372" s="9">
        <f>C372+_xlfn.FORECAST.ETS.CONFINT(A372,$B$2:$B$365,$A$2:$A$365,0.8,1,1)</f>
        <v>98.074877600496364</v>
      </c>
    </row>
    <row r="373" spans="1:5" x14ac:dyDescent="0.45">
      <c r="A373" s="1">
        <v>46029</v>
      </c>
      <c r="C373">
        <f>_xlfn.FORECAST.ETS(A373,$B$2:$B$365,$A$2:$A$365,1,1)</f>
        <v>68.307782727948222</v>
      </c>
      <c r="D373" s="9">
        <f>C373-_xlfn.FORECAST.ETS.CONFINT(A373,$B$2:$B$365,$A$2:$A$365,0.8,1,1)</f>
        <v>38.2903554823245</v>
      </c>
      <c r="E373" s="9">
        <f>C373+_xlfn.FORECAST.ETS.CONFINT(A373,$B$2:$B$365,$A$2:$A$365,0.8,1,1)</f>
        <v>98.325209973571944</v>
      </c>
    </row>
    <row r="374" spans="1:5" x14ac:dyDescent="0.45">
      <c r="A374" s="1">
        <v>46030</v>
      </c>
      <c r="C374">
        <f>_xlfn.FORECAST.ETS(A374,$B$2:$B$365,$A$2:$A$365,1,1)</f>
        <v>68.319770576348404</v>
      </c>
      <c r="D374" s="9">
        <f>C374-_xlfn.FORECAST.ETS.CONFINT(A374,$B$2:$B$365,$A$2:$A$365,0.8,1,1)</f>
        <v>38.062321357077977</v>
      </c>
      <c r="E374" s="9">
        <f>C374+_xlfn.FORECAST.ETS.CONFINT(A374,$B$2:$B$365,$A$2:$A$365,0.8,1,1)</f>
        <v>98.577219795618831</v>
      </c>
    </row>
    <row r="375" spans="1:5" x14ac:dyDescent="0.45">
      <c r="A375" s="1">
        <v>46031</v>
      </c>
      <c r="C375">
        <f>_xlfn.FORECAST.ETS(A375,$B$2:$B$365,$A$2:$A$365,1,1)</f>
        <v>68.331758424748514</v>
      </c>
      <c r="D375" s="9">
        <f>C375-_xlfn.FORECAST.ETS.CONFINT(A375,$B$2:$B$365,$A$2:$A$365,0.8,1,1)</f>
        <v>37.832622968992681</v>
      </c>
      <c r="E375" s="9">
        <f>C375+_xlfn.FORECAST.ETS.CONFINT(A375,$B$2:$B$365,$A$2:$A$365,0.8,1,1)</f>
        <v>98.830893880504348</v>
      </c>
    </row>
    <row r="376" spans="1:5" x14ac:dyDescent="0.45">
      <c r="A376" s="1">
        <v>46032</v>
      </c>
      <c r="C376">
        <f>_xlfn.FORECAST.ETS(A376,$B$2:$B$365,$A$2:$A$365,1,1)</f>
        <v>68.343746273148682</v>
      </c>
      <c r="D376" s="9">
        <f>C376-_xlfn.FORECAST.ETS.CONFINT(A376,$B$2:$B$365,$A$2:$A$365,0.8,1,1)</f>
        <v>37.601273361263821</v>
      </c>
      <c r="E376" s="9">
        <f>C376+_xlfn.FORECAST.ETS.CONFINT(A376,$B$2:$B$365,$A$2:$A$365,0.8,1,1)</f>
        <v>99.086219185033542</v>
      </c>
    </row>
    <row r="377" spans="1:5" x14ac:dyDescent="0.45">
      <c r="A377" s="1">
        <v>46033</v>
      </c>
      <c r="C377">
        <f>_xlfn.FORECAST.ETS(A377,$B$2:$B$365,$A$2:$A$365,1,1)</f>
        <v>68.355734121548792</v>
      </c>
      <c r="D377" s="9">
        <f>C377-_xlfn.FORECAST.ETS.CONFINT(A377,$B$2:$B$365,$A$2:$A$365,0.8,1,1)</f>
        <v>37.368285432745083</v>
      </c>
      <c r="E377" s="9">
        <f>C377+_xlfn.FORECAST.ETS.CONFINT(A377,$B$2:$B$365,$A$2:$A$365,0.8,1,1)</f>
        <v>99.343182810352502</v>
      </c>
    </row>
    <row r="378" spans="1:5" x14ac:dyDescent="0.45">
      <c r="A378" s="1">
        <v>46034</v>
      </c>
      <c r="C378">
        <f>_xlfn.FORECAST.ETS(A378,$B$2:$B$365,$A$2:$A$365,1,1)</f>
        <v>68.367721969948974</v>
      </c>
      <c r="D378" s="9">
        <f>C378-_xlfn.FORECAST.ETS.CONFINT(A378,$B$2:$B$365,$A$2:$A$365,0.8,1,1)</f>
        <v>37.133671936778995</v>
      </c>
      <c r="E378" s="9">
        <f>C378+_xlfn.FORECAST.ETS.CONFINT(A378,$B$2:$B$365,$A$2:$A$365,0.8,1,1)</f>
        <v>99.601772003118953</v>
      </c>
    </row>
    <row r="379" spans="1:5" x14ac:dyDescent="0.45">
      <c r="A379" s="1">
        <v>46035</v>
      </c>
      <c r="C379">
        <f>_xlfn.FORECAST.ETS(A379,$B$2:$B$365,$A$2:$A$365,1,1)</f>
        <v>68.379709818349085</v>
      </c>
      <c r="D379" s="9">
        <f>C379-_xlfn.FORECAST.ETS.CONFINT(A379,$B$2:$B$365,$A$2:$A$365,0.8,1,1)</f>
        <v>36.89744548024656</v>
      </c>
      <c r="E379" s="9">
        <f>C379+_xlfn.FORECAST.ETS.CONFINT(A379,$B$2:$B$365,$A$2:$A$365,0.8,1,1)</f>
        <v>99.861974156451609</v>
      </c>
    </row>
    <row r="380" spans="1:5" x14ac:dyDescent="0.45">
      <c r="A380" s="1">
        <v>46036</v>
      </c>
      <c r="C380">
        <f>_xlfn.FORECAST.ETS(A380,$B$2:$B$365,$A$2:$A$365,1,1)</f>
        <v>68.391697666749252</v>
      </c>
      <c r="D380" s="9">
        <f>C380-_xlfn.FORECAST.ETS.CONFINT(A380,$B$2:$B$365,$A$2:$A$365,0.8,1,1)</f>
        <v>36.659618522825347</v>
      </c>
      <c r="E380" s="9">
        <f>C380+_xlfn.FORECAST.ETS.CONFINT(A380,$B$2:$B$365,$A$2:$A$365,0.8,1,1)</f>
        <v>100.12377681067315</v>
      </c>
    </row>
    <row r="381" spans="1:5" x14ac:dyDescent="0.45">
      <c r="A381" s="1">
        <v>46037</v>
      </c>
      <c r="C381">
        <f>_xlfn.FORECAST.ETS(A381,$B$2:$B$365,$A$2:$A$365,1,1)</f>
        <v>68.403685515149377</v>
      </c>
      <c r="D381" s="9">
        <f>C381-_xlfn.FORECAST.ETS.CONFINT(A381,$B$2:$B$365,$A$2:$A$365,0.8,1,1)</f>
        <v>36.420203376441442</v>
      </c>
      <c r="E381" s="9">
        <f>C381+_xlfn.FORECAST.ETS.CONFINT(A381,$B$2:$B$365,$A$2:$A$365,0.8,1,1)</f>
        <v>100.38716765385732</v>
      </c>
    </row>
    <row r="382" spans="1:5" x14ac:dyDescent="0.45">
      <c r="A382" s="1">
        <v>46038</v>
      </c>
      <c r="C382">
        <f>_xlfn.FORECAST.ETS(A382,$B$2:$B$365,$A$2:$A$365,1,1)</f>
        <v>68.415673363549544</v>
      </c>
      <c r="D382" s="9">
        <f>C382-_xlfn.FORECAST.ETS.CONFINT(A382,$B$2:$B$365,$A$2:$A$365,0.8,1,1)</f>
        <v>36.179212204905326</v>
      </c>
      <c r="E382" s="9">
        <f>C382+_xlfn.FORECAST.ETS.CONFINT(A382,$B$2:$B$365,$A$2:$A$365,0.8,1,1)</f>
        <v>100.65213452219376</v>
      </c>
    </row>
    <row r="383" spans="1:5" x14ac:dyDescent="0.45">
      <c r="A383" s="1">
        <v>46039</v>
      </c>
      <c r="C383">
        <f>_xlfn.FORECAST.ETS(A383,$B$2:$B$365,$A$2:$A$365,1,1)</f>
        <v>68.427661211949655</v>
      </c>
      <c r="D383" s="9">
        <f>C383-_xlfn.FORECAST.ETS.CONFINT(A383,$B$2:$B$365,$A$2:$A$365,0.8,1,1)</f>
        <v>35.936657023718524</v>
      </c>
      <c r="E383" s="9">
        <f>C383+_xlfn.FORECAST.ETS.CONFINT(A383,$B$2:$B$365,$A$2:$A$365,0.8,1,1)</f>
        <v>100.91866540018079</v>
      </c>
    </row>
    <row r="384" spans="1:5" x14ac:dyDescent="0.45">
      <c r="A384" s="1">
        <v>46040</v>
      </c>
      <c r="C384">
        <f>_xlfn.FORECAST.ETS(A384,$B$2:$B$365,$A$2:$A$365,1,1)</f>
        <v>68.439649060349822</v>
      </c>
      <c r="D384" s="9">
        <f>C384-_xlfn.FORECAST.ETS.CONFINT(A384,$B$2:$B$365,$A$2:$A$365,0.8,1,1)</f>
        <v>35.69254970004166</v>
      </c>
      <c r="E384" s="9">
        <f>C384+_xlfn.FORECAST.ETS.CONFINT(A384,$B$2:$B$365,$A$2:$A$365,0.8,1,1)</f>
        <v>101.18674842065798</v>
      </c>
    </row>
    <row r="385" spans="1:5" x14ac:dyDescent="0.45">
      <c r="A385" s="1">
        <v>46041</v>
      </c>
      <c r="C385">
        <f>_xlfn.FORECAST.ETS(A385,$B$2:$B$365,$A$2:$A$365,1,1)</f>
        <v>68.451636908749947</v>
      </c>
      <c r="D385" s="9">
        <f>C385-_xlfn.FORECAST.ETS.CONFINT(A385,$B$2:$B$365,$A$2:$A$365,0.8,1,1)</f>
        <v>35.446901952811857</v>
      </c>
      <c r="E385" s="9">
        <f>C385+_xlfn.FORECAST.ETS.CONFINT(A385,$B$2:$B$365,$A$2:$A$365,0.8,1,1)</f>
        <v>101.45637186468804</v>
      </c>
    </row>
    <row r="386" spans="1:5" x14ac:dyDescent="0.45">
      <c r="A386" s="1">
        <v>46042</v>
      </c>
      <c r="C386">
        <f>_xlfn.FORECAST.ETS(A386,$B$2:$B$365,$A$2:$A$365,1,1)</f>
        <v>68.463624757150114</v>
      </c>
      <c r="D386" s="9">
        <f>C386-_xlfn.FORECAST.ETS.CONFINT(A386,$B$2:$B$365,$A$2:$A$365,0.8,1,1)</f>
        <v>35.199725353000993</v>
      </c>
      <c r="E386" s="9">
        <f>C386+_xlfn.FORECAST.ETS.CONFINT(A386,$B$2:$B$365,$A$2:$A$365,0.8,1,1)</f>
        <v>101.72752416129924</v>
      </c>
    </row>
    <row r="387" spans="1:5" x14ac:dyDescent="0.45">
      <c r="A387" s="1">
        <v>46043</v>
      </c>
      <c r="C387">
        <f>_xlfn.FORECAST.ETS(A387,$B$2:$B$365,$A$2:$A$365,1,1)</f>
        <v>68.475612605550225</v>
      </c>
      <c r="D387" s="9">
        <f>C387-_xlfn.FORECAST.ETS.CONFINT(A387,$B$2:$B$365,$A$2:$A$365,0.8,1,1)</f>
        <v>34.951031324003921</v>
      </c>
      <c r="E387" s="9">
        <f>C387+_xlfn.FORECAST.ETS.CONFINT(A387,$B$2:$B$365,$A$2:$A$365,0.8,1,1)</f>
        <v>102.00019388709653</v>
      </c>
    </row>
    <row r="388" spans="1:5" x14ac:dyDescent="0.45">
      <c r="A388" s="1">
        <v>46044</v>
      </c>
      <c r="C388">
        <f>_xlfn.FORECAST.ETS(A388,$B$2:$B$365,$A$2:$A$365,1,1)</f>
        <v>68.487600453950407</v>
      </c>
      <c r="D388" s="9">
        <f>C388-_xlfn.FORECAST.ETS.CONFINT(A388,$B$2:$B$365,$A$2:$A$365,0.8,1,1)</f>
        <v>34.700831142148814</v>
      </c>
      <c r="E388" s="9">
        <f>C388+_xlfn.FORECAST.ETS.CONFINT(A388,$B$2:$B$365,$A$2:$A$365,0.8,1,1)</f>
        <v>102.274369765752</v>
      </c>
    </row>
    <row r="389" spans="1:5" x14ac:dyDescent="0.45">
      <c r="A389" s="1">
        <v>46045</v>
      </c>
      <c r="C389">
        <f>_xlfn.FORECAST.ETS(A389,$B$2:$B$365,$A$2:$A$365,1,1)</f>
        <v>68.499588302350517</v>
      </c>
      <c r="D389" s="9">
        <f>C389-_xlfn.FORECAST.ETS.CONFINT(A389,$B$2:$B$365,$A$2:$A$365,0.8,1,1)</f>
        <v>34.449135937319447</v>
      </c>
      <c r="E389" s="9">
        <f>C389+_xlfn.FORECAST.ETS.CONFINT(A389,$B$2:$B$365,$A$2:$A$365,0.8,1,1)</f>
        <v>102.55004066738158</v>
      </c>
    </row>
    <row r="390" spans="1:5" x14ac:dyDescent="0.45">
      <c r="A390" s="1">
        <v>46046</v>
      </c>
      <c r="C390">
        <f>_xlfn.FORECAST.ETS(A390,$B$2:$B$365,$A$2:$A$365,1,1)</f>
        <v>68.511576150750685</v>
      </c>
      <c r="D390" s="9">
        <f>C390-_xlfn.FORECAST.ETS.CONFINT(A390,$B$2:$B$365,$A$2:$A$365,0.8,1,1)</f>
        <v>34.19595669368303</v>
      </c>
      <c r="E390" s="9">
        <f>C390+_xlfn.FORECAST.ETS.CONFINT(A390,$B$2:$B$365,$A$2:$A$365,0.8,1,1)</f>
        <v>102.82719560781834</v>
      </c>
    </row>
    <row r="391" spans="1:5" x14ac:dyDescent="0.45">
      <c r="A391" s="1">
        <v>46047</v>
      </c>
      <c r="C391">
        <f>_xlfn.FORECAST.ETS(A391,$B$2:$B$365,$A$2:$A$365,1,1)</f>
        <v>68.523563999150795</v>
      </c>
      <c r="D391" s="9">
        <f>C391-_xlfn.FORECAST.ETS.CONFINT(A391,$B$2:$B$365,$A$2:$A$365,0.8,1,1)</f>
        <v>33.941304250513689</v>
      </c>
      <c r="E391" s="9">
        <f>C391+_xlfn.FORECAST.ETS.CONFINT(A391,$B$2:$B$365,$A$2:$A$365,0.8,1,1)</f>
        <v>103.10582374778789</v>
      </c>
    </row>
    <row r="392" spans="1:5" x14ac:dyDescent="0.45">
      <c r="A392" s="1">
        <v>46048</v>
      </c>
      <c r="C392">
        <f>_xlfn.FORECAST.ETS(A392,$B$2:$B$365,$A$2:$A$365,1,1)</f>
        <v>68.535551847550977</v>
      </c>
      <c r="D392" s="9">
        <f>C392-_xlfn.FORECAST.ETS.CONFINT(A392,$B$2:$B$365,$A$2:$A$365,0.8,1,1)</f>
        <v>33.685189303106078</v>
      </c>
      <c r="E392" s="9">
        <f>C392+_xlfn.FORECAST.ETS.CONFINT(A392,$B$2:$B$365,$A$2:$A$365,0.8,1,1)</f>
        <v>103.38591439199587</v>
      </c>
    </row>
    <row r="393" spans="1:5" x14ac:dyDescent="0.45">
      <c r="A393" s="1">
        <v>46049</v>
      </c>
      <c r="C393">
        <f>_xlfn.FORECAST.ETS(A393,$B$2:$B$365,$A$2:$A$365,1,1)</f>
        <v>68.547539695951087</v>
      </c>
      <c r="D393" s="9">
        <f>C393-_xlfn.FORECAST.ETS.CONFINT(A393,$B$2:$B$365,$A$2:$A$365,0.8,1,1)</f>
        <v>33.427622403770251</v>
      </c>
      <c r="E393" s="9">
        <f>C393+_xlfn.FORECAST.ETS.CONFINT(A393,$B$2:$B$365,$A$2:$A$365,0.8,1,1)</f>
        <v>103.66745698813193</v>
      </c>
    </row>
    <row r="394" spans="1:5" x14ac:dyDescent="0.45">
      <c r="A394" s="1">
        <v>46050</v>
      </c>
      <c r="C394">
        <f>_xlfn.FORECAST.ETS(A394,$B$2:$B$365,$A$2:$A$365,1,1)</f>
        <v>68.559527544351255</v>
      </c>
      <c r="D394" s="9">
        <f>C394-_xlfn.FORECAST.ETS.CONFINT(A394,$B$2:$B$365,$A$2:$A$365,0.8,1,1)</f>
        <v>33.168613962902846</v>
      </c>
      <c r="E394" s="9">
        <f>C394+_xlfn.FORECAST.ETS.CONFINT(A394,$B$2:$B$365,$A$2:$A$365,0.8,1,1)</f>
        <v>103.95044112579967</v>
      </c>
    </row>
    <row r="395" spans="1:5" x14ac:dyDescent="0.45">
      <c r="A395" s="1">
        <v>46051</v>
      </c>
      <c r="C395">
        <f>_xlfn.FORECAST.ETS(A395,$B$2:$B$365,$A$2:$A$365,1,1)</f>
        <v>68.57151539275138</v>
      </c>
      <c r="D395" s="9">
        <f>C395-_xlfn.FORECAST.ETS.CONFINT(A395,$B$2:$B$365,$A$2:$A$365,0.8,1,1)</f>
        <v>32.908174250126415</v>
      </c>
      <c r="E395" s="9">
        <f>C395+_xlfn.FORECAST.ETS.CONFINT(A395,$B$2:$B$365,$A$2:$A$365,0.8,1,1)</f>
        <v>104.23485653537634</v>
      </c>
    </row>
    <row r="396" spans="1:5" x14ac:dyDescent="0.45">
      <c r="A396" s="1">
        <v>46052</v>
      </c>
      <c r="C396">
        <f>_xlfn.FORECAST.ETS(A396,$B$2:$B$365,$A$2:$A$365,1,1)</f>
        <v>68.583503241151547</v>
      </c>
      <c r="D396" s="9">
        <f>C396-_xlfn.FORECAST.ETS.CONFINT(A396,$B$2:$B$365,$A$2:$A$365,0.8,1,1)</f>
        <v>32.646313395492584</v>
      </c>
      <c r="E396" s="9">
        <f>C396+_xlfn.FORECAST.ETS.CONFINT(A396,$B$2:$B$365,$A$2:$A$365,0.8,1,1)</f>
        <v>104.52069308681051</v>
      </c>
    </row>
    <row r="397" spans="1:5" x14ac:dyDescent="0.45">
      <c r="A397" s="1">
        <v>46053</v>
      </c>
      <c r="C397">
        <f>_xlfn.FORECAST.ETS(A397,$B$2:$B$365,$A$2:$A$365,1,1)</f>
        <v>68.595491089551658</v>
      </c>
      <c r="D397" s="9">
        <f>C397-_xlfn.FORECAST.ETS.CONFINT(A397,$B$2:$B$365,$A$2:$A$365,0.8,1,1)</f>
        <v>32.38304139074188</v>
      </c>
      <c r="E397" s="9">
        <f>C397+_xlfn.FORECAST.ETS.CONFINT(A397,$B$2:$B$365,$A$2:$A$365,0.8,1,1)</f>
        <v>104.80794078836144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9A95A-86EA-4CBF-89A3-6101B2555210}">
  <dimension ref="A1:L366"/>
  <sheetViews>
    <sheetView zoomScale="55" zoomScaleNormal="55" workbookViewId="0">
      <selection activeCell="B1" activeCellId="2" sqref="A2 A1:A1048576 B1:B1048576"/>
    </sheetView>
  </sheetViews>
  <sheetFormatPr defaultRowHeight="14.25" x14ac:dyDescent="0.45"/>
  <cols>
    <col min="1" max="1" width="12.06640625" style="1" bestFit="1" customWidth="1"/>
    <col min="2" max="2" width="14.1328125" bestFit="1" customWidth="1"/>
    <col min="3" max="3" width="32.06640625" customWidth="1"/>
    <col min="4" max="4" width="10.1328125" customWidth="1"/>
    <col min="5" max="5" width="16.6640625" customWidth="1"/>
    <col min="6" max="6" width="24.6640625" customWidth="1"/>
    <col min="7" max="7" width="25.6640625" customWidth="1"/>
    <col min="8" max="8" width="20.6640625" customWidth="1"/>
    <col min="9" max="9" width="24.53125" customWidth="1"/>
    <col min="12" max="12" width="16.33203125" style="8" customWidth="1"/>
  </cols>
  <sheetData>
    <row r="1" spans="1:12" ht="15.75" x14ac:dyDescent="0.5">
      <c r="A1" s="1" t="s">
        <v>5025</v>
      </c>
      <c r="B1" t="s">
        <v>5413</v>
      </c>
      <c r="C1" s="12" t="s">
        <v>5420</v>
      </c>
      <c r="D1" s="12" t="s">
        <v>5414</v>
      </c>
      <c r="E1" s="12" t="s">
        <v>5415</v>
      </c>
      <c r="F1" s="12" t="s">
        <v>5416</v>
      </c>
      <c r="G1" s="12" t="s">
        <v>5417</v>
      </c>
      <c r="H1" s="12" t="s">
        <v>5418</v>
      </c>
      <c r="I1" s="12" t="s">
        <v>5419</v>
      </c>
      <c r="L1" s="19" t="s">
        <v>5024</v>
      </c>
    </row>
    <row r="2" spans="1:12" x14ac:dyDescent="0.45">
      <c r="A2" s="18">
        <v>45658</v>
      </c>
      <c r="B2" s="8">
        <v>134</v>
      </c>
      <c r="C2">
        <v>0.5</v>
      </c>
      <c r="D2">
        <f>B2-C2</f>
        <v>133.5</v>
      </c>
      <c r="E2">
        <f>ABS(D2)</f>
        <v>133.5</v>
      </c>
      <c r="F2">
        <f>E2^2</f>
        <v>17822.25</v>
      </c>
      <c r="G2" s="13">
        <f>E2/B2</f>
        <v>0.99626865671641796</v>
      </c>
      <c r="H2">
        <f>SUM(B:B)</f>
        <v>27085</v>
      </c>
      <c r="I2">
        <f>H2/365</f>
        <v>74.205479452054789</v>
      </c>
      <c r="L2" s="16">
        <v>1433380</v>
      </c>
    </row>
    <row r="3" spans="1:12" x14ac:dyDescent="0.45">
      <c r="A3" s="18">
        <v>45659</v>
      </c>
      <c r="B3" s="8">
        <v>136</v>
      </c>
      <c r="C3">
        <v>0.5</v>
      </c>
      <c r="D3">
        <f>B3-C3</f>
        <v>135.5</v>
      </c>
      <c r="E3">
        <f t="shared" ref="E3:E66" si="0">ABS(D3)</f>
        <v>135.5</v>
      </c>
      <c r="F3">
        <f t="shared" ref="F3:F66" si="1">E3^2</f>
        <v>18360.25</v>
      </c>
      <c r="G3" s="13">
        <f t="shared" ref="G3:G66" si="2">E3/B3</f>
        <v>0.99632352941176472</v>
      </c>
      <c r="L3" s="16">
        <v>2077500</v>
      </c>
    </row>
    <row r="4" spans="1:12" x14ac:dyDescent="0.45">
      <c r="A4" s="18">
        <v>45660</v>
      </c>
      <c r="B4" s="8">
        <v>103</v>
      </c>
      <c r="C4">
        <v>0.5</v>
      </c>
      <c r="D4">
        <f>B4-C4</f>
        <v>102.5</v>
      </c>
      <c r="E4">
        <f t="shared" si="0"/>
        <v>102.5</v>
      </c>
      <c r="F4">
        <f t="shared" si="1"/>
        <v>10506.25</v>
      </c>
      <c r="G4" s="13">
        <f t="shared" si="2"/>
        <v>0.99514563106796117</v>
      </c>
      <c r="L4" s="16">
        <v>525820</v>
      </c>
    </row>
    <row r="5" spans="1:12" x14ac:dyDescent="0.45">
      <c r="A5" s="18">
        <v>45661</v>
      </c>
      <c r="B5" s="8">
        <v>83</v>
      </c>
      <c r="C5">
        <v>0.5</v>
      </c>
      <c r="D5">
        <f>B5-C5</f>
        <v>82.5</v>
      </c>
      <c r="E5">
        <f t="shared" si="0"/>
        <v>82.5</v>
      </c>
      <c r="F5">
        <f t="shared" si="1"/>
        <v>6806.25</v>
      </c>
      <c r="G5" s="13">
        <f t="shared" si="2"/>
        <v>0.99397590361445787</v>
      </c>
      <c r="L5" s="16">
        <v>1682080</v>
      </c>
    </row>
    <row r="6" spans="1:12" x14ac:dyDescent="0.45">
      <c r="A6" s="18">
        <v>45662</v>
      </c>
      <c r="B6" s="8">
        <v>94</v>
      </c>
      <c r="C6">
        <v>0.5</v>
      </c>
      <c r="D6">
        <f>B6-C6</f>
        <v>93.5</v>
      </c>
      <c r="E6">
        <f t="shared" si="0"/>
        <v>93.5</v>
      </c>
      <c r="F6">
        <f t="shared" si="1"/>
        <v>8742.25</v>
      </c>
      <c r="G6" s="13">
        <f t="shared" si="2"/>
        <v>0.99468085106382975</v>
      </c>
      <c r="L6" s="16">
        <v>881260</v>
      </c>
    </row>
    <row r="7" spans="1:12" x14ac:dyDescent="0.45">
      <c r="A7" s="18">
        <v>45663</v>
      </c>
      <c r="B7" s="8">
        <v>101</v>
      </c>
      <c r="C7">
        <v>0.5</v>
      </c>
      <c r="D7">
        <f>B7-C7</f>
        <v>100.5</v>
      </c>
      <c r="E7">
        <f t="shared" si="0"/>
        <v>100.5</v>
      </c>
      <c r="F7">
        <f t="shared" si="1"/>
        <v>10100.25</v>
      </c>
      <c r="G7" s="13">
        <f t="shared" si="2"/>
        <v>0.99504950495049505</v>
      </c>
      <c r="L7" s="16">
        <v>1497580</v>
      </c>
    </row>
    <row r="8" spans="1:12" ht="15.75" x14ac:dyDescent="0.5">
      <c r="A8" s="18">
        <v>45664</v>
      </c>
      <c r="B8" s="8">
        <v>148</v>
      </c>
      <c r="C8">
        <v>0.5</v>
      </c>
      <c r="D8">
        <f>B8-C8</f>
        <v>147.5</v>
      </c>
      <c r="E8">
        <f t="shared" si="0"/>
        <v>147.5</v>
      </c>
      <c r="F8">
        <f t="shared" si="1"/>
        <v>21756.25</v>
      </c>
      <c r="G8" s="13">
        <f t="shared" si="2"/>
        <v>0.9966216216216216</v>
      </c>
      <c r="J8" s="11" t="s">
        <v>5411</v>
      </c>
      <c r="K8">
        <f>AVERAGE(E:E)</f>
        <v>73.909340659340657</v>
      </c>
      <c r="L8" s="16">
        <v>895600</v>
      </c>
    </row>
    <row r="9" spans="1:12" ht="15.75" x14ac:dyDescent="0.5">
      <c r="A9" s="18">
        <v>45665</v>
      </c>
      <c r="B9" s="8">
        <v>190</v>
      </c>
      <c r="C9">
        <v>0.5</v>
      </c>
      <c r="D9">
        <f>B9-C9</f>
        <v>189.5</v>
      </c>
      <c r="E9">
        <f t="shared" si="0"/>
        <v>189.5</v>
      </c>
      <c r="F9">
        <f t="shared" si="1"/>
        <v>35910.25</v>
      </c>
      <c r="G9" s="13">
        <f t="shared" si="2"/>
        <v>0.99736842105263157</v>
      </c>
      <c r="J9" s="11" t="s">
        <v>5421</v>
      </c>
      <c r="K9">
        <f>AVERAGE(F:F)</f>
        <v>6634.9313186813188</v>
      </c>
      <c r="L9" s="16">
        <v>3226720</v>
      </c>
    </row>
    <row r="10" spans="1:12" ht="16.149999999999999" thickBot="1" x14ac:dyDescent="0.55000000000000004">
      <c r="A10" s="18">
        <v>45666</v>
      </c>
      <c r="B10" s="8">
        <v>114</v>
      </c>
      <c r="C10">
        <v>0.5</v>
      </c>
      <c r="D10">
        <f>B10-C10</f>
        <v>113.5</v>
      </c>
      <c r="E10">
        <f t="shared" si="0"/>
        <v>113.5</v>
      </c>
      <c r="F10">
        <f t="shared" si="1"/>
        <v>12882.25</v>
      </c>
      <c r="G10" s="13">
        <f t="shared" si="2"/>
        <v>0.99561403508771928</v>
      </c>
      <c r="J10" s="14" t="s">
        <v>5422</v>
      </c>
      <c r="K10" s="13">
        <f>AVERAGE(G:G)</f>
        <v>0.99194575813349162</v>
      </c>
      <c r="L10" s="16">
        <v>1182410</v>
      </c>
    </row>
    <row r="11" spans="1:12" ht="16.149999999999999" thickTop="1" x14ac:dyDescent="0.5">
      <c r="A11" s="18">
        <v>45667</v>
      </c>
      <c r="B11" s="8">
        <v>132</v>
      </c>
      <c r="C11">
        <v>0.5</v>
      </c>
      <c r="D11">
        <f>B11-C11</f>
        <v>131.5</v>
      </c>
      <c r="E11">
        <f t="shared" si="0"/>
        <v>131.5</v>
      </c>
      <c r="F11">
        <f t="shared" si="1"/>
        <v>17292.25</v>
      </c>
      <c r="G11" s="13">
        <f t="shared" si="2"/>
        <v>0.99621212121212122</v>
      </c>
      <c r="J11" s="11" t="s">
        <v>5423</v>
      </c>
      <c r="K11" s="15">
        <f>100-K10</f>
        <v>99.008054241866503</v>
      </c>
      <c r="L11" s="16">
        <v>1182830</v>
      </c>
    </row>
    <row r="12" spans="1:12" x14ac:dyDescent="0.45">
      <c r="A12" s="18">
        <v>45668</v>
      </c>
      <c r="B12" s="8">
        <v>104</v>
      </c>
      <c r="C12">
        <v>0.5</v>
      </c>
      <c r="D12">
        <f>B12-C12</f>
        <v>103.5</v>
      </c>
      <c r="E12">
        <f t="shared" si="0"/>
        <v>103.5</v>
      </c>
      <c r="F12">
        <f t="shared" si="1"/>
        <v>10712.25</v>
      </c>
      <c r="G12" s="13">
        <f t="shared" si="2"/>
        <v>0.99519230769230771</v>
      </c>
      <c r="L12" s="16">
        <v>2244180</v>
      </c>
    </row>
    <row r="13" spans="1:12" x14ac:dyDescent="0.45">
      <c r="A13" s="18">
        <v>45669</v>
      </c>
      <c r="B13" s="8">
        <v>114</v>
      </c>
      <c r="C13">
        <v>0.5</v>
      </c>
      <c r="D13">
        <f>B13-C13</f>
        <v>113.5</v>
      </c>
      <c r="E13">
        <f t="shared" si="0"/>
        <v>113.5</v>
      </c>
      <c r="F13">
        <f t="shared" si="1"/>
        <v>12882.25</v>
      </c>
      <c r="G13" s="13">
        <f t="shared" si="2"/>
        <v>0.99561403508771928</v>
      </c>
      <c r="L13" s="16">
        <v>1306700</v>
      </c>
    </row>
    <row r="14" spans="1:12" x14ac:dyDescent="0.45">
      <c r="A14" s="18">
        <v>45670</v>
      </c>
      <c r="B14" s="8">
        <v>127</v>
      </c>
      <c r="C14">
        <v>0.5</v>
      </c>
      <c r="D14">
        <f>B14-C14</f>
        <v>126.5</v>
      </c>
      <c r="E14">
        <f t="shared" si="0"/>
        <v>126.5</v>
      </c>
      <c r="F14">
        <f t="shared" si="1"/>
        <v>16002.25</v>
      </c>
      <c r="G14" s="13">
        <f t="shared" si="2"/>
        <v>0.99606299212598426</v>
      </c>
      <c r="L14" s="16">
        <v>813280</v>
      </c>
    </row>
    <row r="15" spans="1:12" x14ac:dyDescent="0.45">
      <c r="A15" s="18">
        <v>45671</v>
      </c>
      <c r="B15" s="8">
        <v>107</v>
      </c>
      <c r="C15">
        <v>0.5</v>
      </c>
      <c r="D15">
        <f>B15-C15</f>
        <v>106.5</v>
      </c>
      <c r="E15">
        <f t="shared" si="0"/>
        <v>106.5</v>
      </c>
      <c r="F15">
        <f t="shared" si="1"/>
        <v>11342.25</v>
      </c>
      <c r="G15" s="13">
        <f t="shared" si="2"/>
        <v>0.99532710280373837</v>
      </c>
      <c r="L15" s="16">
        <v>1463800</v>
      </c>
    </row>
    <row r="16" spans="1:12" x14ac:dyDescent="0.45">
      <c r="A16" s="18">
        <v>45672</v>
      </c>
      <c r="B16" s="8">
        <v>141</v>
      </c>
      <c r="C16">
        <v>0.5</v>
      </c>
      <c r="D16">
        <f>B16-C16</f>
        <v>140.5</v>
      </c>
      <c r="E16">
        <f t="shared" si="0"/>
        <v>140.5</v>
      </c>
      <c r="F16">
        <f t="shared" si="1"/>
        <v>19740.25</v>
      </c>
      <c r="G16" s="13">
        <f t="shared" si="2"/>
        <v>0.99645390070921991</v>
      </c>
      <c r="L16" s="16">
        <v>1492800</v>
      </c>
    </row>
    <row r="17" spans="1:12" x14ac:dyDescent="0.45">
      <c r="A17" s="18">
        <v>45673</v>
      </c>
      <c r="B17" s="8">
        <v>134</v>
      </c>
      <c r="C17">
        <v>0.5</v>
      </c>
      <c r="D17">
        <f>B17-C17</f>
        <v>133.5</v>
      </c>
      <c r="E17">
        <f t="shared" si="0"/>
        <v>133.5</v>
      </c>
      <c r="F17">
        <f t="shared" si="1"/>
        <v>17822.25</v>
      </c>
      <c r="G17" s="13">
        <f t="shared" si="2"/>
        <v>0.99626865671641796</v>
      </c>
      <c r="L17" s="16">
        <v>1250350</v>
      </c>
    </row>
    <row r="18" spans="1:12" x14ac:dyDescent="0.45">
      <c r="A18" s="18">
        <v>45674</v>
      </c>
      <c r="B18" s="8">
        <v>130</v>
      </c>
      <c r="C18">
        <v>0.5</v>
      </c>
      <c r="D18">
        <f>B18-C18</f>
        <v>129.5</v>
      </c>
      <c r="E18">
        <f t="shared" si="0"/>
        <v>129.5</v>
      </c>
      <c r="F18">
        <f t="shared" si="1"/>
        <v>16770.25</v>
      </c>
      <c r="G18" s="13">
        <f t="shared" si="2"/>
        <v>0.99615384615384617</v>
      </c>
      <c r="L18" s="16">
        <v>1703700</v>
      </c>
    </row>
    <row r="19" spans="1:12" x14ac:dyDescent="0.45">
      <c r="A19" s="18">
        <v>45675</v>
      </c>
      <c r="B19" s="8">
        <v>116</v>
      </c>
      <c r="C19">
        <v>0.5</v>
      </c>
      <c r="D19">
        <f>B19-C19</f>
        <v>115.5</v>
      </c>
      <c r="E19">
        <f t="shared" si="0"/>
        <v>115.5</v>
      </c>
      <c r="F19">
        <f t="shared" si="1"/>
        <v>13340.25</v>
      </c>
      <c r="G19" s="13">
        <f t="shared" si="2"/>
        <v>0.99568965517241381</v>
      </c>
      <c r="L19" s="16">
        <v>898180</v>
      </c>
    </row>
    <row r="20" spans="1:12" x14ac:dyDescent="0.45">
      <c r="A20" s="18">
        <v>45676</v>
      </c>
      <c r="B20" s="8">
        <v>137</v>
      </c>
      <c r="C20">
        <v>0.5</v>
      </c>
      <c r="D20">
        <f>B20-C20</f>
        <v>136.5</v>
      </c>
      <c r="E20">
        <f t="shared" si="0"/>
        <v>136.5</v>
      </c>
      <c r="F20">
        <f t="shared" si="1"/>
        <v>18632.25</v>
      </c>
      <c r="G20" s="13">
        <f t="shared" si="2"/>
        <v>0.9963503649635036</v>
      </c>
      <c r="L20" s="16">
        <v>2329080</v>
      </c>
    </row>
    <row r="21" spans="1:12" x14ac:dyDescent="0.45">
      <c r="A21" s="18">
        <v>45677</v>
      </c>
      <c r="B21" s="8">
        <v>123</v>
      </c>
      <c r="C21">
        <v>0.5</v>
      </c>
      <c r="D21">
        <f>B21-C21</f>
        <v>122.5</v>
      </c>
      <c r="E21">
        <f t="shared" si="0"/>
        <v>122.5</v>
      </c>
      <c r="F21">
        <f t="shared" si="1"/>
        <v>15006.25</v>
      </c>
      <c r="G21" s="13">
        <f t="shared" si="2"/>
        <v>0.99593495934959353</v>
      </c>
      <c r="L21" s="16">
        <v>888080</v>
      </c>
    </row>
    <row r="22" spans="1:12" x14ac:dyDescent="0.45">
      <c r="A22" s="18">
        <v>45678</v>
      </c>
      <c r="B22" s="8">
        <v>100</v>
      </c>
      <c r="C22">
        <v>0.5</v>
      </c>
      <c r="D22">
        <f>B22-C22</f>
        <v>99.5</v>
      </c>
      <c r="E22">
        <f t="shared" si="0"/>
        <v>99.5</v>
      </c>
      <c r="F22">
        <f t="shared" si="1"/>
        <v>9900.25</v>
      </c>
      <c r="G22" s="13">
        <f t="shared" si="2"/>
        <v>0.995</v>
      </c>
      <c r="L22" s="16">
        <v>803630</v>
      </c>
    </row>
    <row r="23" spans="1:12" x14ac:dyDescent="0.45">
      <c r="A23" s="18">
        <v>45679</v>
      </c>
      <c r="B23" s="8">
        <v>89</v>
      </c>
      <c r="C23">
        <v>0.5</v>
      </c>
      <c r="D23">
        <f>B23-C23</f>
        <v>88.5</v>
      </c>
      <c r="E23">
        <f t="shared" si="0"/>
        <v>88.5</v>
      </c>
      <c r="F23">
        <f t="shared" si="1"/>
        <v>7832.25</v>
      </c>
      <c r="G23" s="13">
        <f t="shared" si="2"/>
        <v>0.9943820224719101</v>
      </c>
      <c r="L23" s="16">
        <v>652070</v>
      </c>
    </row>
    <row r="24" spans="1:12" x14ac:dyDescent="0.45">
      <c r="A24" s="18">
        <v>45680</v>
      </c>
      <c r="B24" s="8">
        <v>157</v>
      </c>
      <c r="C24">
        <v>0.5</v>
      </c>
      <c r="D24">
        <f>B24-C24</f>
        <v>156.5</v>
      </c>
      <c r="E24">
        <f t="shared" si="0"/>
        <v>156.5</v>
      </c>
      <c r="F24">
        <f t="shared" si="1"/>
        <v>24492.25</v>
      </c>
      <c r="G24" s="13">
        <f t="shared" si="2"/>
        <v>0.99681528662420382</v>
      </c>
      <c r="L24" s="16">
        <v>2954620</v>
      </c>
    </row>
    <row r="25" spans="1:12" x14ac:dyDescent="0.45">
      <c r="A25" s="18">
        <v>45681</v>
      </c>
      <c r="B25" s="8">
        <v>133</v>
      </c>
      <c r="C25">
        <v>0.5</v>
      </c>
      <c r="D25">
        <f>B25-C25</f>
        <v>132.5</v>
      </c>
      <c r="E25">
        <f t="shared" si="0"/>
        <v>132.5</v>
      </c>
      <c r="F25">
        <f t="shared" si="1"/>
        <v>17556.25</v>
      </c>
      <c r="G25" s="13">
        <f t="shared" si="2"/>
        <v>0.99624060150375937</v>
      </c>
      <c r="L25" s="16">
        <v>1229890</v>
      </c>
    </row>
    <row r="26" spans="1:12" x14ac:dyDescent="0.45">
      <c r="A26" s="18">
        <v>45682</v>
      </c>
      <c r="B26" s="8">
        <v>161</v>
      </c>
      <c r="C26">
        <v>0.5</v>
      </c>
      <c r="D26">
        <f>B26-C26</f>
        <v>160.5</v>
      </c>
      <c r="E26">
        <f t="shared" si="0"/>
        <v>160.5</v>
      </c>
      <c r="F26">
        <f t="shared" si="1"/>
        <v>25760.25</v>
      </c>
      <c r="G26" s="13">
        <f t="shared" si="2"/>
        <v>0.99689440993788825</v>
      </c>
      <c r="L26" s="16">
        <v>1674810</v>
      </c>
    </row>
    <row r="27" spans="1:12" x14ac:dyDescent="0.45">
      <c r="A27" s="18">
        <v>45683</v>
      </c>
      <c r="B27" s="8">
        <v>125</v>
      </c>
      <c r="C27">
        <v>0.5</v>
      </c>
      <c r="D27">
        <f>B27-C27</f>
        <v>124.5</v>
      </c>
      <c r="E27">
        <f t="shared" si="0"/>
        <v>124.5</v>
      </c>
      <c r="F27">
        <f t="shared" si="1"/>
        <v>15500.25</v>
      </c>
      <c r="G27" s="13">
        <f t="shared" si="2"/>
        <v>0.996</v>
      </c>
      <c r="L27" s="16">
        <v>1161750</v>
      </c>
    </row>
    <row r="28" spans="1:12" x14ac:dyDescent="0.45">
      <c r="A28" s="18">
        <v>45684</v>
      </c>
      <c r="B28" s="8">
        <v>126</v>
      </c>
      <c r="C28">
        <v>0.5</v>
      </c>
      <c r="D28">
        <f>B28-C28</f>
        <v>125.5</v>
      </c>
      <c r="E28">
        <f t="shared" si="0"/>
        <v>125.5</v>
      </c>
      <c r="F28">
        <f t="shared" si="1"/>
        <v>15750.25</v>
      </c>
      <c r="G28" s="13">
        <f t="shared" si="2"/>
        <v>0.99603174603174605</v>
      </c>
      <c r="L28" s="16">
        <v>1090320</v>
      </c>
    </row>
    <row r="29" spans="1:12" x14ac:dyDescent="0.45">
      <c r="A29" s="18">
        <v>45685</v>
      </c>
      <c r="B29" s="8">
        <v>158</v>
      </c>
      <c r="C29">
        <v>0.5</v>
      </c>
      <c r="D29">
        <f>B29-C29</f>
        <v>157.5</v>
      </c>
      <c r="E29">
        <f t="shared" si="0"/>
        <v>157.5</v>
      </c>
      <c r="F29">
        <f t="shared" si="1"/>
        <v>24806.25</v>
      </c>
      <c r="G29" s="13">
        <f t="shared" si="2"/>
        <v>0.99683544303797467</v>
      </c>
      <c r="L29" s="16">
        <v>1774670</v>
      </c>
    </row>
    <row r="30" spans="1:12" x14ac:dyDescent="0.45">
      <c r="A30" s="18">
        <v>45686</v>
      </c>
      <c r="B30" s="8">
        <v>148</v>
      </c>
      <c r="C30">
        <v>0.5</v>
      </c>
      <c r="D30">
        <f>B30-C30</f>
        <v>147.5</v>
      </c>
      <c r="E30">
        <f t="shared" si="0"/>
        <v>147.5</v>
      </c>
      <c r="F30">
        <f t="shared" si="1"/>
        <v>21756.25</v>
      </c>
      <c r="G30" s="13">
        <f t="shared" si="2"/>
        <v>0.9966216216216216</v>
      </c>
      <c r="L30" s="16">
        <v>1385720</v>
      </c>
    </row>
    <row r="31" spans="1:12" x14ac:dyDescent="0.45">
      <c r="A31" s="18">
        <v>45687</v>
      </c>
      <c r="B31" s="8">
        <v>98</v>
      </c>
      <c r="C31">
        <v>0.5</v>
      </c>
      <c r="D31">
        <f>B31-C31</f>
        <v>97.5</v>
      </c>
      <c r="E31">
        <f t="shared" si="0"/>
        <v>97.5</v>
      </c>
      <c r="F31">
        <f t="shared" si="1"/>
        <v>9506.25</v>
      </c>
      <c r="G31" s="13">
        <f t="shared" si="2"/>
        <v>0.99489795918367352</v>
      </c>
      <c r="L31" s="16">
        <v>1043110</v>
      </c>
    </row>
    <row r="32" spans="1:12" x14ac:dyDescent="0.45">
      <c r="A32" s="18">
        <v>45688</v>
      </c>
      <c r="B32" s="8">
        <v>126</v>
      </c>
      <c r="C32">
        <v>0.5</v>
      </c>
      <c r="D32">
        <f>B32-C32</f>
        <v>125.5</v>
      </c>
      <c r="E32">
        <f t="shared" si="0"/>
        <v>125.5</v>
      </c>
      <c r="F32">
        <f t="shared" si="1"/>
        <v>15750.25</v>
      </c>
      <c r="G32" s="13">
        <f t="shared" si="2"/>
        <v>0.99603174603174605</v>
      </c>
      <c r="L32" s="16">
        <v>771460</v>
      </c>
    </row>
    <row r="33" spans="1:12" x14ac:dyDescent="0.45">
      <c r="A33" s="18">
        <v>45689</v>
      </c>
      <c r="B33" s="8">
        <v>64</v>
      </c>
      <c r="C33">
        <v>0.5</v>
      </c>
      <c r="D33">
        <f>B33-C33</f>
        <v>63.5</v>
      </c>
      <c r="E33">
        <f t="shared" si="0"/>
        <v>63.5</v>
      </c>
      <c r="F33">
        <f t="shared" si="1"/>
        <v>4032.25</v>
      </c>
      <c r="G33" s="13">
        <f t="shared" si="2"/>
        <v>0.9921875</v>
      </c>
      <c r="L33" s="16">
        <v>660720</v>
      </c>
    </row>
    <row r="34" spans="1:12" x14ac:dyDescent="0.45">
      <c r="A34" s="18">
        <v>45690</v>
      </c>
      <c r="B34" s="8">
        <v>165</v>
      </c>
      <c r="C34">
        <v>0.5</v>
      </c>
      <c r="D34">
        <f>B34-C34</f>
        <v>164.5</v>
      </c>
      <c r="E34">
        <f t="shared" si="0"/>
        <v>164.5</v>
      </c>
      <c r="F34">
        <f t="shared" si="1"/>
        <v>27060.25</v>
      </c>
      <c r="G34" s="13">
        <f t="shared" si="2"/>
        <v>0.99696969696969695</v>
      </c>
      <c r="L34" s="16">
        <v>2925200</v>
      </c>
    </row>
    <row r="35" spans="1:12" x14ac:dyDescent="0.45">
      <c r="A35" s="18">
        <v>45691</v>
      </c>
      <c r="B35" s="8">
        <v>128</v>
      </c>
      <c r="C35">
        <v>0.5</v>
      </c>
      <c r="D35">
        <f>B35-C35</f>
        <v>127.5</v>
      </c>
      <c r="E35">
        <f t="shared" si="0"/>
        <v>127.5</v>
      </c>
      <c r="F35">
        <f t="shared" si="1"/>
        <v>16256.25</v>
      </c>
      <c r="G35" s="13">
        <f t="shared" si="2"/>
        <v>0.99609375</v>
      </c>
      <c r="L35" s="16">
        <v>2020300</v>
      </c>
    </row>
    <row r="36" spans="1:12" x14ac:dyDescent="0.45">
      <c r="A36" s="18">
        <v>45692</v>
      </c>
      <c r="B36" s="8">
        <v>87</v>
      </c>
      <c r="C36">
        <v>0.5</v>
      </c>
      <c r="D36">
        <f>B36-C36</f>
        <v>86.5</v>
      </c>
      <c r="E36">
        <f t="shared" si="0"/>
        <v>86.5</v>
      </c>
      <c r="F36">
        <f t="shared" si="1"/>
        <v>7482.25</v>
      </c>
      <c r="G36" s="13">
        <f t="shared" si="2"/>
        <v>0.99425287356321834</v>
      </c>
      <c r="L36" s="16">
        <v>928880</v>
      </c>
    </row>
    <row r="37" spans="1:12" x14ac:dyDescent="0.45">
      <c r="A37" s="18">
        <v>45693</v>
      </c>
      <c r="B37" s="8">
        <v>139</v>
      </c>
      <c r="C37">
        <v>0.5</v>
      </c>
      <c r="D37">
        <f>B37-C37</f>
        <v>138.5</v>
      </c>
      <c r="E37">
        <f t="shared" si="0"/>
        <v>138.5</v>
      </c>
      <c r="F37">
        <f t="shared" si="1"/>
        <v>19182.25</v>
      </c>
      <c r="G37" s="13">
        <f t="shared" si="2"/>
        <v>0.99640287769784175</v>
      </c>
      <c r="L37" s="16">
        <v>1795840</v>
      </c>
    </row>
    <row r="38" spans="1:12" x14ac:dyDescent="0.45">
      <c r="A38" s="18">
        <v>45694</v>
      </c>
      <c r="B38" s="8">
        <v>119</v>
      </c>
      <c r="C38">
        <v>0.5</v>
      </c>
      <c r="D38">
        <f>B38-C38</f>
        <v>118.5</v>
      </c>
      <c r="E38">
        <f t="shared" si="0"/>
        <v>118.5</v>
      </c>
      <c r="F38">
        <f t="shared" si="1"/>
        <v>14042.25</v>
      </c>
      <c r="G38" s="13">
        <f t="shared" si="2"/>
        <v>0.99579831932773111</v>
      </c>
      <c r="L38" s="16">
        <v>1849460</v>
      </c>
    </row>
    <row r="39" spans="1:12" x14ac:dyDescent="0.45">
      <c r="A39" s="18">
        <v>45695</v>
      </c>
      <c r="B39" s="8">
        <v>203</v>
      </c>
      <c r="C39">
        <v>0.5</v>
      </c>
      <c r="D39">
        <f>B39-C39</f>
        <v>202.5</v>
      </c>
      <c r="E39">
        <f t="shared" si="0"/>
        <v>202.5</v>
      </c>
      <c r="F39">
        <f t="shared" si="1"/>
        <v>41006.25</v>
      </c>
      <c r="G39" s="13">
        <f t="shared" si="2"/>
        <v>0.99753694581280783</v>
      </c>
      <c r="L39" s="16">
        <v>2347060</v>
      </c>
    </row>
    <row r="40" spans="1:12" x14ac:dyDescent="0.45">
      <c r="A40" s="18">
        <v>45696</v>
      </c>
      <c r="B40" s="8">
        <v>123</v>
      </c>
      <c r="C40">
        <v>0.5</v>
      </c>
      <c r="D40">
        <f>B40-C40</f>
        <v>122.5</v>
      </c>
      <c r="E40">
        <f t="shared" si="0"/>
        <v>122.5</v>
      </c>
      <c r="F40">
        <f t="shared" si="1"/>
        <v>15006.25</v>
      </c>
      <c r="G40" s="13">
        <f t="shared" si="2"/>
        <v>0.99593495934959353</v>
      </c>
      <c r="L40" s="16">
        <v>1087660</v>
      </c>
    </row>
    <row r="41" spans="1:12" x14ac:dyDescent="0.45">
      <c r="A41" s="18">
        <v>45697</v>
      </c>
      <c r="B41" s="8">
        <v>123</v>
      </c>
      <c r="C41">
        <v>0.5</v>
      </c>
      <c r="D41">
        <f>B41-C41</f>
        <v>122.5</v>
      </c>
      <c r="E41">
        <f t="shared" si="0"/>
        <v>122.5</v>
      </c>
      <c r="F41">
        <f t="shared" si="1"/>
        <v>15006.25</v>
      </c>
      <c r="G41" s="13">
        <f t="shared" si="2"/>
        <v>0.99593495934959353</v>
      </c>
      <c r="L41" s="16">
        <v>1250460</v>
      </c>
    </row>
    <row r="42" spans="1:12" x14ac:dyDescent="0.45">
      <c r="A42" s="18">
        <v>45698</v>
      </c>
      <c r="B42" s="8">
        <v>100</v>
      </c>
      <c r="C42">
        <v>0.5</v>
      </c>
      <c r="D42">
        <f>B42-C42</f>
        <v>99.5</v>
      </c>
      <c r="E42">
        <f t="shared" si="0"/>
        <v>99.5</v>
      </c>
      <c r="F42">
        <f t="shared" si="1"/>
        <v>9900.25</v>
      </c>
      <c r="G42" s="13">
        <f t="shared" si="2"/>
        <v>0.995</v>
      </c>
      <c r="L42" s="16">
        <v>808910</v>
      </c>
    </row>
    <row r="43" spans="1:12" x14ac:dyDescent="0.45">
      <c r="A43" s="18">
        <v>45699</v>
      </c>
      <c r="B43" s="8">
        <v>97</v>
      </c>
      <c r="C43">
        <v>0.5</v>
      </c>
      <c r="D43">
        <f>B43-C43</f>
        <v>96.5</v>
      </c>
      <c r="E43">
        <f t="shared" si="0"/>
        <v>96.5</v>
      </c>
      <c r="F43">
        <f t="shared" si="1"/>
        <v>9312.25</v>
      </c>
      <c r="G43" s="13">
        <f t="shared" si="2"/>
        <v>0.99484536082474229</v>
      </c>
      <c r="L43" s="16">
        <v>1736990</v>
      </c>
    </row>
    <row r="44" spans="1:12" x14ac:dyDescent="0.45">
      <c r="A44" s="18">
        <v>45700</v>
      </c>
      <c r="B44" s="8">
        <v>83</v>
      </c>
      <c r="C44">
        <v>0.5</v>
      </c>
      <c r="D44">
        <f>B44-C44</f>
        <v>82.5</v>
      </c>
      <c r="E44">
        <f t="shared" si="0"/>
        <v>82.5</v>
      </c>
      <c r="F44">
        <f t="shared" si="1"/>
        <v>6806.25</v>
      </c>
      <c r="G44" s="13">
        <f t="shared" si="2"/>
        <v>0.99397590361445787</v>
      </c>
      <c r="L44" s="16">
        <v>1388850</v>
      </c>
    </row>
    <row r="45" spans="1:12" x14ac:dyDescent="0.45">
      <c r="A45" s="18">
        <v>45701</v>
      </c>
      <c r="B45" s="8">
        <v>87</v>
      </c>
      <c r="C45">
        <v>0.5</v>
      </c>
      <c r="D45">
        <f>B45-C45</f>
        <v>86.5</v>
      </c>
      <c r="E45">
        <f t="shared" si="0"/>
        <v>86.5</v>
      </c>
      <c r="F45">
        <f t="shared" si="1"/>
        <v>7482.25</v>
      </c>
      <c r="G45" s="13">
        <f t="shared" si="2"/>
        <v>0.99425287356321834</v>
      </c>
      <c r="L45" s="16">
        <v>904460</v>
      </c>
    </row>
    <row r="46" spans="1:12" x14ac:dyDescent="0.45">
      <c r="A46" s="18">
        <v>45702</v>
      </c>
      <c r="B46" s="8">
        <v>67</v>
      </c>
      <c r="C46">
        <v>0.5</v>
      </c>
      <c r="D46">
        <f>B46-C46</f>
        <v>66.5</v>
      </c>
      <c r="E46">
        <f t="shared" si="0"/>
        <v>66.5</v>
      </c>
      <c r="F46">
        <f t="shared" si="1"/>
        <v>4422.25</v>
      </c>
      <c r="G46" s="13">
        <f t="shared" si="2"/>
        <v>0.9925373134328358</v>
      </c>
      <c r="L46" s="16">
        <v>1305150</v>
      </c>
    </row>
    <row r="47" spans="1:12" x14ac:dyDescent="0.45">
      <c r="A47" s="18">
        <v>45703</v>
      </c>
      <c r="B47" s="8">
        <v>184</v>
      </c>
      <c r="C47">
        <v>0.5</v>
      </c>
      <c r="D47">
        <f>B47-C47</f>
        <v>183.5</v>
      </c>
      <c r="E47">
        <f t="shared" si="0"/>
        <v>183.5</v>
      </c>
      <c r="F47">
        <f t="shared" si="1"/>
        <v>33672.25</v>
      </c>
      <c r="G47" s="13">
        <f t="shared" si="2"/>
        <v>0.99728260869565222</v>
      </c>
      <c r="L47" s="16">
        <v>1806540</v>
      </c>
    </row>
    <row r="48" spans="1:12" x14ac:dyDescent="0.45">
      <c r="A48" s="18">
        <v>45704</v>
      </c>
      <c r="B48" s="8">
        <v>134</v>
      </c>
      <c r="C48">
        <v>0.5</v>
      </c>
      <c r="D48">
        <f>B48-C48</f>
        <v>133.5</v>
      </c>
      <c r="E48">
        <f t="shared" si="0"/>
        <v>133.5</v>
      </c>
      <c r="F48">
        <f t="shared" si="1"/>
        <v>17822.25</v>
      </c>
      <c r="G48" s="13">
        <f t="shared" si="2"/>
        <v>0.99626865671641796</v>
      </c>
      <c r="L48" s="16">
        <v>1331420</v>
      </c>
    </row>
    <row r="49" spans="1:12" x14ac:dyDescent="0.45">
      <c r="A49" s="18">
        <v>45705</v>
      </c>
      <c r="B49" s="8">
        <v>130</v>
      </c>
      <c r="C49">
        <v>0.5</v>
      </c>
      <c r="D49">
        <f>B49-C49</f>
        <v>129.5</v>
      </c>
      <c r="E49">
        <f t="shared" si="0"/>
        <v>129.5</v>
      </c>
      <c r="F49">
        <f t="shared" si="1"/>
        <v>16770.25</v>
      </c>
      <c r="G49" s="13">
        <f t="shared" si="2"/>
        <v>0.99615384615384617</v>
      </c>
      <c r="L49" s="16">
        <v>1397520</v>
      </c>
    </row>
    <row r="50" spans="1:12" x14ac:dyDescent="0.45">
      <c r="A50" s="18">
        <v>45706</v>
      </c>
      <c r="B50" s="8">
        <v>85</v>
      </c>
      <c r="C50">
        <v>0.5</v>
      </c>
      <c r="D50">
        <f>B50-C50</f>
        <v>84.5</v>
      </c>
      <c r="E50">
        <f t="shared" si="0"/>
        <v>84.5</v>
      </c>
      <c r="F50">
        <f t="shared" si="1"/>
        <v>7140.25</v>
      </c>
      <c r="G50" s="13">
        <f t="shared" si="2"/>
        <v>0.99411764705882355</v>
      </c>
      <c r="L50" s="16">
        <v>746900</v>
      </c>
    </row>
    <row r="51" spans="1:12" x14ac:dyDescent="0.45">
      <c r="A51" s="18">
        <v>45707</v>
      </c>
      <c r="B51" s="8">
        <v>111</v>
      </c>
      <c r="C51">
        <v>0.5</v>
      </c>
      <c r="D51">
        <f>B51-C51</f>
        <v>110.5</v>
      </c>
      <c r="E51">
        <f t="shared" si="0"/>
        <v>110.5</v>
      </c>
      <c r="F51">
        <f t="shared" si="1"/>
        <v>12210.25</v>
      </c>
      <c r="G51" s="13">
        <f t="shared" si="2"/>
        <v>0.99549549549549554</v>
      </c>
      <c r="L51" s="16">
        <v>912630</v>
      </c>
    </row>
    <row r="52" spans="1:12" x14ac:dyDescent="0.45">
      <c r="A52" s="18">
        <v>45708</v>
      </c>
      <c r="B52" s="8">
        <v>89</v>
      </c>
      <c r="C52">
        <v>0.5</v>
      </c>
      <c r="D52">
        <f>B52-C52</f>
        <v>88.5</v>
      </c>
      <c r="E52">
        <f t="shared" si="0"/>
        <v>88.5</v>
      </c>
      <c r="F52">
        <f t="shared" si="1"/>
        <v>7832.25</v>
      </c>
      <c r="G52" s="13">
        <f t="shared" si="2"/>
        <v>0.9943820224719101</v>
      </c>
      <c r="L52" s="16">
        <v>1342760</v>
      </c>
    </row>
    <row r="53" spans="1:12" x14ac:dyDescent="0.45">
      <c r="A53" s="18">
        <v>45709</v>
      </c>
      <c r="B53" s="8">
        <v>87</v>
      </c>
      <c r="C53">
        <v>0.5</v>
      </c>
      <c r="D53">
        <f>B53-C53</f>
        <v>86.5</v>
      </c>
      <c r="E53">
        <f t="shared" si="0"/>
        <v>86.5</v>
      </c>
      <c r="F53">
        <f t="shared" si="1"/>
        <v>7482.25</v>
      </c>
      <c r="G53" s="13">
        <f t="shared" si="2"/>
        <v>0.99425287356321834</v>
      </c>
      <c r="L53" s="16">
        <v>606480</v>
      </c>
    </row>
    <row r="54" spans="1:12" x14ac:dyDescent="0.45">
      <c r="A54" s="18">
        <v>45710</v>
      </c>
      <c r="B54" s="8">
        <v>145</v>
      </c>
      <c r="C54">
        <v>0.5</v>
      </c>
      <c r="D54">
        <f>B54-C54</f>
        <v>144.5</v>
      </c>
      <c r="E54">
        <f t="shared" si="0"/>
        <v>144.5</v>
      </c>
      <c r="F54">
        <f t="shared" si="1"/>
        <v>20880.25</v>
      </c>
      <c r="G54" s="13">
        <f t="shared" si="2"/>
        <v>0.99655172413793103</v>
      </c>
      <c r="L54" s="16">
        <v>1226420</v>
      </c>
    </row>
    <row r="55" spans="1:12" x14ac:dyDescent="0.45">
      <c r="A55" s="18">
        <v>45711</v>
      </c>
      <c r="B55" s="8">
        <v>84</v>
      </c>
      <c r="C55">
        <v>0.5</v>
      </c>
      <c r="D55">
        <f>B55-C55</f>
        <v>83.5</v>
      </c>
      <c r="E55">
        <f t="shared" si="0"/>
        <v>83.5</v>
      </c>
      <c r="F55">
        <f t="shared" si="1"/>
        <v>6972.25</v>
      </c>
      <c r="G55" s="13">
        <f t="shared" si="2"/>
        <v>0.99404761904761907</v>
      </c>
      <c r="L55" s="16">
        <v>1008300</v>
      </c>
    </row>
    <row r="56" spans="1:12" x14ac:dyDescent="0.45">
      <c r="A56" s="18">
        <v>45712</v>
      </c>
      <c r="B56" s="8">
        <v>128</v>
      </c>
      <c r="C56">
        <v>0.5</v>
      </c>
      <c r="D56">
        <f>B56-C56</f>
        <v>127.5</v>
      </c>
      <c r="E56">
        <f t="shared" si="0"/>
        <v>127.5</v>
      </c>
      <c r="F56">
        <f t="shared" si="1"/>
        <v>16256.25</v>
      </c>
      <c r="G56" s="13">
        <f t="shared" si="2"/>
        <v>0.99609375</v>
      </c>
      <c r="L56" s="16">
        <v>1406260</v>
      </c>
    </row>
    <row r="57" spans="1:12" x14ac:dyDescent="0.45">
      <c r="A57" s="18">
        <v>45713</v>
      </c>
      <c r="B57" s="8">
        <v>112</v>
      </c>
      <c r="C57">
        <v>0.5</v>
      </c>
      <c r="D57">
        <f>B57-C57</f>
        <v>111.5</v>
      </c>
      <c r="E57">
        <f t="shared" si="0"/>
        <v>111.5</v>
      </c>
      <c r="F57">
        <f t="shared" si="1"/>
        <v>12432.25</v>
      </c>
      <c r="G57" s="13">
        <f t="shared" si="2"/>
        <v>0.9955357142857143</v>
      </c>
      <c r="L57" s="16">
        <v>1046800</v>
      </c>
    </row>
    <row r="58" spans="1:12" x14ac:dyDescent="0.45">
      <c r="A58" s="18">
        <v>45714</v>
      </c>
      <c r="B58" s="8">
        <v>110</v>
      </c>
      <c r="C58">
        <v>0.5</v>
      </c>
      <c r="D58">
        <f>B58-C58</f>
        <v>109.5</v>
      </c>
      <c r="E58">
        <f t="shared" si="0"/>
        <v>109.5</v>
      </c>
      <c r="F58">
        <f t="shared" si="1"/>
        <v>11990.25</v>
      </c>
      <c r="G58" s="13">
        <f t="shared" si="2"/>
        <v>0.99545454545454548</v>
      </c>
      <c r="L58" s="16">
        <v>1587620</v>
      </c>
    </row>
    <row r="59" spans="1:12" x14ac:dyDescent="0.45">
      <c r="A59" s="18">
        <v>45715</v>
      </c>
      <c r="B59" s="8">
        <v>156</v>
      </c>
      <c r="C59">
        <v>0.5</v>
      </c>
      <c r="D59">
        <f>B59-C59</f>
        <v>155.5</v>
      </c>
      <c r="E59">
        <f t="shared" si="0"/>
        <v>155.5</v>
      </c>
      <c r="F59">
        <f t="shared" si="1"/>
        <v>24180.25</v>
      </c>
      <c r="G59" s="13">
        <f t="shared" si="2"/>
        <v>0.99679487179487181</v>
      </c>
      <c r="L59" s="16">
        <v>2620050</v>
      </c>
    </row>
    <row r="60" spans="1:12" x14ac:dyDescent="0.45">
      <c r="A60" s="18">
        <v>45716</v>
      </c>
      <c r="B60" s="8">
        <v>162</v>
      </c>
      <c r="C60">
        <v>0.5</v>
      </c>
      <c r="D60">
        <f>B60-C60</f>
        <v>161.5</v>
      </c>
      <c r="E60">
        <f t="shared" si="0"/>
        <v>161.5</v>
      </c>
      <c r="F60">
        <f t="shared" si="1"/>
        <v>26082.25</v>
      </c>
      <c r="G60" s="13">
        <f t="shared" si="2"/>
        <v>0.99691358024691357</v>
      </c>
      <c r="L60" s="16">
        <v>964780</v>
      </c>
    </row>
    <row r="61" spans="1:12" x14ac:dyDescent="0.45">
      <c r="A61" s="18">
        <v>45717</v>
      </c>
      <c r="B61" s="8">
        <v>112</v>
      </c>
      <c r="C61">
        <v>0.5</v>
      </c>
      <c r="D61">
        <f>B61-C61</f>
        <v>111.5</v>
      </c>
      <c r="E61">
        <f t="shared" si="0"/>
        <v>111.5</v>
      </c>
      <c r="F61">
        <f t="shared" si="1"/>
        <v>12432.25</v>
      </c>
      <c r="G61" s="13">
        <f t="shared" si="2"/>
        <v>0.9955357142857143</v>
      </c>
      <c r="L61" s="16">
        <v>1207260</v>
      </c>
    </row>
    <row r="62" spans="1:12" x14ac:dyDescent="0.45">
      <c r="A62" s="18">
        <v>45718</v>
      </c>
      <c r="B62" s="8">
        <v>193</v>
      </c>
      <c r="C62">
        <v>0.5</v>
      </c>
      <c r="D62">
        <f>B62-C62</f>
        <v>192.5</v>
      </c>
      <c r="E62">
        <f t="shared" si="0"/>
        <v>192.5</v>
      </c>
      <c r="F62">
        <f t="shared" si="1"/>
        <v>37056.25</v>
      </c>
      <c r="G62" s="13">
        <f t="shared" si="2"/>
        <v>0.99740932642487046</v>
      </c>
      <c r="L62" s="16">
        <v>1097290</v>
      </c>
    </row>
    <row r="63" spans="1:12" x14ac:dyDescent="0.45">
      <c r="A63" s="18">
        <v>45719</v>
      </c>
      <c r="B63" s="8">
        <v>159</v>
      </c>
      <c r="C63">
        <v>0.5</v>
      </c>
      <c r="D63">
        <f>B63-C63</f>
        <v>158.5</v>
      </c>
      <c r="E63">
        <f t="shared" si="0"/>
        <v>158.5</v>
      </c>
      <c r="F63">
        <f t="shared" si="1"/>
        <v>25122.25</v>
      </c>
      <c r="G63" s="13">
        <f t="shared" si="2"/>
        <v>0.99685534591194969</v>
      </c>
      <c r="L63" s="16">
        <v>1942550</v>
      </c>
    </row>
    <row r="64" spans="1:12" x14ac:dyDescent="0.45">
      <c r="A64" s="18">
        <v>45720</v>
      </c>
      <c r="B64" s="8">
        <v>135</v>
      </c>
      <c r="C64">
        <v>0.5</v>
      </c>
      <c r="D64">
        <f>B64-C64</f>
        <v>134.5</v>
      </c>
      <c r="E64">
        <f t="shared" si="0"/>
        <v>134.5</v>
      </c>
      <c r="F64">
        <f t="shared" si="1"/>
        <v>18090.25</v>
      </c>
      <c r="G64" s="13">
        <f t="shared" si="2"/>
        <v>0.99629629629629635</v>
      </c>
      <c r="L64" s="16">
        <v>1663640</v>
      </c>
    </row>
    <row r="65" spans="1:12" x14ac:dyDescent="0.45">
      <c r="A65" s="18">
        <v>45721</v>
      </c>
      <c r="B65" s="8">
        <v>167</v>
      </c>
      <c r="C65">
        <v>0.5</v>
      </c>
      <c r="D65">
        <f>B65-C65</f>
        <v>166.5</v>
      </c>
      <c r="E65">
        <f t="shared" si="0"/>
        <v>166.5</v>
      </c>
      <c r="F65">
        <f t="shared" si="1"/>
        <v>27722.25</v>
      </c>
      <c r="G65" s="13">
        <f t="shared" si="2"/>
        <v>0.99700598802395213</v>
      </c>
      <c r="L65" s="16">
        <v>1747280</v>
      </c>
    </row>
    <row r="66" spans="1:12" x14ac:dyDescent="0.45">
      <c r="A66" s="18">
        <v>45722</v>
      </c>
      <c r="B66" s="8">
        <v>131</v>
      </c>
      <c r="C66">
        <v>0.5</v>
      </c>
      <c r="D66">
        <f>B66-C66</f>
        <v>130.5</v>
      </c>
      <c r="E66">
        <f t="shared" si="0"/>
        <v>130.5</v>
      </c>
      <c r="F66">
        <f t="shared" si="1"/>
        <v>17030.25</v>
      </c>
      <c r="G66" s="13">
        <f t="shared" si="2"/>
        <v>0.99618320610687028</v>
      </c>
      <c r="L66" s="16">
        <v>1090540</v>
      </c>
    </row>
    <row r="67" spans="1:12" x14ac:dyDescent="0.45">
      <c r="A67" s="18">
        <v>45723</v>
      </c>
      <c r="B67" s="8">
        <v>75</v>
      </c>
      <c r="C67">
        <v>0.5</v>
      </c>
      <c r="D67">
        <f>B67-C67</f>
        <v>74.5</v>
      </c>
      <c r="E67">
        <f t="shared" ref="E67:E130" si="3">ABS(D67)</f>
        <v>74.5</v>
      </c>
      <c r="F67">
        <f t="shared" ref="F67:F130" si="4">E67^2</f>
        <v>5550.25</v>
      </c>
      <c r="G67" s="13">
        <f t="shared" ref="G67:G130" si="5">E67/B67</f>
        <v>0.99333333333333329</v>
      </c>
      <c r="L67" s="16">
        <v>613260</v>
      </c>
    </row>
    <row r="68" spans="1:12" x14ac:dyDescent="0.45">
      <c r="A68" s="18">
        <v>45724</v>
      </c>
      <c r="B68" s="8">
        <v>106</v>
      </c>
      <c r="C68">
        <v>0.5</v>
      </c>
      <c r="D68">
        <f>B68-C68</f>
        <v>105.5</v>
      </c>
      <c r="E68">
        <f t="shared" si="3"/>
        <v>105.5</v>
      </c>
      <c r="F68">
        <f t="shared" si="4"/>
        <v>11130.25</v>
      </c>
      <c r="G68" s="13">
        <f t="shared" si="5"/>
        <v>0.99528301886792447</v>
      </c>
      <c r="L68" s="16">
        <v>988540</v>
      </c>
    </row>
    <row r="69" spans="1:12" x14ac:dyDescent="0.45">
      <c r="A69" s="18">
        <v>45725</v>
      </c>
      <c r="B69" s="8">
        <v>162</v>
      </c>
      <c r="C69">
        <v>0.5</v>
      </c>
      <c r="D69">
        <f>B69-C69</f>
        <v>161.5</v>
      </c>
      <c r="E69">
        <f t="shared" si="3"/>
        <v>161.5</v>
      </c>
      <c r="F69">
        <f t="shared" si="4"/>
        <v>26082.25</v>
      </c>
      <c r="G69" s="13">
        <f t="shared" si="5"/>
        <v>0.99691358024691357</v>
      </c>
      <c r="L69" s="16">
        <v>1144940</v>
      </c>
    </row>
    <row r="70" spans="1:12" x14ac:dyDescent="0.45">
      <c r="A70" s="18">
        <v>45726</v>
      </c>
      <c r="B70" s="8">
        <v>98</v>
      </c>
      <c r="C70">
        <v>0.5</v>
      </c>
      <c r="D70">
        <f>B70-C70</f>
        <v>97.5</v>
      </c>
      <c r="E70">
        <f t="shared" si="3"/>
        <v>97.5</v>
      </c>
      <c r="F70">
        <f t="shared" si="4"/>
        <v>9506.25</v>
      </c>
      <c r="G70" s="13">
        <f t="shared" si="5"/>
        <v>0.99489795918367352</v>
      </c>
      <c r="L70" s="16">
        <v>1093840</v>
      </c>
    </row>
    <row r="71" spans="1:12" x14ac:dyDescent="0.45">
      <c r="A71" s="18">
        <v>45727</v>
      </c>
      <c r="B71" s="8">
        <v>128</v>
      </c>
      <c r="C71">
        <v>0.5</v>
      </c>
      <c r="D71">
        <f>B71-C71</f>
        <v>127.5</v>
      </c>
      <c r="E71">
        <f t="shared" si="3"/>
        <v>127.5</v>
      </c>
      <c r="F71">
        <f t="shared" si="4"/>
        <v>16256.25</v>
      </c>
      <c r="G71" s="13">
        <f t="shared" si="5"/>
        <v>0.99609375</v>
      </c>
      <c r="L71" s="16">
        <v>881100</v>
      </c>
    </row>
    <row r="72" spans="1:12" x14ac:dyDescent="0.45">
      <c r="A72" s="18">
        <v>45728</v>
      </c>
      <c r="B72" s="8">
        <v>131</v>
      </c>
      <c r="C72">
        <v>0.5</v>
      </c>
      <c r="D72">
        <f>B72-C72</f>
        <v>130.5</v>
      </c>
      <c r="E72">
        <f t="shared" si="3"/>
        <v>130.5</v>
      </c>
      <c r="F72">
        <f t="shared" si="4"/>
        <v>17030.25</v>
      </c>
      <c r="G72" s="13">
        <f t="shared" si="5"/>
        <v>0.99618320610687028</v>
      </c>
      <c r="L72" s="16">
        <v>1069400</v>
      </c>
    </row>
    <row r="73" spans="1:12" x14ac:dyDescent="0.45">
      <c r="A73" s="18">
        <v>45729</v>
      </c>
      <c r="B73" s="8">
        <v>120</v>
      </c>
      <c r="C73">
        <v>0.5</v>
      </c>
      <c r="D73">
        <f>B73-C73</f>
        <v>119.5</v>
      </c>
      <c r="E73">
        <f t="shared" si="3"/>
        <v>119.5</v>
      </c>
      <c r="F73">
        <f t="shared" si="4"/>
        <v>14280.25</v>
      </c>
      <c r="G73" s="13">
        <f t="shared" si="5"/>
        <v>0.99583333333333335</v>
      </c>
      <c r="L73" s="16">
        <v>1015780</v>
      </c>
    </row>
    <row r="74" spans="1:12" x14ac:dyDescent="0.45">
      <c r="A74" s="18">
        <v>45730</v>
      </c>
      <c r="B74" s="8">
        <v>178</v>
      </c>
      <c r="C74">
        <v>0.5</v>
      </c>
      <c r="D74">
        <f>B74-C74</f>
        <v>177.5</v>
      </c>
      <c r="E74">
        <f t="shared" si="3"/>
        <v>177.5</v>
      </c>
      <c r="F74">
        <f t="shared" si="4"/>
        <v>31506.25</v>
      </c>
      <c r="G74" s="13">
        <f t="shared" si="5"/>
        <v>0.9971910112359551</v>
      </c>
      <c r="L74" s="16">
        <v>2178940</v>
      </c>
    </row>
    <row r="75" spans="1:12" x14ac:dyDescent="0.45">
      <c r="A75" s="18">
        <v>45731</v>
      </c>
      <c r="B75" s="8">
        <v>136</v>
      </c>
      <c r="C75">
        <v>0.5</v>
      </c>
      <c r="D75">
        <f>B75-C75</f>
        <v>135.5</v>
      </c>
      <c r="E75">
        <f t="shared" si="3"/>
        <v>135.5</v>
      </c>
      <c r="F75">
        <f t="shared" si="4"/>
        <v>18360.25</v>
      </c>
      <c r="G75" s="13">
        <f t="shared" si="5"/>
        <v>0.99632352941176472</v>
      </c>
      <c r="L75" s="16">
        <v>962440</v>
      </c>
    </row>
    <row r="76" spans="1:12" x14ac:dyDescent="0.45">
      <c r="A76" s="18">
        <v>45732</v>
      </c>
      <c r="B76" s="8">
        <v>98</v>
      </c>
      <c r="C76">
        <v>0.5</v>
      </c>
      <c r="D76">
        <f>B76-C76</f>
        <v>97.5</v>
      </c>
      <c r="E76">
        <f t="shared" si="3"/>
        <v>97.5</v>
      </c>
      <c r="F76">
        <f t="shared" si="4"/>
        <v>9506.25</v>
      </c>
      <c r="G76" s="13">
        <f t="shared" si="5"/>
        <v>0.99489795918367352</v>
      </c>
      <c r="L76" s="16">
        <v>1740780</v>
      </c>
    </row>
    <row r="77" spans="1:12" x14ac:dyDescent="0.45">
      <c r="A77" s="18">
        <v>45733</v>
      </c>
      <c r="B77" s="8">
        <v>101</v>
      </c>
      <c r="C77">
        <v>0.5</v>
      </c>
      <c r="D77">
        <f>B77-C77</f>
        <v>100.5</v>
      </c>
      <c r="E77">
        <f t="shared" si="3"/>
        <v>100.5</v>
      </c>
      <c r="F77">
        <f t="shared" si="4"/>
        <v>10100.25</v>
      </c>
      <c r="G77" s="13">
        <f t="shared" si="5"/>
        <v>0.99504950495049505</v>
      </c>
      <c r="L77" s="16">
        <v>786760</v>
      </c>
    </row>
    <row r="78" spans="1:12" x14ac:dyDescent="0.45">
      <c r="A78" s="18">
        <v>45734</v>
      </c>
      <c r="B78" s="8">
        <v>115</v>
      </c>
      <c r="C78">
        <v>0.5</v>
      </c>
      <c r="D78">
        <f>B78-C78</f>
        <v>114.5</v>
      </c>
      <c r="E78">
        <f t="shared" si="3"/>
        <v>114.5</v>
      </c>
      <c r="F78">
        <f t="shared" si="4"/>
        <v>13110.25</v>
      </c>
      <c r="G78" s="13">
        <f t="shared" si="5"/>
        <v>0.9956521739130435</v>
      </c>
      <c r="L78" s="16">
        <v>1624900</v>
      </c>
    </row>
    <row r="79" spans="1:12" x14ac:dyDescent="0.45">
      <c r="A79" s="18">
        <v>45735</v>
      </c>
      <c r="B79" s="8">
        <v>139</v>
      </c>
      <c r="C79">
        <v>0.5</v>
      </c>
      <c r="D79">
        <f>B79-C79</f>
        <v>138.5</v>
      </c>
      <c r="E79">
        <f t="shared" si="3"/>
        <v>138.5</v>
      </c>
      <c r="F79">
        <f t="shared" si="4"/>
        <v>19182.25</v>
      </c>
      <c r="G79" s="13">
        <f t="shared" si="5"/>
        <v>0.99640287769784175</v>
      </c>
      <c r="L79" s="16">
        <v>740250</v>
      </c>
    </row>
    <row r="80" spans="1:12" x14ac:dyDescent="0.45">
      <c r="A80" s="18">
        <v>45736</v>
      </c>
      <c r="B80" s="8">
        <v>156</v>
      </c>
      <c r="C80">
        <v>0.5</v>
      </c>
      <c r="D80">
        <f>B80-C80</f>
        <v>155.5</v>
      </c>
      <c r="E80">
        <f t="shared" si="3"/>
        <v>155.5</v>
      </c>
      <c r="F80">
        <f t="shared" si="4"/>
        <v>24180.25</v>
      </c>
      <c r="G80" s="13">
        <f t="shared" si="5"/>
        <v>0.99679487179487181</v>
      </c>
      <c r="L80" s="16">
        <v>2379180</v>
      </c>
    </row>
    <row r="81" spans="1:12" x14ac:dyDescent="0.45">
      <c r="A81" s="18">
        <v>45737</v>
      </c>
      <c r="B81" s="8">
        <v>113</v>
      </c>
      <c r="C81">
        <v>0.5</v>
      </c>
      <c r="D81">
        <f>B81-C81</f>
        <v>112.5</v>
      </c>
      <c r="E81">
        <f t="shared" si="3"/>
        <v>112.5</v>
      </c>
      <c r="F81">
        <f t="shared" si="4"/>
        <v>12656.25</v>
      </c>
      <c r="G81" s="13">
        <f t="shared" si="5"/>
        <v>0.99557522123893805</v>
      </c>
      <c r="L81" s="16">
        <v>1649180</v>
      </c>
    </row>
    <row r="82" spans="1:12" x14ac:dyDescent="0.45">
      <c r="A82" s="18">
        <v>45738</v>
      </c>
      <c r="B82" s="8">
        <v>96</v>
      </c>
      <c r="C82">
        <v>0.5</v>
      </c>
      <c r="D82">
        <f>B82-C82</f>
        <v>95.5</v>
      </c>
      <c r="E82">
        <f t="shared" si="3"/>
        <v>95.5</v>
      </c>
      <c r="F82">
        <f t="shared" si="4"/>
        <v>9120.25</v>
      </c>
      <c r="G82" s="13">
        <f t="shared" si="5"/>
        <v>0.99479166666666663</v>
      </c>
      <c r="L82" s="16">
        <v>1424670</v>
      </c>
    </row>
    <row r="83" spans="1:12" x14ac:dyDescent="0.45">
      <c r="A83" s="18">
        <v>45739</v>
      </c>
      <c r="B83" s="8">
        <v>114</v>
      </c>
      <c r="C83">
        <v>0.5</v>
      </c>
      <c r="D83">
        <f>B83-C83</f>
        <v>113.5</v>
      </c>
      <c r="E83">
        <f t="shared" si="3"/>
        <v>113.5</v>
      </c>
      <c r="F83">
        <f t="shared" si="4"/>
        <v>12882.25</v>
      </c>
      <c r="G83" s="13">
        <f t="shared" si="5"/>
        <v>0.99561403508771928</v>
      </c>
      <c r="L83" s="16">
        <v>1827980</v>
      </c>
    </row>
    <row r="84" spans="1:12" x14ac:dyDescent="0.45">
      <c r="A84" s="18">
        <v>45740</v>
      </c>
      <c r="B84" s="8">
        <v>96</v>
      </c>
      <c r="C84">
        <v>0.5</v>
      </c>
      <c r="D84">
        <f>B84-C84</f>
        <v>95.5</v>
      </c>
      <c r="E84">
        <f t="shared" si="3"/>
        <v>95.5</v>
      </c>
      <c r="F84">
        <f t="shared" si="4"/>
        <v>9120.25</v>
      </c>
      <c r="G84" s="13">
        <f t="shared" si="5"/>
        <v>0.99479166666666663</v>
      </c>
      <c r="L84" s="16">
        <v>1313350</v>
      </c>
    </row>
    <row r="85" spans="1:12" x14ac:dyDescent="0.45">
      <c r="A85" s="18">
        <v>45741</v>
      </c>
      <c r="B85" s="8">
        <v>110</v>
      </c>
      <c r="C85">
        <v>0.5</v>
      </c>
      <c r="D85">
        <f>B85-C85</f>
        <v>109.5</v>
      </c>
      <c r="E85">
        <f t="shared" si="3"/>
        <v>109.5</v>
      </c>
      <c r="F85">
        <f t="shared" si="4"/>
        <v>11990.25</v>
      </c>
      <c r="G85" s="13">
        <f t="shared" si="5"/>
        <v>0.99545454545454548</v>
      </c>
      <c r="L85" s="16">
        <v>842080</v>
      </c>
    </row>
    <row r="86" spans="1:12" x14ac:dyDescent="0.45">
      <c r="A86" s="18">
        <v>45742</v>
      </c>
      <c r="B86" s="8">
        <v>77</v>
      </c>
      <c r="C86">
        <v>0.5</v>
      </c>
      <c r="D86">
        <f>B86-C86</f>
        <v>76.5</v>
      </c>
      <c r="E86">
        <f t="shared" si="3"/>
        <v>76.5</v>
      </c>
      <c r="F86">
        <f t="shared" si="4"/>
        <v>5852.25</v>
      </c>
      <c r="G86" s="13">
        <f t="shared" si="5"/>
        <v>0.99350649350649356</v>
      </c>
      <c r="L86" s="16">
        <v>520800</v>
      </c>
    </row>
    <row r="87" spans="1:12" x14ac:dyDescent="0.45">
      <c r="A87" s="18">
        <v>45743</v>
      </c>
      <c r="B87" s="8">
        <v>102</v>
      </c>
      <c r="C87">
        <v>0.5</v>
      </c>
      <c r="D87">
        <f>B87-C87</f>
        <v>101.5</v>
      </c>
      <c r="E87">
        <f t="shared" si="3"/>
        <v>101.5</v>
      </c>
      <c r="F87">
        <f t="shared" si="4"/>
        <v>10302.25</v>
      </c>
      <c r="G87" s="13">
        <f t="shared" si="5"/>
        <v>0.99509803921568629</v>
      </c>
      <c r="L87" s="16">
        <v>1227620</v>
      </c>
    </row>
    <row r="88" spans="1:12" x14ac:dyDescent="0.45">
      <c r="A88" s="18">
        <v>45744</v>
      </c>
      <c r="B88" s="8">
        <v>119</v>
      </c>
      <c r="C88">
        <v>0.5</v>
      </c>
      <c r="D88">
        <f>B88-C88</f>
        <v>118.5</v>
      </c>
      <c r="E88">
        <f t="shared" si="3"/>
        <v>118.5</v>
      </c>
      <c r="F88">
        <f t="shared" si="4"/>
        <v>14042.25</v>
      </c>
      <c r="G88" s="13">
        <f t="shared" si="5"/>
        <v>0.99579831932773111</v>
      </c>
      <c r="L88" s="16">
        <v>1824580</v>
      </c>
    </row>
    <row r="89" spans="1:12" x14ac:dyDescent="0.45">
      <c r="A89" s="18">
        <v>45745</v>
      </c>
      <c r="B89" s="8">
        <v>138</v>
      </c>
      <c r="C89">
        <v>0.5</v>
      </c>
      <c r="D89">
        <f>B89-C89</f>
        <v>137.5</v>
      </c>
      <c r="E89">
        <f t="shared" si="3"/>
        <v>137.5</v>
      </c>
      <c r="F89">
        <f t="shared" si="4"/>
        <v>18906.25</v>
      </c>
      <c r="G89" s="13">
        <f t="shared" si="5"/>
        <v>0.99637681159420288</v>
      </c>
      <c r="L89" s="16">
        <v>386340</v>
      </c>
    </row>
    <row r="90" spans="1:12" x14ac:dyDescent="0.45">
      <c r="A90" s="18">
        <v>45746</v>
      </c>
      <c r="B90" s="8">
        <v>132</v>
      </c>
      <c r="C90">
        <v>0.5</v>
      </c>
      <c r="D90">
        <f>B90-C90</f>
        <v>131.5</v>
      </c>
      <c r="E90">
        <f t="shared" si="3"/>
        <v>131.5</v>
      </c>
      <c r="F90">
        <f t="shared" si="4"/>
        <v>17292.25</v>
      </c>
      <c r="G90" s="13">
        <f t="shared" si="5"/>
        <v>0.99621212121212122</v>
      </c>
      <c r="L90" s="16">
        <v>982420</v>
      </c>
    </row>
    <row r="91" spans="1:12" x14ac:dyDescent="0.45">
      <c r="A91" s="18">
        <v>45747</v>
      </c>
      <c r="B91" s="8">
        <v>46</v>
      </c>
      <c r="C91">
        <v>0.5</v>
      </c>
      <c r="D91">
        <f>B91-C91</f>
        <v>45.5</v>
      </c>
      <c r="E91">
        <f t="shared" si="3"/>
        <v>45.5</v>
      </c>
      <c r="F91">
        <f t="shared" si="4"/>
        <v>2070.25</v>
      </c>
      <c r="G91" s="13">
        <f t="shared" si="5"/>
        <v>0.98913043478260865</v>
      </c>
      <c r="L91" s="16">
        <v>690850</v>
      </c>
    </row>
    <row r="92" spans="1:12" x14ac:dyDescent="0.45">
      <c r="A92" s="18">
        <v>45748</v>
      </c>
      <c r="B92" s="8">
        <v>69</v>
      </c>
      <c r="C92">
        <v>0.5</v>
      </c>
      <c r="D92">
        <f>B92-C92</f>
        <v>68.5</v>
      </c>
      <c r="E92">
        <f t="shared" si="3"/>
        <v>68.5</v>
      </c>
      <c r="F92">
        <f t="shared" si="4"/>
        <v>4692.25</v>
      </c>
      <c r="G92" s="13">
        <f t="shared" si="5"/>
        <v>0.99275362318840576</v>
      </c>
      <c r="L92" s="16">
        <v>172590</v>
      </c>
    </row>
    <row r="93" spans="1:12" x14ac:dyDescent="0.45">
      <c r="A93" s="18">
        <v>45749</v>
      </c>
      <c r="B93" s="8">
        <v>80</v>
      </c>
      <c r="C93">
        <v>0.5</v>
      </c>
      <c r="D93">
        <f>B93-C93</f>
        <v>79.5</v>
      </c>
      <c r="E93">
        <f t="shared" si="3"/>
        <v>79.5</v>
      </c>
      <c r="F93">
        <f t="shared" si="4"/>
        <v>6320.25</v>
      </c>
      <c r="G93" s="13">
        <f t="shared" si="5"/>
        <v>0.99375000000000002</v>
      </c>
      <c r="L93" s="16">
        <v>720680</v>
      </c>
    </row>
    <row r="94" spans="1:12" x14ac:dyDescent="0.45">
      <c r="A94" s="18">
        <v>45750</v>
      </c>
      <c r="B94" s="8">
        <v>37</v>
      </c>
      <c r="C94">
        <v>0.5</v>
      </c>
      <c r="D94">
        <f>B94-C94</f>
        <v>36.5</v>
      </c>
      <c r="E94">
        <f t="shared" si="3"/>
        <v>36.5</v>
      </c>
      <c r="F94">
        <f t="shared" si="4"/>
        <v>1332.25</v>
      </c>
      <c r="G94" s="13">
        <f t="shared" si="5"/>
        <v>0.98648648648648651</v>
      </c>
      <c r="L94" s="16">
        <v>119650</v>
      </c>
    </row>
    <row r="95" spans="1:12" x14ac:dyDescent="0.45">
      <c r="A95" s="18">
        <v>45751</v>
      </c>
      <c r="B95" s="8">
        <v>55</v>
      </c>
      <c r="C95">
        <v>0.5</v>
      </c>
      <c r="D95">
        <f>B95-C95</f>
        <v>54.5</v>
      </c>
      <c r="E95">
        <f t="shared" si="3"/>
        <v>54.5</v>
      </c>
      <c r="F95">
        <f t="shared" si="4"/>
        <v>2970.25</v>
      </c>
      <c r="G95" s="13">
        <f t="shared" si="5"/>
        <v>0.99090909090909096</v>
      </c>
      <c r="L95" s="16">
        <v>172300</v>
      </c>
    </row>
    <row r="96" spans="1:12" x14ac:dyDescent="0.45">
      <c r="A96" s="18">
        <v>45752</v>
      </c>
      <c r="B96" s="8">
        <v>51</v>
      </c>
      <c r="C96">
        <v>0.5</v>
      </c>
      <c r="D96">
        <f>B96-C96</f>
        <v>50.5</v>
      </c>
      <c r="E96">
        <f t="shared" si="3"/>
        <v>50.5</v>
      </c>
      <c r="F96">
        <f t="shared" si="4"/>
        <v>2550.25</v>
      </c>
      <c r="G96" s="13">
        <f t="shared" si="5"/>
        <v>0.99019607843137258</v>
      </c>
      <c r="L96" s="16">
        <v>496700</v>
      </c>
    </row>
    <row r="97" spans="1:12" x14ac:dyDescent="0.45">
      <c r="A97" s="18">
        <v>45753</v>
      </c>
      <c r="B97" s="8">
        <v>72</v>
      </c>
      <c r="C97">
        <v>0.5</v>
      </c>
      <c r="D97">
        <f>B97-C97</f>
        <v>71.5</v>
      </c>
      <c r="E97">
        <f t="shared" si="3"/>
        <v>71.5</v>
      </c>
      <c r="F97">
        <f t="shared" si="4"/>
        <v>5112.25</v>
      </c>
      <c r="G97" s="13">
        <f t="shared" si="5"/>
        <v>0.99305555555555558</v>
      </c>
      <c r="L97" s="16">
        <v>991310</v>
      </c>
    </row>
    <row r="98" spans="1:12" x14ac:dyDescent="0.45">
      <c r="A98" s="18">
        <v>45754</v>
      </c>
      <c r="B98" s="8">
        <v>50</v>
      </c>
      <c r="C98">
        <v>0.5</v>
      </c>
      <c r="D98">
        <f>B98-C98</f>
        <v>49.5</v>
      </c>
      <c r="E98">
        <f t="shared" si="3"/>
        <v>49.5</v>
      </c>
      <c r="F98">
        <f t="shared" si="4"/>
        <v>2450.25</v>
      </c>
      <c r="G98" s="13">
        <f t="shared" si="5"/>
        <v>0.99</v>
      </c>
      <c r="L98" s="16">
        <v>82340</v>
      </c>
    </row>
    <row r="99" spans="1:12" x14ac:dyDescent="0.45">
      <c r="A99" s="18">
        <v>45755</v>
      </c>
      <c r="B99" s="8">
        <v>55</v>
      </c>
      <c r="C99">
        <v>0.5</v>
      </c>
      <c r="D99">
        <f>B99-C99</f>
        <v>54.5</v>
      </c>
      <c r="E99">
        <f t="shared" si="3"/>
        <v>54.5</v>
      </c>
      <c r="F99">
        <f t="shared" si="4"/>
        <v>2970.25</v>
      </c>
      <c r="G99" s="13">
        <f t="shared" si="5"/>
        <v>0.99090909090909096</v>
      </c>
      <c r="L99" s="16">
        <v>686940</v>
      </c>
    </row>
    <row r="100" spans="1:12" x14ac:dyDescent="0.45">
      <c r="A100" s="18">
        <v>45756</v>
      </c>
      <c r="B100" s="8">
        <v>33</v>
      </c>
      <c r="C100">
        <v>0.5</v>
      </c>
      <c r="D100">
        <f>B100-C100</f>
        <v>32.5</v>
      </c>
      <c r="E100">
        <f t="shared" si="3"/>
        <v>32.5</v>
      </c>
      <c r="F100">
        <f t="shared" si="4"/>
        <v>1056.25</v>
      </c>
      <c r="G100" s="13">
        <f t="shared" si="5"/>
        <v>0.98484848484848486</v>
      </c>
      <c r="L100" s="16">
        <v>73800</v>
      </c>
    </row>
    <row r="101" spans="1:12" x14ac:dyDescent="0.45">
      <c r="A101" s="18">
        <v>45757</v>
      </c>
      <c r="B101" s="8">
        <v>38</v>
      </c>
      <c r="C101">
        <v>0.5</v>
      </c>
      <c r="D101">
        <f>B101-C101</f>
        <v>37.5</v>
      </c>
      <c r="E101">
        <f t="shared" si="3"/>
        <v>37.5</v>
      </c>
      <c r="F101">
        <f t="shared" si="4"/>
        <v>1406.25</v>
      </c>
      <c r="G101" s="13">
        <f t="shared" si="5"/>
        <v>0.98684210526315785</v>
      </c>
      <c r="L101" s="16">
        <v>689900</v>
      </c>
    </row>
    <row r="102" spans="1:12" x14ac:dyDescent="0.45">
      <c r="A102" s="18">
        <v>45758</v>
      </c>
      <c r="B102" s="8">
        <v>80</v>
      </c>
      <c r="C102">
        <v>0.5</v>
      </c>
      <c r="D102">
        <f>B102-C102</f>
        <v>79.5</v>
      </c>
      <c r="E102">
        <f t="shared" si="3"/>
        <v>79.5</v>
      </c>
      <c r="F102">
        <f t="shared" si="4"/>
        <v>6320.25</v>
      </c>
      <c r="G102" s="13">
        <f t="shared" si="5"/>
        <v>0.99375000000000002</v>
      </c>
      <c r="L102" s="16">
        <v>614220</v>
      </c>
    </row>
    <row r="103" spans="1:12" x14ac:dyDescent="0.45">
      <c r="A103" s="18">
        <v>45759</v>
      </c>
      <c r="B103" s="8">
        <v>59</v>
      </c>
      <c r="C103">
        <v>0.5</v>
      </c>
      <c r="D103">
        <f>B103-C103</f>
        <v>58.5</v>
      </c>
      <c r="E103">
        <f t="shared" si="3"/>
        <v>58.5</v>
      </c>
      <c r="F103">
        <f t="shared" si="4"/>
        <v>3422.25</v>
      </c>
      <c r="G103" s="13">
        <f t="shared" si="5"/>
        <v>0.99152542372881358</v>
      </c>
      <c r="L103" s="16">
        <v>259700</v>
      </c>
    </row>
    <row r="104" spans="1:12" x14ac:dyDescent="0.45">
      <c r="A104" s="18">
        <v>45760</v>
      </c>
      <c r="B104" s="8">
        <v>79</v>
      </c>
      <c r="C104">
        <v>0.5</v>
      </c>
      <c r="D104">
        <f>B104-C104</f>
        <v>78.5</v>
      </c>
      <c r="E104">
        <f t="shared" si="3"/>
        <v>78.5</v>
      </c>
      <c r="F104">
        <f t="shared" si="4"/>
        <v>6162.25</v>
      </c>
      <c r="G104" s="13">
        <f t="shared" si="5"/>
        <v>0.99367088607594933</v>
      </c>
      <c r="L104" s="16">
        <v>312550</v>
      </c>
    </row>
    <row r="105" spans="1:12" x14ac:dyDescent="0.45">
      <c r="A105" s="18">
        <v>45761</v>
      </c>
      <c r="B105" s="8">
        <v>60</v>
      </c>
      <c r="C105">
        <v>0.5</v>
      </c>
      <c r="D105">
        <f>B105-C105</f>
        <v>59.5</v>
      </c>
      <c r="E105">
        <f t="shared" si="3"/>
        <v>59.5</v>
      </c>
      <c r="F105">
        <f t="shared" si="4"/>
        <v>3540.25</v>
      </c>
      <c r="G105" s="13">
        <f t="shared" si="5"/>
        <v>0.9916666666666667</v>
      </c>
      <c r="L105" s="16">
        <v>170340</v>
      </c>
    </row>
    <row r="106" spans="1:12" x14ac:dyDescent="0.45">
      <c r="A106" s="18">
        <v>45762</v>
      </c>
      <c r="B106" s="8">
        <v>53</v>
      </c>
      <c r="C106">
        <v>0.5</v>
      </c>
      <c r="D106">
        <f>B106-C106</f>
        <v>52.5</v>
      </c>
      <c r="E106">
        <f t="shared" si="3"/>
        <v>52.5</v>
      </c>
      <c r="F106">
        <f t="shared" si="4"/>
        <v>2756.25</v>
      </c>
      <c r="G106" s="13">
        <f t="shared" si="5"/>
        <v>0.99056603773584906</v>
      </c>
      <c r="L106" s="16">
        <v>524420</v>
      </c>
    </row>
    <row r="107" spans="1:12" x14ac:dyDescent="0.45">
      <c r="A107" s="18">
        <v>45763</v>
      </c>
      <c r="B107" s="8">
        <v>60</v>
      </c>
      <c r="C107">
        <v>0.5</v>
      </c>
      <c r="D107">
        <f>B107-C107</f>
        <v>59.5</v>
      </c>
      <c r="E107">
        <f t="shared" si="3"/>
        <v>59.5</v>
      </c>
      <c r="F107">
        <f t="shared" si="4"/>
        <v>3540.25</v>
      </c>
      <c r="G107" s="13">
        <f t="shared" si="5"/>
        <v>0.9916666666666667</v>
      </c>
      <c r="L107" s="16">
        <v>394760</v>
      </c>
    </row>
    <row r="108" spans="1:12" x14ac:dyDescent="0.45">
      <c r="A108" s="18">
        <v>45764</v>
      </c>
      <c r="B108" s="8">
        <v>77</v>
      </c>
      <c r="C108">
        <v>0.5</v>
      </c>
      <c r="D108">
        <f>B108-C108</f>
        <v>76.5</v>
      </c>
      <c r="E108">
        <f t="shared" si="3"/>
        <v>76.5</v>
      </c>
      <c r="F108">
        <f t="shared" si="4"/>
        <v>5852.25</v>
      </c>
      <c r="G108" s="13">
        <f t="shared" si="5"/>
        <v>0.99350649350649356</v>
      </c>
      <c r="L108" s="16">
        <v>1127800</v>
      </c>
    </row>
    <row r="109" spans="1:12" x14ac:dyDescent="0.45">
      <c r="A109" s="18">
        <v>45765</v>
      </c>
      <c r="B109" s="8">
        <v>72</v>
      </c>
      <c r="C109">
        <v>0.5</v>
      </c>
      <c r="D109">
        <f>B109-C109</f>
        <v>71.5</v>
      </c>
      <c r="E109">
        <f t="shared" si="3"/>
        <v>71.5</v>
      </c>
      <c r="F109">
        <f t="shared" si="4"/>
        <v>5112.25</v>
      </c>
      <c r="G109" s="13">
        <f t="shared" si="5"/>
        <v>0.99305555555555558</v>
      </c>
      <c r="L109" s="16">
        <v>1260200</v>
      </c>
    </row>
    <row r="110" spans="1:12" x14ac:dyDescent="0.45">
      <c r="A110" s="18">
        <v>45766</v>
      </c>
      <c r="B110" s="8">
        <v>75</v>
      </c>
      <c r="C110">
        <v>0.5</v>
      </c>
      <c r="D110">
        <f>B110-C110</f>
        <v>74.5</v>
      </c>
      <c r="E110">
        <f t="shared" si="3"/>
        <v>74.5</v>
      </c>
      <c r="F110">
        <f t="shared" si="4"/>
        <v>5550.25</v>
      </c>
      <c r="G110" s="13">
        <f t="shared" si="5"/>
        <v>0.99333333333333329</v>
      </c>
      <c r="L110" s="16">
        <v>739710</v>
      </c>
    </row>
    <row r="111" spans="1:12" x14ac:dyDescent="0.45">
      <c r="A111" s="18">
        <v>45767</v>
      </c>
      <c r="B111" s="8">
        <v>40</v>
      </c>
      <c r="C111">
        <v>0.5</v>
      </c>
      <c r="D111">
        <f>B111-C111</f>
        <v>39.5</v>
      </c>
      <c r="E111">
        <f t="shared" si="3"/>
        <v>39.5</v>
      </c>
      <c r="F111">
        <f t="shared" si="4"/>
        <v>1560.25</v>
      </c>
      <c r="G111" s="13">
        <f t="shared" si="5"/>
        <v>0.98750000000000004</v>
      </c>
      <c r="L111" s="16">
        <v>538340</v>
      </c>
    </row>
    <row r="112" spans="1:12" x14ac:dyDescent="0.45">
      <c r="A112" s="18">
        <v>45768</v>
      </c>
      <c r="B112" s="8">
        <v>82</v>
      </c>
      <c r="C112">
        <v>0.5</v>
      </c>
      <c r="D112">
        <f>B112-C112</f>
        <v>81.5</v>
      </c>
      <c r="E112">
        <f t="shared" si="3"/>
        <v>81.5</v>
      </c>
      <c r="F112">
        <f t="shared" si="4"/>
        <v>6642.25</v>
      </c>
      <c r="G112" s="13">
        <f t="shared" si="5"/>
        <v>0.99390243902439024</v>
      </c>
      <c r="L112" s="16">
        <v>611200</v>
      </c>
    </row>
    <row r="113" spans="1:12" x14ac:dyDescent="0.45">
      <c r="A113" s="18">
        <v>45769</v>
      </c>
      <c r="B113" s="8">
        <v>62</v>
      </c>
      <c r="C113">
        <v>0.5</v>
      </c>
      <c r="D113">
        <f>B113-C113</f>
        <v>61.5</v>
      </c>
      <c r="E113">
        <f t="shared" si="3"/>
        <v>61.5</v>
      </c>
      <c r="F113">
        <f t="shared" si="4"/>
        <v>3782.25</v>
      </c>
      <c r="G113" s="13">
        <f t="shared" si="5"/>
        <v>0.99193548387096775</v>
      </c>
      <c r="L113" s="16">
        <v>894530</v>
      </c>
    </row>
    <row r="114" spans="1:12" x14ac:dyDescent="0.45">
      <c r="A114" s="18">
        <v>45770</v>
      </c>
      <c r="B114" s="8">
        <v>87</v>
      </c>
      <c r="C114">
        <v>0.5</v>
      </c>
      <c r="D114">
        <f>B114-C114</f>
        <v>86.5</v>
      </c>
      <c r="E114">
        <f t="shared" si="3"/>
        <v>86.5</v>
      </c>
      <c r="F114">
        <f t="shared" si="4"/>
        <v>7482.25</v>
      </c>
      <c r="G114" s="13">
        <f t="shared" si="5"/>
        <v>0.99425287356321834</v>
      </c>
      <c r="L114" s="16">
        <v>1351040</v>
      </c>
    </row>
    <row r="115" spans="1:12" x14ac:dyDescent="0.45">
      <c r="A115" s="18">
        <v>45771</v>
      </c>
      <c r="B115" s="8">
        <v>81</v>
      </c>
      <c r="C115">
        <v>0.5</v>
      </c>
      <c r="D115">
        <f>B115-C115</f>
        <v>80.5</v>
      </c>
      <c r="E115">
        <f t="shared" si="3"/>
        <v>80.5</v>
      </c>
      <c r="F115">
        <f t="shared" si="4"/>
        <v>6480.25</v>
      </c>
      <c r="G115" s="13">
        <f t="shared" si="5"/>
        <v>0.99382716049382713</v>
      </c>
      <c r="L115" s="16">
        <v>1145500</v>
      </c>
    </row>
    <row r="116" spans="1:12" x14ac:dyDescent="0.45">
      <c r="A116" s="18">
        <v>45772</v>
      </c>
      <c r="B116" s="8">
        <v>56</v>
      </c>
      <c r="C116">
        <v>0.5</v>
      </c>
      <c r="D116">
        <f>B116-C116</f>
        <v>55.5</v>
      </c>
      <c r="E116">
        <f t="shared" si="3"/>
        <v>55.5</v>
      </c>
      <c r="F116">
        <f t="shared" si="4"/>
        <v>3080.25</v>
      </c>
      <c r="G116" s="13">
        <f t="shared" si="5"/>
        <v>0.9910714285714286</v>
      </c>
      <c r="L116" s="16">
        <v>311100</v>
      </c>
    </row>
    <row r="117" spans="1:12" x14ac:dyDescent="0.45">
      <c r="A117" s="18">
        <v>45773</v>
      </c>
      <c r="B117" s="8">
        <v>41</v>
      </c>
      <c r="C117">
        <v>0.5</v>
      </c>
      <c r="D117">
        <f>B117-C117</f>
        <v>40.5</v>
      </c>
      <c r="E117">
        <f t="shared" si="3"/>
        <v>40.5</v>
      </c>
      <c r="F117">
        <f t="shared" si="4"/>
        <v>1640.25</v>
      </c>
      <c r="G117" s="13">
        <f t="shared" si="5"/>
        <v>0.98780487804878048</v>
      </c>
      <c r="L117" s="16">
        <v>435800</v>
      </c>
    </row>
    <row r="118" spans="1:12" x14ac:dyDescent="0.45">
      <c r="A118" s="18">
        <v>45774</v>
      </c>
      <c r="B118" s="8">
        <v>53</v>
      </c>
      <c r="C118">
        <v>0.5</v>
      </c>
      <c r="D118">
        <f>B118-C118</f>
        <v>52.5</v>
      </c>
      <c r="E118">
        <f t="shared" si="3"/>
        <v>52.5</v>
      </c>
      <c r="F118">
        <f t="shared" si="4"/>
        <v>2756.25</v>
      </c>
      <c r="G118" s="13">
        <f t="shared" si="5"/>
        <v>0.99056603773584906</v>
      </c>
      <c r="L118" s="16">
        <v>100360</v>
      </c>
    </row>
    <row r="119" spans="1:12" x14ac:dyDescent="0.45">
      <c r="A119" s="18">
        <v>45775</v>
      </c>
      <c r="B119" s="8">
        <v>83</v>
      </c>
      <c r="C119">
        <v>0.5</v>
      </c>
      <c r="D119">
        <f>B119-C119</f>
        <v>82.5</v>
      </c>
      <c r="E119">
        <f t="shared" si="3"/>
        <v>82.5</v>
      </c>
      <c r="F119">
        <f t="shared" si="4"/>
        <v>6806.25</v>
      </c>
      <c r="G119" s="13">
        <f t="shared" si="5"/>
        <v>0.99397590361445787</v>
      </c>
      <c r="L119" s="16">
        <v>187530</v>
      </c>
    </row>
    <row r="120" spans="1:12" x14ac:dyDescent="0.45">
      <c r="A120" s="18">
        <v>45776</v>
      </c>
      <c r="B120" s="8">
        <v>67</v>
      </c>
      <c r="C120">
        <v>0.5</v>
      </c>
      <c r="D120">
        <f>B120-C120</f>
        <v>66.5</v>
      </c>
      <c r="E120">
        <f t="shared" si="3"/>
        <v>66.5</v>
      </c>
      <c r="F120">
        <f t="shared" si="4"/>
        <v>4422.25</v>
      </c>
      <c r="G120" s="13">
        <f t="shared" si="5"/>
        <v>0.9925373134328358</v>
      </c>
      <c r="L120" s="16">
        <v>246990</v>
      </c>
    </row>
    <row r="121" spans="1:12" x14ac:dyDescent="0.45">
      <c r="A121" s="18">
        <v>45777</v>
      </c>
      <c r="B121" s="8">
        <v>50</v>
      </c>
      <c r="C121">
        <v>0.5</v>
      </c>
      <c r="D121">
        <f>B121-C121</f>
        <v>49.5</v>
      </c>
      <c r="E121">
        <f t="shared" si="3"/>
        <v>49.5</v>
      </c>
      <c r="F121">
        <f t="shared" si="4"/>
        <v>2450.25</v>
      </c>
      <c r="G121" s="13">
        <f t="shared" si="5"/>
        <v>0.99</v>
      </c>
      <c r="L121" s="16">
        <v>1004640</v>
      </c>
    </row>
    <row r="122" spans="1:12" x14ac:dyDescent="0.45">
      <c r="A122" s="18">
        <v>45778</v>
      </c>
      <c r="B122" s="8">
        <v>56</v>
      </c>
      <c r="C122">
        <v>0.5</v>
      </c>
      <c r="D122">
        <f>B122-C122</f>
        <v>55.5</v>
      </c>
      <c r="E122">
        <f t="shared" si="3"/>
        <v>55.5</v>
      </c>
      <c r="F122">
        <f t="shared" si="4"/>
        <v>3080.25</v>
      </c>
      <c r="G122" s="13">
        <f t="shared" si="5"/>
        <v>0.9910714285714286</v>
      </c>
      <c r="L122" s="16">
        <v>1146540</v>
      </c>
    </row>
    <row r="123" spans="1:12" x14ac:dyDescent="0.45">
      <c r="A123" s="18">
        <v>45779</v>
      </c>
      <c r="B123" s="8">
        <v>40</v>
      </c>
      <c r="C123">
        <v>0.5</v>
      </c>
      <c r="D123">
        <f>B123-C123</f>
        <v>39.5</v>
      </c>
      <c r="E123">
        <f t="shared" si="3"/>
        <v>39.5</v>
      </c>
      <c r="F123">
        <f t="shared" si="4"/>
        <v>1560.25</v>
      </c>
      <c r="G123" s="13">
        <f t="shared" si="5"/>
        <v>0.98750000000000004</v>
      </c>
      <c r="L123" s="16">
        <v>288220</v>
      </c>
    </row>
    <row r="124" spans="1:12" x14ac:dyDescent="0.45">
      <c r="A124" s="18">
        <v>45780</v>
      </c>
      <c r="B124" s="8">
        <v>51</v>
      </c>
      <c r="C124">
        <v>0.5</v>
      </c>
      <c r="D124">
        <f>B124-C124</f>
        <v>50.5</v>
      </c>
      <c r="E124">
        <f t="shared" si="3"/>
        <v>50.5</v>
      </c>
      <c r="F124">
        <f t="shared" si="4"/>
        <v>2550.25</v>
      </c>
      <c r="G124" s="13">
        <f t="shared" si="5"/>
        <v>0.99019607843137258</v>
      </c>
      <c r="L124" s="16">
        <v>858480</v>
      </c>
    </row>
    <row r="125" spans="1:12" x14ac:dyDescent="0.45">
      <c r="A125" s="18">
        <v>45781</v>
      </c>
      <c r="B125" s="8">
        <v>44</v>
      </c>
      <c r="C125">
        <v>0.5</v>
      </c>
      <c r="D125">
        <f>B125-C125</f>
        <v>43.5</v>
      </c>
      <c r="E125">
        <f t="shared" si="3"/>
        <v>43.5</v>
      </c>
      <c r="F125">
        <f t="shared" si="4"/>
        <v>1892.25</v>
      </c>
      <c r="G125" s="13">
        <f t="shared" si="5"/>
        <v>0.98863636363636365</v>
      </c>
      <c r="L125" s="16">
        <v>784950</v>
      </c>
    </row>
    <row r="126" spans="1:12" x14ac:dyDescent="0.45">
      <c r="A126" s="18">
        <v>45782</v>
      </c>
      <c r="B126" s="8">
        <v>50</v>
      </c>
      <c r="C126">
        <v>0.5</v>
      </c>
      <c r="D126">
        <f>B126-C126</f>
        <v>49.5</v>
      </c>
      <c r="E126">
        <f t="shared" si="3"/>
        <v>49.5</v>
      </c>
      <c r="F126">
        <f t="shared" si="4"/>
        <v>2450.25</v>
      </c>
      <c r="G126" s="13">
        <f t="shared" si="5"/>
        <v>0.99</v>
      </c>
      <c r="L126" s="16">
        <v>964150</v>
      </c>
    </row>
    <row r="127" spans="1:12" x14ac:dyDescent="0.45">
      <c r="A127" s="18">
        <v>45783</v>
      </c>
      <c r="B127" s="8">
        <v>84</v>
      </c>
      <c r="C127">
        <v>0.5</v>
      </c>
      <c r="D127">
        <f>B127-C127</f>
        <v>83.5</v>
      </c>
      <c r="E127">
        <f t="shared" si="3"/>
        <v>83.5</v>
      </c>
      <c r="F127">
        <f t="shared" si="4"/>
        <v>6972.25</v>
      </c>
      <c r="G127" s="13">
        <f t="shared" si="5"/>
        <v>0.99404761904761907</v>
      </c>
      <c r="L127" s="16">
        <v>401500</v>
      </c>
    </row>
    <row r="128" spans="1:12" x14ac:dyDescent="0.45">
      <c r="A128" s="18">
        <v>45784</v>
      </c>
      <c r="B128" s="8">
        <v>72</v>
      </c>
      <c r="C128">
        <v>0.5</v>
      </c>
      <c r="D128">
        <f>B128-C128</f>
        <v>71.5</v>
      </c>
      <c r="E128">
        <f t="shared" si="3"/>
        <v>71.5</v>
      </c>
      <c r="F128">
        <f t="shared" si="4"/>
        <v>5112.25</v>
      </c>
      <c r="G128" s="13">
        <f t="shared" si="5"/>
        <v>0.99305555555555558</v>
      </c>
      <c r="L128" s="16">
        <v>1191900</v>
      </c>
    </row>
    <row r="129" spans="1:12" x14ac:dyDescent="0.45">
      <c r="A129" s="18">
        <v>45785</v>
      </c>
      <c r="B129" s="8">
        <v>66</v>
      </c>
      <c r="C129">
        <v>0.5</v>
      </c>
      <c r="D129">
        <f>B129-C129</f>
        <v>65.5</v>
      </c>
      <c r="E129">
        <f t="shared" si="3"/>
        <v>65.5</v>
      </c>
      <c r="F129">
        <f t="shared" si="4"/>
        <v>4290.25</v>
      </c>
      <c r="G129" s="13">
        <f t="shared" si="5"/>
        <v>0.99242424242424243</v>
      </c>
      <c r="L129" s="16">
        <v>1260700</v>
      </c>
    </row>
    <row r="130" spans="1:12" x14ac:dyDescent="0.45">
      <c r="A130" s="18">
        <v>45786</v>
      </c>
      <c r="B130" s="8">
        <v>80</v>
      </c>
      <c r="C130">
        <v>0.5</v>
      </c>
      <c r="D130">
        <f>B130-C130</f>
        <v>79.5</v>
      </c>
      <c r="E130">
        <f t="shared" si="3"/>
        <v>79.5</v>
      </c>
      <c r="F130">
        <f t="shared" si="4"/>
        <v>6320.25</v>
      </c>
      <c r="G130" s="13">
        <f t="shared" si="5"/>
        <v>0.99375000000000002</v>
      </c>
      <c r="L130" s="16">
        <v>1293900</v>
      </c>
    </row>
    <row r="131" spans="1:12" x14ac:dyDescent="0.45">
      <c r="A131" s="18">
        <v>45787</v>
      </c>
      <c r="B131" s="8">
        <v>35</v>
      </c>
      <c r="C131">
        <v>0.5</v>
      </c>
      <c r="D131">
        <f>B131-C131</f>
        <v>34.5</v>
      </c>
      <c r="E131">
        <f t="shared" ref="E131:E194" si="6">ABS(D131)</f>
        <v>34.5</v>
      </c>
      <c r="F131">
        <f t="shared" ref="F131:F194" si="7">E131^2</f>
        <v>1190.25</v>
      </c>
      <c r="G131" s="13">
        <f t="shared" ref="G131:G194" si="8">E131/B131</f>
        <v>0.98571428571428577</v>
      </c>
      <c r="L131" s="16">
        <v>141300</v>
      </c>
    </row>
    <row r="132" spans="1:12" x14ac:dyDescent="0.45">
      <c r="A132" s="18">
        <v>45788</v>
      </c>
      <c r="B132" s="8">
        <v>51</v>
      </c>
      <c r="C132">
        <v>0.5</v>
      </c>
      <c r="D132">
        <f>B132-C132</f>
        <v>50.5</v>
      </c>
      <c r="E132">
        <f t="shared" si="6"/>
        <v>50.5</v>
      </c>
      <c r="F132">
        <f t="shared" si="7"/>
        <v>2550.25</v>
      </c>
      <c r="G132" s="13">
        <f t="shared" si="8"/>
        <v>0.99019607843137258</v>
      </c>
      <c r="L132" s="16">
        <v>158910</v>
      </c>
    </row>
    <row r="133" spans="1:12" x14ac:dyDescent="0.45">
      <c r="A133" s="18">
        <v>45789</v>
      </c>
      <c r="B133" s="8">
        <v>69</v>
      </c>
      <c r="C133">
        <v>0.5</v>
      </c>
      <c r="D133">
        <f>B133-C133</f>
        <v>68.5</v>
      </c>
      <c r="E133">
        <f t="shared" si="6"/>
        <v>68.5</v>
      </c>
      <c r="F133">
        <f t="shared" si="7"/>
        <v>4692.25</v>
      </c>
      <c r="G133" s="13">
        <f t="shared" si="8"/>
        <v>0.99275362318840576</v>
      </c>
      <c r="L133" s="16">
        <v>539220</v>
      </c>
    </row>
    <row r="134" spans="1:12" x14ac:dyDescent="0.45">
      <c r="A134" s="18">
        <v>45790</v>
      </c>
      <c r="B134" s="8">
        <v>66</v>
      </c>
      <c r="C134">
        <v>0.5</v>
      </c>
      <c r="D134">
        <f>B134-C134</f>
        <v>65.5</v>
      </c>
      <c r="E134">
        <f t="shared" si="6"/>
        <v>65.5</v>
      </c>
      <c r="F134">
        <f t="shared" si="7"/>
        <v>4290.25</v>
      </c>
      <c r="G134" s="13">
        <f t="shared" si="8"/>
        <v>0.99242424242424243</v>
      </c>
      <c r="L134" s="16">
        <v>148820</v>
      </c>
    </row>
    <row r="135" spans="1:12" x14ac:dyDescent="0.45">
      <c r="A135" s="18">
        <v>45791</v>
      </c>
      <c r="B135" s="8">
        <v>53</v>
      </c>
      <c r="C135">
        <v>0.5</v>
      </c>
      <c r="D135">
        <f>B135-C135</f>
        <v>52.5</v>
      </c>
      <c r="E135">
        <f t="shared" si="6"/>
        <v>52.5</v>
      </c>
      <c r="F135">
        <f t="shared" si="7"/>
        <v>2756.25</v>
      </c>
      <c r="G135" s="13">
        <f t="shared" si="8"/>
        <v>0.99056603773584906</v>
      </c>
      <c r="L135" s="16">
        <v>134280</v>
      </c>
    </row>
    <row r="136" spans="1:12" x14ac:dyDescent="0.45">
      <c r="A136" s="18">
        <v>45792</v>
      </c>
      <c r="B136" s="8">
        <v>25</v>
      </c>
      <c r="C136">
        <v>0.5</v>
      </c>
      <c r="D136">
        <f>B136-C136</f>
        <v>24.5</v>
      </c>
      <c r="E136">
        <f t="shared" si="6"/>
        <v>24.5</v>
      </c>
      <c r="F136">
        <f t="shared" si="7"/>
        <v>600.25</v>
      </c>
      <c r="G136" s="13">
        <f t="shared" si="8"/>
        <v>0.98</v>
      </c>
      <c r="L136" s="16">
        <v>514240</v>
      </c>
    </row>
    <row r="137" spans="1:12" x14ac:dyDescent="0.45">
      <c r="A137" s="18">
        <v>45793</v>
      </c>
      <c r="B137" s="8">
        <v>71</v>
      </c>
      <c r="C137">
        <v>0.5</v>
      </c>
      <c r="D137">
        <f>B137-C137</f>
        <v>70.5</v>
      </c>
      <c r="E137">
        <f t="shared" si="6"/>
        <v>70.5</v>
      </c>
      <c r="F137">
        <f t="shared" si="7"/>
        <v>4970.25</v>
      </c>
      <c r="G137" s="13">
        <f t="shared" si="8"/>
        <v>0.99295774647887325</v>
      </c>
      <c r="L137" s="16">
        <v>206950</v>
      </c>
    </row>
    <row r="138" spans="1:12" x14ac:dyDescent="0.45">
      <c r="A138" s="18">
        <v>45794</v>
      </c>
      <c r="B138" s="8">
        <v>62</v>
      </c>
      <c r="C138">
        <v>0.5</v>
      </c>
      <c r="D138">
        <f>B138-C138</f>
        <v>61.5</v>
      </c>
      <c r="E138">
        <f t="shared" si="6"/>
        <v>61.5</v>
      </c>
      <c r="F138">
        <f t="shared" si="7"/>
        <v>3782.25</v>
      </c>
      <c r="G138" s="13">
        <f t="shared" si="8"/>
        <v>0.99193548387096775</v>
      </c>
      <c r="L138" s="16">
        <v>295400</v>
      </c>
    </row>
    <row r="139" spans="1:12" x14ac:dyDescent="0.45">
      <c r="A139" s="18">
        <v>45795</v>
      </c>
      <c r="B139" s="8">
        <v>65</v>
      </c>
      <c r="C139">
        <v>0.5</v>
      </c>
      <c r="D139">
        <f>B139-C139</f>
        <v>64.5</v>
      </c>
      <c r="E139">
        <f t="shared" si="6"/>
        <v>64.5</v>
      </c>
      <c r="F139">
        <f t="shared" si="7"/>
        <v>4160.25</v>
      </c>
      <c r="G139" s="13">
        <f t="shared" si="8"/>
        <v>0.99230769230769234</v>
      </c>
      <c r="L139" s="16">
        <v>615260</v>
      </c>
    </row>
    <row r="140" spans="1:12" x14ac:dyDescent="0.45">
      <c r="A140" s="18">
        <v>45796</v>
      </c>
      <c r="B140" s="8">
        <v>51</v>
      </c>
      <c r="C140">
        <v>0.5</v>
      </c>
      <c r="D140">
        <f>B140-C140</f>
        <v>50.5</v>
      </c>
      <c r="E140">
        <f t="shared" si="6"/>
        <v>50.5</v>
      </c>
      <c r="F140">
        <f t="shared" si="7"/>
        <v>2550.25</v>
      </c>
      <c r="G140" s="13">
        <f t="shared" si="8"/>
        <v>0.99019607843137258</v>
      </c>
      <c r="L140" s="16">
        <v>683600</v>
      </c>
    </row>
    <row r="141" spans="1:12" x14ac:dyDescent="0.45">
      <c r="A141" s="18">
        <v>45797</v>
      </c>
      <c r="B141" s="8">
        <v>51</v>
      </c>
      <c r="C141">
        <v>0.5</v>
      </c>
      <c r="D141">
        <f>B141-C141</f>
        <v>50.5</v>
      </c>
      <c r="E141">
        <f t="shared" si="6"/>
        <v>50.5</v>
      </c>
      <c r="F141">
        <f t="shared" si="7"/>
        <v>2550.25</v>
      </c>
      <c r="G141" s="13">
        <f t="shared" si="8"/>
        <v>0.99019607843137258</v>
      </c>
      <c r="L141" s="16">
        <v>448000</v>
      </c>
    </row>
    <row r="142" spans="1:12" x14ac:dyDescent="0.45">
      <c r="A142" s="18">
        <v>45798</v>
      </c>
      <c r="B142" s="8">
        <v>89</v>
      </c>
      <c r="C142">
        <v>0.5</v>
      </c>
      <c r="D142">
        <f>B142-C142</f>
        <v>88.5</v>
      </c>
      <c r="E142">
        <f t="shared" si="6"/>
        <v>88.5</v>
      </c>
      <c r="F142">
        <f t="shared" si="7"/>
        <v>7832.25</v>
      </c>
      <c r="G142" s="13">
        <f t="shared" si="8"/>
        <v>0.9943820224719101</v>
      </c>
      <c r="L142" s="16">
        <v>171870</v>
      </c>
    </row>
    <row r="143" spans="1:12" x14ac:dyDescent="0.45">
      <c r="A143" s="18">
        <v>45799</v>
      </c>
      <c r="B143" s="8">
        <v>47</v>
      </c>
      <c r="C143">
        <v>0.5</v>
      </c>
      <c r="D143">
        <f>B143-C143</f>
        <v>46.5</v>
      </c>
      <c r="E143">
        <f t="shared" si="6"/>
        <v>46.5</v>
      </c>
      <c r="F143">
        <f t="shared" si="7"/>
        <v>2162.25</v>
      </c>
      <c r="G143" s="13">
        <f t="shared" si="8"/>
        <v>0.98936170212765961</v>
      </c>
      <c r="L143" s="16">
        <v>79220</v>
      </c>
    </row>
    <row r="144" spans="1:12" x14ac:dyDescent="0.45">
      <c r="A144" s="18">
        <v>45800</v>
      </c>
      <c r="B144" s="8">
        <v>54</v>
      </c>
      <c r="C144">
        <v>0.5</v>
      </c>
      <c r="D144">
        <f>B144-C144</f>
        <v>53.5</v>
      </c>
      <c r="E144">
        <f t="shared" si="6"/>
        <v>53.5</v>
      </c>
      <c r="F144">
        <f t="shared" si="7"/>
        <v>2862.25</v>
      </c>
      <c r="G144" s="13">
        <f t="shared" si="8"/>
        <v>0.9907407407407407</v>
      </c>
      <c r="L144" s="16">
        <v>326580</v>
      </c>
    </row>
    <row r="145" spans="1:12" x14ac:dyDescent="0.45">
      <c r="A145" s="18">
        <v>45801</v>
      </c>
      <c r="B145" s="8">
        <v>64</v>
      </c>
      <c r="C145">
        <v>0.5</v>
      </c>
      <c r="D145">
        <f>B145-C145</f>
        <v>63.5</v>
      </c>
      <c r="E145">
        <f t="shared" si="6"/>
        <v>63.5</v>
      </c>
      <c r="F145">
        <f t="shared" si="7"/>
        <v>4032.25</v>
      </c>
      <c r="G145" s="13">
        <f t="shared" si="8"/>
        <v>0.9921875</v>
      </c>
      <c r="L145" s="16">
        <v>978980</v>
      </c>
    </row>
    <row r="146" spans="1:12" x14ac:dyDescent="0.45">
      <c r="A146" s="18">
        <v>45802</v>
      </c>
      <c r="B146" s="8">
        <v>61</v>
      </c>
      <c r="C146">
        <v>0.5</v>
      </c>
      <c r="D146">
        <f>B146-C146</f>
        <v>60.5</v>
      </c>
      <c r="E146">
        <f t="shared" si="6"/>
        <v>60.5</v>
      </c>
      <c r="F146">
        <f t="shared" si="7"/>
        <v>3660.25</v>
      </c>
      <c r="G146" s="13">
        <f t="shared" si="8"/>
        <v>0.99180327868852458</v>
      </c>
      <c r="L146" s="16">
        <v>591100</v>
      </c>
    </row>
    <row r="147" spans="1:12" x14ac:dyDescent="0.45">
      <c r="A147" s="18">
        <v>45803</v>
      </c>
      <c r="B147" s="8">
        <v>75</v>
      </c>
      <c r="C147">
        <v>0.5</v>
      </c>
      <c r="D147">
        <f>B147-C147</f>
        <v>74.5</v>
      </c>
      <c r="E147">
        <f t="shared" si="6"/>
        <v>74.5</v>
      </c>
      <c r="F147">
        <f t="shared" si="7"/>
        <v>5550.25</v>
      </c>
      <c r="G147" s="13">
        <f t="shared" si="8"/>
        <v>0.99333333333333329</v>
      </c>
      <c r="L147" s="16">
        <v>183820</v>
      </c>
    </row>
    <row r="148" spans="1:12" x14ac:dyDescent="0.45">
      <c r="A148" s="18">
        <v>45804</v>
      </c>
      <c r="B148" s="8">
        <v>80</v>
      </c>
      <c r="C148">
        <v>0.5</v>
      </c>
      <c r="D148">
        <f>B148-C148</f>
        <v>79.5</v>
      </c>
      <c r="E148">
        <f t="shared" si="6"/>
        <v>79.5</v>
      </c>
      <c r="F148">
        <f t="shared" si="7"/>
        <v>6320.25</v>
      </c>
      <c r="G148" s="13">
        <f t="shared" si="8"/>
        <v>0.99375000000000002</v>
      </c>
      <c r="L148" s="16">
        <v>917410</v>
      </c>
    </row>
    <row r="149" spans="1:12" x14ac:dyDescent="0.45">
      <c r="A149" s="18">
        <v>45805</v>
      </c>
      <c r="B149" s="8">
        <v>58</v>
      </c>
      <c r="C149">
        <v>0.5</v>
      </c>
      <c r="D149">
        <f>B149-C149</f>
        <v>57.5</v>
      </c>
      <c r="E149">
        <f t="shared" si="6"/>
        <v>57.5</v>
      </c>
      <c r="F149">
        <f t="shared" si="7"/>
        <v>3306.25</v>
      </c>
      <c r="G149" s="13">
        <f t="shared" si="8"/>
        <v>0.99137931034482762</v>
      </c>
      <c r="L149" s="16">
        <v>111690</v>
      </c>
    </row>
    <row r="150" spans="1:12" x14ac:dyDescent="0.45">
      <c r="A150" s="18">
        <v>45806</v>
      </c>
      <c r="B150" s="8">
        <v>33</v>
      </c>
      <c r="C150">
        <v>0.5</v>
      </c>
      <c r="D150">
        <f>B150-C150</f>
        <v>32.5</v>
      </c>
      <c r="E150">
        <f t="shared" si="6"/>
        <v>32.5</v>
      </c>
      <c r="F150">
        <f t="shared" si="7"/>
        <v>1056.25</v>
      </c>
      <c r="G150" s="13">
        <f t="shared" si="8"/>
        <v>0.98484848484848486</v>
      </c>
      <c r="L150" s="16">
        <v>393430</v>
      </c>
    </row>
    <row r="151" spans="1:12" x14ac:dyDescent="0.45">
      <c r="A151" s="18">
        <v>45807</v>
      </c>
      <c r="B151" s="8">
        <v>61</v>
      </c>
      <c r="C151">
        <v>0.5</v>
      </c>
      <c r="D151">
        <f>B151-C151</f>
        <v>60.5</v>
      </c>
      <c r="E151">
        <f t="shared" si="6"/>
        <v>60.5</v>
      </c>
      <c r="F151">
        <f t="shared" si="7"/>
        <v>3660.25</v>
      </c>
      <c r="G151" s="13">
        <f t="shared" si="8"/>
        <v>0.99180327868852458</v>
      </c>
      <c r="L151" s="16">
        <v>117700</v>
      </c>
    </row>
    <row r="152" spans="1:12" x14ac:dyDescent="0.45">
      <c r="A152" s="18">
        <v>45808</v>
      </c>
      <c r="B152" s="8">
        <v>47</v>
      </c>
      <c r="C152">
        <v>0.5</v>
      </c>
      <c r="D152">
        <f>B152-C152</f>
        <v>46.5</v>
      </c>
      <c r="E152">
        <f t="shared" si="6"/>
        <v>46.5</v>
      </c>
      <c r="F152">
        <f t="shared" si="7"/>
        <v>2162.25</v>
      </c>
      <c r="G152" s="13">
        <f t="shared" si="8"/>
        <v>0.98936170212765961</v>
      </c>
      <c r="L152" s="16">
        <v>587560</v>
      </c>
    </row>
    <row r="153" spans="1:12" x14ac:dyDescent="0.45">
      <c r="A153" s="18">
        <v>45809</v>
      </c>
      <c r="B153" s="8">
        <v>37</v>
      </c>
      <c r="C153">
        <v>0.5</v>
      </c>
      <c r="D153">
        <f>B153-C153</f>
        <v>36.5</v>
      </c>
      <c r="E153">
        <f t="shared" si="6"/>
        <v>36.5</v>
      </c>
      <c r="F153">
        <f t="shared" si="7"/>
        <v>1332.25</v>
      </c>
      <c r="G153" s="13">
        <f t="shared" si="8"/>
        <v>0.98648648648648651</v>
      </c>
      <c r="L153" s="16">
        <v>379540</v>
      </c>
    </row>
    <row r="154" spans="1:12" x14ac:dyDescent="0.45">
      <c r="A154" s="18">
        <v>45810</v>
      </c>
      <c r="B154" s="8">
        <v>26</v>
      </c>
      <c r="C154">
        <v>0.5</v>
      </c>
      <c r="D154">
        <f>B154-C154</f>
        <v>25.5</v>
      </c>
      <c r="E154">
        <f t="shared" si="6"/>
        <v>25.5</v>
      </c>
      <c r="F154">
        <f t="shared" si="7"/>
        <v>650.25</v>
      </c>
      <c r="G154" s="13">
        <f t="shared" si="8"/>
        <v>0.98076923076923073</v>
      </c>
      <c r="L154" s="16">
        <v>49540</v>
      </c>
    </row>
    <row r="155" spans="1:12" x14ac:dyDescent="0.45">
      <c r="A155" s="18">
        <v>45811</v>
      </c>
      <c r="B155" s="8">
        <v>58</v>
      </c>
      <c r="C155">
        <v>0.5</v>
      </c>
      <c r="D155">
        <f>B155-C155</f>
        <v>57.5</v>
      </c>
      <c r="E155">
        <f t="shared" si="6"/>
        <v>57.5</v>
      </c>
      <c r="F155">
        <f t="shared" si="7"/>
        <v>3306.25</v>
      </c>
      <c r="G155" s="13">
        <f t="shared" si="8"/>
        <v>0.99137931034482762</v>
      </c>
      <c r="L155" s="16">
        <v>262120</v>
      </c>
    </row>
    <row r="156" spans="1:12" x14ac:dyDescent="0.45">
      <c r="A156" s="18">
        <v>45812</v>
      </c>
      <c r="B156" s="8">
        <v>78</v>
      </c>
      <c r="C156">
        <v>0.5</v>
      </c>
      <c r="D156">
        <f>B156-C156</f>
        <v>77.5</v>
      </c>
      <c r="E156">
        <f t="shared" si="6"/>
        <v>77.5</v>
      </c>
      <c r="F156">
        <f t="shared" si="7"/>
        <v>6006.25</v>
      </c>
      <c r="G156" s="13">
        <f t="shared" si="8"/>
        <v>0.99358974358974361</v>
      </c>
      <c r="L156" s="16">
        <v>139830</v>
      </c>
    </row>
    <row r="157" spans="1:12" x14ac:dyDescent="0.45">
      <c r="A157" s="18">
        <v>45813</v>
      </c>
      <c r="B157" s="8">
        <v>68</v>
      </c>
      <c r="C157">
        <v>0.5</v>
      </c>
      <c r="D157">
        <f>B157-C157</f>
        <v>67.5</v>
      </c>
      <c r="E157">
        <f t="shared" si="6"/>
        <v>67.5</v>
      </c>
      <c r="F157">
        <f t="shared" si="7"/>
        <v>4556.25</v>
      </c>
      <c r="G157" s="13">
        <f t="shared" si="8"/>
        <v>0.99264705882352944</v>
      </c>
      <c r="L157" s="16">
        <v>481300</v>
      </c>
    </row>
    <row r="158" spans="1:12" x14ac:dyDescent="0.45">
      <c r="A158" s="18">
        <v>45814</v>
      </c>
      <c r="B158" s="8">
        <v>82</v>
      </c>
      <c r="C158">
        <v>0.5</v>
      </c>
      <c r="D158">
        <f>B158-C158</f>
        <v>81.5</v>
      </c>
      <c r="E158">
        <f t="shared" si="6"/>
        <v>81.5</v>
      </c>
      <c r="F158">
        <f t="shared" si="7"/>
        <v>6642.25</v>
      </c>
      <c r="G158" s="13">
        <f t="shared" si="8"/>
        <v>0.99390243902439024</v>
      </c>
      <c r="L158" s="16">
        <v>530010</v>
      </c>
    </row>
    <row r="159" spans="1:12" x14ac:dyDescent="0.45">
      <c r="A159" s="18">
        <v>45815</v>
      </c>
      <c r="B159" s="8">
        <v>34</v>
      </c>
      <c r="C159">
        <v>0.5</v>
      </c>
      <c r="D159">
        <f>B159-C159</f>
        <v>33.5</v>
      </c>
      <c r="E159">
        <f t="shared" si="6"/>
        <v>33.5</v>
      </c>
      <c r="F159">
        <f t="shared" si="7"/>
        <v>1122.25</v>
      </c>
      <c r="G159" s="13">
        <f t="shared" si="8"/>
        <v>0.98529411764705888</v>
      </c>
      <c r="L159" s="16">
        <v>237040</v>
      </c>
    </row>
    <row r="160" spans="1:12" x14ac:dyDescent="0.45">
      <c r="A160" s="18">
        <v>45816</v>
      </c>
      <c r="B160" s="8">
        <v>59</v>
      </c>
      <c r="C160">
        <v>0.5</v>
      </c>
      <c r="D160">
        <f>B160-C160</f>
        <v>58.5</v>
      </c>
      <c r="E160">
        <f t="shared" si="6"/>
        <v>58.5</v>
      </c>
      <c r="F160">
        <f t="shared" si="7"/>
        <v>3422.25</v>
      </c>
      <c r="G160" s="13">
        <f t="shared" si="8"/>
        <v>0.99152542372881358</v>
      </c>
      <c r="L160" s="16">
        <v>603140</v>
      </c>
    </row>
    <row r="161" spans="1:12" x14ac:dyDescent="0.45">
      <c r="A161" s="18">
        <v>45817</v>
      </c>
      <c r="B161" s="8">
        <v>44</v>
      </c>
      <c r="C161">
        <v>0.5</v>
      </c>
      <c r="D161">
        <f>B161-C161</f>
        <v>43.5</v>
      </c>
      <c r="E161">
        <f t="shared" si="6"/>
        <v>43.5</v>
      </c>
      <c r="F161">
        <f t="shared" si="7"/>
        <v>1892.25</v>
      </c>
      <c r="G161" s="13">
        <f t="shared" si="8"/>
        <v>0.98863636363636365</v>
      </c>
      <c r="L161" s="16">
        <v>112100</v>
      </c>
    </row>
    <row r="162" spans="1:12" x14ac:dyDescent="0.45">
      <c r="A162" s="18">
        <v>45818</v>
      </c>
      <c r="B162" s="8">
        <v>81</v>
      </c>
      <c r="C162">
        <v>0.5</v>
      </c>
      <c r="D162">
        <f>B162-C162</f>
        <v>80.5</v>
      </c>
      <c r="E162">
        <f t="shared" si="6"/>
        <v>80.5</v>
      </c>
      <c r="F162">
        <f t="shared" si="7"/>
        <v>6480.25</v>
      </c>
      <c r="G162" s="13">
        <f t="shared" si="8"/>
        <v>0.99382716049382713</v>
      </c>
      <c r="L162" s="16">
        <v>275330</v>
      </c>
    </row>
    <row r="163" spans="1:12" x14ac:dyDescent="0.45">
      <c r="A163" s="18">
        <v>45819</v>
      </c>
      <c r="B163" s="8">
        <v>40</v>
      </c>
      <c r="C163">
        <v>0.5</v>
      </c>
      <c r="D163">
        <f>B163-C163</f>
        <v>39.5</v>
      </c>
      <c r="E163">
        <f t="shared" si="6"/>
        <v>39.5</v>
      </c>
      <c r="F163">
        <f t="shared" si="7"/>
        <v>1560.25</v>
      </c>
      <c r="G163" s="13">
        <f t="shared" si="8"/>
        <v>0.98750000000000004</v>
      </c>
      <c r="L163" s="16">
        <v>473880</v>
      </c>
    </row>
    <row r="164" spans="1:12" x14ac:dyDescent="0.45">
      <c r="A164" s="18">
        <v>45820</v>
      </c>
      <c r="B164" s="8">
        <v>40</v>
      </c>
      <c r="C164">
        <v>0.5</v>
      </c>
      <c r="D164">
        <f>B164-C164</f>
        <v>39.5</v>
      </c>
      <c r="E164">
        <f t="shared" si="6"/>
        <v>39.5</v>
      </c>
      <c r="F164">
        <f t="shared" si="7"/>
        <v>1560.25</v>
      </c>
      <c r="G164" s="13">
        <f t="shared" si="8"/>
        <v>0.98750000000000004</v>
      </c>
      <c r="L164" s="16">
        <v>338680</v>
      </c>
    </row>
    <row r="165" spans="1:12" x14ac:dyDescent="0.45">
      <c r="A165" s="18">
        <v>45821</v>
      </c>
      <c r="B165" s="8">
        <v>67</v>
      </c>
      <c r="C165">
        <v>0.5</v>
      </c>
      <c r="D165">
        <f>B165-C165</f>
        <v>66.5</v>
      </c>
      <c r="E165">
        <f t="shared" si="6"/>
        <v>66.5</v>
      </c>
      <c r="F165">
        <f t="shared" si="7"/>
        <v>4422.25</v>
      </c>
      <c r="G165" s="13">
        <f t="shared" si="8"/>
        <v>0.9925373134328358</v>
      </c>
      <c r="L165" s="16">
        <v>863840</v>
      </c>
    </row>
    <row r="166" spans="1:12" x14ac:dyDescent="0.45">
      <c r="A166" s="18">
        <v>45822</v>
      </c>
      <c r="B166" s="8">
        <v>55</v>
      </c>
      <c r="C166">
        <v>0.5</v>
      </c>
      <c r="D166">
        <f>B166-C166</f>
        <v>54.5</v>
      </c>
      <c r="E166">
        <f t="shared" si="6"/>
        <v>54.5</v>
      </c>
      <c r="F166">
        <f t="shared" si="7"/>
        <v>2970.25</v>
      </c>
      <c r="G166" s="13">
        <f t="shared" si="8"/>
        <v>0.99090909090909096</v>
      </c>
      <c r="L166" s="16">
        <v>470930</v>
      </c>
    </row>
    <row r="167" spans="1:12" x14ac:dyDescent="0.45">
      <c r="A167" s="18">
        <v>45823</v>
      </c>
      <c r="B167" s="8">
        <v>70</v>
      </c>
      <c r="C167">
        <v>0.5</v>
      </c>
      <c r="D167">
        <f>B167-C167</f>
        <v>69.5</v>
      </c>
      <c r="E167">
        <f t="shared" si="6"/>
        <v>69.5</v>
      </c>
      <c r="F167">
        <f t="shared" si="7"/>
        <v>4830.25</v>
      </c>
      <c r="G167" s="13">
        <f t="shared" si="8"/>
        <v>0.99285714285714288</v>
      </c>
      <c r="L167" s="16">
        <v>1247200</v>
      </c>
    </row>
    <row r="168" spans="1:12" x14ac:dyDescent="0.45">
      <c r="A168" s="18">
        <v>45824</v>
      </c>
      <c r="B168" s="8">
        <v>71</v>
      </c>
      <c r="C168">
        <v>0.5</v>
      </c>
      <c r="D168">
        <f>B168-C168</f>
        <v>70.5</v>
      </c>
      <c r="E168">
        <f t="shared" si="6"/>
        <v>70.5</v>
      </c>
      <c r="F168">
        <f t="shared" si="7"/>
        <v>4970.25</v>
      </c>
      <c r="G168" s="13">
        <f t="shared" si="8"/>
        <v>0.99295774647887325</v>
      </c>
      <c r="L168" s="16">
        <v>136020</v>
      </c>
    </row>
    <row r="169" spans="1:12" x14ac:dyDescent="0.45">
      <c r="A169" s="18">
        <v>45825</v>
      </c>
      <c r="B169" s="8">
        <v>92</v>
      </c>
      <c r="C169">
        <v>0.5</v>
      </c>
      <c r="D169">
        <f>B169-C169</f>
        <v>91.5</v>
      </c>
      <c r="E169">
        <f t="shared" si="6"/>
        <v>91.5</v>
      </c>
      <c r="F169">
        <f t="shared" si="7"/>
        <v>8372.25</v>
      </c>
      <c r="G169" s="13">
        <f t="shared" si="8"/>
        <v>0.99456521739130432</v>
      </c>
      <c r="L169" s="16">
        <v>864980</v>
      </c>
    </row>
    <row r="170" spans="1:12" x14ac:dyDescent="0.45">
      <c r="A170" s="18">
        <v>45826</v>
      </c>
      <c r="B170" s="8">
        <v>52</v>
      </c>
      <c r="C170">
        <v>0.5</v>
      </c>
      <c r="D170">
        <f>B170-C170</f>
        <v>51.5</v>
      </c>
      <c r="E170">
        <f t="shared" si="6"/>
        <v>51.5</v>
      </c>
      <c r="F170">
        <f t="shared" si="7"/>
        <v>2652.25</v>
      </c>
      <c r="G170" s="13">
        <f t="shared" si="8"/>
        <v>0.99038461538461542</v>
      </c>
      <c r="L170" s="16">
        <v>146700</v>
      </c>
    </row>
    <row r="171" spans="1:12" x14ac:dyDescent="0.45">
      <c r="A171" s="18">
        <v>45827</v>
      </c>
      <c r="B171" s="8">
        <v>71</v>
      </c>
      <c r="C171">
        <v>0.5</v>
      </c>
      <c r="D171">
        <f>B171-C171</f>
        <v>70.5</v>
      </c>
      <c r="E171">
        <f t="shared" si="6"/>
        <v>70.5</v>
      </c>
      <c r="F171">
        <f t="shared" si="7"/>
        <v>4970.25</v>
      </c>
      <c r="G171" s="13">
        <f t="shared" si="8"/>
        <v>0.99295774647887325</v>
      </c>
      <c r="L171" s="16">
        <v>1167390</v>
      </c>
    </row>
    <row r="172" spans="1:12" x14ac:dyDescent="0.45">
      <c r="A172" s="18">
        <v>45828</v>
      </c>
      <c r="B172" s="8">
        <v>56</v>
      </c>
      <c r="C172">
        <v>0.5</v>
      </c>
      <c r="D172">
        <f>B172-C172</f>
        <v>55.5</v>
      </c>
      <c r="E172">
        <f t="shared" si="6"/>
        <v>55.5</v>
      </c>
      <c r="F172">
        <f t="shared" si="7"/>
        <v>3080.25</v>
      </c>
      <c r="G172" s="13">
        <f t="shared" si="8"/>
        <v>0.9910714285714286</v>
      </c>
      <c r="L172" s="16">
        <v>254360</v>
      </c>
    </row>
    <row r="173" spans="1:12" x14ac:dyDescent="0.45">
      <c r="A173" s="18">
        <v>45829</v>
      </c>
      <c r="B173" s="8">
        <v>59</v>
      </c>
      <c r="C173">
        <v>0.5</v>
      </c>
      <c r="D173">
        <f>B173-C173</f>
        <v>58.5</v>
      </c>
      <c r="E173">
        <f t="shared" si="6"/>
        <v>58.5</v>
      </c>
      <c r="F173">
        <f t="shared" si="7"/>
        <v>3422.25</v>
      </c>
      <c r="G173" s="13">
        <f t="shared" si="8"/>
        <v>0.99152542372881358</v>
      </c>
      <c r="L173" s="16">
        <v>623280</v>
      </c>
    </row>
    <row r="174" spans="1:12" x14ac:dyDescent="0.45">
      <c r="A174" s="18">
        <v>45830</v>
      </c>
      <c r="B174" s="8">
        <v>76</v>
      </c>
      <c r="C174">
        <v>0.5</v>
      </c>
      <c r="D174">
        <f>B174-C174</f>
        <v>75.5</v>
      </c>
      <c r="E174">
        <f t="shared" si="6"/>
        <v>75.5</v>
      </c>
      <c r="F174">
        <f t="shared" si="7"/>
        <v>5700.25</v>
      </c>
      <c r="G174" s="13">
        <f t="shared" si="8"/>
        <v>0.99342105263157898</v>
      </c>
      <c r="L174" s="16">
        <v>169860</v>
      </c>
    </row>
    <row r="175" spans="1:12" x14ac:dyDescent="0.45">
      <c r="A175" s="18">
        <v>45831</v>
      </c>
      <c r="B175" s="8">
        <v>75</v>
      </c>
      <c r="C175">
        <v>0.5</v>
      </c>
      <c r="D175">
        <f>B175-C175</f>
        <v>74.5</v>
      </c>
      <c r="E175">
        <f t="shared" si="6"/>
        <v>74.5</v>
      </c>
      <c r="F175">
        <f t="shared" si="7"/>
        <v>5550.25</v>
      </c>
      <c r="G175" s="13">
        <f t="shared" si="8"/>
        <v>0.99333333333333329</v>
      </c>
      <c r="L175" s="16">
        <v>327330</v>
      </c>
    </row>
    <row r="176" spans="1:12" x14ac:dyDescent="0.45">
      <c r="A176" s="18">
        <v>45832</v>
      </c>
      <c r="B176" s="8">
        <v>62</v>
      </c>
      <c r="C176">
        <v>0.5</v>
      </c>
      <c r="D176">
        <f>B176-C176</f>
        <v>61.5</v>
      </c>
      <c r="E176">
        <f t="shared" si="6"/>
        <v>61.5</v>
      </c>
      <c r="F176">
        <f t="shared" si="7"/>
        <v>3782.25</v>
      </c>
      <c r="G176" s="13">
        <f t="shared" si="8"/>
        <v>0.99193548387096775</v>
      </c>
      <c r="L176" s="16">
        <v>94920</v>
      </c>
    </row>
    <row r="177" spans="1:12" x14ac:dyDescent="0.45">
      <c r="A177" s="18">
        <v>45833</v>
      </c>
      <c r="B177" s="8">
        <v>70</v>
      </c>
      <c r="C177">
        <v>0.5</v>
      </c>
      <c r="D177">
        <f>B177-C177</f>
        <v>69.5</v>
      </c>
      <c r="E177">
        <f t="shared" si="6"/>
        <v>69.5</v>
      </c>
      <c r="F177">
        <f t="shared" si="7"/>
        <v>4830.25</v>
      </c>
      <c r="G177" s="13">
        <f t="shared" si="8"/>
        <v>0.99285714285714288</v>
      </c>
      <c r="L177" s="16">
        <v>522000</v>
      </c>
    </row>
    <row r="178" spans="1:12" x14ac:dyDescent="0.45">
      <c r="A178" s="18">
        <v>45834</v>
      </c>
      <c r="B178" s="8">
        <v>46</v>
      </c>
      <c r="C178">
        <v>0.5</v>
      </c>
      <c r="D178">
        <f>B178-C178</f>
        <v>45.5</v>
      </c>
      <c r="E178">
        <f t="shared" si="6"/>
        <v>45.5</v>
      </c>
      <c r="F178">
        <f t="shared" si="7"/>
        <v>2070.25</v>
      </c>
      <c r="G178" s="13">
        <f t="shared" si="8"/>
        <v>0.98913043478260865</v>
      </c>
      <c r="L178" s="16">
        <v>160430</v>
      </c>
    </row>
    <row r="179" spans="1:12" x14ac:dyDescent="0.45">
      <c r="A179" s="18">
        <v>45835</v>
      </c>
      <c r="B179" s="8">
        <v>34</v>
      </c>
      <c r="C179">
        <v>0.5</v>
      </c>
      <c r="D179">
        <f>B179-C179</f>
        <v>33.5</v>
      </c>
      <c r="E179">
        <f t="shared" si="6"/>
        <v>33.5</v>
      </c>
      <c r="F179">
        <f t="shared" si="7"/>
        <v>1122.25</v>
      </c>
      <c r="G179" s="13">
        <f t="shared" si="8"/>
        <v>0.98529411764705888</v>
      </c>
      <c r="L179" s="16">
        <v>58220</v>
      </c>
    </row>
    <row r="180" spans="1:12" x14ac:dyDescent="0.45">
      <c r="A180" s="18">
        <v>45836</v>
      </c>
      <c r="B180" s="8">
        <v>46</v>
      </c>
      <c r="C180">
        <v>0.5</v>
      </c>
      <c r="D180">
        <f>B180-C180</f>
        <v>45.5</v>
      </c>
      <c r="E180">
        <f t="shared" si="6"/>
        <v>45.5</v>
      </c>
      <c r="F180">
        <f t="shared" si="7"/>
        <v>2070.25</v>
      </c>
      <c r="G180" s="13">
        <f t="shared" si="8"/>
        <v>0.98913043478260865</v>
      </c>
      <c r="L180" s="16">
        <v>399800</v>
      </c>
    </row>
    <row r="181" spans="1:12" x14ac:dyDescent="0.45">
      <c r="A181" s="18">
        <v>45837</v>
      </c>
      <c r="B181" s="8">
        <v>60</v>
      </c>
      <c r="C181">
        <v>0.5</v>
      </c>
      <c r="D181">
        <f>B181-C181</f>
        <v>59.5</v>
      </c>
      <c r="E181">
        <f t="shared" si="6"/>
        <v>59.5</v>
      </c>
      <c r="F181">
        <f t="shared" si="7"/>
        <v>3540.25</v>
      </c>
      <c r="G181" s="13">
        <f t="shared" si="8"/>
        <v>0.9916666666666667</v>
      </c>
      <c r="L181" s="16">
        <v>782650</v>
      </c>
    </row>
    <row r="182" spans="1:12" x14ac:dyDescent="0.45">
      <c r="A182" s="18">
        <v>45838</v>
      </c>
      <c r="B182" s="8">
        <v>58</v>
      </c>
      <c r="C182">
        <v>0.5</v>
      </c>
      <c r="D182">
        <f>B182-C182</f>
        <v>57.5</v>
      </c>
      <c r="E182">
        <f t="shared" si="6"/>
        <v>57.5</v>
      </c>
      <c r="F182">
        <f t="shared" si="7"/>
        <v>3306.25</v>
      </c>
      <c r="G182" s="13">
        <f t="shared" si="8"/>
        <v>0.99137931034482762</v>
      </c>
      <c r="L182" s="16">
        <v>500300</v>
      </c>
    </row>
    <row r="183" spans="1:12" x14ac:dyDescent="0.45">
      <c r="A183" s="18">
        <v>45839</v>
      </c>
      <c r="B183" s="8">
        <v>71</v>
      </c>
      <c r="C183">
        <v>0.5</v>
      </c>
      <c r="D183">
        <f>B183-C183</f>
        <v>70.5</v>
      </c>
      <c r="E183">
        <f t="shared" si="6"/>
        <v>70.5</v>
      </c>
      <c r="F183">
        <f t="shared" si="7"/>
        <v>4970.25</v>
      </c>
      <c r="G183" s="13">
        <f t="shared" si="8"/>
        <v>0.99295774647887325</v>
      </c>
      <c r="L183" s="16">
        <v>230880</v>
      </c>
    </row>
    <row r="184" spans="1:12" x14ac:dyDescent="0.45">
      <c r="A184" s="18">
        <v>45840</v>
      </c>
      <c r="B184" s="8">
        <v>57</v>
      </c>
      <c r="C184">
        <v>0.5</v>
      </c>
      <c r="D184">
        <f>B184-C184</f>
        <v>56.5</v>
      </c>
      <c r="E184">
        <f t="shared" si="6"/>
        <v>56.5</v>
      </c>
      <c r="F184">
        <f t="shared" si="7"/>
        <v>3192.25</v>
      </c>
      <c r="G184" s="13">
        <f t="shared" si="8"/>
        <v>0.99122807017543857</v>
      </c>
      <c r="L184" s="16">
        <v>719610</v>
      </c>
    </row>
    <row r="185" spans="1:12" x14ac:dyDescent="0.45">
      <c r="A185" s="18">
        <v>45841</v>
      </c>
      <c r="B185" s="8">
        <v>94</v>
      </c>
      <c r="C185">
        <v>0.5</v>
      </c>
      <c r="D185">
        <f>B185-C185</f>
        <v>93.5</v>
      </c>
      <c r="E185">
        <f t="shared" si="6"/>
        <v>93.5</v>
      </c>
      <c r="F185">
        <f t="shared" si="7"/>
        <v>8742.25</v>
      </c>
      <c r="G185" s="13">
        <f t="shared" si="8"/>
        <v>0.99468085106382975</v>
      </c>
      <c r="L185" s="16">
        <v>296630</v>
      </c>
    </row>
    <row r="186" spans="1:12" x14ac:dyDescent="0.45">
      <c r="A186" s="18">
        <v>45842</v>
      </c>
      <c r="B186" s="8">
        <v>47</v>
      </c>
      <c r="C186">
        <v>0.5</v>
      </c>
      <c r="D186">
        <f>B186-C186</f>
        <v>46.5</v>
      </c>
      <c r="E186">
        <f t="shared" si="6"/>
        <v>46.5</v>
      </c>
      <c r="F186">
        <f t="shared" si="7"/>
        <v>2162.25</v>
      </c>
      <c r="G186" s="13">
        <f t="shared" si="8"/>
        <v>0.98936170212765961</v>
      </c>
      <c r="L186" s="16">
        <v>547100</v>
      </c>
    </row>
    <row r="187" spans="1:12" x14ac:dyDescent="0.45">
      <c r="A187" s="18">
        <v>45843</v>
      </c>
      <c r="B187" s="8">
        <v>19</v>
      </c>
      <c r="C187">
        <v>0.5</v>
      </c>
      <c r="D187">
        <f>B187-C187</f>
        <v>18.5</v>
      </c>
      <c r="E187">
        <f t="shared" si="6"/>
        <v>18.5</v>
      </c>
      <c r="F187">
        <f t="shared" si="7"/>
        <v>342.25</v>
      </c>
      <c r="G187" s="13">
        <f t="shared" si="8"/>
        <v>0.97368421052631582</v>
      </c>
      <c r="L187" s="16">
        <v>106060</v>
      </c>
    </row>
    <row r="188" spans="1:12" x14ac:dyDescent="0.45">
      <c r="A188" s="18">
        <v>45844</v>
      </c>
      <c r="B188" s="8">
        <v>58</v>
      </c>
      <c r="C188">
        <v>0.5</v>
      </c>
      <c r="D188">
        <f>B188-C188</f>
        <v>57.5</v>
      </c>
      <c r="E188">
        <f t="shared" si="6"/>
        <v>57.5</v>
      </c>
      <c r="F188">
        <f t="shared" si="7"/>
        <v>3306.25</v>
      </c>
      <c r="G188" s="13">
        <f t="shared" si="8"/>
        <v>0.99137931034482762</v>
      </c>
      <c r="L188" s="16">
        <v>229000</v>
      </c>
    </row>
    <row r="189" spans="1:12" x14ac:dyDescent="0.45">
      <c r="A189" s="18">
        <v>45845</v>
      </c>
      <c r="B189" s="8">
        <v>76</v>
      </c>
      <c r="C189">
        <v>0.5</v>
      </c>
      <c r="D189">
        <f>B189-C189</f>
        <v>75.5</v>
      </c>
      <c r="E189">
        <f t="shared" si="6"/>
        <v>75.5</v>
      </c>
      <c r="F189">
        <f t="shared" si="7"/>
        <v>5700.25</v>
      </c>
      <c r="G189" s="13">
        <f t="shared" si="8"/>
        <v>0.99342105263157898</v>
      </c>
      <c r="L189" s="16">
        <v>318820</v>
      </c>
    </row>
    <row r="190" spans="1:12" x14ac:dyDescent="0.45">
      <c r="A190" s="18">
        <v>45846</v>
      </c>
      <c r="B190" s="8">
        <v>53</v>
      </c>
      <c r="C190">
        <v>0.5</v>
      </c>
      <c r="D190">
        <f>B190-C190</f>
        <v>52.5</v>
      </c>
      <c r="E190">
        <f t="shared" si="6"/>
        <v>52.5</v>
      </c>
      <c r="F190">
        <f t="shared" si="7"/>
        <v>2756.25</v>
      </c>
      <c r="G190" s="13">
        <f t="shared" si="8"/>
        <v>0.99056603773584906</v>
      </c>
      <c r="L190" s="16">
        <v>204240</v>
      </c>
    </row>
    <row r="191" spans="1:12" x14ac:dyDescent="0.45">
      <c r="A191" s="18">
        <v>45847</v>
      </c>
      <c r="B191" s="8">
        <v>42</v>
      </c>
      <c r="C191">
        <v>0.5</v>
      </c>
      <c r="D191">
        <f>B191-C191</f>
        <v>41.5</v>
      </c>
      <c r="E191">
        <f t="shared" si="6"/>
        <v>41.5</v>
      </c>
      <c r="F191">
        <f t="shared" si="7"/>
        <v>1722.25</v>
      </c>
      <c r="G191" s="13">
        <f t="shared" si="8"/>
        <v>0.98809523809523814</v>
      </c>
      <c r="L191" s="16">
        <v>370900</v>
      </c>
    </row>
    <row r="192" spans="1:12" x14ac:dyDescent="0.45">
      <c r="A192" s="18">
        <v>45848</v>
      </c>
      <c r="B192" s="8">
        <v>57</v>
      </c>
      <c r="C192">
        <v>0.5</v>
      </c>
      <c r="D192">
        <f>B192-C192</f>
        <v>56.5</v>
      </c>
      <c r="E192">
        <f t="shared" si="6"/>
        <v>56.5</v>
      </c>
      <c r="F192">
        <f t="shared" si="7"/>
        <v>3192.25</v>
      </c>
      <c r="G192" s="13">
        <f t="shared" si="8"/>
        <v>0.99122807017543857</v>
      </c>
      <c r="L192" s="16">
        <v>149400</v>
      </c>
    </row>
    <row r="193" spans="1:12" x14ac:dyDescent="0.45">
      <c r="A193" s="18">
        <v>45849</v>
      </c>
      <c r="B193" s="8">
        <v>46</v>
      </c>
      <c r="C193">
        <v>0.5</v>
      </c>
      <c r="D193">
        <f>B193-C193</f>
        <v>45.5</v>
      </c>
      <c r="E193">
        <f t="shared" si="6"/>
        <v>45.5</v>
      </c>
      <c r="F193">
        <f t="shared" si="7"/>
        <v>2070.25</v>
      </c>
      <c r="G193" s="13">
        <f t="shared" si="8"/>
        <v>0.98913043478260865</v>
      </c>
      <c r="L193" s="16">
        <v>185020</v>
      </c>
    </row>
    <row r="194" spans="1:12" x14ac:dyDescent="0.45">
      <c r="A194" s="18">
        <v>45850</v>
      </c>
      <c r="B194" s="8">
        <v>58</v>
      </c>
      <c r="C194">
        <v>0.5</v>
      </c>
      <c r="D194">
        <f>B194-C194</f>
        <v>57.5</v>
      </c>
      <c r="E194">
        <f t="shared" si="6"/>
        <v>57.5</v>
      </c>
      <c r="F194">
        <f t="shared" si="7"/>
        <v>3306.25</v>
      </c>
      <c r="G194" s="13">
        <f t="shared" si="8"/>
        <v>0.99137931034482762</v>
      </c>
      <c r="L194" s="16">
        <v>691210</v>
      </c>
    </row>
    <row r="195" spans="1:12" x14ac:dyDescent="0.45">
      <c r="A195" s="18">
        <v>45851</v>
      </c>
      <c r="B195" s="8">
        <v>45</v>
      </c>
      <c r="C195">
        <v>0.5</v>
      </c>
      <c r="D195">
        <f>B195-C195</f>
        <v>44.5</v>
      </c>
      <c r="E195">
        <f t="shared" ref="E195:E258" si="9">ABS(D195)</f>
        <v>44.5</v>
      </c>
      <c r="F195">
        <f t="shared" ref="F195:F258" si="10">E195^2</f>
        <v>1980.25</v>
      </c>
      <c r="G195" s="13">
        <f t="shared" ref="G195:G258" si="11">E195/B195</f>
        <v>0.98888888888888893</v>
      </c>
      <c r="L195" s="16">
        <v>572880</v>
      </c>
    </row>
    <row r="196" spans="1:12" x14ac:dyDescent="0.45">
      <c r="A196" s="18">
        <v>45852</v>
      </c>
      <c r="B196" s="8">
        <v>81</v>
      </c>
      <c r="C196">
        <v>0.5</v>
      </c>
      <c r="D196">
        <f>B196-C196</f>
        <v>80.5</v>
      </c>
      <c r="E196">
        <f t="shared" si="9"/>
        <v>80.5</v>
      </c>
      <c r="F196">
        <f t="shared" si="10"/>
        <v>6480.25</v>
      </c>
      <c r="G196" s="13">
        <f t="shared" si="11"/>
        <v>0.99382716049382713</v>
      </c>
      <c r="L196" s="16">
        <v>1121400</v>
      </c>
    </row>
    <row r="197" spans="1:12" x14ac:dyDescent="0.45">
      <c r="A197" s="18">
        <v>45853</v>
      </c>
      <c r="B197" s="8">
        <v>52</v>
      </c>
      <c r="C197">
        <v>0.5</v>
      </c>
      <c r="D197">
        <f>B197-C197</f>
        <v>51.5</v>
      </c>
      <c r="E197">
        <f t="shared" si="9"/>
        <v>51.5</v>
      </c>
      <c r="F197">
        <f t="shared" si="10"/>
        <v>2652.25</v>
      </c>
      <c r="G197" s="13">
        <f t="shared" si="11"/>
        <v>0.99038461538461542</v>
      </c>
      <c r="L197" s="16">
        <v>776660</v>
      </c>
    </row>
    <row r="198" spans="1:12" x14ac:dyDescent="0.45">
      <c r="A198" s="18">
        <v>45854</v>
      </c>
      <c r="B198" s="8">
        <v>84</v>
      </c>
      <c r="C198">
        <v>0.5</v>
      </c>
      <c r="D198">
        <f>B198-C198</f>
        <v>83.5</v>
      </c>
      <c r="E198">
        <f t="shared" si="9"/>
        <v>83.5</v>
      </c>
      <c r="F198">
        <f t="shared" si="10"/>
        <v>6972.25</v>
      </c>
      <c r="G198" s="13">
        <f t="shared" si="11"/>
        <v>0.99404761904761907</v>
      </c>
      <c r="L198" s="16">
        <v>1217240</v>
      </c>
    </row>
    <row r="199" spans="1:12" x14ac:dyDescent="0.45">
      <c r="A199" s="18">
        <v>45855</v>
      </c>
      <c r="B199" s="8">
        <v>42</v>
      </c>
      <c r="C199">
        <v>0.5</v>
      </c>
      <c r="D199">
        <f>B199-C199</f>
        <v>41.5</v>
      </c>
      <c r="E199">
        <f t="shared" si="9"/>
        <v>41.5</v>
      </c>
      <c r="F199">
        <f t="shared" si="10"/>
        <v>1722.25</v>
      </c>
      <c r="G199" s="13">
        <f t="shared" si="11"/>
        <v>0.98809523809523814</v>
      </c>
      <c r="L199" s="16">
        <v>239760</v>
      </c>
    </row>
    <row r="200" spans="1:12" x14ac:dyDescent="0.45">
      <c r="A200" s="18">
        <v>45856</v>
      </c>
      <c r="B200" s="8">
        <v>58</v>
      </c>
      <c r="C200">
        <v>0.5</v>
      </c>
      <c r="D200">
        <f>B200-C200</f>
        <v>57.5</v>
      </c>
      <c r="E200">
        <f t="shared" si="9"/>
        <v>57.5</v>
      </c>
      <c r="F200">
        <f t="shared" si="10"/>
        <v>3306.25</v>
      </c>
      <c r="G200" s="13">
        <f t="shared" si="11"/>
        <v>0.99137931034482762</v>
      </c>
      <c r="L200" s="16">
        <v>591700</v>
      </c>
    </row>
    <row r="201" spans="1:12" x14ac:dyDescent="0.45">
      <c r="A201" s="18">
        <v>45857</v>
      </c>
      <c r="B201" s="8">
        <v>64</v>
      </c>
      <c r="C201">
        <v>0.5</v>
      </c>
      <c r="D201">
        <f>B201-C201</f>
        <v>63.5</v>
      </c>
      <c r="E201">
        <f t="shared" si="9"/>
        <v>63.5</v>
      </c>
      <c r="F201">
        <f t="shared" si="10"/>
        <v>4032.25</v>
      </c>
      <c r="G201" s="13">
        <f t="shared" si="11"/>
        <v>0.9921875</v>
      </c>
      <c r="L201" s="16">
        <v>426200</v>
      </c>
    </row>
    <row r="202" spans="1:12" x14ac:dyDescent="0.45">
      <c r="A202" s="18">
        <v>45858</v>
      </c>
      <c r="B202" s="8">
        <v>62</v>
      </c>
      <c r="C202">
        <v>0.5</v>
      </c>
      <c r="D202">
        <f>B202-C202</f>
        <v>61.5</v>
      </c>
      <c r="E202">
        <f t="shared" si="9"/>
        <v>61.5</v>
      </c>
      <c r="F202">
        <f t="shared" si="10"/>
        <v>3782.25</v>
      </c>
      <c r="G202" s="13">
        <f t="shared" si="11"/>
        <v>0.99193548387096775</v>
      </c>
      <c r="L202" s="16">
        <v>150100</v>
      </c>
    </row>
    <row r="203" spans="1:12" x14ac:dyDescent="0.45">
      <c r="A203" s="18">
        <v>45859</v>
      </c>
      <c r="B203" s="8">
        <v>38</v>
      </c>
      <c r="C203">
        <v>0.5</v>
      </c>
      <c r="D203">
        <f>B203-C203</f>
        <v>37.5</v>
      </c>
      <c r="E203">
        <f t="shared" si="9"/>
        <v>37.5</v>
      </c>
      <c r="F203">
        <f t="shared" si="10"/>
        <v>1406.25</v>
      </c>
      <c r="G203" s="13">
        <f t="shared" si="11"/>
        <v>0.98684210526315785</v>
      </c>
      <c r="L203" s="16">
        <v>68730</v>
      </c>
    </row>
    <row r="204" spans="1:12" x14ac:dyDescent="0.45">
      <c r="A204" s="18">
        <v>45860</v>
      </c>
      <c r="B204" s="8">
        <v>67</v>
      </c>
      <c r="C204">
        <v>0.5</v>
      </c>
      <c r="D204">
        <f>B204-C204</f>
        <v>66.5</v>
      </c>
      <c r="E204">
        <f t="shared" si="9"/>
        <v>66.5</v>
      </c>
      <c r="F204">
        <f t="shared" si="10"/>
        <v>4422.25</v>
      </c>
      <c r="G204" s="13">
        <f t="shared" si="11"/>
        <v>0.9925373134328358</v>
      </c>
      <c r="L204" s="16">
        <v>919940</v>
      </c>
    </row>
    <row r="205" spans="1:12" x14ac:dyDescent="0.45">
      <c r="A205" s="18">
        <v>45861</v>
      </c>
      <c r="B205" s="8">
        <v>66</v>
      </c>
      <c r="C205">
        <v>0.5</v>
      </c>
      <c r="D205">
        <f>B205-C205</f>
        <v>65.5</v>
      </c>
      <c r="E205">
        <f t="shared" si="9"/>
        <v>65.5</v>
      </c>
      <c r="F205">
        <f t="shared" si="10"/>
        <v>4290.25</v>
      </c>
      <c r="G205" s="13">
        <f t="shared" si="11"/>
        <v>0.99242424242424243</v>
      </c>
      <c r="L205" s="16">
        <v>1889250</v>
      </c>
    </row>
    <row r="206" spans="1:12" x14ac:dyDescent="0.45">
      <c r="A206" s="18">
        <v>45862</v>
      </c>
      <c r="B206" s="8">
        <v>28</v>
      </c>
      <c r="C206">
        <v>0.5</v>
      </c>
      <c r="D206">
        <f>B206-C206</f>
        <v>27.5</v>
      </c>
      <c r="E206">
        <f t="shared" si="9"/>
        <v>27.5</v>
      </c>
      <c r="F206">
        <f t="shared" si="10"/>
        <v>756.25</v>
      </c>
      <c r="G206" s="13">
        <f t="shared" si="11"/>
        <v>0.9821428571428571</v>
      </c>
      <c r="L206" s="16">
        <v>63760</v>
      </c>
    </row>
    <row r="207" spans="1:12" x14ac:dyDescent="0.45">
      <c r="A207" s="18">
        <v>45863</v>
      </c>
      <c r="B207" s="8">
        <v>47</v>
      </c>
      <c r="C207">
        <v>0.5</v>
      </c>
      <c r="D207">
        <f>B207-C207</f>
        <v>46.5</v>
      </c>
      <c r="E207">
        <f t="shared" si="9"/>
        <v>46.5</v>
      </c>
      <c r="F207">
        <f t="shared" si="10"/>
        <v>2162.25</v>
      </c>
      <c r="G207" s="13">
        <f t="shared" si="11"/>
        <v>0.98936170212765961</v>
      </c>
      <c r="L207" s="16">
        <v>128300</v>
      </c>
    </row>
    <row r="208" spans="1:12" x14ac:dyDescent="0.45">
      <c r="A208" s="18">
        <v>45864</v>
      </c>
      <c r="B208" s="8">
        <v>90</v>
      </c>
      <c r="C208">
        <v>0.5</v>
      </c>
      <c r="D208">
        <f>B208-C208</f>
        <v>89.5</v>
      </c>
      <c r="E208">
        <f t="shared" si="9"/>
        <v>89.5</v>
      </c>
      <c r="F208">
        <f t="shared" si="10"/>
        <v>8010.25</v>
      </c>
      <c r="G208" s="13">
        <f t="shared" si="11"/>
        <v>0.99444444444444446</v>
      </c>
      <c r="L208" s="16">
        <v>661940</v>
      </c>
    </row>
    <row r="209" spans="1:12" x14ac:dyDescent="0.45">
      <c r="A209" s="18">
        <v>45865</v>
      </c>
      <c r="B209" s="8">
        <v>42</v>
      </c>
      <c r="C209">
        <v>0.5</v>
      </c>
      <c r="D209">
        <f>B209-C209</f>
        <v>41.5</v>
      </c>
      <c r="E209">
        <f t="shared" si="9"/>
        <v>41.5</v>
      </c>
      <c r="F209">
        <f t="shared" si="10"/>
        <v>1722.25</v>
      </c>
      <c r="G209" s="13">
        <f t="shared" si="11"/>
        <v>0.98809523809523814</v>
      </c>
      <c r="L209" s="16">
        <v>875860</v>
      </c>
    </row>
    <row r="210" spans="1:12" x14ac:dyDescent="0.45">
      <c r="A210" s="18">
        <v>45866</v>
      </c>
      <c r="B210" s="8">
        <v>64</v>
      </c>
      <c r="C210">
        <v>0.5</v>
      </c>
      <c r="D210">
        <f>B210-C210</f>
        <v>63.5</v>
      </c>
      <c r="E210">
        <f t="shared" si="9"/>
        <v>63.5</v>
      </c>
      <c r="F210">
        <f t="shared" si="10"/>
        <v>4032.25</v>
      </c>
      <c r="G210" s="13">
        <f t="shared" si="11"/>
        <v>0.9921875</v>
      </c>
      <c r="L210" s="16">
        <v>596070</v>
      </c>
    </row>
    <row r="211" spans="1:12" x14ac:dyDescent="0.45">
      <c r="A211" s="18">
        <v>45867</v>
      </c>
      <c r="B211" s="8">
        <v>47</v>
      </c>
      <c r="C211">
        <v>0.5</v>
      </c>
      <c r="D211">
        <f>B211-C211</f>
        <v>46.5</v>
      </c>
      <c r="E211">
        <f t="shared" si="9"/>
        <v>46.5</v>
      </c>
      <c r="F211">
        <f t="shared" si="10"/>
        <v>2162.25</v>
      </c>
      <c r="G211" s="13">
        <f t="shared" si="11"/>
        <v>0.98936170212765961</v>
      </c>
      <c r="L211" s="16">
        <v>291860</v>
      </c>
    </row>
    <row r="212" spans="1:12" x14ac:dyDescent="0.45">
      <c r="A212" s="18">
        <v>45868</v>
      </c>
      <c r="B212" s="8">
        <v>53</v>
      </c>
      <c r="C212">
        <v>0.5</v>
      </c>
      <c r="D212">
        <f>B212-C212</f>
        <v>52.5</v>
      </c>
      <c r="E212">
        <f t="shared" si="9"/>
        <v>52.5</v>
      </c>
      <c r="F212">
        <f t="shared" si="10"/>
        <v>2756.25</v>
      </c>
      <c r="G212" s="13">
        <f t="shared" si="11"/>
        <v>0.99056603773584906</v>
      </c>
      <c r="L212" s="16">
        <v>196950</v>
      </c>
    </row>
    <row r="213" spans="1:12" x14ac:dyDescent="0.45">
      <c r="A213" s="18">
        <v>45869</v>
      </c>
      <c r="B213" s="8">
        <v>48</v>
      </c>
      <c r="C213">
        <v>0.5</v>
      </c>
      <c r="D213">
        <f>B213-C213</f>
        <v>47.5</v>
      </c>
      <c r="E213">
        <f t="shared" si="9"/>
        <v>47.5</v>
      </c>
      <c r="F213">
        <f t="shared" si="10"/>
        <v>2256.25</v>
      </c>
      <c r="G213" s="13">
        <f t="shared" si="11"/>
        <v>0.98958333333333337</v>
      </c>
      <c r="L213" s="16">
        <v>377500</v>
      </c>
    </row>
    <row r="214" spans="1:12" x14ac:dyDescent="0.45">
      <c r="A214" s="18">
        <v>45870</v>
      </c>
      <c r="B214" s="8">
        <v>48</v>
      </c>
      <c r="C214">
        <v>0.5</v>
      </c>
      <c r="D214">
        <f>B214-C214</f>
        <v>47.5</v>
      </c>
      <c r="E214">
        <f t="shared" si="9"/>
        <v>47.5</v>
      </c>
      <c r="F214">
        <f t="shared" si="10"/>
        <v>2256.25</v>
      </c>
      <c r="G214" s="13">
        <f t="shared" si="11"/>
        <v>0.98958333333333337</v>
      </c>
      <c r="L214" s="16">
        <v>178760</v>
      </c>
    </row>
    <row r="215" spans="1:12" x14ac:dyDescent="0.45">
      <c r="A215" s="18">
        <v>45871</v>
      </c>
      <c r="B215" s="8">
        <v>40</v>
      </c>
      <c r="C215">
        <v>0.5</v>
      </c>
      <c r="D215">
        <f>B215-C215</f>
        <v>39.5</v>
      </c>
      <c r="E215">
        <f t="shared" si="9"/>
        <v>39.5</v>
      </c>
      <c r="F215">
        <f t="shared" si="10"/>
        <v>1560.25</v>
      </c>
      <c r="G215" s="13">
        <f t="shared" si="11"/>
        <v>0.98750000000000004</v>
      </c>
      <c r="L215" s="16">
        <v>136980</v>
      </c>
    </row>
    <row r="216" spans="1:12" x14ac:dyDescent="0.45">
      <c r="A216" s="18">
        <v>45872</v>
      </c>
      <c r="B216" s="8">
        <v>58</v>
      </c>
      <c r="C216">
        <v>0.5</v>
      </c>
      <c r="D216">
        <f>B216-C216</f>
        <v>57.5</v>
      </c>
      <c r="E216">
        <f t="shared" si="9"/>
        <v>57.5</v>
      </c>
      <c r="F216">
        <f t="shared" si="10"/>
        <v>3306.25</v>
      </c>
      <c r="G216" s="13">
        <f t="shared" si="11"/>
        <v>0.99137931034482762</v>
      </c>
      <c r="L216" s="16">
        <v>228120</v>
      </c>
    </row>
    <row r="217" spans="1:12" x14ac:dyDescent="0.45">
      <c r="A217" s="18">
        <v>45873</v>
      </c>
      <c r="B217" s="8">
        <v>47</v>
      </c>
      <c r="C217">
        <v>0.5</v>
      </c>
      <c r="D217">
        <f>B217-C217</f>
        <v>46.5</v>
      </c>
      <c r="E217">
        <f t="shared" si="9"/>
        <v>46.5</v>
      </c>
      <c r="F217">
        <f t="shared" si="10"/>
        <v>2162.25</v>
      </c>
      <c r="G217" s="13">
        <f t="shared" si="11"/>
        <v>0.98936170212765961</v>
      </c>
      <c r="L217" s="16">
        <v>787940</v>
      </c>
    </row>
    <row r="218" spans="1:12" x14ac:dyDescent="0.45">
      <c r="A218" s="18">
        <v>45874</v>
      </c>
      <c r="B218" s="8">
        <v>43</v>
      </c>
      <c r="C218">
        <v>0.5</v>
      </c>
      <c r="D218">
        <f>B218-C218</f>
        <v>42.5</v>
      </c>
      <c r="E218">
        <f t="shared" si="9"/>
        <v>42.5</v>
      </c>
      <c r="F218">
        <f t="shared" si="10"/>
        <v>1806.25</v>
      </c>
      <c r="G218" s="13">
        <f t="shared" si="11"/>
        <v>0.98837209302325579</v>
      </c>
      <c r="L218" s="16">
        <v>271400</v>
      </c>
    </row>
    <row r="219" spans="1:12" x14ac:dyDescent="0.45">
      <c r="A219" s="18">
        <v>45875</v>
      </c>
      <c r="B219" s="8">
        <v>36</v>
      </c>
      <c r="C219">
        <v>0.5</v>
      </c>
      <c r="D219">
        <f>B219-C219</f>
        <v>35.5</v>
      </c>
      <c r="E219">
        <f t="shared" si="9"/>
        <v>35.5</v>
      </c>
      <c r="F219">
        <f t="shared" si="10"/>
        <v>1260.25</v>
      </c>
      <c r="G219" s="13">
        <f t="shared" si="11"/>
        <v>0.98611111111111116</v>
      </c>
      <c r="L219" s="16">
        <v>176880</v>
      </c>
    </row>
    <row r="220" spans="1:12" x14ac:dyDescent="0.45">
      <c r="A220" s="18">
        <v>45876</v>
      </c>
      <c r="B220" s="8">
        <v>86</v>
      </c>
      <c r="C220">
        <v>0.5</v>
      </c>
      <c r="D220">
        <f>B220-C220</f>
        <v>85.5</v>
      </c>
      <c r="E220">
        <f t="shared" si="9"/>
        <v>85.5</v>
      </c>
      <c r="F220">
        <f t="shared" si="10"/>
        <v>7310.25</v>
      </c>
      <c r="G220" s="13">
        <f t="shared" si="11"/>
        <v>0.9941860465116279</v>
      </c>
      <c r="L220" s="16">
        <v>1342660</v>
      </c>
    </row>
    <row r="221" spans="1:12" x14ac:dyDescent="0.45">
      <c r="A221" s="18">
        <v>45877</v>
      </c>
      <c r="B221" s="8">
        <v>48</v>
      </c>
      <c r="C221">
        <v>0.5</v>
      </c>
      <c r="D221">
        <f>B221-C221</f>
        <v>47.5</v>
      </c>
      <c r="E221">
        <f t="shared" si="9"/>
        <v>47.5</v>
      </c>
      <c r="F221">
        <f t="shared" si="10"/>
        <v>2256.25</v>
      </c>
      <c r="G221" s="13">
        <f t="shared" si="11"/>
        <v>0.98958333333333337</v>
      </c>
      <c r="L221" s="16">
        <v>386830</v>
      </c>
    </row>
    <row r="222" spans="1:12" x14ac:dyDescent="0.45">
      <c r="A222" s="18">
        <v>45878</v>
      </c>
      <c r="B222" s="8">
        <v>27</v>
      </c>
      <c r="C222">
        <v>0.5</v>
      </c>
      <c r="D222">
        <f>B222-C222</f>
        <v>26.5</v>
      </c>
      <c r="E222">
        <f t="shared" si="9"/>
        <v>26.5</v>
      </c>
      <c r="F222">
        <f t="shared" si="10"/>
        <v>702.25</v>
      </c>
      <c r="G222" s="13">
        <f t="shared" si="11"/>
        <v>0.98148148148148151</v>
      </c>
      <c r="L222" s="16">
        <v>416030</v>
      </c>
    </row>
    <row r="223" spans="1:12" x14ac:dyDescent="0.45">
      <c r="A223" s="18">
        <v>45879</v>
      </c>
      <c r="B223" s="8">
        <v>50</v>
      </c>
      <c r="C223">
        <v>0.5</v>
      </c>
      <c r="D223">
        <f>B223-C223</f>
        <v>49.5</v>
      </c>
      <c r="E223">
        <f t="shared" si="9"/>
        <v>49.5</v>
      </c>
      <c r="F223">
        <f t="shared" si="10"/>
        <v>2450.25</v>
      </c>
      <c r="G223" s="13">
        <f t="shared" si="11"/>
        <v>0.99</v>
      </c>
      <c r="L223" s="16">
        <v>494500</v>
      </c>
    </row>
    <row r="224" spans="1:12" x14ac:dyDescent="0.45">
      <c r="A224" s="18">
        <v>45880</v>
      </c>
      <c r="B224" s="8">
        <v>67</v>
      </c>
      <c r="C224">
        <v>0.5</v>
      </c>
      <c r="D224">
        <f>B224-C224</f>
        <v>66.5</v>
      </c>
      <c r="E224">
        <f t="shared" si="9"/>
        <v>66.5</v>
      </c>
      <c r="F224">
        <f t="shared" si="10"/>
        <v>4422.25</v>
      </c>
      <c r="G224" s="13">
        <f t="shared" si="11"/>
        <v>0.9925373134328358</v>
      </c>
      <c r="L224" s="16">
        <v>541360</v>
      </c>
    </row>
    <row r="225" spans="1:12" x14ac:dyDescent="0.45">
      <c r="A225" s="18">
        <v>45881</v>
      </c>
      <c r="B225" s="8">
        <v>45</v>
      </c>
      <c r="C225">
        <v>0.5</v>
      </c>
      <c r="D225">
        <f>B225-C225</f>
        <v>44.5</v>
      </c>
      <c r="E225">
        <f t="shared" si="9"/>
        <v>44.5</v>
      </c>
      <c r="F225">
        <f t="shared" si="10"/>
        <v>1980.25</v>
      </c>
      <c r="G225" s="13">
        <f t="shared" si="11"/>
        <v>0.98888888888888893</v>
      </c>
      <c r="L225" s="16">
        <v>1145300</v>
      </c>
    </row>
    <row r="226" spans="1:12" x14ac:dyDescent="0.45">
      <c r="A226" s="18">
        <v>45882</v>
      </c>
      <c r="B226" s="8">
        <v>55</v>
      </c>
      <c r="C226">
        <v>0.5</v>
      </c>
      <c r="D226">
        <f>B226-C226</f>
        <v>54.5</v>
      </c>
      <c r="E226">
        <f t="shared" si="9"/>
        <v>54.5</v>
      </c>
      <c r="F226">
        <f t="shared" si="10"/>
        <v>2970.25</v>
      </c>
      <c r="G226" s="13">
        <f t="shared" si="11"/>
        <v>0.99090909090909096</v>
      </c>
      <c r="L226" s="16">
        <v>160260</v>
      </c>
    </row>
    <row r="227" spans="1:12" x14ac:dyDescent="0.45">
      <c r="A227" s="18">
        <v>45883</v>
      </c>
      <c r="B227" s="8">
        <v>76</v>
      </c>
      <c r="C227">
        <v>0.5</v>
      </c>
      <c r="D227">
        <f>B227-C227</f>
        <v>75.5</v>
      </c>
      <c r="E227">
        <f t="shared" si="9"/>
        <v>75.5</v>
      </c>
      <c r="F227">
        <f t="shared" si="10"/>
        <v>5700.25</v>
      </c>
      <c r="G227" s="13">
        <f t="shared" si="11"/>
        <v>0.99342105263157898</v>
      </c>
      <c r="L227" s="16">
        <v>911520</v>
      </c>
    </row>
    <row r="228" spans="1:12" x14ac:dyDescent="0.45">
      <c r="A228" s="18">
        <v>45884</v>
      </c>
      <c r="B228" s="8">
        <v>55</v>
      </c>
      <c r="C228">
        <v>0.5</v>
      </c>
      <c r="D228">
        <f>B228-C228</f>
        <v>54.5</v>
      </c>
      <c r="E228">
        <f t="shared" si="9"/>
        <v>54.5</v>
      </c>
      <c r="F228">
        <f t="shared" si="10"/>
        <v>2970.25</v>
      </c>
      <c r="G228" s="13">
        <f t="shared" si="11"/>
        <v>0.99090909090909096</v>
      </c>
      <c r="L228" s="16">
        <v>139300</v>
      </c>
    </row>
    <row r="229" spans="1:12" x14ac:dyDescent="0.45">
      <c r="A229" s="18">
        <v>45885</v>
      </c>
      <c r="B229" s="8">
        <v>57</v>
      </c>
      <c r="C229">
        <v>0.5</v>
      </c>
      <c r="D229">
        <f>B229-C229</f>
        <v>56.5</v>
      </c>
      <c r="E229">
        <f t="shared" si="9"/>
        <v>56.5</v>
      </c>
      <c r="F229">
        <f t="shared" si="10"/>
        <v>3192.25</v>
      </c>
      <c r="G229" s="13">
        <f t="shared" si="11"/>
        <v>0.99122807017543857</v>
      </c>
      <c r="L229" s="16">
        <v>207880</v>
      </c>
    </row>
    <row r="230" spans="1:12" x14ac:dyDescent="0.45">
      <c r="A230" s="18">
        <v>45886</v>
      </c>
      <c r="B230" s="8">
        <v>45</v>
      </c>
      <c r="C230">
        <v>0.5</v>
      </c>
      <c r="D230">
        <f>B230-C230</f>
        <v>44.5</v>
      </c>
      <c r="E230">
        <f t="shared" si="9"/>
        <v>44.5</v>
      </c>
      <c r="F230">
        <f t="shared" si="10"/>
        <v>1980.25</v>
      </c>
      <c r="G230" s="13">
        <f t="shared" si="11"/>
        <v>0.98888888888888893</v>
      </c>
      <c r="L230" s="16">
        <v>192180</v>
      </c>
    </row>
    <row r="231" spans="1:12" x14ac:dyDescent="0.45">
      <c r="A231" s="18">
        <v>45887</v>
      </c>
      <c r="B231" s="8">
        <v>62</v>
      </c>
      <c r="C231">
        <v>0.5</v>
      </c>
      <c r="D231">
        <f>B231-C231</f>
        <v>61.5</v>
      </c>
      <c r="E231">
        <f t="shared" si="9"/>
        <v>61.5</v>
      </c>
      <c r="F231">
        <f t="shared" si="10"/>
        <v>3782.25</v>
      </c>
      <c r="G231" s="13">
        <f t="shared" si="11"/>
        <v>0.99193548387096775</v>
      </c>
      <c r="L231" s="16">
        <v>267640</v>
      </c>
    </row>
    <row r="232" spans="1:12" x14ac:dyDescent="0.45">
      <c r="A232" s="18">
        <v>45888</v>
      </c>
      <c r="B232" s="8">
        <v>82</v>
      </c>
      <c r="C232">
        <v>0.5</v>
      </c>
      <c r="D232">
        <f>B232-C232</f>
        <v>81.5</v>
      </c>
      <c r="E232">
        <f t="shared" si="9"/>
        <v>81.5</v>
      </c>
      <c r="F232">
        <f t="shared" si="10"/>
        <v>6642.25</v>
      </c>
      <c r="G232" s="13">
        <f t="shared" si="11"/>
        <v>0.99390243902439024</v>
      </c>
      <c r="L232" s="16">
        <v>1093340</v>
      </c>
    </row>
    <row r="233" spans="1:12" x14ac:dyDescent="0.45">
      <c r="A233" s="18">
        <v>45889</v>
      </c>
      <c r="B233" s="8">
        <v>47</v>
      </c>
      <c r="C233">
        <v>0.5</v>
      </c>
      <c r="D233">
        <f>B233-C233</f>
        <v>46.5</v>
      </c>
      <c r="E233">
        <f t="shared" si="9"/>
        <v>46.5</v>
      </c>
      <c r="F233">
        <f t="shared" si="10"/>
        <v>2162.25</v>
      </c>
      <c r="G233" s="13">
        <f t="shared" si="11"/>
        <v>0.98936170212765961</v>
      </c>
      <c r="L233" s="16">
        <v>202650</v>
      </c>
    </row>
    <row r="234" spans="1:12" x14ac:dyDescent="0.45">
      <c r="A234" s="18">
        <v>45890</v>
      </c>
      <c r="B234" s="8">
        <v>57</v>
      </c>
      <c r="C234">
        <v>0.5</v>
      </c>
      <c r="D234">
        <f>B234-C234</f>
        <v>56.5</v>
      </c>
      <c r="E234">
        <f t="shared" si="9"/>
        <v>56.5</v>
      </c>
      <c r="F234">
        <f t="shared" si="10"/>
        <v>3192.25</v>
      </c>
      <c r="G234" s="13">
        <f t="shared" si="11"/>
        <v>0.99122807017543857</v>
      </c>
      <c r="L234" s="16">
        <v>410740</v>
      </c>
    </row>
    <row r="235" spans="1:12" x14ac:dyDescent="0.45">
      <c r="A235" s="18">
        <v>45891</v>
      </c>
      <c r="B235" s="8">
        <v>85</v>
      </c>
      <c r="C235">
        <v>0.5</v>
      </c>
      <c r="D235">
        <f>B235-C235</f>
        <v>84.5</v>
      </c>
      <c r="E235">
        <f t="shared" si="9"/>
        <v>84.5</v>
      </c>
      <c r="F235">
        <f t="shared" si="10"/>
        <v>7140.25</v>
      </c>
      <c r="G235" s="13">
        <f t="shared" si="11"/>
        <v>0.99411764705882355</v>
      </c>
      <c r="L235" s="16">
        <v>1165890</v>
      </c>
    </row>
    <row r="236" spans="1:12" x14ac:dyDescent="0.45">
      <c r="A236" s="18">
        <v>45892</v>
      </c>
      <c r="B236" s="8">
        <v>58</v>
      </c>
      <c r="C236">
        <v>0.5</v>
      </c>
      <c r="D236">
        <f>B236-C236</f>
        <v>57.5</v>
      </c>
      <c r="E236">
        <f t="shared" si="9"/>
        <v>57.5</v>
      </c>
      <c r="F236">
        <f t="shared" si="10"/>
        <v>3306.25</v>
      </c>
      <c r="G236" s="13">
        <f t="shared" si="11"/>
        <v>0.99137931034482762</v>
      </c>
      <c r="L236" s="16">
        <v>339940</v>
      </c>
    </row>
    <row r="237" spans="1:12" x14ac:dyDescent="0.45">
      <c r="A237" s="18">
        <v>45893</v>
      </c>
      <c r="B237" s="8">
        <v>66</v>
      </c>
      <c r="C237">
        <v>0.5</v>
      </c>
      <c r="D237">
        <f>B237-C237</f>
        <v>65.5</v>
      </c>
      <c r="E237">
        <f t="shared" si="9"/>
        <v>65.5</v>
      </c>
      <c r="F237">
        <f t="shared" si="10"/>
        <v>4290.25</v>
      </c>
      <c r="G237" s="13">
        <f t="shared" si="11"/>
        <v>0.99242424242424243</v>
      </c>
      <c r="L237" s="16">
        <v>876320</v>
      </c>
    </row>
    <row r="238" spans="1:12" x14ac:dyDescent="0.45">
      <c r="A238" s="18">
        <v>45894</v>
      </c>
      <c r="B238" s="8">
        <v>69</v>
      </c>
      <c r="C238">
        <v>0.5</v>
      </c>
      <c r="D238">
        <f>B238-C238</f>
        <v>68.5</v>
      </c>
      <c r="E238">
        <f t="shared" si="9"/>
        <v>68.5</v>
      </c>
      <c r="F238">
        <f t="shared" si="10"/>
        <v>4692.25</v>
      </c>
      <c r="G238" s="13">
        <f t="shared" si="11"/>
        <v>0.99275362318840576</v>
      </c>
      <c r="L238" s="16">
        <v>136060</v>
      </c>
    </row>
    <row r="239" spans="1:12" x14ac:dyDescent="0.45">
      <c r="A239" s="18">
        <v>45895</v>
      </c>
      <c r="B239" s="8">
        <v>59</v>
      </c>
      <c r="C239">
        <v>0.5</v>
      </c>
      <c r="D239">
        <f>B239-C239</f>
        <v>58.5</v>
      </c>
      <c r="E239">
        <f t="shared" si="9"/>
        <v>58.5</v>
      </c>
      <c r="F239">
        <f t="shared" si="10"/>
        <v>3422.25</v>
      </c>
      <c r="G239" s="13">
        <f t="shared" si="11"/>
        <v>0.99152542372881358</v>
      </c>
      <c r="L239" s="16">
        <v>361640</v>
      </c>
    </row>
    <row r="240" spans="1:12" x14ac:dyDescent="0.45">
      <c r="A240" s="18">
        <v>45896</v>
      </c>
      <c r="B240" s="8">
        <v>39</v>
      </c>
      <c r="C240">
        <v>0.5</v>
      </c>
      <c r="D240">
        <f>B240-C240</f>
        <v>38.5</v>
      </c>
      <c r="E240">
        <f t="shared" si="9"/>
        <v>38.5</v>
      </c>
      <c r="F240">
        <f t="shared" si="10"/>
        <v>1482.25</v>
      </c>
      <c r="G240" s="13">
        <f t="shared" si="11"/>
        <v>0.98717948717948723</v>
      </c>
      <c r="L240" s="16">
        <v>670440</v>
      </c>
    </row>
    <row r="241" spans="1:12" x14ac:dyDescent="0.45">
      <c r="A241" s="18">
        <v>45897</v>
      </c>
      <c r="B241" s="8">
        <v>56</v>
      </c>
      <c r="C241">
        <v>0.5</v>
      </c>
      <c r="D241">
        <f>B241-C241</f>
        <v>55.5</v>
      </c>
      <c r="E241">
        <f t="shared" si="9"/>
        <v>55.5</v>
      </c>
      <c r="F241">
        <f t="shared" si="10"/>
        <v>3080.25</v>
      </c>
      <c r="G241" s="13">
        <f t="shared" si="11"/>
        <v>0.9910714285714286</v>
      </c>
      <c r="L241" s="16">
        <v>122460</v>
      </c>
    </row>
    <row r="242" spans="1:12" x14ac:dyDescent="0.45">
      <c r="A242" s="18">
        <v>45898</v>
      </c>
      <c r="B242" s="8">
        <v>47</v>
      </c>
      <c r="C242">
        <v>0.5</v>
      </c>
      <c r="D242">
        <f>B242-C242</f>
        <v>46.5</v>
      </c>
      <c r="E242">
        <f t="shared" si="9"/>
        <v>46.5</v>
      </c>
      <c r="F242">
        <f t="shared" si="10"/>
        <v>2162.25</v>
      </c>
      <c r="G242" s="13">
        <f t="shared" si="11"/>
        <v>0.98936170212765961</v>
      </c>
      <c r="L242" s="16">
        <v>620450</v>
      </c>
    </row>
    <row r="243" spans="1:12" x14ac:dyDescent="0.45">
      <c r="A243" s="18">
        <v>45899</v>
      </c>
      <c r="B243" s="8">
        <v>76</v>
      </c>
      <c r="C243">
        <v>0.5</v>
      </c>
      <c r="D243">
        <f>B243-C243</f>
        <v>75.5</v>
      </c>
      <c r="E243">
        <f t="shared" si="9"/>
        <v>75.5</v>
      </c>
      <c r="F243">
        <f t="shared" si="10"/>
        <v>5700.25</v>
      </c>
      <c r="G243" s="13">
        <f t="shared" si="11"/>
        <v>0.99342105263157898</v>
      </c>
      <c r="L243" s="16">
        <v>603660</v>
      </c>
    </row>
    <row r="244" spans="1:12" x14ac:dyDescent="0.45">
      <c r="A244" s="18">
        <v>45900</v>
      </c>
      <c r="B244" s="8">
        <v>65</v>
      </c>
      <c r="C244">
        <v>0.5</v>
      </c>
      <c r="D244">
        <f>B244-C244</f>
        <v>64.5</v>
      </c>
      <c r="E244">
        <f t="shared" si="9"/>
        <v>64.5</v>
      </c>
      <c r="F244">
        <f t="shared" si="10"/>
        <v>4160.25</v>
      </c>
      <c r="G244" s="13">
        <f t="shared" si="11"/>
        <v>0.99230769230769234</v>
      </c>
      <c r="L244" s="16">
        <v>835920</v>
      </c>
    </row>
    <row r="245" spans="1:12" x14ac:dyDescent="0.45">
      <c r="A245" s="18">
        <v>45901</v>
      </c>
      <c r="B245" s="8">
        <v>51</v>
      </c>
      <c r="C245">
        <v>0.5</v>
      </c>
      <c r="D245">
        <f>B245-C245</f>
        <v>50.5</v>
      </c>
      <c r="E245">
        <f t="shared" si="9"/>
        <v>50.5</v>
      </c>
      <c r="F245">
        <f t="shared" si="10"/>
        <v>2550.25</v>
      </c>
      <c r="G245" s="13">
        <f t="shared" si="11"/>
        <v>0.99019607843137258</v>
      </c>
      <c r="L245" s="16">
        <v>218040</v>
      </c>
    </row>
    <row r="246" spans="1:12" x14ac:dyDescent="0.45">
      <c r="A246" s="18">
        <v>45902</v>
      </c>
      <c r="B246" s="8">
        <v>64</v>
      </c>
      <c r="C246">
        <v>0.5</v>
      </c>
      <c r="D246">
        <f>B246-C246</f>
        <v>63.5</v>
      </c>
      <c r="E246">
        <f t="shared" si="9"/>
        <v>63.5</v>
      </c>
      <c r="F246">
        <f t="shared" si="10"/>
        <v>4032.25</v>
      </c>
      <c r="G246" s="13">
        <f t="shared" si="11"/>
        <v>0.9921875</v>
      </c>
      <c r="L246" s="16">
        <v>573300</v>
      </c>
    </row>
    <row r="247" spans="1:12" x14ac:dyDescent="0.45">
      <c r="A247" s="18">
        <v>45903</v>
      </c>
      <c r="B247" s="8">
        <v>63</v>
      </c>
      <c r="C247">
        <v>0.5</v>
      </c>
      <c r="D247">
        <f>B247-C247</f>
        <v>62.5</v>
      </c>
      <c r="E247">
        <f t="shared" si="9"/>
        <v>62.5</v>
      </c>
      <c r="F247">
        <f t="shared" si="10"/>
        <v>3906.25</v>
      </c>
      <c r="G247" s="13">
        <f t="shared" si="11"/>
        <v>0.99206349206349209</v>
      </c>
      <c r="L247" s="16">
        <v>121890</v>
      </c>
    </row>
    <row r="248" spans="1:12" x14ac:dyDescent="0.45">
      <c r="A248" s="18">
        <v>45904</v>
      </c>
      <c r="B248" s="8">
        <v>40</v>
      </c>
      <c r="C248">
        <v>0.5</v>
      </c>
      <c r="D248">
        <f>B248-C248</f>
        <v>39.5</v>
      </c>
      <c r="E248">
        <f t="shared" si="9"/>
        <v>39.5</v>
      </c>
      <c r="F248">
        <f t="shared" si="10"/>
        <v>1560.25</v>
      </c>
      <c r="G248" s="13">
        <f t="shared" si="11"/>
        <v>0.98750000000000004</v>
      </c>
      <c r="L248" s="16">
        <v>128890</v>
      </c>
    </row>
    <row r="249" spans="1:12" x14ac:dyDescent="0.45">
      <c r="A249" s="18">
        <v>45905</v>
      </c>
      <c r="B249" s="8">
        <v>64</v>
      </c>
      <c r="C249">
        <v>0.5</v>
      </c>
      <c r="D249">
        <f>B249-C249</f>
        <v>63.5</v>
      </c>
      <c r="E249">
        <f t="shared" si="9"/>
        <v>63.5</v>
      </c>
      <c r="F249">
        <f t="shared" si="10"/>
        <v>4032.25</v>
      </c>
      <c r="G249" s="13">
        <f t="shared" si="11"/>
        <v>0.9921875</v>
      </c>
      <c r="L249" s="16">
        <v>459960</v>
      </c>
    </row>
    <row r="250" spans="1:12" x14ac:dyDescent="0.45">
      <c r="A250" s="18">
        <v>45906</v>
      </c>
      <c r="B250" s="8">
        <v>65</v>
      </c>
      <c r="C250">
        <v>0.5</v>
      </c>
      <c r="D250">
        <f>B250-C250</f>
        <v>64.5</v>
      </c>
      <c r="E250">
        <f t="shared" si="9"/>
        <v>64.5</v>
      </c>
      <c r="F250">
        <f t="shared" si="10"/>
        <v>4160.25</v>
      </c>
      <c r="G250" s="13">
        <f t="shared" si="11"/>
        <v>0.99230769230769234</v>
      </c>
      <c r="L250" s="16">
        <v>621900</v>
      </c>
    </row>
    <row r="251" spans="1:12" x14ac:dyDescent="0.45">
      <c r="A251" s="18">
        <v>45907</v>
      </c>
      <c r="B251" s="8">
        <v>38</v>
      </c>
      <c r="C251">
        <v>0.5</v>
      </c>
      <c r="D251">
        <f>B251-C251</f>
        <v>37.5</v>
      </c>
      <c r="E251">
        <f t="shared" si="9"/>
        <v>37.5</v>
      </c>
      <c r="F251">
        <f t="shared" si="10"/>
        <v>1406.25</v>
      </c>
      <c r="G251" s="13">
        <f t="shared" si="11"/>
        <v>0.98684210526315785</v>
      </c>
      <c r="L251" s="16">
        <v>157740</v>
      </c>
    </row>
    <row r="252" spans="1:12" x14ac:dyDescent="0.45">
      <c r="A252" s="18">
        <v>45908</v>
      </c>
      <c r="B252" s="8">
        <v>53</v>
      </c>
      <c r="C252">
        <v>0.5</v>
      </c>
      <c r="D252">
        <f>B252-C252</f>
        <v>52.5</v>
      </c>
      <c r="E252">
        <f t="shared" si="9"/>
        <v>52.5</v>
      </c>
      <c r="F252">
        <f t="shared" si="10"/>
        <v>2756.25</v>
      </c>
      <c r="G252" s="13">
        <f t="shared" si="11"/>
        <v>0.99056603773584906</v>
      </c>
      <c r="L252" s="16">
        <v>832120</v>
      </c>
    </row>
    <row r="253" spans="1:12" x14ac:dyDescent="0.45">
      <c r="A253" s="18">
        <v>45909</v>
      </c>
      <c r="B253" s="8">
        <v>51</v>
      </c>
      <c r="C253">
        <v>0.5</v>
      </c>
      <c r="D253">
        <f>B253-C253</f>
        <v>50.5</v>
      </c>
      <c r="E253">
        <f t="shared" si="9"/>
        <v>50.5</v>
      </c>
      <c r="F253">
        <f t="shared" si="10"/>
        <v>2550.25</v>
      </c>
      <c r="G253" s="13">
        <f t="shared" si="11"/>
        <v>0.99019607843137258</v>
      </c>
      <c r="L253" s="16">
        <v>702660</v>
      </c>
    </row>
    <row r="254" spans="1:12" x14ac:dyDescent="0.45">
      <c r="A254" s="18">
        <v>45910</v>
      </c>
      <c r="B254" s="8">
        <v>61</v>
      </c>
      <c r="C254">
        <v>0.5</v>
      </c>
      <c r="D254">
        <f>B254-C254</f>
        <v>60.5</v>
      </c>
      <c r="E254">
        <f t="shared" si="9"/>
        <v>60.5</v>
      </c>
      <c r="F254">
        <f t="shared" si="10"/>
        <v>3660.25</v>
      </c>
      <c r="G254" s="13">
        <f t="shared" si="11"/>
        <v>0.99180327868852458</v>
      </c>
      <c r="L254" s="16">
        <v>155940</v>
      </c>
    </row>
    <row r="255" spans="1:12" x14ac:dyDescent="0.45">
      <c r="A255" s="18">
        <v>45911</v>
      </c>
      <c r="B255" s="8">
        <v>29</v>
      </c>
      <c r="C255">
        <v>0.5</v>
      </c>
      <c r="D255">
        <f>B255-C255</f>
        <v>28.5</v>
      </c>
      <c r="E255">
        <f t="shared" si="9"/>
        <v>28.5</v>
      </c>
      <c r="F255">
        <f t="shared" si="10"/>
        <v>812.25</v>
      </c>
      <c r="G255" s="13">
        <f t="shared" si="11"/>
        <v>0.98275862068965514</v>
      </c>
      <c r="L255" s="16">
        <v>120650</v>
      </c>
    </row>
    <row r="256" spans="1:12" x14ac:dyDescent="0.45">
      <c r="A256" s="18">
        <v>45912</v>
      </c>
      <c r="B256" s="8">
        <v>51</v>
      </c>
      <c r="C256">
        <v>0.5</v>
      </c>
      <c r="D256">
        <f>B256-C256</f>
        <v>50.5</v>
      </c>
      <c r="E256">
        <f t="shared" si="9"/>
        <v>50.5</v>
      </c>
      <c r="F256">
        <f t="shared" si="10"/>
        <v>2550.25</v>
      </c>
      <c r="G256" s="13">
        <f t="shared" si="11"/>
        <v>0.99019607843137258</v>
      </c>
      <c r="L256" s="16">
        <v>432800</v>
      </c>
    </row>
    <row r="257" spans="1:12" x14ac:dyDescent="0.45">
      <c r="A257" s="18">
        <v>45913</v>
      </c>
      <c r="B257" s="8">
        <v>66</v>
      </c>
      <c r="C257">
        <v>0.5</v>
      </c>
      <c r="D257">
        <f>B257-C257</f>
        <v>65.5</v>
      </c>
      <c r="E257">
        <f t="shared" si="9"/>
        <v>65.5</v>
      </c>
      <c r="F257">
        <f t="shared" si="10"/>
        <v>4290.25</v>
      </c>
      <c r="G257" s="13">
        <f t="shared" si="11"/>
        <v>0.99242424242424243</v>
      </c>
      <c r="L257" s="16">
        <v>245350</v>
      </c>
    </row>
    <row r="258" spans="1:12" x14ac:dyDescent="0.45">
      <c r="A258" s="18">
        <v>45914</v>
      </c>
      <c r="B258" s="8">
        <v>81</v>
      </c>
      <c r="C258">
        <v>0.5</v>
      </c>
      <c r="D258">
        <f>B258-C258</f>
        <v>80.5</v>
      </c>
      <c r="E258">
        <f t="shared" si="9"/>
        <v>80.5</v>
      </c>
      <c r="F258">
        <f t="shared" si="10"/>
        <v>6480.25</v>
      </c>
      <c r="G258" s="13">
        <f t="shared" si="11"/>
        <v>0.99382716049382713</v>
      </c>
      <c r="L258" s="16">
        <v>464280</v>
      </c>
    </row>
    <row r="259" spans="1:12" x14ac:dyDescent="0.45">
      <c r="A259" s="18">
        <v>45915</v>
      </c>
      <c r="B259" s="8">
        <v>97</v>
      </c>
      <c r="C259">
        <v>0.5</v>
      </c>
      <c r="D259">
        <f>B259-C259</f>
        <v>96.5</v>
      </c>
      <c r="E259">
        <f t="shared" ref="E259:E322" si="12">ABS(D259)</f>
        <v>96.5</v>
      </c>
      <c r="F259">
        <f t="shared" ref="F259:F322" si="13">E259^2</f>
        <v>9312.25</v>
      </c>
      <c r="G259" s="13">
        <f t="shared" ref="G259:G322" si="14">E259/B259</f>
        <v>0.99484536082474229</v>
      </c>
      <c r="L259" s="16">
        <v>1616160</v>
      </c>
    </row>
    <row r="260" spans="1:12" x14ac:dyDescent="0.45">
      <c r="A260" s="18">
        <v>45916</v>
      </c>
      <c r="B260" s="8">
        <v>67</v>
      </c>
      <c r="C260">
        <v>0.5</v>
      </c>
      <c r="D260">
        <f>B260-C260</f>
        <v>66.5</v>
      </c>
      <c r="E260">
        <f t="shared" si="12"/>
        <v>66.5</v>
      </c>
      <c r="F260">
        <f t="shared" si="13"/>
        <v>4422.25</v>
      </c>
      <c r="G260" s="13">
        <f t="shared" si="14"/>
        <v>0.9925373134328358</v>
      </c>
      <c r="L260" s="16">
        <v>844160</v>
      </c>
    </row>
    <row r="261" spans="1:12" x14ac:dyDescent="0.45">
      <c r="A261" s="18">
        <v>45917</v>
      </c>
      <c r="B261" s="8">
        <v>60</v>
      </c>
      <c r="C261">
        <v>0.5</v>
      </c>
      <c r="D261">
        <f>B261-C261</f>
        <v>59.5</v>
      </c>
      <c r="E261">
        <f t="shared" si="12"/>
        <v>59.5</v>
      </c>
      <c r="F261">
        <f t="shared" si="13"/>
        <v>3540.25</v>
      </c>
      <c r="G261" s="13">
        <f t="shared" si="14"/>
        <v>0.9916666666666667</v>
      </c>
      <c r="L261" s="16">
        <v>193080</v>
      </c>
    </row>
    <row r="262" spans="1:12" x14ac:dyDescent="0.45">
      <c r="A262" s="18">
        <v>45918</v>
      </c>
      <c r="B262" s="8">
        <v>62</v>
      </c>
      <c r="C262">
        <v>0.5</v>
      </c>
      <c r="D262">
        <f>B262-C262</f>
        <v>61.5</v>
      </c>
      <c r="E262">
        <f t="shared" si="12"/>
        <v>61.5</v>
      </c>
      <c r="F262">
        <f t="shared" si="13"/>
        <v>3782.25</v>
      </c>
      <c r="G262" s="13">
        <f t="shared" si="14"/>
        <v>0.99193548387096775</v>
      </c>
      <c r="L262" s="16">
        <v>632640</v>
      </c>
    </row>
    <row r="263" spans="1:12" x14ac:dyDescent="0.45">
      <c r="A263" s="18">
        <v>45919</v>
      </c>
      <c r="B263" s="8">
        <v>56</v>
      </c>
      <c r="C263">
        <v>0.5</v>
      </c>
      <c r="D263">
        <f>B263-C263</f>
        <v>55.5</v>
      </c>
      <c r="E263">
        <f t="shared" si="12"/>
        <v>55.5</v>
      </c>
      <c r="F263">
        <f t="shared" si="13"/>
        <v>3080.25</v>
      </c>
      <c r="G263" s="13">
        <f t="shared" si="14"/>
        <v>0.9910714285714286</v>
      </c>
      <c r="L263" s="16">
        <v>730940</v>
      </c>
    </row>
    <row r="264" spans="1:12" x14ac:dyDescent="0.45">
      <c r="A264" s="18">
        <v>45920</v>
      </c>
      <c r="B264" s="8">
        <v>65</v>
      </c>
      <c r="C264">
        <v>0.5</v>
      </c>
      <c r="D264">
        <f>B264-C264</f>
        <v>64.5</v>
      </c>
      <c r="E264">
        <f t="shared" si="12"/>
        <v>64.5</v>
      </c>
      <c r="F264">
        <f t="shared" si="13"/>
        <v>4160.25</v>
      </c>
      <c r="G264" s="13">
        <f t="shared" si="14"/>
        <v>0.99230769230769234</v>
      </c>
      <c r="L264" s="16">
        <v>1195900</v>
      </c>
    </row>
    <row r="265" spans="1:12" x14ac:dyDescent="0.45">
      <c r="A265" s="18">
        <v>45921</v>
      </c>
      <c r="B265" s="8">
        <v>45</v>
      </c>
      <c r="C265">
        <v>0.5</v>
      </c>
      <c r="D265">
        <f>B265-C265</f>
        <v>44.5</v>
      </c>
      <c r="E265">
        <f t="shared" si="12"/>
        <v>44.5</v>
      </c>
      <c r="F265">
        <f t="shared" si="13"/>
        <v>1980.25</v>
      </c>
      <c r="G265" s="13">
        <f t="shared" si="14"/>
        <v>0.98888888888888893</v>
      </c>
      <c r="L265" s="16">
        <v>126500</v>
      </c>
    </row>
    <row r="266" spans="1:12" x14ac:dyDescent="0.45">
      <c r="A266" s="18">
        <v>45922</v>
      </c>
      <c r="B266" s="8">
        <v>67</v>
      </c>
      <c r="C266">
        <v>0.5</v>
      </c>
      <c r="D266">
        <f>B266-C266</f>
        <v>66.5</v>
      </c>
      <c r="E266">
        <f t="shared" si="12"/>
        <v>66.5</v>
      </c>
      <c r="F266">
        <f t="shared" si="13"/>
        <v>4422.25</v>
      </c>
      <c r="G266" s="13">
        <f t="shared" si="14"/>
        <v>0.9925373134328358</v>
      </c>
      <c r="L266" s="16">
        <v>123850</v>
      </c>
    </row>
    <row r="267" spans="1:12" x14ac:dyDescent="0.45">
      <c r="A267" s="18">
        <v>45923</v>
      </c>
      <c r="B267" s="8">
        <v>69</v>
      </c>
      <c r="C267">
        <v>0.5</v>
      </c>
      <c r="D267">
        <f>B267-C267</f>
        <v>68.5</v>
      </c>
      <c r="E267">
        <f t="shared" si="12"/>
        <v>68.5</v>
      </c>
      <c r="F267">
        <f t="shared" si="13"/>
        <v>4692.25</v>
      </c>
      <c r="G267" s="13">
        <f t="shared" si="14"/>
        <v>0.99275362318840576</v>
      </c>
      <c r="L267" s="16">
        <v>1449520</v>
      </c>
    </row>
    <row r="268" spans="1:12" x14ac:dyDescent="0.45">
      <c r="A268" s="18">
        <v>45924</v>
      </c>
      <c r="B268" s="8">
        <v>30</v>
      </c>
      <c r="C268">
        <v>0.5</v>
      </c>
      <c r="D268">
        <f>B268-C268</f>
        <v>29.5</v>
      </c>
      <c r="E268">
        <f t="shared" si="12"/>
        <v>29.5</v>
      </c>
      <c r="F268">
        <f t="shared" si="13"/>
        <v>870.25</v>
      </c>
      <c r="G268" s="13">
        <f t="shared" si="14"/>
        <v>0.98333333333333328</v>
      </c>
      <c r="L268" s="16">
        <v>240460</v>
      </c>
    </row>
    <row r="269" spans="1:12" x14ac:dyDescent="0.45">
      <c r="A269" s="18">
        <v>45925</v>
      </c>
      <c r="B269" s="8">
        <v>49</v>
      </c>
      <c r="C269">
        <v>0.5</v>
      </c>
      <c r="D269">
        <f>B269-C269</f>
        <v>48.5</v>
      </c>
      <c r="E269">
        <f t="shared" si="12"/>
        <v>48.5</v>
      </c>
      <c r="F269">
        <f t="shared" si="13"/>
        <v>2352.25</v>
      </c>
      <c r="G269" s="13">
        <f t="shared" si="14"/>
        <v>0.98979591836734693</v>
      </c>
      <c r="L269" s="16">
        <v>448040</v>
      </c>
    </row>
    <row r="270" spans="1:12" x14ac:dyDescent="0.45">
      <c r="A270" s="18">
        <v>45926</v>
      </c>
      <c r="B270" s="8">
        <v>50</v>
      </c>
      <c r="C270">
        <v>0.5</v>
      </c>
      <c r="D270">
        <f>B270-C270</f>
        <v>49.5</v>
      </c>
      <c r="E270">
        <f t="shared" si="12"/>
        <v>49.5</v>
      </c>
      <c r="F270">
        <f t="shared" si="13"/>
        <v>2450.25</v>
      </c>
      <c r="G270" s="13">
        <f t="shared" si="14"/>
        <v>0.99</v>
      </c>
      <c r="L270" s="16">
        <v>753200</v>
      </c>
    </row>
    <row r="271" spans="1:12" x14ac:dyDescent="0.45">
      <c r="A271" s="18">
        <v>45927</v>
      </c>
      <c r="B271" s="8">
        <v>65</v>
      </c>
      <c r="C271">
        <v>0.5</v>
      </c>
      <c r="D271">
        <f>B271-C271</f>
        <v>64.5</v>
      </c>
      <c r="E271">
        <f t="shared" si="12"/>
        <v>64.5</v>
      </c>
      <c r="F271">
        <f t="shared" si="13"/>
        <v>4160.25</v>
      </c>
      <c r="G271" s="13">
        <f t="shared" si="14"/>
        <v>0.99230769230769234</v>
      </c>
      <c r="L271" s="16">
        <v>1096950</v>
      </c>
    </row>
    <row r="272" spans="1:12" x14ac:dyDescent="0.45">
      <c r="A272" s="18">
        <v>45928</v>
      </c>
      <c r="B272" s="8">
        <v>58</v>
      </c>
      <c r="C272">
        <v>0.5</v>
      </c>
      <c r="D272">
        <f>B272-C272</f>
        <v>57.5</v>
      </c>
      <c r="E272">
        <f t="shared" si="12"/>
        <v>57.5</v>
      </c>
      <c r="F272">
        <f t="shared" si="13"/>
        <v>3306.25</v>
      </c>
      <c r="G272" s="13">
        <f t="shared" si="14"/>
        <v>0.99137931034482762</v>
      </c>
      <c r="L272" s="16">
        <v>728520</v>
      </c>
    </row>
    <row r="273" spans="1:12" x14ac:dyDescent="0.45">
      <c r="A273" s="18">
        <v>45929</v>
      </c>
      <c r="B273" s="8">
        <v>67</v>
      </c>
      <c r="C273">
        <v>0.5</v>
      </c>
      <c r="D273">
        <f>B273-C273</f>
        <v>66.5</v>
      </c>
      <c r="E273">
        <f t="shared" si="12"/>
        <v>66.5</v>
      </c>
      <c r="F273">
        <f t="shared" si="13"/>
        <v>4422.25</v>
      </c>
      <c r="G273" s="13">
        <f t="shared" si="14"/>
        <v>0.9925373134328358</v>
      </c>
      <c r="L273" s="16">
        <v>725770</v>
      </c>
    </row>
    <row r="274" spans="1:12" x14ac:dyDescent="0.45">
      <c r="A274" s="18">
        <v>45930</v>
      </c>
      <c r="B274" s="8">
        <v>54</v>
      </c>
      <c r="C274">
        <v>0.5</v>
      </c>
      <c r="D274">
        <f>B274-C274</f>
        <v>53.5</v>
      </c>
      <c r="E274">
        <f t="shared" si="12"/>
        <v>53.5</v>
      </c>
      <c r="F274">
        <f t="shared" si="13"/>
        <v>2862.25</v>
      </c>
      <c r="G274" s="13">
        <f t="shared" si="14"/>
        <v>0.9907407407407407</v>
      </c>
      <c r="L274" s="16">
        <v>283140</v>
      </c>
    </row>
    <row r="275" spans="1:12" x14ac:dyDescent="0.45">
      <c r="A275" s="18">
        <v>45931</v>
      </c>
      <c r="B275" s="8">
        <v>79</v>
      </c>
      <c r="C275">
        <v>0.5</v>
      </c>
      <c r="D275">
        <f>B275-C275</f>
        <v>78.5</v>
      </c>
      <c r="E275">
        <f t="shared" si="12"/>
        <v>78.5</v>
      </c>
      <c r="F275">
        <f t="shared" si="13"/>
        <v>6162.25</v>
      </c>
      <c r="G275" s="13">
        <f t="shared" si="14"/>
        <v>0.99367088607594933</v>
      </c>
      <c r="L275" s="16">
        <v>647820</v>
      </c>
    </row>
    <row r="276" spans="1:12" x14ac:dyDescent="0.45">
      <c r="A276" s="18">
        <v>45932</v>
      </c>
      <c r="B276" s="8">
        <v>46</v>
      </c>
      <c r="C276">
        <v>0.5</v>
      </c>
      <c r="D276">
        <f>B276-C276</f>
        <v>45.5</v>
      </c>
      <c r="E276">
        <f t="shared" si="12"/>
        <v>45.5</v>
      </c>
      <c r="F276">
        <f t="shared" si="13"/>
        <v>2070.25</v>
      </c>
      <c r="G276" s="13">
        <f t="shared" si="14"/>
        <v>0.98913043478260865</v>
      </c>
      <c r="L276" s="16">
        <v>403300</v>
      </c>
    </row>
    <row r="277" spans="1:12" x14ac:dyDescent="0.45">
      <c r="A277" s="18">
        <v>45933</v>
      </c>
      <c r="B277" s="8">
        <v>64</v>
      </c>
      <c r="C277">
        <v>0.5</v>
      </c>
      <c r="D277">
        <f>B277-C277</f>
        <v>63.5</v>
      </c>
      <c r="E277">
        <f t="shared" si="12"/>
        <v>63.5</v>
      </c>
      <c r="F277">
        <f t="shared" si="13"/>
        <v>4032.25</v>
      </c>
      <c r="G277" s="13">
        <f t="shared" si="14"/>
        <v>0.9921875</v>
      </c>
      <c r="L277" s="16">
        <v>1004960</v>
      </c>
    </row>
    <row r="278" spans="1:12" x14ac:dyDescent="0.45">
      <c r="A278" s="18">
        <v>45934</v>
      </c>
      <c r="B278" s="8">
        <v>75</v>
      </c>
      <c r="C278">
        <v>0.5</v>
      </c>
      <c r="D278">
        <f>B278-C278</f>
        <v>74.5</v>
      </c>
      <c r="E278">
        <f t="shared" si="12"/>
        <v>74.5</v>
      </c>
      <c r="F278">
        <f t="shared" si="13"/>
        <v>5550.25</v>
      </c>
      <c r="G278" s="13">
        <f t="shared" si="14"/>
        <v>0.99333333333333329</v>
      </c>
      <c r="L278" s="16">
        <v>231000</v>
      </c>
    </row>
    <row r="279" spans="1:12" x14ac:dyDescent="0.45">
      <c r="A279" s="18">
        <v>45935</v>
      </c>
      <c r="B279" s="8">
        <v>119</v>
      </c>
      <c r="C279">
        <v>0.5</v>
      </c>
      <c r="D279">
        <f>B279-C279</f>
        <v>118.5</v>
      </c>
      <c r="E279">
        <f t="shared" si="12"/>
        <v>118.5</v>
      </c>
      <c r="F279">
        <f t="shared" si="13"/>
        <v>14042.25</v>
      </c>
      <c r="G279" s="13">
        <f t="shared" si="14"/>
        <v>0.99579831932773111</v>
      </c>
      <c r="L279" s="16">
        <v>1173380</v>
      </c>
    </row>
    <row r="280" spans="1:12" x14ac:dyDescent="0.45">
      <c r="A280" s="18">
        <v>45936</v>
      </c>
      <c r="B280" s="8">
        <v>46</v>
      </c>
      <c r="C280">
        <v>0.5</v>
      </c>
      <c r="D280">
        <f>B280-C280</f>
        <v>45.5</v>
      </c>
      <c r="E280">
        <f t="shared" si="12"/>
        <v>45.5</v>
      </c>
      <c r="F280">
        <f t="shared" si="13"/>
        <v>2070.25</v>
      </c>
      <c r="G280" s="13">
        <f t="shared" si="14"/>
        <v>0.98913043478260865</v>
      </c>
      <c r="L280" s="16">
        <v>166360</v>
      </c>
    </row>
    <row r="281" spans="1:12" x14ac:dyDescent="0.45">
      <c r="A281" s="18">
        <v>45937</v>
      </c>
      <c r="B281" s="8">
        <v>58</v>
      </c>
      <c r="C281">
        <v>0.5</v>
      </c>
      <c r="D281">
        <f>B281-C281</f>
        <v>57.5</v>
      </c>
      <c r="E281">
        <f t="shared" si="12"/>
        <v>57.5</v>
      </c>
      <c r="F281">
        <f t="shared" si="13"/>
        <v>3306.25</v>
      </c>
      <c r="G281" s="13">
        <f t="shared" si="14"/>
        <v>0.99137931034482762</v>
      </c>
      <c r="L281" s="16">
        <v>565880</v>
      </c>
    </row>
    <row r="282" spans="1:12" x14ac:dyDescent="0.45">
      <c r="A282" s="18">
        <v>45938</v>
      </c>
      <c r="B282" s="8">
        <v>49</v>
      </c>
      <c r="C282">
        <v>0.5</v>
      </c>
      <c r="D282">
        <f>B282-C282</f>
        <v>48.5</v>
      </c>
      <c r="E282">
        <f t="shared" si="12"/>
        <v>48.5</v>
      </c>
      <c r="F282">
        <f t="shared" si="13"/>
        <v>2352.25</v>
      </c>
      <c r="G282" s="13">
        <f t="shared" si="14"/>
        <v>0.98979591836734693</v>
      </c>
      <c r="L282" s="16">
        <v>486510</v>
      </c>
    </row>
    <row r="283" spans="1:12" x14ac:dyDescent="0.45">
      <c r="A283" s="18">
        <v>45939</v>
      </c>
      <c r="B283" s="8">
        <v>32</v>
      </c>
      <c r="C283">
        <v>0.5</v>
      </c>
      <c r="D283">
        <f>B283-C283</f>
        <v>31.5</v>
      </c>
      <c r="E283">
        <f t="shared" si="12"/>
        <v>31.5</v>
      </c>
      <c r="F283">
        <f t="shared" si="13"/>
        <v>992.25</v>
      </c>
      <c r="G283" s="13">
        <f t="shared" si="14"/>
        <v>0.984375</v>
      </c>
      <c r="L283" s="16">
        <v>454040</v>
      </c>
    </row>
    <row r="284" spans="1:12" x14ac:dyDescent="0.45">
      <c r="A284" s="18">
        <v>45940</v>
      </c>
      <c r="B284" s="8">
        <v>59</v>
      </c>
      <c r="C284">
        <v>0.5</v>
      </c>
      <c r="D284">
        <f>B284-C284</f>
        <v>58.5</v>
      </c>
      <c r="E284">
        <f t="shared" si="12"/>
        <v>58.5</v>
      </c>
      <c r="F284">
        <f t="shared" si="13"/>
        <v>3422.25</v>
      </c>
      <c r="G284" s="13">
        <f t="shared" si="14"/>
        <v>0.99152542372881358</v>
      </c>
      <c r="L284" s="16">
        <v>143800</v>
      </c>
    </row>
    <row r="285" spans="1:12" x14ac:dyDescent="0.45">
      <c r="A285" s="18">
        <v>45941</v>
      </c>
      <c r="B285" s="8">
        <v>54</v>
      </c>
      <c r="C285">
        <v>0.5</v>
      </c>
      <c r="D285">
        <f>B285-C285</f>
        <v>53.5</v>
      </c>
      <c r="E285">
        <f t="shared" si="12"/>
        <v>53.5</v>
      </c>
      <c r="F285">
        <f t="shared" si="13"/>
        <v>2862.25</v>
      </c>
      <c r="G285" s="13">
        <f t="shared" si="14"/>
        <v>0.9907407407407407</v>
      </c>
      <c r="L285" s="16">
        <v>864500</v>
      </c>
    </row>
    <row r="286" spans="1:12" x14ac:dyDescent="0.45">
      <c r="A286" s="18">
        <v>45942</v>
      </c>
      <c r="B286" s="8">
        <v>63</v>
      </c>
      <c r="C286">
        <v>0.5</v>
      </c>
      <c r="D286">
        <f>B286-C286</f>
        <v>62.5</v>
      </c>
      <c r="E286">
        <f t="shared" si="12"/>
        <v>62.5</v>
      </c>
      <c r="F286">
        <f t="shared" si="13"/>
        <v>3906.25</v>
      </c>
      <c r="G286" s="13">
        <f t="shared" si="14"/>
        <v>0.99206349206349209</v>
      </c>
      <c r="L286" s="16">
        <v>722600</v>
      </c>
    </row>
    <row r="287" spans="1:12" x14ac:dyDescent="0.45">
      <c r="A287" s="18">
        <v>45943</v>
      </c>
      <c r="B287" s="8">
        <v>79</v>
      </c>
      <c r="C287">
        <v>0.5</v>
      </c>
      <c r="D287">
        <f>B287-C287</f>
        <v>78.5</v>
      </c>
      <c r="E287">
        <f t="shared" si="12"/>
        <v>78.5</v>
      </c>
      <c r="F287">
        <f t="shared" si="13"/>
        <v>6162.25</v>
      </c>
      <c r="G287" s="13">
        <f t="shared" si="14"/>
        <v>0.99367088607594933</v>
      </c>
      <c r="L287" s="16">
        <v>821400</v>
      </c>
    </row>
    <row r="288" spans="1:12" x14ac:dyDescent="0.45">
      <c r="A288" s="18">
        <v>45944</v>
      </c>
      <c r="B288" s="8">
        <v>36</v>
      </c>
      <c r="C288">
        <v>0.5</v>
      </c>
      <c r="D288">
        <f>B288-C288</f>
        <v>35.5</v>
      </c>
      <c r="E288">
        <f t="shared" si="12"/>
        <v>35.5</v>
      </c>
      <c r="F288">
        <f t="shared" si="13"/>
        <v>1260.25</v>
      </c>
      <c r="G288" s="13">
        <f t="shared" si="14"/>
        <v>0.98611111111111116</v>
      </c>
      <c r="L288" s="16">
        <v>674500</v>
      </c>
    </row>
    <row r="289" spans="1:12" x14ac:dyDescent="0.45">
      <c r="A289" s="18">
        <v>45945</v>
      </c>
      <c r="B289" s="8">
        <v>45</v>
      </c>
      <c r="C289">
        <v>0.5</v>
      </c>
      <c r="D289">
        <f>B289-C289</f>
        <v>44.5</v>
      </c>
      <c r="E289">
        <f t="shared" si="12"/>
        <v>44.5</v>
      </c>
      <c r="F289">
        <f t="shared" si="13"/>
        <v>1980.25</v>
      </c>
      <c r="G289" s="13">
        <f t="shared" si="14"/>
        <v>0.98888888888888893</v>
      </c>
      <c r="L289" s="16">
        <v>180430</v>
      </c>
    </row>
    <row r="290" spans="1:12" x14ac:dyDescent="0.45">
      <c r="A290" s="18">
        <v>45946</v>
      </c>
      <c r="B290" s="8">
        <v>67</v>
      </c>
      <c r="C290">
        <v>0.5</v>
      </c>
      <c r="D290">
        <f>B290-C290</f>
        <v>66.5</v>
      </c>
      <c r="E290">
        <f t="shared" si="12"/>
        <v>66.5</v>
      </c>
      <c r="F290">
        <f t="shared" si="13"/>
        <v>4422.25</v>
      </c>
      <c r="G290" s="13">
        <f t="shared" si="14"/>
        <v>0.9925373134328358</v>
      </c>
      <c r="L290" s="16">
        <v>876160</v>
      </c>
    </row>
    <row r="291" spans="1:12" x14ac:dyDescent="0.45">
      <c r="A291" s="18">
        <v>45947</v>
      </c>
      <c r="B291" s="8">
        <v>42</v>
      </c>
      <c r="C291">
        <v>0.5</v>
      </c>
      <c r="D291">
        <f>B291-C291</f>
        <v>41.5</v>
      </c>
      <c r="E291">
        <f t="shared" si="12"/>
        <v>41.5</v>
      </c>
      <c r="F291">
        <f t="shared" si="13"/>
        <v>1722.25</v>
      </c>
      <c r="G291" s="13">
        <f t="shared" si="14"/>
        <v>0.98809523809523814</v>
      </c>
      <c r="L291" s="16">
        <v>758420</v>
      </c>
    </row>
    <row r="292" spans="1:12" x14ac:dyDescent="0.45">
      <c r="A292" s="18">
        <v>45948</v>
      </c>
      <c r="B292" s="8">
        <v>115</v>
      </c>
      <c r="C292">
        <v>0.5</v>
      </c>
      <c r="D292">
        <f>B292-C292</f>
        <v>114.5</v>
      </c>
      <c r="E292">
        <f t="shared" si="12"/>
        <v>114.5</v>
      </c>
      <c r="F292">
        <f t="shared" si="13"/>
        <v>13110.25</v>
      </c>
      <c r="G292" s="13">
        <f t="shared" si="14"/>
        <v>0.9956521739130435</v>
      </c>
      <c r="L292" s="16">
        <v>2429510</v>
      </c>
    </row>
    <row r="293" spans="1:12" x14ac:dyDescent="0.45">
      <c r="A293" s="18">
        <v>45949</v>
      </c>
      <c r="B293" s="8">
        <v>40</v>
      </c>
      <c r="C293">
        <v>0.5</v>
      </c>
      <c r="D293">
        <f>B293-C293</f>
        <v>39.5</v>
      </c>
      <c r="E293">
        <f t="shared" si="12"/>
        <v>39.5</v>
      </c>
      <c r="F293">
        <f t="shared" si="13"/>
        <v>1560.25</v>
      </c>
      <c r="G293" s="13">
        <f t="shared" si="14"/>
        <v>0.98750000000000004</v>
      </c>
      <c r="L293" s="16">
        <v>464600</v>
      </c>
    </row>
    <row r="294" spans="1:12" x14ac:dyDescent="0.45">
      <c r="A294" s="18">
        <v>45950</v>
      </c>
      <c r="B294" s="8">
        <v>79</v>
      </c>
      <c r="C294">
        <v>0.5</v>
      </c>
      <c r="D294">
        <f>B294-C294</f>
        <v>78.5</v>
      </c>
      <c r="E294">
        <f t="shared" si="12"/>
        <v>78.5</v>
      </c>
      <c r="F294">
        <f t="shared" si="13"/>
        <v>6162.25</v>
      </c>
      <c r="G294" s="13">
        <f t="shared" si="14"/>
        <v>0.99367088607594933</v>
      </c>
      <c r="L294" s="16">
        <v>719820</v>
      </c>
    </row>
    <row r="295" spans="1:12" x14ac:dyDescent="0.45">
      <c r="A295" s="18">
        <v>45951</v>
      </c>
      <c r="B295" s="8">
        <v>55</v>
      </c>
      <c r="C295">
        <v>0.5</v>
      </c>
      <c r="D295">
        <f>B295-C295</f>
        <v>54.5</v>
      </c>
      <c r="E295">
        <f t="shared" si="12"/>
        <v>54.5</v>
      </c>
      <c r="F295">
        <f t="shared" si="13"/>
        <v>2970.25</v>
      </c>
      <c r="G295" s="13">
        <f t="shared" si="14"/>
        <v>0.99090909090909096</v>
      </c>
      <c r="L295" s="16">
        <v>298940</v>
      </c>
    </row>
    <row r="296" spans="1:12" x14ac:dyDescent="0.45">
      <c r="A296" s="18">
        <v>45952</v>
      </c>
      <c r="B296" s="8">
        <v>61</v>
      </c>
      <c r="C296">
        <v>0.5</v>
      </c>
      <c r="D296">
        <f>B296-C296</f>
        <v>60.5</v>
      </c>
      <c r="E296">
        <f t="shared" si="12"/>
        <v>60.5</v>
      </c>
      <c r="F296">
        <f t="shared" si="13"/>
        <v>3660.25</v>
      </c>
      <c r="G296" s="13">
        <f t="shared" si="14"/>
        <v>0.99180327868852458</v>
      </c>
      <c r="L296" s="16">
        <v>859680</v>
      </c>
    </row>
    <row r="297" spans="1:12" x14ac:dyDescent="0.45">
      <c r="A297" s="18">
        <v>45953</v>
      </c>
      <c r="B297" s="8">
        <v>68</v>
      </c>
      <c r="C297">
        <v>0.5</v>
      </c>
      <c r="D297">
        <f>B297-C297</f>
        <v>67.5</v>
      </c>
      <c r="E297">
        <f t="shared" si="12"/>
        <v>67.5</v>
      </c>
      <c r="F297">
        <f t="shared" si="13"/>
        <v>4556.25</v>
      </c>
      <c r="G297" s="13">
        <f t="shared" si="14"/>
        <v>0.99264705882352944</v>
      </c>
      <c r="L297" s="16">
        <v>1297660</v>
      </c>
    </row>
    <row r="298" spans="1:12" x14ac:dyDescent="0.45">
      <c r="A298" s="18">
        <v>45954</v>
      </c>
      <c r="B298" s="8">
        <v>47</v>
      </c>
      <c r="C298">
        <v>0.5</v>
      </c>
      <c r="D298">
        <f>B298-C298</f>
        <v>46.5</v>
      </c>
      <c r="E298">
        <f t="shared" si="12"/>
        <v>46.5</v>
      </c>
      <c r="F298">
        <f t="shared" si="13"/>
        <v>2162.25</v>
      </c>
      <c r="G298" s="13">
        <f t="shared" si="14"/>
        <v>0.98936170212765961</v>
      </c>
      <c r="L298" s="16">
        <v>275950</v>
      </c>
    </row>
    <row r="299" spans="1:12" x14ac:dyDescent="0.45">
      <c r="A299" s="18">
        <v>45955</v>
      </c>
      <c r="B299" s="8">
        <v>41</v>
      </c>
      <c r="C299">
        <v>0.5</v>
      </c>
      <c r="D299">
        <f>B299-C299</f>
        <v>40.5</v>
      </c>
      <c r="E299">
        <f t="shared" si="12"/>
        <v>40.5</v>
      </c>
      <c r="F299">
        <f t="shared" si="13"/>
        <v>1640.25</v>
      </c>
      <c r="G299" s="13">
        <f t="shared" si="14"/>
        <v>0.98780487804878048</v>
      </c>
      <c r="L299" s="16">
        <v>551780</v>
      </c>
    </row>
    <row r="300" spans="1:12" x14ac:dyDescent="0.45">
      <c r="A300" s="18">
        <v>45956</v>
      </c>
      <c r="B300" s="8">
        <v>27</v>
      </c>
      <c r="C300">
        <v>0.5</v>
      </c>
      <c r="D300">
        <f>B300-C300</f>
        <v>26.5</v>
      </c>
      <c r="E300">
        <f t="shared" si="12"/>
        <v>26.5</v>
      </c>
      <c r="F300">
        <f t="shared" si="13"/>
        <v>702.25</v>
      </c>
      <c r="G300" s="13">
        <f t="shared" si="14"/>
        <v>0.98148148148148151</v>
      </c>
      <c r="L300" s="16">
        <v>87340</v>
      </c>
    </row>
    <row r="301" spans="1:12" x14ac:dyDescent="0.45">
      <c r="A301" s="18">
        <v>45957</v>
      </c>
      <c r="B301" s="8">
        <v>73</v>
      </c>
      <c r="C301">
        <v>0.5</v>
      </c>
      <c r="D301">
        <f>B301-C301</f>
        <v>72.5</v>
      </c>
      <c r="E301">
        <f t="shared" si="12"/>
        <v>72.5</v>
      </c>
      <c r="F301">
        <f t="shared" si="13"/>
        <v>5256.25</v>
      </c>
      <c r="G301" s="13">
        <f t="shared" si="14"/>
        <v>0.99315068493150682</v>
      </c>
      <c r="L301" s="16">
        <v>916840</v>
      </c>
    </row>
    <row r="302" spans="1:12" x14ac:dyDescent="0.45">
      <c r="A302" s="18">
        <v>45958</v>
      </c>
      <c r="B302" s="8">
        <v>42</v>
      </c>
      <c r="C302">
        <v>0.5</v>
      </c>
      <c r="D302">
        <f>B302-C302</f>
        <v>41.5</v>
      </c>
      <c r="E302">
        <f t="shared" si="12"/>
        <v>41.5</v>
      </c>
      <c r="F302">
        <f t="shared" si="13"/>
        <v>1722.25</v>
      </c>
      <c r="G302" s="13">
        <f t="shared" si="14"/>
        <v>0.98809523809523814</v>
      </c>
      <c r="L302" s="16">
        <v>74460</v>
      </c>
    </row>
    <row r="303" spans="1:12" x14ac:dyDescent="0.45">
      <c r="A303" s="18">
        <v>45959</v>
      </c>
      <c r="B303" s="8">
        <v>93</v>
      </c>
      <c r="C303">
        <v>0.5</v>
      </c>
      <c r="D303">
        <f>B303-C303</f>
        <v>92.5</v>
      </c>
      <c r="E303">
        <f t="shared" si="12"/>
        <v>92.5</v>
      </c>
      <c r="F303">
        <f t="shared" si="13"/>
        <v>8556.25</v>
      </c>
      <c r="G303" s="13">
        <f t="shared" si="14"/>
        <v>0.9946236559139785</v>
      </c>
      <c r="L303" s="16">
        <v>213880</v>
      </c>
    </row>
    <row r="304" spans="1:12" x14ac:dyDescent="0.45">
      <c r="A304" s="18">
        <v>45960</v>
      </c>
      <c r="B304" s="8">
        <v>56</v>
      </c>
      <c r="C304">
        <v>0.5</v>
      </c>
      <c r="D304">
        <f>B304-C304</f>
        <v>55.5</v>
      </c>
      <c r="E304">
        <f t="shared" si="12"/>
        <v>55.5</v>
      </c>
      <c r="F304">
        <f t="shared" si="13"/>
        <v>3080.25</v>
      </c>
      <c r="G304" s="13">
        <f t="shared" si="14"/>
        <v>0.9910714285714286</v>
      </c>
      <c r="L304" s="16">
        <v>137180</v>
      </c>
    </row>
    <row r="305" spans="1:12" x14ac:dyDescent="0.45">
      <c r="A305" s="18">
        <v>45961</v>
      </c>
      <c r="B305" s="8">
        <v>54</v>
      </c>
      <c r="C305">
        <v>0.5</v>
      </c>
      <c r="D305">
        <f>B305-C305</f>
        <v>53.5</v>
      </c>
      <c r="E305">
        <f t="shared" si="12"/>
        <v>53.5</v>
      </c>
      <c r="F305">
        <f t="shared" si="13"/>
        <v>2862.25</v>
      </c>
      <c r="G305" s="13">
        <f t="shared" si="14"/>
        <v>0.9907407407407407</v>
      </c>
      <c r="L305" s="16">
        <v>1076400</v>
      </c>
    </row>
    <row r="306" spans="1:12" x14ac:dyDescent="0.45">
      <c r="A306" s="18">
        <v>45962</v>
      </c>
      <c r="B306" s="8">
        <v>50</v>
      </c>
      <c r="C306">
        <v>0.5</v>
      </c>
      <c r="D306">
        <f>B306-C306</f>
        <v>49.5</v>
      </c>
      <c r="E306">
        <f t="shared" si="12"/>
        <v>49.5</v>
      </c>
      <c r="F306">
        <f t="shared" si="13"/>
        <v>2450.25</v>
      </c>
      <c r="G306" s="13">
        <f t="shared" si="14"/>
        <v>0.99</v>
      </c>
      <c r="L306" s="16">
        <v>875820</v>
      </c>
    </row>
    <row r="307" spans="1:12" x14ac:dyDescent="0.45">
      <c r="A307" s="18">
        <v>45963</v>
      </c>
      <c r="B307" s="8">
        <v>95</v>
      </c>
      <c r="C307">
        <v>0.5</v>
      </c>
      <c r="D307">
        <f>B307-C307</f>
        <v>94.5</v>
      </c>
      <c r="E307">
        <f t="shared" si="12"/>
        <v>94.5</v>
      </c>
      <c r="F307">
        <f t="shared" si="13"/>
        <v>8930.25</v>
      </c>
      <c r="G307" s="13">
        <f t="shared" si="14"/>
        <v>0.99473684210526314</v>
      </c>
      <c r="L307" s="16">
        <v>619850</v>
      </c>
    </row>
    <row r="308" spans="1:12" x14ac:dyDescent="0.45">
      <c r="A308" s="18">
        <v>45964</v>
      </c>
      <c r="B308" s="8">
        <v>69</v>
      </c>
      <c r="C308">
        <v>0.5</v>
      </c>
      <c r="D308">
        <f>B308-C308</f>
        <v>68.5</v>
      </c>
      <c r="E308">
        <f t="shared" si="12"/>
        <v>68.5</v>
      </c>
      <c r="F308">
        <f t="shared" si="13"/>
        <v>4692.25</v>
      </c>
      <c r="G308" s="13">
        <f t="shared" si="14"/>
        <v>0.99275362318840576</v>
      </c>
      <c r="L308" s="16">
        <v>1127040</v>
      </c>
    </row>
    <row r="309" spans="1:12" x14ac:dyDescent="0.45">
      <c r="A309" s="18">
        <v>45965</v>
      </c>
      <c r="B309" s="8">
        <v>44</v>
      </c>
      <c r="C309">
        <v>0.5</v>
      </c>
      <c r="D309">
        <f>B309-C309</f>
        <v>43.5</v>
      </c>
      <c r="E309">
        <f t="shared" si="12"/>
        <v>43.5</v>
      </c>
      <c r="F309">
        <f t="shared" si="13"/>
        <v>1892.25</v>
      </c>
      <c r="G309" s="13">
        <f t="shared" si="14"/>
        <v>0.98863636363636365</v>
      </c>
      <c r="L309" s="16">
        <v>426200</v>
      </c>
    </row>
    <row r="310" spans="1:12" x14ac:dyDescent="0.45">
      <c r="A310" s="18">
        <v>45966</v>
      </c>
      <c r="B310" s="8">
        <v>67</v>
      </c>
      <c r="C310">
        <v>0.5</v>
      </c>
      <c r="D310">
        <f>B310-C310</f>
        <v>66.5</v>
      </c>
      <c r="E310">
        <f t="shared" si="12"/>
        <v>66.5</v>
      </c>
      <c r="F310">
        <f t="shared" si="13"/>
        <v>4422.25</v>
      </c>
      <c r="G310" s="13">
        <f t="shared" si="14"/>
        <v>0.9925373134328358</v>
      </c>
      <c r="L310" s="16">
        <v>365760</v>
      </c>
    </row>
    <row r="311" spans="1:12" x14ac:dyDescent="0.45">
      <c r="A311" s="18">
        <v>45967</v>
      </c>
      <c r="B311" s="8">
        <v>41</v>
      </c>
      <c r="C311">
        <v>0.5</v>
      </c>
      <c r="D311">
        <f>B311-C311</f>
        <v>40.5</v>
      </c>
      <c r="E311">
        <f t="shared" si="12"/>
        <v>40.5</v>
      </c>
      <c r="F311">
        <f t="shared" si="13"/>
        <v>1640.25</v>
      </c>
      <c r="G311" s="13">
        <f t="shared" si="14"/>
        <v>0.98780487804878048</v>
      </c>
      <c r="L311" s="16">
        <v>415480</v>
      </c>
    </row>
    <row r="312" spans="1:12" x14ac:dyDescent="0.45">
      <c r="A312" s="18">
        <v>45968</v>
      </c>
      <c r="B312" s="8">
        <v>74</v>
      </c>
      <c r="C312">
        <v>0.5</v>
      </c>
      <c r="D312">
        <f>B312-C312</f>
        <v>73.5</v>
      </c>
      <c r="E312">
        <f t="shared" si="12"/>
        <v>73.5</v>
      </c>
      <c r="F312">
        <f t="shared" si="13"/>
        <v>5402.25</v>
      </c>
      <c r="G312" s="13">
        <f t="shared" si="14"/>
        <v>0.9932432432432432</v>
      </c>
      <c r="L312" s="16">
        <v>132600</v>
      </c>
    </row>
    <row r="313" spans="1:12" x14ac:dyDescent="0.45">
      <c r="A313" s="18">
        <v>45969</v>
      </c>
      <c r="B313" s="8">
        <v>63</v>
      </c>
      <c r="C313">
        <v>0.5</v>
      </c>
      <c r="D313">
        <f>B313-C313</f>
        <v>62.5</v>
      </c>
      <c r="E313">
        <f t="shared" si="12"/>
        <v>62.5</v>
      </c>
      <c r="F313">
        <f t="shared" si="13"/>
        <v>3906.25</v>
      </c>
      <c r="G313" s="13">
        <f t="shared" si="14"/>
        <v>0.99206349206349209</v>
      </c>
      <c r="L313" s="16">
        <v>488940</v>
      </c>
    </row>
    <row r="314" spans="1:12" x14ac:dyDescent="0.45">
      <c r="A314" s="18">
        <v>45970</v>
      </c>
      <c r="B314" s="8">
        <v>53</v>
      </c>
      <c r="C314">
        <v>0.5</v>
      </c>
      <c r="D314">
        <f>B314-C314</f>
        <v>52.5</v>
      </c>
      <c r="E314">
        <f t="shared" si="12"/>
        <v>52.5</v>
      </c>
      <c r="F314">
        <f t="shared" si="13"/>
        <v>2756.25</v>
      </c>
      <c r="G314" s="13">
        <f t="shared" si="14"/>
        <v>0.99056603773584906</v>
      </c>
      <c r="L314" s="16">
        <v>727980</v>
      </c>
    </row>
    <row r="315" spans="1:12" x14ac:dyDescent="0.45">
      <c r="A315" s="18">
        <v>45971</v>
      </c>
      <c r="B315" s="8">
        <v>26</v>
      </c>
      <c r="C315">
        <v>0.5</v>
      </c>
      <c r="D315">
        <f>B315-C315</f>
        <v>25.5</v>
      </c>
      <c r="E315">
        <f t="shared" si="12"/>
        <v>25.5</v>
      </c>
      <c r="F315">
        <f t="shared" si="13"/>
        <v>650.25</v>
      </c>
      <c r="G315" s="13">
        <f t="shared" si="14"/>
        <v>0.98076923076923073</v>
      </c>
      <c r="L315" s="16">
        <v>229510</v>
      </c>
    </row>
    <row r="316" spans="1:12" x14ac:dyDescent="0.45">
      <c r="A316" s="18">
        <v>45972</v>
      </c>
      <c r="B316" s="8">
        <v>92</v>
      </c>
      <c r="C316">
        <v>0.5</v>
      </c>
      <c r="D316">
        <f>B316-C316</f>
        <v>91.5</v>
      </c>
      <c r="E316">
        <f t="shared" si="12"/>
        <v>91.5</v>
      </c>
      <c r="F316">
        <f t="shared" si="13"/>
        <v>8372.25</v>
      </c>
      <c r="G316" s="13">
        <f t="shared" si="14"/>
        <v>0.99456521739130432</v>
      </c>
      <c r="L316" s="16">
        <v>185500</v>
      </c>
    </row>
    <row r="317" spans="1:12" x14ac:dyDescent="0.45">
      <c r="A317" s="18">
        <v>45973</v>
      </c>
      <c r="B317" s="8">
        <v>68</v>
      </c>
      <c r="C317">
        <v>0.5</v>
      </c>
      <c r="D317">
        <f>B317-C317</f>
        <v>67.5</v>
      </c>
      <c r="E317">
        <f t="shared" si="12"/>
        <v>67.5</v>
      </c>
      <c r="F317">
        <f t="shared" si="13"/>
        <v>4556.25</v>
      </c>
      <c r="G317" s="13">
        <f t="shared" si="14"/>
        <v>0.99264705882352944</v>
      </c>
      <c r="L317" s="16">
        <v>466200</v>
      </c>
    </row>
    <row r="318" spans="1:12" x14ac:dyDescent="0.45">
      <c r="A318" s="18">
        <v>45974</v>
      </c>
      <c r="B318" s="8">
        <v>97</v>
      </c>
      <c r="C318">
        <v>0.5</v>
      </c>
      <c r="D318">
        <f>B318-C318</f>
        <v>96.5</v>
      </c>
      <c r="E318">
        <f t="shared" si="12"/>
        <v>96.5</v>
      </c>
      <c r="F318">
        <f t="shared" si="13"/>
        <v>9312.25</v>
      </c>
      <c r="G318" s="13">
        <f t="shared" si="14"/>
        <v>0.99484536082474229</v>
      </c>
      <c r="L318" s="16">
        <v>1419320</v>
      </c>
    </row>
    <row r="319" spans="1:12" x14ac:dyDescent="0.45">
      <c r="A319" s="18">
        <v>45975</v>
      </c>
      <c r="B319" s="8">
        <v>78</v>
      </c>
      <c r="C319">
        <v>0.5</v>
      </c>
      <c r="D319">
        <f>B319-C319</f>
        <v>77.5</v>
      </c>
      <c r="E319">
        <f t="shared" si="12"/>
        <v>77.5</v>
      </c>
      <c r="F319">
        <f t="shared" si="13"/>
        <v>6006.25</v>
      </c>
      <c r="G319" s="13">
        <f t="shared" si="14"/>
        <v>0.99358974358974361</v>
      </c>
      <c r="L319" s="16">
        <v>719950</v>
      </c>
    </row>
    <row r="320" spans="1:12" x14ac:dyDescent="0.45">
      <c r="A320" s="18">
        <v>45976</v>
      </c>
      <c r="B320" s="8">
        <v>40</v>
      </c>
      <c r="C320">
        <v>0.5</v>
      </c>
      <c r="D320">
        <f>B320-C320</f>
        <v>39.5</v>
      </c>
      <c r="E320">
        <f t="shared" si="12"/>
        <v>39.5</v>
      </c>
      <c r="F320">
        <f t="shared" si="13"/>
        <v>1560.25</v>
      </c>
      <c r="G320" s="13">
        <f t="shared" si="14"/>
        <v>0.98750000000000004</v>
      </c>
      <c r="L320" s="16">
        <v>484390</v>
      </c>
    </row>
    <row r="321" spans="1:12" x14ac:dyDescent="0.45">
      <c r="A321" s="18">
        <v>45977</v>
      </c>
      <c r="B321" s="8">
        <v>53</v>
      </c>
      <c r="C321">
        <v>0.5</v>
      </c>
      <c r="D321">
        <f>B321-C321</f>
        <v>52.5</v>
      </c>
      <c r="E321">
        <f t="shared" si="12"/>
        <v>52.5</v>
      </c>
      <c r="F321">
        <f t="shared" si="13"/>
        <v>2756.25</v>
      </c>
      <c r="G321" s="13">
        <f t="shared" si="14"/>
        <v>0.99056603773584906</v>
      </c>
      <c r="L321" s="16">
        <v>588400</v>
      </c>
    </row>
    <row r="322" spans="1:12" x14ac:dyDescent="0.45">
      <c r="A322" s="18">
        <v>45978</v>
      </c>
      <c r="B322" s="8">
        <v>54</v>
      </c>
      <c r="C322">
        <v>0.5</v>
      </c>
      <c r="D322">
        <f>B322-C322</f>
        <v>53.5</v>
      </c>
      <c r="E322">
        <f t="shared" si="12"/>
        <v>53.5</v>
      </c>
      <c r="F322">
        <f t="shared" si="13"/>
        <v>2862.25</v>
      </c>
      <c r="G322" s="13">
        <f t="shared" si="14"/>
        <v>0.9907407407407407</v>
      </c>
      <c r="L322" s="16">
        <v>645820</v>
      </c>
    </row>
    <row r="323" spans="1:12" x14ac:dyDescent="0.45">
      <c r="A323" s="18">
        <v>45979</v>
      </c>
      <c r="B323" s="8">
        <v>72</v>
      </c>
      <c r="C323">
        <v>0.5</v>
      </c>
      <c r="D323">
        <f>B323-C323</f>
        <v>71.5</v>
      </c>
      <c r="E323">
        <f t="shared" ref="E323:E365" si="15">ABS(D323)</f>
        <v>71.5</v>
      </c>
      <c r="F323">
        <f t="shared" ref="F323:F365" si="16">E323^2</f>
        <v>5112.25</v>
      </c>
      <c r="G323" s="13">
        <f t="shared" ref="G323:G365" si="17">E323/B323</f>
        <v>0.99305555555555558</v>
      </c>
      <c r="L323" s="16">
        <v>799080</v>
      </c>
    </row>
    <row r="324" spans="1:12" x14ac:dyDescent="0.45">
      <c r="A324" s="18">
        <v>45980</v>
      </c>
      <c r="B324" s="8">
        <v>45</v>
      </c>
      <c r="C324">
        <v>0.5</v>
      </c>
      <c r="D324">
        <f>B324-C324</f>
        <v>44.5</v>
      </c>
      <c r="E324">
        <f t="shared" si="15"/>
        <v>44.5</v>
      </c>
      <c r="F324">
        <f t="shared" si="16"/>
        <v>1980.25</v>
      </c>
      <c r="G324" s="13">
        <f t="shared" si="17"/>
        <v>0.98888888888888893</v>
      </c>
      <c r="L324" s="16">
        <v>311580</v>
      </c>
    </row>
    <row r="325" spans="1:12" x14ac:dyDescent="0.45">
      <c r="A325" s="18">
        <v>45981</v>
      </c>
      <c r="B325" s="8">
        <v>55</v>
      </c>
      <c r="C325">
        <v>0.5</v>
      </c>
      <c r="D325">
        <f>B325-C325</f>
        <v>54.5</v>
      </c>
      <c r="E325">
        <f t="shared" si="15"/>
        <v>54.5</v>
      </c>
      <c r="F325">
        <f t="shared" si="16"/>
        <v>2970.25</v>
      </c>
      <c r="G325" s="13">
        <f t="shared" si="17"/>
        <v>0.99090909090909096</v>
      </c>
      <c r="L325" s="16">
        <v>169420</v>
      </c>
    </row>
    <row r="326" spans="1:12" x14ac:dyDescent="0.45">
      <c r="A326" s="18">
        <v>45982</v>
      </c>
      <c r="B326" s="8">
        <v>70</v>
      </c>
      <c r="C326">
        <v>0.5</v>
      </c>
      <c r="D326">
        <f>B326-C326</f>
        <v>69.5</v>
      </c>
      <c r="E326">
        <f t="shared" si="15"/>
        <v>69.5</v>
      </c>
      <c r="F326">
        <f t="shared" si="16"/>
        <v>4830.25</v>
      </c>
      <c r="G326" s="13">
        <f t="shared" si="17"/>
        <v>0.99285714285714288</v>
      </c>
      <c r="L326" s="16">
        <v>1161240</v>
      </c>
    </row>
    <row r="327" spans="1:12" x14ac:dyDescent="0.45">
      <c r="A327" s="18">
        <v>45983</v>
      </c>
      <c r="B327" s="8">
        <v>27</v>
      </c>
      <c r="C327">
        <v>0.5</v>
      </c>
      <c r="D327">
        <f>B327-C327</f>
        <v>26.5</v>
      </c>
      <c r="E327">
        <f t="shared" si="15"/>
        <v>26.5</v>
      </c>
      <c r="F327">
        <f t="shared" si="16"/>
        <v>702.25</v>
      </c>
      <c r="G327" s="13">
        <f t="shared" si="17"/>
        <v>0.98148148148148151</v>
      </c>
      <c r="L327" s="16">
        <v>422300</v>
      </c>
    </row>
    <row r="328" spans="1:12" x14ac:dyDescent="0.45">
      <c r="A328" s="18">
        <v>45984</v>
      </c>
      <c r="B328" s="8">
        <v>54</v>
      </c>
      <c r="C328">
        <v>0.5</v>
      </c>
      <c r="D328">
        <f>B328-C328</f>
        <v>53.5</v>
      </c>
      <c r="E328">
        <f t="shared" si="15"/>
        <v>53.5</v>
      </c>
      <c r="F328">
        <f t="shared" si="16"/>
        <v>2862.25</v>
      </c>
      <c r="G328" s="13">
        <f t="shared" si="17"/>
        <v>0.9907407407407407</v>
      </c>
      <c r="L328" s="16">
        <v>383880</v>
      </c>
    </row>
    <row r="329" spans="1:12" x14ac:dyDescent="0.45">
      <c r="A329" s="18">
        <v>45985</v>
      </c>
      <c r="B329" s="8">
        <v>60</v>
      </c>
      <c r="C329">
        <v>0.5</v>
      </c>
      <c r="D329">
        <f>B329-C329</f>
        <v>59.5</v>
      </c>
      <c r="E329">
        <f t="shared" si="15"/>
        <v>59.5</v>
      </c>
      <c r="F329">
        <f t="shared" si="16"/>
        <v>3540.25</v>
      </c>
      <c r="G329" s="13">
        <f t="shared" si="17"/>
        <v>0.9916666666666667</v>
      </c>
      <c r="L329" s="16">
        <v>1200980</v>
      </c>
    </row>
    <row r="330" spans="1:12" x14ac:dyDescent="0.45">
      <c r="A330" s="18">
        <v>45986</v>
      </c>
      <c r="B330" s="8">
        <v>48</v>
      </c>
      <c r="C330">
        <v>0.5</v>
      </c>
      <c r="D330">
        <f>B330-C330</f>
        <v>47.5</v>
      </c>
      <c r="E330">
        <f t="shared" si="15"/>
        <v>47.5</v>
      </c>
      <c r="F330">
        <f t="shared" si="16"/>
        <v>2256.25</v>
      </c>
      <c r="G330" s="13">
        <f t="shared" si="17"/>
        <v>0.98958333333333337</v>
      </c>
      <c r="L330" s="16">
        <v>57130</v>
      </c>
    </row>
    <row r="331" spans="1:12" x14ac:dyDescent="0.45">
      <c r="A331" s="18">
        <v>45987</v>
      </c>
      <c r="B331" s="8">
        <v>82</v>
      </c>
      <c r="C331">
        <v>0.5</v>
      </c>
      <c r="D331">
        <f>B331-C331</f>
        <v>81.5</v>
      </c>
      <c r="E331">
        <f t="shared" si="15"/>
        <v>81.5</v>
      </c>
      <c r="F331">
        <f t="shared" si="16"/>
        <v>6642.25</v>
      </c>
      <c r="G331" s="13">
        <f t="shared" si="17"/>
        <v>0.99390243902439024</v>
      </c>
      <c r="L331" s="16">
        <v>176470</v>
      </c>
    </row>
    <row r="332" spans="1:12" x14ac:dyDescent="0.45">
      <c r="A332" s="18">
        <v>45988</v>
      </c>
      <c r="B332" s="8">
        <v>44</v>
      </c>
      <c r="C332">
        <v>0.5</v>
      </c>
      <c r="D332">
        <f>B332-C332</f>
        <v>43.5</v>
      </c>
      <c r="E332">
        <f t="shared" si="15"/>
        <v>43.5</v>
      </c>
      <c r="F332">
        <f t="shared" si="16"/>
        <v>1892.25</v>
      </c>
      <c r="G332" s="13">
        <f t="shared" si="17"/>
        <v>0.98863636363636365</v>
      </c>
      <c r="L332" s="16">
        <v>557640</v>
      </c>
    </row>
    <row r="333" spans="1:12" x14ac:dyDescent="0.45">
      <c r="A333" s="18">
        <v>45989</v>
      </c>
      <c r="B333" s="8">
        <v>59</v>
      </c>
      <c r="C333">
        <v>0.5</v>
      </c>
      <c r="D333">
        <f>B333-C333</f>
        <v>58.5</v>
      </c>
      <c r="E333">
        <f t="shared" si="15"/>
        <v>58.5</v>
      </c>
      <c r="F333">
        <f t="shared" si="16"/>
        <v>3422.25</v>
      </c>
      <c r="G333" s="13">
        <f t="shared" si="17"/>
        <v>0.99152542372881358</v>
      </c>
      <c r="L333" s="16">
        <v>709950</v>
      </c>
    </row>
    <row r="334" spans="1:12" x14ac:dyDescent="0.45">
      <c r="A334" s="18">
        <v>45990</v>
      </c>
      <c r="B334" s="8">
        <v>44</v>
      </c>
      <c r="C334">
        <v>0.5</v>
      </c>
      <c r="D334">
        <f>B334-C334</f>
        <v>43.5</v>
      </c>
      <c r="E334">
        <f t="shared" si="15"/>
        <v>43.5</v>
      </c>
      <c r="F334">
        <f t="shared" si="16"/>
        <v>1892.25</v>
      </c>
      <c r="G334" s="13">
        <f t="shared" si="17"/>
        <v>0.98863636363636365</v>
      </c>
      <c r="L334" s="16">
        <v>761850</v>
      </c>
    </row>
    <row r="335" spans="1:12" x14ac:dyDescent="0.45">
      <c r="A335" s="18">
        <v>45991</v>
      </c>
      <c r="B335" s="8">
        <v>42</v>
      </c>
      <c r="C335">
        <v>0.5</v>
      </c>
      <c r="D335">
        <f>B335-C335</f>
        <v>41.5</v>
      </c>
      <c r="E335">
        <f t="shared" si="15"/>
        <v>41.5</v>
      </c>
      <c r="F335">
        <f t="shared" si="16"/>
        <v>1722.25</v>
      </c>
      <c r="G335" s="13">
        <f t="shared" si="17"/>
        <v>0.98809523809523814</v>
      </c>
      <c r="L335" s="16">
        <v>201100</v>
      </c>
    </row>
    <row r="336" spans="1:12" x14ac:dyDescent="0.45">
      <c r="A336" s="18">
        <v>45992</v>
      </c>
      <c r="B336" s="8">
        <v>46</v>
      </c>
      <c r="C336">
        <v>0.5</v>
      </c>
      <c r="D336">
        <f>B336-C336</f>
        <v>45.5</v>
      </c>
      <c r="E336">
        <f t="shared" si="15"/>
        <v>45.5</v>
      </c>
      <c r="F336">
        <f t="shared" si="16"/>
        <v>2070.25</v>
      </c>
      <c r="G336" s="13">
        <f t="shared" si="17"/>
        <v>0.98913043478260865</v>
      </c>
      <c r="L336" s="16">
        <v>238620</v>
      </c>
    </row>
    <row r="337" spans="1:12" x14ac:dyDescent="0.45">
      <c r="A337" s="18">
        <v>45993</v>
      </c>
      <c r="B337" s="8">
        <v>43</v>
      </c>
      <c r="C337">
        <v>0.5</v>
      </c>
      <c r="D337">
        <f>B337-C337</f>
        <v>42.5</v>
      </c>
      <c r="E337">
        <f t="shared" si="15"/>
        <v>42.5</v>
      </c>
      <c r="F337">
        <f t="shared" si="16"/>
        <v>1806.25</v>
      </c>
      <c r="G337" s="13">
        <f t="shared" si="17"/>
        <v>0.98837209302325579</v>
      </c>
      <c r="L337" s="16">
        <v>672380</v>
      </c>
    </row>
    <row r="338" spans="1:12" x14ac:dyDescent="0.45">
      <c r="A338" s="18">
        <v>45994</v>
      </c>
      <c r="B338" s="8">
        <v>39</v>
      </c>
      <c r="C338">
        <v>0.5</v>
      </c>
      <c r="D338">
        <f>B338-C338</f>
        <v>38.5</v>
      </c>
      <c r="E338">
        <f t="shared" si="15"/>
        <v>38.5</v>
      </c>
      <c r="F338">
        <f t="shared" si="16"/>
        <v>1482.25</v>
      </c>
      <c r="G338" s="13">
        <f t="shared" si="17"/>
        <v>0.98717948717948723</v>
      </c>
      <c r="L338" s="16">
        <v>258240</v>
      </c>
    </row>
    <row r="339" spans="1:12" x14ac:dyDescent="0.45">
      <c r="A339" s="18">
        <v>45995</v>
      </c>
      <c r="B339" s="8">
        <v>52</v>
      </c>
      <c r="C339">
        <v>0.5</v>
      </c>
      <c r="D339">
        <f>B339-C339</f>
        <v>51.5</v>
      </c>
      <c r="E339">
        <f t="shared" si="15"/>
        <v>51.5</v>
      </c>
      <c r="F339">
        <f t="shared" si="16"/>
        <v>2652.25</v>
      </c>
      <c r="G339" s="13">
        <f t="shared" si="17"/>
        <v>0.99038461538461542</v>
      </c>
      <c r="L339" s="16">
        <v>489400</v>
      </c>
    </row>
    <row r="340" spans="1:12" x14ac:dyDescent="0.45">
      <c r="A340" s="18">
        <v>45996</v>
      </c>
      <c r="B340" s="8">
        <v>56</v>
      </c>
      <c r="C340">
        <v>0.5</v>
      </c>
      <c r="D340">
        <f>B340-C340</f>
        <v>55.5</v>
      </c>
      <c r="E340">
        <f t="shared" si="15"/>
        <v>55.5</v>
      </c>
      <c r="F340">
        <f t="shared" si="16"/>
        <v>3080.25</v>
      </c>
      <c r="G340" s="13">
        <f t="shared" si="17"/>
        <v>0.9910714285714286</v>
      </c>
      <c r="L340" s="16">
        <v>140280</v>
      </c>
    </row>
    <row r="341" spans="1:12" x14ac:dyDescent="0.45">
      <c r="A341" s="18">
        <v>45997</v>
      </c>
      <c r="B341" s="8">
        <v>44</v>
      </c>
      <c r="C341">
        <v>0.5</v>
      </c>
      <c r="D341">
        <f>B341-C341</f>
        <v>43.5</v>
      </c>
      <c r="E341">
        <f t="shared" si="15"/>
        <v>43.5</v>
      </c>
      <c r="F341">
        <f t="shared" si="16"/>
        <v>1892.25</v>
      </c>
      <c r="G341" s="13">
        <f t="shared" si="17"/>
        <v>0.98863636363636365</v>
      </c>
      <c r="L341" s="16">
        <v>478900</v>
      </c>
    </row>
    <row r="342" spans="1:12" x14ac:dyDescent="0.45">
      <c r="A342" s="18">
        <v>45998</v>
      </c>
      <c r="B342" s="8">
        <v>58</v>
      </c>
      <c r="C342">
        <v>0.5</v>
      </c>
      <c r="D342">
        <f>B342-C342</f>
        <v>57.5</v>
      </c>
      <c r="E342">
        <f t="shared" si="15"/>
        <v>57.5</v>
      </c>
      <c r="F342">
        <f t="shared" si="16"/>
        <v>3306.25</v>
      </c>
      <c r="G342" s="13">
        <f t="shared" si="17"/>
        <v>0.99137931034482762</v>
      </c>
      <c r="L342" s="16">
        <v>1078940</v>
      </c>
    </row>
    <row r="343" spans="1:12" x14ac:dyDescent="0.45">
      <c r="A343" s="18">
        <v>45999</v>
      </c>
      <c r="B343" s="8">
        <v>60</v>
      </c>
      <c r="C343">
        <v>0.5</v>
      </c>
      <c r="D343">
        <f>B343-C343</f>
        <v>59.5</v>
      </c>
      <c r="E343">
        <f t="shared" si="15"/>
        <v>59.5</v>
      </c>
      <c r="F343">
        <f t="shared" si="16"/>
        <v>3540.25</v>
      </c>
      <c r="G343" s="13">
        <f t="shared" si="17"/>
        <v>0.9916666666666667</v>
      </c>
      <c r="L343" s="16">
        <v>1335520</v>
      </c>
    </row>
    <row r="344" spans="1:12" x14ac:dyDescent="0.45">
      <c r="A344" s="18">
        <v>46000</v>
      </c>
      <c r="B344" s="8">
        <v>45</v>
      </c>
      <c r="C344">
        <v>0.5</v>
      </c>
      <c r="D344">
        <f>B344-C344</f>
        <v>44.5</v>
      </c>
      <c r="E344">
        <f t="shared" si="15"/>
        <v>44.5</v>
      </c>
      <c r="F344">
        <f t="shared" si="16"/>
        <v>1980.25</v>
      </c>
      <c r="G344" s="13">
        <f t="shared" si="17"/>
        <v>0.98888888888888893</v>
      </c>
      <c r="L344" s="16">
        <v>277540</v>
      </c>
    </row>
    <row r="345" spans="1:12" x14ac:dyDescent="0.45">
      <c r="A345" s="18">
        <v>46001</v>
      </c>
      <c r="B345" s="8">
        <v>61</v>
      </c>
      <c r="C345">
        <v>0.5</v>
      </c>
      <c r="D345">
        <f>B345-C345</f>
        <v>60.5</v>
      </c>
      <c r="E345">
        <f t="shared" si="15"/>
        <v>60.5</v>
      </c>
      <c r="F345">
        <f t="shared" si="16"/>
        <v>3660.25</v>
      </c>
      <c r="G345" s="13">
        <f t="shared" si="17"/>
        <v>0.99180327868852458</v>
      </c>
      <c r="L345" s="16">
        <v>475260</v>
      </c>
    </row>
    <row r="346" spans="1:12" x14ac:dyDescent="0.45">
      <c r="A346" s="18">
        <v>46002</v>
      </c>
      <c r="B346" s="8">
        <v>64</v>
      </c>
      <c r="C346">
        <v>0.5</v>
      </c>
      <c r="D346">
        <f>B346-C346</f>
        <v>63.5</v>
      </c>
      <c r="E346">
        <f t="shared" si="15"/>
        <v>63.5</v>
      </c>
      <c r="F346">
        <f t="shared" si="16"/>
        <v>4032.25</v>
      </c>
      <c r="G346" s="13">
        <f t="shared" si="17"/>
        <v>0.9921875</v>
      </c>
      <c r="L346" s="16">
        <v>961210</v>
      </c>
    </row>
    <row r="347" spans="1:12" x14ac:dyDescent="0.45">
      <c r="A347" s="18">
        <v>46003</v>
      </c>
      <c r="B347" s="8">
        <v>56</v>
      </c>
      <c r="C347">
        <v>0.5</v>
      </c>
      <c r="D347">
        <f>B347-C347</f>
        <v>55.5</v>
      </c>
      <c r="E347">
        <f t="shared" si="15"/>
        <v>55.5</v>
      </c>
      <c r="F347">
        <f t="shared" si="16"/>
        <v>3080.25</v>
      </c>
      <c r="G347" s="13">
        <f t="shared" si="17"/>
        <v>0.9910714285714286</v>
      </c>
      <c r="L347" s="16">
        <v>251620</v>
      </c>
    </row>
    <row r="348" spans="1:12" x14ac:dyDescent="0.45">
      <c r="A348" s="18">
        <v>46004</v>
      </c>
      <c r="B348" s="8">
        <v>75</v>
      </c>
      <c r="C348">
        <v>0.5</v>
      </c>
      <c r="D348">
        <f>B348-C348</f>
        <v>74.5</v>
      </c>
      <c r="E348">
        <f t="shared" si="15"/>
        <v>74.5</v>
      </c>
      <c r="F348">
        <f t="shared" si="16"/>
        <v>5550.25</v>
      </c>
      <c r="G348" s="13">
        <f t="shared" si="17"/>
        <v>0.99333333333333329</v>
      </c>
      <c r="L348" s="16">
        <v>478040</v>
      </c>
    </row>
    <row r="349" spans="1:12" x14ac:dyDescent="0.45">
      <c r="A349" s="18">
        <v>46005</v>
      </c>
      <c r="B349" s="8">
        <v>63</v>
      </c>
      <c r="C349">
        <v>0.5</v>
      </c>
      <c r="D349">
        <f>B349-C349</f>
        <v>62.5</v>
      </c>
      <c r="E349">
        <f t="shared" si="15"/>
        <v>62.5</v>
      </c>
      <c r="F349">
        <f t="shared" si="16"/>
        <v>3906.25</v>
      </c>
      <c r="G349" s="13">
        <f t="shared" si="17"/>
        <v>0.99206349206349209</v>
      </c>
      <c r="L349" s="16">
        <v>1170320</v>
      </c>
    </row>
    <row r="350" spans="1:12" x14ac:dyDescent="0.45">
      <c r="A350" s="18">
        <v>46006</v>
      </c>
      <c r="B350" s="8">
        <v>73</v>
      </c>
      <c r="C350">
        <v>0.5</v>
      </c>
      <c r="D350">
        <f>B350-C350</f>
        <v>72.5</v>
      </c>
      <c r="E350">
        <f t="shared" si="15"/>
        <v>72.5</v>
      </c>
      <c r="F350">
        <f t="shared" si="16"/>
        <v>5256.25</v>
      </c>
      <c r="G350" s="13">
        <f t="shared" si="17"/>
        <v>0.99315068493150682</v>
      </c>
      <c r="L350" s="16">
        <v>531700</v>
      </c>
    </row>
    <row r="351" spans="1:12" x14ac:dyDescent="0.45">
      <c r="A351" s="18">
        <v>46007</v>
      </c>
      <c r="B351" s="8">
        <v>54</v>
      </c>
      <c r="C351">
        <v>0.5</v>
      </c>
      <c r="D351">
        <f>B351-C351</f>
        <v>53.5</v>
      </c>
      <c r="E351">
        <f t="shared" si="15"/>
        <v>53.5</v>
      </c>
      <c r="F351">
        <f t="shared" si="16"/>
        <v>2862.25</v>
      </c>
      <c r="G351" s="13">
        <f t="shared" si="17"/>
        <v>0.9907407407407407</v>
      </c>
      <c r="L351" s="16">
        <v>627320</v>
      </c>
    </row>
    <row r="352" spans="1:12" x14ac:dyDescent="0.45">
      <c r="A352" s="18">
        <v>46008</v>
      </c>
      <c r="B352" s="8">
        <v>51</v>
      </c>
      <c r="C352">
        <v>0.5</v>
      </c>
      <c r="D352">
        <f>B352-C352</f>
        <v>50.5</v>
      </c>
      <c r="E352">
        <f t="shared" si="15"/>
        <v>50.5</v>
      </c>
      <c r="F352">
        <f t="shared" si="16"/>
        <v>2550.25</v>
      </c>
      <c r="G352" s="13">
        <f t="shared" si="17"/>
        <v>0.99019607843137258</v>
      </c>
      <c r="L352" s="16">
        <v>514720</v>
      </c>
    </row>
    <row r="353" spans="1:12" x14ac:dyDescent="0.45">
      <c r="A353" s="18">
        <v>46009</v>
      </c>
      <c r="B353" s="8">
        <v>63</v>
      </c>
      <c r="C353">
        <v>0.5</v>
      </c>
      <c r="D353">
        <f>B353-C353</f>
        <v>62.5</v>
      </c>
      <c r="E353">
        <f t="shared" si="15"/>
        <v>62.5</v>
      </c>
      <c r="F353">
        <f t="shared" si="16"/>
        <v>3906.25</v>
      </c>
      <c r="G353" s="13">
        <f t="shared" si="17"/>
        <v>0.99206349206349209</v>
      </c>
      <c r="L353" s="16">
        <v>245400</v>
      </c>
    </row>
    <row r="354" spans="1:12" x14ac:dyDescent="0.45">
      <c r="A354" s="18">
        <v>46010</v>
      </c>
      <c r="B354" s="8">
        <v>55</v>
      </c>
      <c r="C354">
        <v>0.5</v>
      </c>
      <c r="D354">
        <f>B354-C354</f>
        <v>54.5</v>
      </c>
      <c r="E354">
        <f t="shared" si="15"/>
        <v>54.5</v>
      </c>
      <c r="F354">
        <f t="shared" si="16"/>
        <v>2970.25</v>
      </c>
      <c r="G354" s="13">
        <f t="shared" si="17"/>
        <v>0.99090909090909096</v>
      </c>
      <c r="L354" s="16">
        <v>292000</v>
      </c>
    </row>
    <row r="355" spans="1:12" x14ac:dyDescent="0.45">
      <c r="A355" s="18">
        <v>46011</v>
      </c>
      <c r="B355" s="8">
        <v>72</v>
      </c>
      <c r="C355">
        <v>0.5</v>
      </c>
      <c r="D355">
        <f>B355-C355</f>
        <v>71.5</v>
      </c>
      <c r="E355">
        <f t="shared" si="15"/>
        <v>71.5</v>
      </c>
      <c r="F355">
        <f t="shared" si="16"/>
        <v>5112.25</v>
      </c>
      <c r="G355" s="13">
        <f t="shared" si="17"/>
        <v>0.99305555555555558</v>
      </c>
      <c r="L355" s="16">
        <v>490320</v>
      </c>
    </row>
    <row r="356" spans="1:12" x14ac:dyDescent="0.45">
      <c r="A356" s="18">
        <v>46012</v>
      </c>
      <c r="B356" s="8">
        <v>48</v>
      </c>
      <c r="C356">
        <v>0.5</v>
      </c>
      <c r="D356">
        <f>B356-C356</f>
        <v>47.5</v>
      </c>
      <c r="E356">
        <f t="shared" si="15"/>
        <v>47.5</v>
      </c>
      <c r="F356">
        <f t="shared" si="16"/>
        <v>2256.25</v>
      </c>
      <c r="G356" s="13">
        <f t="shared" si="17"/>
        <v>0.98958333333333337</v>
      </c>
      <c r="L356" s="16">
        <v>448680</v>
      </c>
    </row>
    <row r="357" spans="1:12" x14ac:dyDescent="0.45">
      <c r="A357" s="18">
        <v>46013</v>
      </c>
      <c r="B357" s="8">
        <v>59</v>
      </c>
      <c r="C357">
        <v>0.5</v>
      </c>
      <c r="D357">
        <f>B357-C357</f>
        <v>58.5</v>
      </c>
      <c r="E357">
        <f t="shared" si="15"/>
        <v>58.5</v>
      </c>
      <c r="F357">
        <f t="shared" si="16"/>
        <v>3422.25</v>
      </c>
      <c r="G357" s="13">
        <f t="shared" si="17"/>
        <v>0.99152542372881358</v>
      </c>
      <c r="L357" s="16">
        <v>509700</v>
      </c>
    </row>
    <row r="358" spans="1:12" x14ac:dyDescent="0.45">
      <c r="A358" s="18">
        <v>46014</v>
      </c>
      <c r="B358" s="8">
        <v>57</v>
      </c>
      <c r="C358">
        <v>0.5</v>
      </c>
      <c r="D358">
        <f>B358-C358</f>
        <v>56.5</v>
      </c>
      <c r="E358">
        <f t="shared" si="15"/>
        <v>56.5</v>
      </c>
      <c r="F358">
        <f t="shared" si="16"/>
        <v>3192.25</v>
      </c>
      <c r="G358" s="13">
        <f t="shared" si="17"/>
        <v>0.99122807017543857</v>
      </c>
      <c r="L358" s="16">
        <v>443460</v>
      </c>
    </row>
    <row r="359" spans="1:12" x14ac:dyDescent="0.45">
      <c r="A359" s="18">
        <v>46015</v>
      </c>
      <c r="B359" s="8">
        <v>51</v>
      </c>
      <c r="C359">
        <v>0.5</v>
      </c>
      <c r="D359">
        <f>B359-C359</f>
        <v>50.5</v>
      </c>
      <c r="E359">
        <f t="shared" si="15"/>
        <v>50.5</v>
      </c>
      <c r="F359">
        <f t="shared" si="16"/>
        <v>2550.25</v>
      </c>
      <c r="G359" s="13">
        <f t="shared" si="17"/>
        <v>0.99019607843137258</v>
      </c>
      <c r="L359" s="16">
        <v>348470</v>
      </c>
    </row>
    <row r="360" spans="1:12" x14ac:dyDescent="0.45">
      <c r="A360" s="18">
        <v>46016</v>
      </c>
      <c r="B360" s="8">
        <v>63</v>
      </c>
      <c r="C360">
        <v>0.5</v>
      </c>
      <c r="D360">
        <f>B360-C360</f>
        <v>62.5</v>
      </c>
      <c r="E360">
        <f t="shared" si="15"/>
        <v>62.5</v>
      </c>
      <c r="F360">
        <f t="shared" si="16"/>
        <v>3906.25</v>
      </c>
      <c r="G360" s="13">
        <f t="shared" si="17"/>
        <v>0.99206349206349209</v>
      </c>
      <c r="L360" s="16">
        <v>1048640</v>
      </c>
    </row>
    <row r="361" spans="1:12" x14ac:dyDescent="0.45">
      <c r="A361" s="18">
        <v>46017</v>
      </c>
      <c r="B361" s="8">
        <v>56</v>
      </c>
      <c r="C361">
        <v>0.5</v>
      </c>
      <c r="D361">
        <f>B361-C361</f>
        <v>55.5</v>
      </c>
      <c r="E361">
        <f t="shared" si="15"/>
        <v>55.5</v>
      </c>
      <c r="F361">
        <f t="shared" si="16"/>
        <v>3080.25</v>
      </c>
      <c r="G361" s="13">
        <f t="shared" si="17"/>
        <v>0.9910714285714286</v>
      </c>
      <c r="L361" s="16">
        <v>828720</v>
      </c>
    </row>
    <row r="362" spans="1:12" x14ac:dyDescent="0.45">
      <c r="A362" s="18">
        <v>46018</v>
      </c>
      <c r="B362" s="8">
        <v>48</v>
      </c>
      <c r="C362">
        <v>0.5</v>
      </c>
      <c r="D362">
        <f>B362-C362</f>
        <v>47.5</v>
      </c>
      <c r="E362">
        <f t="shared" si="15"/>
        <v>47.5</v>
      </c>
      <c r="F362">
        <f t="shared" si="16"/>
        <v>2256.25</v>
      </c>
      <c r="G362" s="13">
        <f t="shared" si="17"/>
        <v>0.98958333333333337</v>
      </c>
      <c r="L362" s="16">
        <v>1212900</v>
      </c>
    </row>
    <row r="363" spans="1:12" x14ac:dyDescent="0.45">
      <c r="A363" s="18">
        <v>46019</v>
      </c>
      <c r="B363" s="8">
        <v>134</v>
      </c>
      <c r="C363">
        <v>0.5</v>
      </c>
      <c r="D363">
        <f>B363-C363</f>
        <v>133.5</v>
      </c>
      <c r="E363">
        <f t="shared" si="15"/>
        <v>133.5</v>
      </c>
      <c r="F363">
        <f t="shared" si="16"/>
        <v>17822.25</v>
      </c>
      <c r="G363" s="13">
        <f t="shared" si="17"/>
        <v>0.99626865671641796</v>
      </c>
      <c r="L363" s="16">
        <v>1421530</v>
      </c>
    </row>
    <row r="364" spans="1:12" x14ac:dyDescent="0.45">
      <c r="A364" s="18">
        <v>46020</v>
      </c>
      <c r="B364" s="8">
        <v>97</v>
      </c>
      <c r="C364">
        <v>0.5</v>
      </c>
      <c r="D364">
        <f>B364-C364</f>
        <v>96.5</v>
      </c>
      <c r="E364">
        <f t="shared" si="15"/>
        <v>96.5</v>
      </c>
      <c r="F364">
        <f t="shared" si="16"/>
        <v>9312.25</v>
      </c>
      <c r="G364" s="13">
        <f t="shared" si="17"/>
        <v>0.99484536082474229</v>
      </c>
      <c r="L364" s="16">
        <v>1259500</v>
      </c>
    </row>
    <row r="365" spans="1:12" x14ac:dyDescent="0.45">
      <c r="A365" s="18">
        <v>46021</v>
      </c>
      <c r="B365" s="8">
        <v>58</v>
      </c>
      <c r="C365">
        <v>0.5</v>
      </c>
      <c r="D365">
        <f>B365-C365</f>
        <v>57.5</v>
      </c>
      <c r="E365">
        <f t="shared" si="15"/>
        <v>57.5</v>
      </c>
      <c r="F365">
        <f t="shared" si="16"/>
        <v>3306.25</v>
      </c>
      <c r="G365" s="13">
        <f t="shared" si="17"/>
        <v>0.99137931034482762</v>
      </c>
      <c r="L365" s="16">
        <v>176720</v>
      </c>
    </row>
    <row r="366" spans="1:12" x14ac:dyDescent="0.45">
      <c r="A366" s="18"/>
      <c r="B366" s="8"/>
      <c r="L366" s="17">
        <v>269016580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48"/>
  <sheetViews>
    <sheetView zoomScale="70" zoomScaleNormal="70" workbookViewId="0">
      <selection activeCell="F223" sqref="F223"/>
    </sheetView>
  </sheetViews>
  <sheetFormatPr defaultRowHeight="14.25" x14ac:dyDescent="0.45"/>
  <cols>
    <col min="1" max="1" width="13.1328125" customWidth="1"/>
    <col min="2" max="2" width="14.1328125" style="1" customWidth="1"/>
    <col min="3" max="3" width="16.53125" customWidth="1"/>
    <col min="4" max="4" width="17.73046875" customWidth="1"/>
    <col min="5" max="5" width="16.6640625" customWidth="1"/>
    <col min="6" max="6" width="10.9296875" customWidth="1"/>
    <col min="7" max="7" width="17.1328125" customWidth="1"/>
    <col min="8" max="8" width="11.6640625" customWidth="1"/>
    <col min="9" max="9" width="16.3984375" customWidth="1"/>
    <col min="10" max="10" width="22.06640625" customWidth="1"/>
  </cols>
  <sheetData>
    <row r="1" spans="1:10" x14ac:dyDescent="0.45">
      <c r="A1" t="s">
        <v>0</v>
      </c>
      <c r="B1" s="1" t="s">
        <v>1</v>
      </c>
      <c r="C1" t="s">
        <v>2</v>
      </c>
      <c r="D1" t="s">
        <v>3</v>
      </c>
      <c r="E1" t="s">
        <v>5010</v>
      </c>
      <c r="F1" t="s">
        <v>4</v>
      </c>
      <c r="G1" t="s">
        <v>5011</v>
      </c>
      <c r="H1" t="s">
        <v>5</v>
      </c>
      <c r="I1" t="s">
        <v>5012</v>
      </c>
      <c r="J1" t="s">
        <v>5013</v>
      </c>
    </row>
    <row r="2" spans="1:10" x14ac:dyDescent="0.45">
      <c r="A2" t="s">
        <v>6</v>
      </c>
      <c r="B2" s="1">
        <v>45658</v>
      </c>
      <c r="C2" t="s">
        <v>4007</v>
      </c>
      <c r="D2" t="s">
        <v>4005</v>
      </c>
      <c r="E2">
        <v>60000</v>
      </c>
      <c r="F2">
        <v>3</v>
      </c>
      <c r="G2">
        <f t="shared" ref="G2:G65" si="0">E2*F2</f>
        <v>180000</v>
      </c>
      <c r="H2" t="s">
        <v>7</v>
      </c>
      <c r="I2">
        <f t="shared" ref="I2:I65" si="1">E2*1.2</f>
        <v>72000</v>
      </c>
      <c r="J2">
        <f t="shared" ref="J2:J65" si="2">I2*F2</f>
        <v>216000</v>
      </c>
    </row>
    <row r="3" spans="1:10" x14ac:dyDescent="0.45">
      <c r="A3" t="s">
        <v>8</v>
      </c>
      <c r="B3" s="1">
        <v>45658</v>
      </c>
      <c r="C3" t="s">
        <v>9</v>
      </c>
      <c r="D3" t="s">
        <v>10</v>
      </c>
      <c r="E3">
        <v>400</v>
      </c>
      <c r="F3">
        <v>5</v>
      </c>
      <c r="G3">
        <f t="shared" si="0"/>
        <v>2000</v>
      </c>
      <c r="H3" t="s">
        <v>7</v>
      </c>
      <c r="I3">
        <f t="shared" si="1"/>
        <v>480</v>
      </c>
      <c r="J3">
        <f t="shared" si="2"/>
        <v>2400</v>
      </c>
    </row>
    <row r="4" spans="1:10" x14ac:dyDescent="0.45">
      <c r="A4" t="s">
        <v>11</v>
      </c>
      <c r="B4" s="1">
        <v>45658</v>
      </c>
      <c r="C4" t="s">
        <v>12</v>
      </c>
      <c r="D4" t="s">
        <v>5020</v>
      </c>
      <c r="E4">
        <v>2880</v>
      </c>
      <c r="F4">
        <v>1</v>
      </c>
      <c r="G4">
        <f t="shared" si="0"/>
        <v>2880</v>
      </c>
      <c r="H4" t="s">
        <v>7</v>
      </c>
      <c r="I4">
        <f t="shared" si="1"/>
        <v>3456</v>
      </c>
      <c r="J4">
        <f t="shared" si="2"/>
        <v>3456</v>
      </c>
    </row>
    <row r="5" spans="1:10" x14ac:dyDescent="0.45">
      <c r="A5" t="s">
        <v>13</v>
      </c>
      <c r="B5" s="1">
        <v>45658</v>
      </c>
      <c r="C5" t="s">
        <v>33</v>
      </c>
      <c r="D5" t="s">
        <v>14</v>
      </c>
      <c r="E5">
        <v>800</v>
      </c>
      <c r="F5">
        <v>6</v>
      </c>
      <c r="G5">
        <f t="shared" si="0"/>
        <v>4800</v>
      </c>
      <c r="H5" t="s">
        <v>7</v>
      </c>
      <c r="I5">
        <f t="shared" si="1"/>
        <v>960</v>
      </c>
      <c r="J5">
        <f t="shared" si="2"/>
        <v>5760</v>
      </c>
    </row>
    <row r="6" spans="1:10" x14ac:dyDescent="0.45">
      <c r="A6" t="s">
        <v>15</v>
      </c>
      <c r="B6" s="1">
        <v>45658</v>
      </c>
      <c r="C6" t="s">
        <v>33</v>
      </c>
      <c r="D6" t="s">
        <v>16</v>
      </c>
      <c r="E6">
        <v>1200</v>
      </c>
      <c r="F6">
        <v>3</v>
      </c>
      <c r="G6">
        <f t="shared" si="0"/>
        <v>3600</v>
      </c>
      <c r="H6" t="s">
        <v>17</v>
      </c>
      <c r="I6">
        <f t="shared" si="1"/>
        <v>1440</v>
      </c>
      <c r="J6">
        <f t="shared" si="2"/>
        <v>4320</v>
      </c>
    </row>
    <row r="7" spans="1:10" x14ac:dyDescent="0.45">
      <c r="A7" t="s">
        <v>18</v>
      </c>
      <c r="B7" s="1">
        <v>45658</v>
      </c>
      <c r="C7" t="s">
        <v>9</v>
      </c>
      <c r="D7" t="s">
        <v>19</v>
      </c>
      <c r="E7">
        <v>3000</v>
      </c>
      <c r="F7">
        <v>6</v>
      </c>
      <c r="G7">
        <f t="shared" si="0"/>
        <v>18000</v>
      </c>
      <c r="H7" t="s">
        <v>17</v>
      </c>
      <c r="I7">
        <f t="shared" si="1"/>
        <v>3600</v>
      </c>
      <c r="J7">
        <f t="shared" si="2"/>
        <v>21600</v>
      </c>
    </row>
    <row r="8" spans="1:10" x14ac:dyDescent="0.45">
      <c r="A8" t="s">
        <v>20</v>
      </c>
      <c r="B8" s="1">
        <v>45658</v>
      </c>
      <c r="C8" t="s">
        <v>12</v>
      </c>
      <c r="D8" t="s">
        <v>5021</v>
      </c>
      <c r="E8">
        <v>2880</v>
      </c>
      <c r="F8">
        <v>2</v>
      </c>
      <c r="G8">
        <f t="shared" si="0"/>
        <v>5760</v>
      </c>
      <c r="H8" t="s">
        <v>21</v>
      </c>
      <c r="I8">
        <f t="shared" si="1"/>
        <v>3456</v>
      </c>
      <c r="J8">
        <f t="shared" si="2"/>
        <v>6912</v>
      </c>
    </row>
    <row r="9" spans="1:10" x14ac:dyDescent="0.45">
      <c r="A9" t="s">
        <v>22</v>
      </c>
      <c r="B9" s="1">
        <v>45658</v>
      </c>
      <c r="C9" t="s">
        <v>12</v>
      </c>
      <c r="D9" t="s">
        <v>5021</v>
      </c>
      <c r="E9">
        <v>2880</v>
      </c>
      <c r="F9">
        <v>3</v>
      </c>
      <c r="G9">
        <f t="shared" si="0"/>
        <v>8640</v>
      </c>
      <c r="H9" t="s">
        <v>21</v>
      </c>
      <c r="I9">
        <f t="shared" si="1"/>
        <v>3456</v>
      </c>
      <c r="J9">
        <f t="shared" si="2"/>
        <v>10368</v>
      </c>
    </row>
    <row r="10" spans="1:10" x14ac:dyDescent="0.45">
      <c r="A10" t="s">
        <v>23</v>
      </c>
      <c r="B10" s="1">
        <v>45658</v>
      </c>
      <c r="C10" t="s">
        <v>33</v>
      </c>
      <c r="D10" t="s">
        <v>16</v>
      </c>
      <c r="E10">
        <v>1200</v>
      </c>
      <c r="F10">
        <v>5</v>
      </c>
      <c r="G10">
        <f t="shared" si="0"/>
        <v>6000</v>
      </c>
      <c r="H10" t="s">
        <v>7</v>
      </c>
      <c r="I10">
        <f t="shared" si="1"/>
        <v>1440</v>
      </c>
      <c r="J10">
        <f t="shared" si="2"/>
        <v>7200</v>
      </c>
    </row>
    <row r="11" spans="1:10" x14ac:dyDescent="0.45">
      <c r="A11" t="s">
        <v>24</v>
      </c>
      <c r="B11" s="1">
        <v>45658</v>
      </c>
      <c r="C11" t="s">
        <v>9</v>
      </c>
      <c r="D11" t="s">
        <v>25</v>
      </c>
      <c r="E11">
        <v>5200</v>
      </c>
      <c r="F11">
        <v>2</v>
      </c>
      <c r="G11">
        <f t="shared" si="0"/>
        <v>10400</v>
      </c>
      <c r="H11" t="s">
        <v>21</v>
      </c>
      <c r="I11">
        <f t="shared" si="1"/>
        <v>6240</v>
      </c>
      <c r="J11">
        <f t="shared" si="2"/>
        <v>12480</v>
      </c>
    </row>
    <row r="12" spans="1:10" x14ac:dyDescent="0.45">
      <c r="A12" t="s">
        <v>2907</v>
      </c>
      <c r="B12" s="1">
        <v>45658</v>
      </c>
      <c r="C12" t="s">
        <v>4007</v>
      </c>
      <c r="D12" t="s">
        <v>2773</v>
      </c>
      <c r="E12">
        <v>3300</v>
      </c>
      <c r="F12">
        <v>5</v>
      </c>
      <c r="G12">
        <f t="shared" si="0"/>
        <v>16500</v>
      </c>
      <c r="H12" t="s">
        <v>21</v>
      </c>
      <c r="I12">
        <f t="shared" si="1"/>
        <v>3960</v>
      </c>
      <c r="J12">
        <f t="shared" si="2"/>
        <v>19800</v>
      </c>
    </row>
    <row r="13" spans="1:10" x14ac:dyDescent="0.45">
      <c r="A13" t="s">
        <v>3116</v>
      </c>
      <c r="B13" s="1">
        <v>45658</v>
      </c>
      <c r="C13" t="s">
        <v>4007</v>
      </c>
      <c r="D13" t="s">
        <v>28</v>
      </c>
      <c r="E13">
        <v>500</v>
      </c>
      <c r="F13">
        <v>10</v>
      </c>
      <c r="G13">
        <f t="shared" si="0"/>
        <v>5000</v>
      </c>
      <c r="H13" t="s">
        <v>17</v>
      </c>
      <c r="I13">
        <f t="shared" si="1"/>
        <v>600</v>
      </c>
      <c r="J13">
        <f t="shared" si="2"/>
        <v>6000</v>
      </c>
    </row>
    <row r="14" spans="1:10" x14ac:dyDescent="0.45">
      <c r="A14" t="s">
        <v>3959</v>
      </c>
      <c r="B14" s="1">
        <v>45658</v>
      </c>
      <c r="C14" t="s">
        <v>2772</v>
      </c>
      <c r="D14" t="s">
        <v>2775</v>
      </c>
      <c r="E14">
        <v>9100</v>
      </c>
      <c r="F14">
        <v>2</v>
      </c>
      <c r="G14">
        <f t="shared" si="0"/>
        <v>18200</v>
      </c>
      <c r="H14" t="s">
        <v>17</v>
      </c>
      <c r="I14">
        <f t="shared" si="1"/>
        <v>10920</v>
      </c>
      <c r="J14">
        <f t="shared" si="2"/>
        <v>21840</v>
      </c>
    </row>
    <row r="15" spans="1:10" x14ac:dyDescent="0.45">
      <c r="A15" t="s">
        <v>4025</v>
      </c>
      <c r="B15" s="1">
        <v>45658</v>
      </c>
      <c r="C15" t="s">
        <v>5009</v>
      </c>
      <c r="D15" t="s">
        <v>3992</v>
      </c>
      <c r="E15">
        <v>400</v>
      </c>
      <c r="F15" s="3">
        <v>6</v>
      </c>
      <c r="G15">
        <f t="shared" si="0"/>
        <v>2400</v>
      </c>
      <c r="H15" t="s">
        <v>17</v>
      </c>
      <c r="I15">
        <f t="shared" si="1"/>
        <v>480</v>
      </c>
      <c r="J15">
        <f t="shared" si="2"/>
        <v>2880</v>
      </c>
    </row>
    <row r="16" spans="1:10" x14ac:dyDescent="0.45">
      <c r="A16" t="s">
        <v>4253</v>
      </c>
      <c r="B16" s="1">
        <v>45658</v>
      </c>
      <c r="C16" t="s">
        <v>33</v>
      </c>
      <c r="D16" t="s">
        <v>3994</v>
      </c>
      <c r="E16">
        <v>2500</v>
      </c>
      <c r="F16" s="3">
        <v>8</v>
      </c>
      <c r="G16">
        <f t="shared" si="0"/>
        <v>20000</v>
      </c>
      <c r="H16" t="s">
        <v>21</v>
      </c>
      <c r="I16">
        <f t="shared" si="1"/>
        <v>3000</v>
      </c>
      <c r="J16">
        <f t="shared" si="2"/>
        <v>24000</v>
      </c>
    </row>
    <row r="17" spans="1:10" x14ac:dyDescent="0.45">
      <c r="A17" t="s">
        <v>4458</v>
      </c>
      <c r="B17" s="1">
        <v>45658</v>
      </c>
      <c r="C17" t="s">
        <v>3979</v>
      </c>
      <c r="D17" t="s">
        <v>3987</v>
      </c>
      <c r="E17">
        <v>8000</v>
      </c>
      <c r="F17" s="3">
        <v>6</v>
      </c>
      <c r="G17">
        <f t="shared" si="0"/>
        <v>48000</v>
      </c>
      <c r="H17" t="s">
        <v>21</v>
      </c>
      <c r="I17">
        <f t="shared" si="1"/>
        <v>9600</v>
      </c>
      <c r="J17">
        <f t="shared" si="2"/>
        <v>57600</v>
      </c>
    </row>
    <row r="18" spans="1:10" x14ac:dyDescent="0.45">
      <c r="A18" t="s">
        <v>4492</v>
      </c>
      <c r="B18" s="1">
        <v>45658</v>
      </c>
      <c r="C18" t="s">
        <v>5009</v>
      </c>
      <c r="D18" t="s">
        <v>3990</v>
      </c>
      <c r="E18">
        <v>2800</v>
      </c>
      <c r="F18" s="3">
        <v>10</v>
      </c>
      <c r="G18">
        <f t="shared" si="0"/>
        <v>28000</v>
      </c>
      <c r="H18" t="s">
        <v>21</v>
      </c>
      <c r="I18">
        <f t="shared" si="1"/>
        <v>3360</v>
      </c>
      <c r="J18">
        <f t="shared" si="2"/>
        <v>33600</v>
      </c>
    </row>
    <row r="19" spans="1:10" x14ac:dyDescent="0.45">
      <c r="A19" t="s">
        <v>4504</v>
      </c>
      <c r="B19" s="1">
        <v>45658</v>
      </c>
      <c r="C19" t="s">
        <v>3979</v>
      </c>
      <c r="D19" t="s">
        <v>3980</v>
      </c>
      <c r="E19">
        <v>500</v>
      </c>
      <c r="F19" s="3">
        <v>2</v>
      </c>
      <c r="G19">
        <f t="shared" si="0"/>
        <v>1000</v>
      </c>
      <c r="H19" t="s">
        <v>7</v>
      </c>
      <c r="I19">
        <f t="shared" si="1"/>
        <v>600</v>
      </c>
      <c r="J19">
        <f t="shared" si="2"/>
        <v>1200</v>
      </c>
    </row>
    <row r="20" spans="1:10" x14ac:dyDescent="0.45">
      <c r="A20" t="s">
        <v>4531</v>
      </c>
      <c r="B20" s="1">
        <v>45658</v>
      </c>
      <c r="C20" t="s">
        <v>3977</v>
      </c>
      <c r="D20" t="s">
        <v>3989</v>
      </c>
      <c r="E20">
        <v>1000</v>
      </c>
      <c r="F20" s="3">
        <v>2</v>
      </c>
      <c r="G20">
        <f t="shared" si="0"/>
        <v>2000</v>
      </c>
      <c r="H20" t="s">
        <v>21</v>
      </c>
      <c r="I20">
        <f t="shared" si="1"/>
        <v>1200</v>
      </c>
      <c r="J20">
        <f t="shared" si="2"/>
        <v>2400</v>
      </c>
    </row>
    <row r="21" spans="1:10" x14ac:dyDescent="0.45">
      <c r="A21" t="s">
        <v>4575</v>
      </c>
      <c r="B21" s="1">
        <v>45658</v>
      </c>
      <c r="C21" t="s">
        <v>5008</v>
      </c>
      <c r="D21" t="s">
        <v>3995</v>
      </c>
      <c r="E21">
        <v>15000</v>
      </c>
      <c r="F21" s="3">
        <v>9</v>
      </c>
      <c r="G21">
        <f t="shared" si="0"/>
        <v>135000</v>
      </c>
      <c r="H21" t="s">
        <v>17</v>
      </c>
      <c r="I21">
        <f t="shared" si="1"/>
        <v>18000</v>
      </c>
      <c r="J21">
        <f t="shared" si="2"/>
        <v>162000</v>
      </c>
    </row>
    <row r="22" spans="1:10" x14ac:dyDescent="0.45">
      <c r="A22" t="s">
        <v>4704</v>
      </c>
      <c r="B22" s="1">
        <v>45658</v>
      </c>
      <c r="C22" t="s">
        <v>5009</v>
      </c>
      <c r="D22" t="s">
        <v>3990</v>
      </c>
      <c r="E22">
        <v>2800</v>
      </c>
      <c r="F22" s="3">
        <v>4</v>
      </c>
      <c r="G22">
        <f t="shared" si="0"/>
        <v>11200</v>
      </c>
      <c r="H22" t="s">
        <v>17</v>
      </c>
      <c r="I22">
        <f t="shared" si="1"/>
        <v>3360</v>
      </c>
      <c r="J22">
        <f t="shared" si="2"/>
        <v>13440</v>
      </c>
    </row>
    <row r="23" spans="1:10" x14ac:dyDescent="0.45">
      <c r="A23" t="s">
        <v>4837</v>
      </c>
      <c r="B23" s="1">
        <v>45658</v>
      </c>
      <c r="C23" t="s">
        <v>3979</v>
      </c>
      <c r="D23" t="s">
        <v>3987</v>
      </c>
      <c r="E23">
        <v>8000</v>
      </c>
      <c r="F23" s="3">
        <v>10</v>
      </c>
      <c r="G23">
        <f t="shared" si="0"/>
        <v>80000</v>
      </c>
      <c r="H23" t="s">
        <v>21</v>
      </c>
      <c r="I23">
        <f t="shared" si="1"/>
        <v>9600</v>
      </c>
      <c r="J23">
        <f t="shared" si="2"/>
        <v>96000</v>
      </c>
    </row>
    <row r="24" spans="1:10" x14ac:dyDescent="0.45">
      <c r="A24" t="s">
        <v>4847</v>
      </c>
      <c r="B24" s="1">
        <v>45658</v>
      </c>
      <c r="C24" t="s">
        <v>5009</v>
      </c>
      <c r="D24" t="s">
        <v>4004</v>
      </c>
      <c r="E24">
        <v>15000</v>
      </c>
      <c r="F24" s="3">
        <v>6</v>
      </c>
      <c r="G24">
        <f t="shared" si="0"/>
        <v>90000</v>
      </c>
      <c r="H24" t="s">
        <v>21</v>
      </c>
      <c r="I24">
        <f t="shared" si="1"/>
        <v>18000</v>
      </c>
      <c r="J24">
        <f t="shared" si="2"/>
        <v>108000</v>
      </c>
    </row>
    <row r="25" spans="1:10" x14ac:dyDescent="0.45">
      <c r="A25" t="s">
        <v>4864</v>
      </c>
      <c r="B25" s="1">
        <v>45658</v>
      </c>
      <c r="C25" t="s">
        <v>4007</v>
      </c>
      <c r="D25" t="s">
        <v>5015</v>
      </c>
      <c r="E25">
        <v>48000</v>
      </c>
      <c r="F25" s="3">
        <v>8</v>
      </c>
      <c r="G25">
        <f t="shared" si="0"/>
        <v>384000</v>
      </c>
      <c r="H25" t="s">
        <v>21</v>
      </c>
      <c r="I25">
        <f t="shared" si="1"/>
        <v>57600</v>
      </c>
      <c r="J25">
        <f t="shared" si="2"/>
        <v>460800</v>
      </c>
    </row>
    <row r="26" spans="1:10" x14ac:dyDescent="0.45">
      <c r="A26" t="s">
        <v>4978</v>
      </c>
      <c r="B26" s="1">
        <v>45658</v>
      </c>
      <c r="C26" t="s">
        <v>4007</v>
      </c>
      <c r="D26" t="s">
        <v>3988</v>
      </c>
      <c r="E26">
        <v>35000</v>
      </c>
      <c r="F26" s="3">
        <v>10</v>
      </c>
      <c r="G26">
        <f t="shared" si="0"/>
        <v>350000</v>
      </c>
      <c r="H26" t="s">
        <v>17</v>
      </c>
      <c r="I26">
        <f t="shared" si="1"/>
        <v>42000</v>
      </c>
      <c r="J26">
        <f t="shared" si="2"/>
        <v>420000</v>
      </c>
    </row>
    <row r="27" spans="1:10" x14ac:dyDescent="0.45">
      <c r="A27" t="s">
        <v>26</v>
      </c>
      <c r="B27" s="1">
        <v>45659</v>
      </c>
      <c r="C27" t="s">
        <v>4007</v>
      </c>
      <c r="D27" t="s">
        <v>5015</v>
      </c>
      <c r="E27">
        <v>48000</v>
      </c>
      <c r="F27">
        <v>4</v>
      </c>
      <c r="G27">
        <f t="shared" si="0"/>
        <v>192000</v>
      </c>
      <c r="H27" t="s">
        <v>17</v>
      </c>
      <c r="I27">
        <f t="shared" si="1"/>
        <v>57600</v>
      </c>
      <c r="J27">
        <f t="shared" si="2"/>
        <v>230400</v>
      </c>
    </row>
    <row r="28" spans="1:10" x14ac:dyDescent="0.45">
      <c r="A28" t="s">
        <v>27</v>
      </c>
      <c r="B28" s="1">
        <v>45659</v>
      </c>
      <c r="C28" t="s">
        <v>4007</v>
      </c>
      <c r="D28" t="s">
        <v>28</v>
      </c>
      <c r="E28">
        <v>500</v>
      </c>
      <c r="F28">
        <v>4</v>
      </c>
      <c r="G28">
        <f t="shared" si="0"/>
        <v>2000</v>
      </c>
      <c r="H28" t="s">
        <v>21</v>
      </c>
      <c r="I28">
        <f t="shared" si="1"/>
        <v>600</v>
      </c>
      <c r="J28">
        <f t="shared" si="2"/>
        <v>2400</v>
      </c>
    </row>
    <row r="29" spans="1:10" x14ac:dyDescent="0.45">
      <c r="A29" t="s">
        <v>29</v>
      </c>
      <c r="B29" s="1">
        <v>45659</v>
      </c>
      <c r="C29" t="s">
        <v>4007</v>
      </c>
      <c r="D29" t="s">
        <v>5015</v>
      </c>
      <c r="E29">
        <v>48000</v>
      </c>
      <c r="F29">
        <v>8</v>
      </c>
      <c r="G29">
        <f t="shared" si="0"/>
        <v>384000</v>
      </c>
      <c r="H29" t="s">
        <v>17</v>
      </c>
      <c r="I29">
        <f t="shared" si="1"/>
        <v>57600</v>
      </c>
      <c r="J29">
        <f t="shared" si="2"/>
        <v>460800</v>
      </c>
    </row>
    <row r="30" spans="1:10" x14ac:dyDescent="0.45">
      <c r="A30" t="s">
        <v>30</v>
      </c>
      <c r="B30" s="1">
        <v>45659</v>
      </c>
      <c r="C30" t="s">
        <v>9</v>
      </c>
      <c r="D30" t="s">
        <v>10</v>
      </c>
      <c r="E30">
        <v>400</v>
      </c>
      <c r="F30">
        <v>4</v>
      </c>
      <c r="G30">
        <f t="shared" si="0"/>
        <v>1600</v>
      </c>
      <c r="H30" t="s">
        <v>21</v>
      </c>
      <c r="I30">
        <f t="shared" si="1"/>
        <v>480</v>
      </c>
      <c r="J30">
        <f t="shared" si="2"/>
        <v>1920</v>
      </c>
    </row>
    <row r="31" spans="1:10" x14ac:dyDescent="0.45">
      <c r="A31" t="s">
        <v>31</v>
      </c>
      <c r="B31" s="1">
        <v>45659</v>
      </c>
      <c r="C31" t="s">
        <v>9</v>
      </c>
      <c r="D31" t="s">
        <v>19</v>
      </c>
      <c r="E31">
        <v>3000</v>
      </c>
      <c r="F31">
        <v>3</v>
      </c>
      <c r="G31">
        <f t="shared" si="0"/>
        <v>9000</v>
      </c>
      <c r="H31" t="s">
        <v>17</v>
      </c>
      <c r="I31">
        <f t="shared" si="1"/>
        <v>3600</v>
      </c>
      <c r="J31">
        <f t="shared" si="2"/>
        <v>10800</v>
      </c>
    </row>
    <row r="32" spans="1:10" x14ac:dyDescent="0.45">
      <c r="A32" t="s">
        <v>32</v>
      </c>
      <c r="B32" s="1">
        <v>45659</v>
      </c>
      <c r="C32" t="s">
        <v>33</v>
      </c>
      <c r="D32" t="s">
        <v>34</v>
      </c>
      <c r="E32">
        <v>1700</v>
      </c>
      <c r="F32">
        <v>4</v>
      </c>
      <c r="G32">
        <f t="shared" si="0"/>
        <v>6800</v>
      </c>
      <c r="H32" t="s">
        <v>17</v>
      </c>
      <c r="I32">
        <f t="shared" si="1"/>
        <v>2040</v>
      </c>
      <c r="J32">
        <f t="shared" si="2"/>
        <v>8160</v>
      </c>
    </row>
    <row r="33" spans="1:10" x14ac:dyDescent="0.45">
      <c r="A33" t="s">
        <v>35</v>
      </c>
      <c r="B33" s="1">
        <v>45659</v>
      </c>
      <c r="C33" t="s">
        <v>33</v>
      </c>
      <c r="D33" t="s">
        <v>16</v>
      </c>
      <c r="E33">
        <v>1200</v>
      </c>
      <c r="F33">
        <v>9</v>
      </c>
      <c r="G33">
        <f t="shared" si="0"/>
        <v>10800</v>
      </c>
      <c r="H33" t="s">
        <v>17</v>
      </c>
      <c r="I33">
        <f t="shared" si="1"/>
        <v>1440</v>
      </c>
      <c r="J33">
        <f t="shared" si="2"/>
        <v>12960</v>
      </c>
    </row>
    <row r="34" spans="1:10" x14ac:dyDescent="0.45">
      <c r="A34" t="s">
        <v>36</v>
      </c>
      <c r="B34" s="1">
        <v>45659</v>
      </c>
      <c r="C34" t="s">
        <v>33</v>
      </c>
      <c r="D34" t="s">
        <v>14</v>
      </c>
      <c r="E34">
        <v>800</v>
      </c>
      <c r="F34">
        <v>7</v>
      </c>
      <c r="G34">
        <f t="shared" si="0"/>
        <v>5600</v>
      </c>
      <c r="H34" t="s">
        <v>21</v>
      </c>
      <c r="I34">
        <f t="shared" si="1"/>
        <v>960</v>
      </c>
      <c r="J34">
        <f t="shared" si="2"/>
        <v>6720</v>
      </c>
    </row>
    <row r="35" spans="1:10" x14ac:dyDescent="0.45">
      <c r="A35" t="s">
        <v>37</v>
      </c>
      <c r="B35" s="1">
        <v>45659</v>
      </c>
      <c r="C35" t="s">
        <v>33</v>
      </c>
      <c r="D35" t="s">
        <v>16</v>
      </c>
      <c r="E35">
        <v>1200</v>
      </c>
      <c r="F35">
        <v>3</v>
      </c>
      <c r="G35">
        <f t="shared" si="0"/>
        <v>3600</v>
      </c>
      <c r="H35" t="s">
        <v>17</v>
      </c>
      <c r="I35">
        <f t="shared" si="1"/>
        <v>1440</v>
      </c>
      <c r="J35">
        <f t="shared" si="2"/>
        <v>4320</v>
      </c>
    </row>
    <row r="36" spans="1:10" x14ac:dyDescent="0.45">
      <c r="A36" t="s">
        <v>38</v>
      </c>
      <c r="B36" s="1">
        <v>45659</v>
      </c>
      <c r="C36" t="s">
        <v>4007</v>
      </c>
      <c r="D36" t="s">
        <v>39</v>
      </c>
      <c r="E36">
        <v>6000</v>
      </c>
      <c r="F36">
        <v>6</v>
      </c>
      <c r="G36">
        <f t="shared" si="0"/>
        <v>36000</v>
      </c>
      <c r="H36" t="s">
        <v>17</v>
      </c>
      <c r="I36">
        <f t="shared" si="1"/>
        <v>7200</v>
      </c>
      <c r="J36">
        <f t="shared" si="2"/>
        <v>43200</v>
      </c>
    </row>
    <row r="37" spans="1:10" x14ac:dyDescent="0.45">
      <c r="A37" t="s">
        <v>2777</v>
      </c>
      <c r="B37" s="1">
        <v>45659</v>
      </c>
      <c r="C37" t="s">
        <v>4007</v>
      </c>
      <c r="D37" t="s">
        <v>2770</v>
      </c>
      <c r="E37">
        <v>600</v>
      </c>
      <c r="F37">
        <v>8</v>
      </c>
      <c r="G37">
        <f t="shared" si="0"/>
        <v>4800</v>
      </c>
      <c r="H37" t="s">
        <v>7</v>
      </c>
      <c r="I37">
        <f t="shared" si="1"/>
        <v>720</v>
      </c>
      <c r="J37">
        <f t="shared" si="2"/>
        <v>5760</v>
      </c>
    </row>
    <row r="38" spans="1:10" x14ac:dyDescent="0.45">
      <c r="A38" t="s">
        <v>2878</v>
      </c>
      <c r="B38" s="1">
        <v>45659</v>
      </c>
      <c r="C38" t="s">
        <v>33</v>
      </c>
      <c r="D38" t="s">
        <v>34</v>
      </c>
      <c r="E38">
        <v>1700</v>
      </c>
      <c r="F38">
        <v>3</v>
      </c>
      <c r="G38">
        <f t="shared" si="0"/>
        <v>5100</v>
      </c>
      <c r="H38" t="s">
        <v>7</v>
      </c>
      <c r="I38">
        <f t="shared" si="1"/>
        <v>2040</v>
      </c>
      <c r="J38">
        <f t="shared" si="2"/>
        <v>6120</v>
      </c>
    </row>
    <row r="39" spans="1:10" x14ac:dyDescent="0.45">
      <c r="A39" t="s">
        <v>3441</v>
      </c>
      <c r="B39" s="1">
        <v>45659</v>
      </c>
      <c r="C39" t="s">
        <v>33</v>
      </c>
      <c r="D39" t="s">
        <v>34</v>
      </c>
      <c r="E39">
        <v>1700</v>
      </c>
      <c r="F39">
        <v>2</v>
      </c>
      <c r="G39">
        <f t="shared" si="0"/>
        <v>3400</v>
      </c>
      <c r="H39" t="s">
        <v>17</v>
      </c>
      <c r="I39">
        <f t="shared" si="1"/>
        <v>2040</v>
      </c>
      <c r="J39">
        <f t="shared" si="2"/>
        <v>4080</v>
      </c>
    </row>
    <row r="40" spans="1:10" x14ac:dyDescent="0.45">
      <c r="A40" t="s">
        <v>3792</v>
      </c>
      <c r="B40" s="1">
        <v>45659</v>
      </c>
      <c r="C40" t="s">
        <v>4007</v>
      </c>
      <c r="D40" t="s">
        <v>5015</v>
      </c>
      <c r="E40">
        <v>48000</v>
      </c>
      <c r="F40">
        <v>8</v>
      </c>
      <c r="G40">
        <f t="shared" si="0"/>
        <v>384000</v>
      </c>
      <c r="H40" t="s">
        <v>7</v>
      </c>
      <c r="I40">
        <f t="shared" si="1"/>
        <v>57600</v>
      </c>
      <c r="J40">
        <f t="shared" si="2"/>
        <v>460800</v>
      </c>
    </row>
    <row r="41" spans="1:10" x14ac:dyDescent="0.45">
      <c r="A41" t="s">
        <v>3810</v>
      </c>
      <c r="B41" s="1">
        <v>45659</v>
      </c>
      <c r="C41" t="s">
        <v>4007</v>
      </c>
      <c r="D41" t="s">
        <v>5015</v>
      </c>
      <c r="E41">
        <v>48000</v>
      </c>
      <c r="F41">
        <v>7</v>
      </c>
      <c r="G41">
        <f t="shared" si="0"/>
        <v>336000</v>
      </c>
      <c r="H41" t="s">
        <v>17</v>
      </c>
      <c r="I41">
        <f t="shared" si="1"/>
        <v>57600</v>
      </c>
      <c r="J41">
        <f t="shared" si="2"/>
        <v>403200</v>
      </c>
    </row>
    <row r="42" spans="1:10" x14ac:dyDescent="0.45">
      <c r="A42" t="s">
        <v>3820</v>
      </c>
      <c r="B42" s="1">
        <v>45659</v>
      </c>
      <c r="C42" t="s">
        <v>4007</v>
      </c>
      <c r="D42" t="s">
        <v>2774</v>
      </c>
      <c r="E42">
        <v>1900</v>
      </c>
      <c r="F42">
        <v>2</v>
      </c>
      <c r="G42">
        <f t="shared" si="0"/>
        <v>3800</v>
      </c>
      <c r="H42" t="s">
        <v>21</v>
      </c>
      <c r="I42">
        <f t="shared" si="1"/>
        <v>2280</v>
      </c>
      <c r="J42">
        <f t="shared" si="2"/>
        <v>4560</v>
      </c>
    </row>
    <row r="43" spans="1:10" x14ac:dyDescent="0.45">
      <c r="A43" t="s">
        <v>3861</v>
      </c>
      <c r="B43" s="1">
        <v>45659</v>
      </c>
      <c r="C43" t="s">
        <v>33</v>
      </c>
      <c r="D43" t="s">
        <v>34</v>
      </c>
      <c r="E43">
        <v>1700</v>
      </c>
      <c r="F43">
        <v>6</v>
      </c>
      <c r="G43">
        <f t="shared" si="0"/>
        <v>10200</v>
      </c>
      <c r="H43" t="s">
        <v>21</v>
      </c>
      <c r="I43">
        <f t="shared" si="1"/>
        <v>2040</v>
      </c>
      <c r="J43">
        <f t="shared" si="2"/>
        <v>12240</v>
      </c>
    </row>
    <row r="44" spans="1:10" x14ac:dyDescent="0.45">
      <c r="A44" t="s">
        <v>4096</v>
      </c>
      <c r="B44" s="1">
        <v>45659</v>
      </c>
      <c r="C44" t="s">
        <v>5009</v>
      </c>
      <c r="D44" t="s">
        <v>4000</v>
      </c>
      <c r="E44">
        <v>3000</v>
      </c>
      <c r="F44" s="3">
        <v>1</v>
      </c>
      <c r="G44">
        <f t="shared" si="0"/>
        <v>3000</v>
      </c>
      <c r="H44" t="s">
        <v>7</v>
      </c>
      <c r="I44">
        <f t="shared" si="1"/>
        <v>3600</v>
      </c>
      <c r="J44">
        <f t="shared" si="2"/>
        <v>3600</v>
      </c>
    </row>
    <row r="45" spans="1:10" x14ac:dyDescent="0.45">
      <c r="A45" t="s">
        <v>4308</v>
      </c>
      <c r="B45" s="1">
        <v>45659</v>
      </c>
      <c r="C45" t="s">
        <v>5008</v>
      </c>
      <c r="D45" t="s">
        <v>3998</v>
      </c>
      <c r="E45">
        <v>8000</v>
      </c>
      <c r="F45" s="3">
        <v>2</v>
      </c>
      <c r="G45">
        <f t="shared" si="0"/>
        <v>16000</v>
      </c>
      <c r="H45" t="s">
        <v>7</v>
      </c>
      <c r="I45">
        <f t="shared" si="1"/>
        <v>9600</v>
      </c>
      <c r="J45">
        <f t="shared" si="2"/>
        <v>19200</v>
      </c>
    </row>
    <row r="46" spans="1:10" x14ac:dyDescent="0.45">
      <c r="A46" t="s">
        <v>4418</v>
      </c>
      <c r="B46" s="1">
        <v>45659</v>
      </c>
      <c r="C46" t="s">
        <v>3977</v>
      </c>
      <c r="D46" t="s">
        <v>4002</v>
      </c>
      <c r="E46">
        <v>2500</v>
      </c>
      <c r="F46" s="3">
        <v>10</v>
      </c>
      <c r="G46">
        <f t="shared" si="0"/>
        <v>25000</v>
      </c>
      <c r="H46" t="s">
        <v>7</v>
      </c>
      <c r="I46">
        <f t="shared" si="1"/>
        <v>3000</v>
      </c>
      <c r="J46">
        <f t="shared" si="2"/>
        <v>30000</v>
      </c>
    </row>
    <row r="47" spans="1:10" x14ac:dyDescent="0.45">
      <c r="A47" t="s">
        <v>4433</v>
      </c>
      <c r="B47" s="1">
        <v>45659</v>
      </c>
      <c r="C47" t="s">
        <v>5008</v>
      </c>
      <c r="D47" t="s">
        <v>4003</v>
      </c>
      <c r="E47">
        <v>10000</v>
      </c>
      <c r="F47" s="3">
        <v>9</v>
      </c>
      <c r="G47">
        <f t="shared" si="0"/>
        <v>90000</v>
      </c>
      <c r="H47" t="s">
        <v>21</v>
      </c>
      <c r="I47">
        <f t="shared" si="1"/>
        <v>12000</v>
      </c>
      <c r="J47">
        <f t="shared" si="2"/>
        <v>108000</v>
      </c>
    </row>
    <row r="48" spans="1:10" x14ac:dyDescent="0.45">
      <c r="A48" t="s">
        <v>4459</v>
      </c>
      <c r="B48" s="1">
        <v>45659</v>
      </c>
      <c r="C48" t="s">
        <v>3979</v>
      </c>
      <c r="D48" t="s">
        <v>3987</v>
      </c>
      <c r="E48">
        <v>8000</v>
      </c>
      <c r="F48" s="3">
        <v>6</v>
      </c>
      <c r="G48">
        <f t="shared" si="0"/>
        <v>48000</v>
      </c>
      <c r="H48" t="s">
        <v>7</v>
      </c>
      <c r="I48">
        <f t="shared" si="1"/>
        <v>9600</v>
      </c>
      <c r="J48">
        <f t="shared" si="2"/>
        <v>57600</v>
      </c>
    </row>
    <row r="49" spans="1:10" x14ac:dyDescent="0.45">
      <c r="A49" t="s">
        <v>4566</v>
      </c>
      <c r="B49" s="1">
        <v>45659</v>
      </c>
      <c r="C49" t="s">
        <v>4007</v>
      </c>
      <c r="D49" t="s">
        <v>4005</v>
      </c>
      <c r="E49">
        <v>60000</v>
      </c>
      <c r="F49" s="3">
        <v>6</v>
      </c>
      <c r="G49">
        <f t="shared" si="0"/>
        <v>360000</v>
      </c>
      <c r="H49" t="s">
        <v>21</v>
      </c>
      <c r="I49">
        <f t="shared" si="1"/>
        <v>72000</v>
      </c>
      <c r="J49">
        <f t="shared" si="2"/>
        <v>432000</v>
      </c>
    </row>
    <row r="50" spans="1:10" x14ac:dyDescent="0.45">
      <c r="A50" t="s">
        <v>4752</v>
      </c>
      <c r="B50" s="1">
        <v>45659</v>
      </c>
      <c r="C50" t="s">
        <v>5009</v>
      </c>
      <c r="D50" t="s">
        <v>4004</v>
      </c>
      <c r="E50">
        <v>15000</v>
      </c>
      <c r="F50" s="3">
        <v>8</v>
      </c>
      <c r="G50">
        <f t="shared" si="0"/>
        <v>120000</v>
      </c>
      <c r="H50" t="s">
        <v>21</v>
      </c>
      <c r="I50">
        <f t="shared" si="1"/>
        <v>18000</v>
      </c>
      <c r="J50">
        <f t="shared" si="2"/>
        <v>144000</v>
      </c>
    </row>
    <row r="51" spans="1:10" x14ac:dyDescent="0.45">
      <c r="A51" t="s">
        <v>4845</v>
      </c>
      <c r="B51" s="1">
        <v>45659</v>
      </c>
      <c r="C51" t="s">
        <v>5009</v>
      </c>
      <c r="D51" t="s">
        <v>3990</v>
      </c>
      <c r="E51">
        <v>2800</v>
      </c>
      <c r="F51" s="3">
        <v>6</v>
      </c>
      <c r="G51">
        <f t="shared" si="0"/>
        <v>16800</v>
      </c>
      <c r="H51" t="s">
        <v>17</v>
      </c>
      <c r="I51">
        <f t="shared" si="1"/>
        <v>3360</v>
      </c>
      <c r="J51">
        <f t="shared" si="2"/>
        <v>20160</v>
      </c>
    </row>
    <row r="52" spans="1:10" x14ac:dyDescent="0.45">
      <c r="A52" t="s">
        <v>40</v>
      </c>
      <c r="B52" s="1">
        <v>45660</v>
      </c>
      <c r="C52" t="s">
        <v>4007</v>
      </c>
      <c r="D52" t="s">
        <v>39</v>
      </c>
      <c r="E52">
        <v>6000</v>
      </c>
      <c r="F52">
        <v>9</v>
      </c>
      <c r="G52">
        <f t="shared" si="0"/>
        <v>54000</v>
      </c>
      <c r="H52" t="s">
        <v>21</v>
      </c>
      <c r="I52">
        <f t="shared" si="1"/>
        <v>7200</v>
      </c>
      <c r="J52">
        <f t="shared" si="2"/>
        <v>64800</v>
      </c>
    </row>
    <row r="53" spans="1:10" x14ac:dyDescent="0.45">
      <c r="A53" t="s">
        <v>41</v>
      </c>
      <c r="B53" s="1">
        <v>45660</v>
      </c>
      <c r="C53" t="s">
        <v>33</v>
      </c>
      <c r="D53" t="s">
        <v>42</v>
      </c>
      <c r="E53">
        <v>6900</v>
      </c>
      <c r="F53">
        <v>1</v>
      </c>
      <c r="G53">
        <f t="shared" si="0"/>
        <v>6900</v>
      </c>
      <c r="H53" t="s">
        <v>7</v>
      </c>
      <c r="I53">
        <f t="shared" si="1"/>
        <v>8280</v>
      </c>
      <c r="J53">
        <f t="shared" si="2"/>
        <v>8280</v>
      </c>
    </row>
    <row r="54" spans="1:10" x14ac:dyDescent="0.45">
      <c r="A54" t="s">
        <v>43</v>
      </c>
      <c r="B54" s="1">
        <v>45660</v>
      </c>
      <c r="C54" t="s">
        <v>9</v>
      </c>
      <c r="D54" t="s">
        <v>10</v>
      </c>
      <c r="E54">
        <v>400</v>
      </c>
      <c r="F54">
        <v>8</v>
      </c>
      <c r="G54">
        <f t="shared" si="0"/>
        <v>3200</v>
      </c>
      <c r="H54" t="s">
        <v>7</v>
      </c>
      <c r="I54">
        <f t="shared" si="1"/>
        <v>480</v>
      </c>
      <c r="J54">
        <f t="shared" si="2"/>
        <v>3840</v>
      </c>
    </row>
    <row r="55" spans="1:10" x14ac:dyDescent="0.45">
      <c r="A55" t="s">
        <v>44</v>
      </c>
      <c r="B55" s="1">
        <v>45660</v>
      </c>
      <c r="C55" t="s">
        <v>12</v>
      </c>
      <c r="D55" t="s">
        <v>5021</v>
      </c>
      <c r="E55">
        <v>2880</v>
      </c>
      <c r="F55">
        <v>7</v>
      </c>
      <c r="G55">
        <f t="shared" si="0"/>
        <v>20160</v>
      </c>
      <c r="H55" t="s">
        <v>17</v>
      </c>
      <c r="I55">
        <f t="shared" si="1"/>
        <v>3456</v>
      </c>
      <c r="J55">
        <f t="shared" si="2"/>
        <v>24192</v>
      </c>
    </row>
    <row r="56" spans="1:10" x14ac:dyDescent="0.45">
      <c r="A56" t="s">
        <v>45</v>
      </c>
      <c r="B56" s="1">
        <v>45660</v>
      </c>
      <c r="C56" t="s">
        <v>12</v>
      </c>
      <c r="D56" t="s">
        <v>5020</v>
      </c>
      <c r="E56">
        <v>2880</v>
      </c>
      <c r="F56">
        <v>9</v>
      </c>
      <c r="G56">
        <f t="shared" si="0"/>
        <v>25920</v>
      </c>
      <c r="H56" t="s">
        <v>21</v>
      </c>
      <c r="I56">
        <f t="shared" si="1"/>
        <v>3456</v>
      </c>
      <c r="J56">
        <f t="shared" si="2"/>
        <v>31104</v>
      </c>
    </row>
    <row r="57" spans="1:10" x14ac:dyDescent="0.45">
      <c r="A57" t="s">
        <v>46</v>
      </c>
      <c r="B57" s="1">
        <v>45660</v>
      </c>
      <c r="C57" t="s">
        <v>33</v>
      </c>
      <c r="D57" t="s">
        <v>14</v>
      </c>
      <c r="E57">
        <v>800</v>
      </c>
      <c r="F57">
        <v>10</v>
      </c>
      <c r="G57">
        <f t="shared" si="0"/>
        <v>8000</v>
      </c>
      <c r="H57" t="s">
        <v>17</v>
      </c>
      <c r="I57">
        <f t="shared" si="1"/>
        <v>960</v>
      </c>
      <c r="J57">
        <f t="shared" si="2"/>
        <v>9600</v>
      </c>
    </row>
    <row r="58" spans="1:10" x14ac:dyDescent="0.45">
      <c r="A58" t="s">
        <v>47</v>
      </c>
      <c r="B58" s="1">
        <v>45660</v>
      </c>
      <c r="C58" t="s">
        <v>12</v>
      </c>
      <c r="D58" t="s">
        <v>5022</v>
      </c>
      <c r="E58">
        <v>2880</v>
      </c>
      <c r="F58">
        <v>3</v>
      </c>
      <c r="G58">
        <f t="shared" si="0"/>
        <v>8640</v>
      </c>
      <c r="H58" t="s">
        <v>7</v>
      </c>
      <c r="I58">
        <f t="shared" si="1"/>
        <v>3456</v>
      </c>
      <c r="J58">
        <f t="shared" si="2"/>
        <v>10368</v>
      </c>
    </row>
    <row r="59" spans="1:10" x14ac:dyDescent="0.45">
      <c r="A59" t="s">
        <v>48</v>
      </c>
      <c r="B59" s="1">
        <v>45660</v>
      </c>
      <c r="C59" t="s">
        <v>33</v>
      </c>
      <c r="D59" t="s">
        <v>16</v>
      </c>
      <c r="E59">
        <v>1200</v>
      </c>
      <c r="F59">
        <v>3</v>
      </c>
      <c r="G59">
        <f t="shared" si="0"/>
        <v>3600</v>
      </c>
      <c r="H59" t="s">
        <v>7</v>
      </c>
      <c r="I59">
        <f t="shared" si="1"/>
        <v>1440</v>
      </c>
      <c r="J59">
        <f t="shared" si="2"/>
        <v>4320</v>
      </c>
    </row>
    <row r="60" spans="1:10" x14ac:dyDescent="0.45">
      <c r="A60" t="s">
        <v>49</v>
      </c>
      <c r="B60" s="1">
        <v>45660</v>
      </c>
      <c r="C60" t="s">
        <v>33</v>
      </c>
      <c r="D60" t="s">
        <v>42</v>
      </c>
      <c r="E60">
        <v>6900</v>
      </c>
      <c r="F60">
        <v>1</v>
      </c>
      <c r="G60">
        <f t="shared" si="0"/>
        <v>6900</v>
      </c>
      <c r="H60" t="s">
        <v>7</v>
      </c>
      <c r="I60">
        <f t="shared" si="1"/>
        <v>8280</v>
      </c>
      <c r="J60">
        <f t="shared" si="2"/>
        <v>8280</v>
      </c>
    </row>
    <row r="61" spans="1:10" x14ac:dyDescent="0.45">
      <c r="A61" t="s">
        <v>3166</v>
      </c>
      <c r="B61" s="1">
        <v>45660</v>
      </c>
      <c r="C61" t="s">
        <v>4007</v>
      </c>
      <c r="D61" t="s">
        <v>2776</v>
      </c>
      <c r="E61">
        <v>3600</v>
      </c>
      <c r="F61">
        <v>5</v>
      </c>
      <c r="G61">
        <f t="shared" si="0"/>
        <v>18000</v>
      </c>
      <c r="H61" t="s">
        <v>21</v>
      </c>
      <c r="I61">
        <f t="shared" si="1"/>
        <v>4320</v>
      </c>
      <c r="J61">
        <f t="shared" si="2"/>
        <v>21600</v>
      </c>
    </row>
    <row r="62" spans="1:10" x14ac:dyDescent="0.45">
      <c r="A62" t="s">
        <v>3285</v>
      </c>
      <c r="B62" s="1">
        <v>45660</v>
      </c>
      <c r="C62" t="s">
        <v>2772</v>
      </c>
      <c r="D62" t="s">
        <v>2775</v>
      </c>
      <c r="E62">
        <v>9100</v>
      </c>
      <c r="F62">
        <v>5</v>
      </c>
      <c r="G62">
        <f t="shared" si="0"/>
        <v>45500</v>
      </c>
      <c r="H62" t="s">
        <v>7</v>
      </c>
      <c r="I62">
        <f t="shared" si="1"/>
        <v>10920</v>
      </c>
      <c r="J62">
        <f t="shared" si="2"/>
        <v>54600</v>
      </c>
    </row>
    <row r="63" spans="1:10" x14ac:dyDescent="0.45">
      <c r="A63" t="s">
        <v>3331</v>
      </c>
      <c r="B63" s="1">
        <v>45660</v>
      </c>
      <c r="C63" t="s">
        <v>4007</v>
      </c>
      <c r="D63" t="s">
        <v>5015</v>
      </c>
      <c r="E63">
        <v>48000</v>
      </c>
      <c r="F63">
        <v>5</v>
      </c>
      <c r="G63">
        <f t="shared" si="0"/>
        <v>240000</v>
      </c>
      <c r="H63" t="s">
        <v>17</v>
      </c>
      <c r="I63">
        <f t="shared" si="1"/>
        <v>57600</v>
      </c>
      <c r="J63">
        <f t="shared" si="2"/>
        <v>288000</v>
      </c>
    </row>
    <row r="64" spans="1:10" x14ac:dyDescent="0.45">
      <c r="A64" t="s">
        <v>4178</v>
      </c>
      <c r="B64" s="1">
        <v>45660</v>
      </c>
      <c r="C64" t="s">
        <v>3977</v>
      </c>
      <c r="D64" t="s">
        <v>3989</v>
      </c>
      <c r="E64">
        <v>1000</v>
      </c>
      <c r="F64" s="3">
        <v>5</v>
      </c>
      <c r="G64">
        <f t="shared" si="0"/>
        <v>5000</v>
      </c>
      <c r="H64" t="s">
        <v>17</v>
      </c>
      <c r="I64">
        <f t="shared" si="1"/>
        <v>1200</v>
      </c>
      <c r="J64">
        <f t="shared" si="2"/>
        <v>6000</v>
      </c>
    </row>
    <row r="65" spans="1:10" x14ac:dyDescent="0.45">
      <c r="A65" t="s">
        <v>4213</v>
      </c>
      <c r="B65" s="1">
        <v>45660</v>
      </c>
      <c r="C65" t="s">
        <v>3977</v>
      </c>
      <c r="D65" t="s">
        <v>3989</v>
      </c>
      <c r="E65">
        <v>1000</v>
      </c>
      <c r="F65" s="3">
        <v>9</v>
      </c>
      <c r="G65">
        <f t="shared" si="0"/>
        <v>9000</v>
      </c>
      <c r="H65" t="s">
        <v>21</v>
      </c>
      <c r="I65">
        <f t="shared" si="1"/>
        <v>1200</v>
      </c>
      <c r="J65">
        <f t="shared" si="2"/>
        <v>10800</v>
      </c>
    </row>
    <row r="66" spans="1:10" x14ac:dyDescent="0.45">
      <c r="A66" t="s">
        <v>4279</v>
      </c>
      <c r="B66" s="1">
        <v>45660</v>
      </c>
      <c r="C66" t="s">
        <v>3977</v>
      </c>
      <c r="D66" t="s">
        <v>3993</v>
      </c>
      <c r="E66">
        <v>1000</v>
      </c>
      <c r="F66" s="3">
        <v>2</v>
      </c>
      <c r="G66">
        <f t="shared" ref="G66:G129" si="3">E66*F66</f>
        <v>2000</v>
      </c>
      <c r="H66" t="s">
        <v>7</v>
      </c>
      <c r="I66">
        <f t="shared" ref="I66:I129" si="4">E66*1.2</f>
        <v>1200</v>
      </c>
      <c r="J66">
        <f t="shared" ref="J66:J129" si="5">I66*F66</f>
        <v>2400</v>
      </c>
    </row>
    <row r="67" spans="1:10" x14ac:dyDescent="0.45">
      <c r="A67" t="s">
        <v>4382</v>
      </c>
      <c r="B67" s="1">
        <v>45660</v>
      </c>
      <c r="C67" t="s">
        <v>33</v>
      </c>
      <c r="D67" t="s">
        <v>3981</v>
      </c>
      <c r="E67">
        <v>4000</v>
      </c>
      <c r="F67" s="3">
        <v>5</v>
      </c>
      <c r="G67">
        <f t="shared" si="3"/>
        <v>20000</v>
      </c>
      <c r="H67" t="s">
        <v>17</v>
      </c>
      <c r="I67">
        <f t="shared" si="4"/>
        <v>4800</v>
      </c>
      <c r="J67">
        <f t="shared" si="5"/>
        <v>24000</v>
      </c>
    </row>
    <row r="68" spans="1:10" x14ac:dyDescent="0.45">
      <c r="A68" t="s">
        <v>4549</v>
      </c>
      <c r="B68" s="1">
        <v>45660</v>
      </c>
      <c r="C68" t="s">
        <v>3977</v>
      </c>
      <c r="D68" t="s">
        <v>3978</v>
      </c>
      <c r="E68">
        <v>2000</v>
      </c>
      <c r="F68" s="3">
        <v>1</v>
      </c>
      <c r="G68">
        <f t="shared" si="3"/>
        <v>2000</v>
      </c>
      <c r="H68" t="s">
        <v>7</v>
      </c>
      <c r="I68">
        <f t="shared" si="4"/>
        <v>2400</v>
      </c>
      <c r="J68">
        <f t="shared" si="5"/>
        <v>2400</v>
      </c>
    </row>
    <row r="69" spans="1:10" x14ac:dyDescent="0.45">
      <c r="A69" t="s">
        <v>4785</v>
      </c>
      <c r="B69" s="1">
        <v>45660</v>
      </c>
      <c r="C69" t="s">
        <v>5009</v>
      </c>
      <c r="D69" t="s">
        <v>4004</v>
      </c>
      <c r="E69">
        <v>15000</v>
      </c>
      <c r="F69" s="3">
        <v>1</v>
      </c>
      <c r="G69">
        <f t="shared" si="3"/>
        <v>15000</v>
      </c>
      <c r="H69" t="s">
        <v>7</v>
      </c>
      <c r="I69">
        <f t="shared" si="4"/>
        <v>18000</v>
      </c>
      <c r="J69">
        <f t="shared" si="5"/>
        <v>18000</v>
      </c>
    </row>
    <row r="70" spans="1:10" x14ac:dyDescent="0.45">
      <c r="A70" t="s">
        <v>4942</v>
      </c>
      <c r="B70" s="1">
        <v>45660</v>
      </c>
      <c r="C70" t="s">
        <v>33</v>
      </c>
      <c r="D70" t="s">
        <v>3981</v>
      </c>
      <c r="E70">
        <v>4000</v>
      </c>
      <c r="F70" s="3">
        <v>6</v>
      </c>
      <c r="G70">
        <f t="shared" si="3"/>
        <v>24000</v>
      </c>
      <c r="H70" t="s">
        <v>17</v>
      </c>
      <c r="I70">
        <f t="shared" si="4"/>
        <v>4800</v>
      </c>
      <c r="J70">
        <f t="shared" si="5"/>
        <v>28800</v>
      </c>
    </row>
    <row r="71" spans="1:10" x14ac:dyDescent="0.45">
      <c r="A71" t="s">
        <v>4995</v>
      </c>
      <c r="B71" s="1">
        <v>45660</v>
      </c>
      <c r="C71" t="s">
        <v>3977</v>
      </c>
      <c r="D71" t="s">
        <v>3989</v>
      </c>
      <c r="E71">
        <v>1000</v>
      </c>
      <c r="F71" s="3">
        <v>8</v>
      </c>
      <c r="G71">
        <f t="shared" si="3"/>
        <v>8000</v>
      </c>
      <c r="H71" t="s">
        <v>17</v>
      </c>
      <c r="I71">
        <f t="shared" si="4"/>
        <v>1200</v>
      </c>
      <c r="J71">
        <f t="shared" si="5"/>
        <v>9600</v>
      </c>
    </row>
    <row r="72" spans="1:10" x14ac:dyDescent="0.45">
      <c r="A72" t="s">
        <v>50</v>
      </c>
      <c r="B72" s="1">
        <v>45661</v>
      </c>
      <c r="C72" t="s">
        <v>4007</v>
      </c>
      <c r="D72" t="s">
        <v>5015</v>
      </c>
      <c r="E72">
        <v>48000</v>
      </c>
      <c r="F72">
        <v>5</v>
      </c>
      <c r="G72">
        <f t="shared" si="3"/>
        <v>240000</v>
      </c>
      <c r="H72" t="s">
        <v>7</v>
      </c>
      <c r="I72">
        <f t="shared" si="4"/>
        <v>57600</v>
      </c>
      <c r="J72">
        <f t="shared" si="5"/>
        <v>288000</v>
      </c>
    </row>
    <row r="73" spans="1:10" x14ac:dyDescent="0.45">
      <c r="A73" t="s">
        <v>51</v>
      </c>
      <c r="B73" s="1">
        <v>45661</v>
      </c>
      <c r="C73" t="s">
        <v>4007</v>
      </c>
      <c r="D73" t="s">
        <v>4005</v>
      </c>
      <c r="E73">
        <v>60000</v>
      </c>
      <c r="F73">
        <v>10</v>
      </c>
      <c r="G73">
        <f t="shared" si="3"/>
        <v>600000</v>
      </c>
      <c r="H73" t="s">
        <v>21</v>
      </c>
      <c r="I73">
        <f t="shared" si="4"/>
        <v>72000</v>
      </c>
      <c r="J73">
        <f t="shared" si="5"/>
        <v>720000</v>
      </c>
    </row>
    <row r="74" spans="1:10" x14ac:dyDescent="0.45">
      <c r="A74" t="s">
        <v>52</v>
      </c>
      <c r="B74" s="1">
        <v>45661</v>
      </c>
      <c r="C74" t="s">
        <v>4007</v>
      </c>
      <c r="D74" t="s">
        <v>28</v>
      </c>
      <c r="E74">
        <v>500</v>
      </c>
      <c r="F74">
        <v>3</v>
      </c>
      <c r="G74">
        <f t="shared" si="3"/>
        <v>1500</v>
      </c>
      <c r="H74" t="s">
        <v>21</v>
      </c>
      <c r="I74">
        <f t="shared" si="4"/>
        <v>600</v>
      </c>
      <c r="J74">
        <f t="shared" si="5"/>
        <v>1800</v>
      </c>
    </row>
    <row r="75" spans="1:10" x14ac:dyDescent="0.45">
      <c r="A75" t="s">
        <v>53</v>
      </c>
      <c r="B75" s="1">
        <v>45661</v>
      </c>
      <c r="C75" t="s">
        <v>12</v>
      </c>
      <c r="D75" t="s">
        <v>5021</v>
      </c>
      <c r="E75">
        <v>2880</v>
      </c>
      <c r="F75">
        <v>2</v>
      </c>
      <c r="G75">
        <f t="shared" si="3"/>
        <v>5760</v>
      </c>
      <c r="H75" t="s">
        <v>7</v>
      </c>
      <c r="I75">
        <f t="shared" si="4"/>
        <v>3456</v>
      </c>
      <c r="J75">
        <f t="shared" si="5"/>
        <v>6912</v>
      </c>
    </row>
    <row r="76" spans="1:10" x14ac:dyDescent="0.45">
      <c r="A76" t="s">
        <v>54</v>
      </c>
      <c r="B76" s="1">
        <v>45661</v>
      </c>
      <c r="C76" t="s">
        <v>12</v>
      </c>
      <c r="D76" t="s">
        <v>5021</v>
      </c>
      <c r="E76">
        <v>2880</v>
      </c>
      <c r="F76">
        <v>4</v>
      </c>
      <c r="G76">
        <f t="shared" si="3"/>
        <v>11520</v>
      </c>
      <c r="H76" t="s">
        <v>7</v>
      </c>
      <c r="I76">
        <f t="shared" si="4"/>
        <v>3456</v>
      </c>
      <c r="J76">
        <f t="shared" si="5"/>
        <v>13824</v>
      </c>
    </row>
    <row r="77" spans="1:10" x14ac:dyDescent="0.45">
      <c r="A77" t="s">
        <v>55</v>
      </c>
      <c r="B77" s="1">
        <v>45661</v>
      </c>
      <c r="C77" t="s">
        <v>4007</v>
      </c>
      <c r="D77" t="s">
        <v>39</v>
      </c>
      <c r="E77">
        <v>6000</v>
      </c>
      <c r="F77">
        <v>5</v>
      </c>
      <c r="G77">
        <f t="shared" si="3"/>
        <v>30000</v>
      </c>
      <c r="H77" t="s">
        <v>7</v>
      </c>
      <c r="I77">
        <f t="shared" si="4"/>
        <v>7200</v>
      </c>
      <c r="J77">
        <f t="shared" si="5"/>
        <v>36000</v>
      </c>
    </row>
    <row r="78" spans="1:10" x14ac:dyDescent="0.45">
      <c r="A78" t="s">
        <v>56</v>
      </c>
      <c r="B78" s="1">
        <v>45661</v>
      </c>
      <c r="C78" t="s">
        <v>33</v>
      </c>
      <c r="D78" t="s">
        <v>14</v>
      </c>
      <c r="E78">
        <v>800</v>
      </c>
      <c r="F78">
        <v>6</v>
      </c>
      <c r="G78">
        <f t="shared" si="3"/>
        <v>4800</v>
      </c>
      <c r="H78" t="s">
        <v>21</v>
      </c>
      <c r="I78">
        <f t="shared" si="4"/>
        <v>960</v>
      </c>
      <c r="J78">
        <f t="shared" si="5"/>
        <v>5760</v>
      </c>
    </row>
    <row r="79" spans="1:10" x14ac:dyDescent="0.45">
      <c r="A79" t="s">
        <v>57</v>
      </c>
      <c r="B79" s="1">
        <v>45661</v>
      </c>
      <c r="C79" t="s">
        <v>4007</v>
      </c>
      <c r="D79" t="s">
        <v>4005</v>
      </c>
      <c r="E79">
        <v>60000</v>
      </c>
      <c r="F79">
        <v>10</v>
      </c>
      <c r="G79">
        <f t="shared" si="3"/>
        <v>600000</v>
      </c>
      <c r="H79" t="s">
        <v>21</v>
      </c>
      <c r="I79">
        <f t="shared" si="4"/>
        <v>72000</v>
      </c>
      <c r="J79">
        <f t="shared" si="5"/>
        <v>720000</v>
      </c>
    </row>
    <row r="80" spans="1:10" x14ac:dyDescent="0.45">
      <c r="A80" t="s">
        <v>3297</v>
      </c>
      <c r="B80" s="1">
        <v>45661</v>
      </c>
      <c r="C80" t="s">
        <v>4007</v>
      </c>
      <c r="D80" t="s">
        <v>2774</v>
      </c>
      <c r="E80">
        <v>1900</v>
      </c>
      <c r="F80">
        <v>5</v>
      </c>
      <c r="G80">
        <f t="shared" si="3"/>
        <v>9500</v>
      </c>
      <c r="H80" t="s">
        <v>17</v>
      </c>
      <c r="I80">
        <f t="shared" si="4"/>
        <v>2280</v>
      </c>
      <c r="J80">
        <f t="shared" si="5"/>
        <v>11400</v>
      </c>
    </row>
    <row r="81" spans="1:10" x14ac:dyDescent="0.45">
      <c r="A81" t="s">
        <v>3951</v>
      </c>
      <c r="B81" s="1">
        <v>45661</v>
      </c>
      <c r="C81" t="s">
        <v>4007</v>
      </c>
      <c r="D81" t="s">
        <v>5015</v>
      </c>
      <c r="E81">
        <v>48000</v>
      </c>
      <c r="F81">
        <v>1</v>
      </c>
      <c r="G81">
        <f t="shared" si="3"/>
        <v>48000</v>
      </c>
      <c r="H81" t="s">
        <v>7</v>
      </c>
      <c r="I81">
        <f t="shared" si="4"/>
        <v>57600</v>
      </c>
      <c r="J81">
        <f t="shared" si="5"/>
        <v>57600</v>
      </c>
    </row>
    <row r="82" spans="1:10" x14ac:dyDescent="0.45">
      <c r="A82" t="s">
        <v>4164</v>
      </c>
      <c r="B82" s="1">
        <v>45661</v>
      </c>
      <c r="C82" t="s">
        <v>3979</v>
      </c>
      <c r="D82" t="s">
        <v>4006</v>
      </c>
      <c r="E82">
        <v>2000</v>
      </c>
      <c r="F82" s="3">
        <v>1</v>
      </c>
      <c r="G82">
        <f t="shared" si="3"/>
        <v>2000</v>
      </c>
      <c r="H82" t="s">
        <v>17</v>
      </c>
      <c r="I82">
        <f t="shared" si="4"/>
        <v>2400</v>
      </c>
      <c r="J82">
        <f t="shared" si="5"/>
        <v>2400</v>
      </c>
    </row>
    <row r="83" spans="1:10" x14ac:dyDescent="0.45">
      <c r="A83" t="s">
        <v>4214</v>
      </c>
      <c r="B83" s="1">
        <v>45661</v>
      </c>
      <c r="C83" t="s">
        <v>3979</v>
      </c>
      <c r="D83" t="s">
        <v>3983</v>
      </c>
      <c r="E83">
        <v>1000</v>
      </c>
      <c r="F83" s="3">
        <v>9</v>
      </c>
      <c r="G83">
        <f t="shared" si="3"/>
        <v>9000</v>
      </c>
      <c r="H83" t="s">
        <v>7</v>
      </c>
      <c r="I83">
        <f t="shared" si="4"/>
        <v>1200</v>
      </c>
      <c r="J83">
        <f t="shared" si="5"/>
        <v>10800</v>
      </c>
    </row>
    <row r="84" spans="1:10" x14ac:dyDescent="0.45">
      <c r="A84" t="s">
        <v>4221</v>
      </c>
      <c r="B84" s="1">
        <v>45661</v>
      </c>
      <c r="C84" t="s">
        <v>5009</v>
      </c>
      <c r="D84" t="s">
        <v>4000</v>
      </c>
      <c r="E84">
        <v>3000</v>
      </c>
      <c r="F84" s="3">
        <v>3</v>
      </c>
      <c r="G84">
        <f t="shared" si="3"/>
        <v>9000</v>
      </c>
      <c r="H84" t="s">
        <v>7</v>
      </c>
      <c r="I84">
        <f t="shared" si="4"/>
        <v>3600</v>
      </c>
      <c r="J84">
        <f t="shared" si="5"/>
        <v>10800</v>
      </c>
    </row>
    <row r="85" spans="1:10" x14ac:dyDescent="0.45">
      <c r="A85" t="s">
        <v>4277</v>
      </c>
      <c r="B85" s="1">
        <v>45661</v>
      </c>
      <c r="C85" t="s">
        <v>33</v>
      </c>
      <c r="D85" t="s">
        <v>42</v>
      </c>
      <c r="E85">
        <v>6900</v>
      </c>
      <c r="F85" s="3">
        <v>10</v>
      </c>
      <c r="G85">
        <f t="shared" si="3"/>
        <v>69000</v>
      </c>
      <c r="H85" t="s">
        <v>17</v>
      </c>
      <c r="I85">
        <f t="shared" si="4"/>
        <v>8280</v>
      </c>
      <c r="J85">
        <f t="shared" si="5"/>
        <v>82800</v>
      </c>
    </row>
    <row r="86" spans="1:10" x14ac:dyDescent="0.45">
      <c r="A86" t="s">
        <v>4415</v>
      </c>
      <c r="B86" s="1">
        <v>45661</v>
      </c>
      <c r="C86" t="s">
        <v>5008</v>
      </c>
      <c r="D86" t="s">
        <v>3998</v>
      </c>
      <c r="E86">
        <v>8000</v>
      </c>
      <c r="F86" s="3">
        <v>4</v>
      </c>
      <c r="G86">
        <f t="shared" si="3"/>
        <v>32000</v>
      </c>
      <c r="H86" t="s">
        <v>17</v>
      </c>
      <c r="I86">
        <f t="shared" si="4"/>
        <v>9600</v>
      </c>
      <c r="J86">
        <f t="shared" si="5"/>
        <v>38400</v>
      </c>
    </row>
    <row r="87" spans="1:10" x14ac:dyDescent="0.45">
      <c r="A87" t="s">
        <v>4420</v>
      </c>
      <c r="B87" s="1">
        <v>45661</v>
      </c>
      <c r="C87" t="s">
        <v>3977</v>
      </c>
      <c r="D87" t="s">
        <v>3991</v>
      </c>
      <c r="E87">
        <v>2000</v>
      </c>
      <c r="F87" s="3">
        <v>5</v>
      </c>
      <c r="G87">
        <f t="shared" si="3"/>
        <v>10000</v>
      </c>
      <c r="H87" t="s">
        <v>21</v>
      </c>
      <c r="I87">
        <f t="shared" si="4"/>
        <v>2400</v>
      </c>
      <c r="J87">
        <f t="shared" si="5"/>
        <v>12000</v>
      </c>
    </row>
    <row r="88" spans="1:10" x14ac:dyDescent="0.45">
      <c r="A88" t="s">
        <v>58</v>
      </c>
      <c r="B88" s="1">
        <v>45662</v>
      </c>
      <c r="C88" t="s">
        <v>12</v>
      </c>
      <c r="D88" t="s">
        <v>5021</v>
      </c>
      <c r="E88">
        <v>2880</v>
      </c>
      <c r="F88">
        <v>2</v>
      </c>
      <c r="G88">
        <f t="shared" si="3"/>
        <v>5760</v>
      </c>
      <c r="H88" t="s">
        <v>7</v>
      </c>
      <c r="I88">
        <f t="shared" si="4"/>
        <v>3456</v>
      </c>
      <c r="J88">
        <f t="shared" si="5"/>
        <v>6912</v>
      </c>
    </row>
    <row r="89" spans="1:10" x14ac:dyDescent="0.45">
      <c r="A89" t="s">
        <v>59</v>
      </c>
      <c r="B89" s="1">
        <v>45662</v>
      </c>
      <c r="C89" t="s">
        <v>33</v>
      </c>
      <c r="D89" t="s">
        <v>34</v>
      </c>
      <c r="E89">
        <v>1700</v>
      </c>
      <c r="F89">
        <v>2</v>
      </c>
      <c r="G89">
        <f t="shared" si="3"/>
        <v>3400</v>
      </c>
      <c r="H89" t="s">
        <v>17</v>
      </c>
      <c r="I89">
        <f t="shared" si="4"/>
        <v>2040</v>
      </c>
      <c r="J89">
        <f t="shared" si="5"/>
        <v>4080</v>
      </c>
    </row>
    <row r="90" spans="1:10" x14ac:dyDescent="0.45">
      <c r="A90" t="s">
        <v>60</v>
      </c>
      <c r="B90" s="1">
        <v>45662</v>
      </c>
      <c r="C90" t="s">
        <v>9</v>
      </c>
      <c r="D90" t="s">
        <v>19</v>
      </c>
      <c r="E90">
        <v>3000</v>
      </c>
      <c r="F90">
        <v>6</v>
      </c>
      <c r="G90">
        <f t="shared" si="3"/>
        <v>18000</v>
      </c>
      <c r="H90" t="s">
        <v>21</v>
      </c>
      <c r="I90">
        <f t="shared" si="4"/>
        <v>3600</v>
      </c>
      <c r="J90">
        <f t="shared" si="5"/>
        <v>21600</v>
      </c>
    </row>
    <row r="91" spans="1:10" x14ac:dyDescent="0.45">
      <c r="A91" t="s">
        <v>61</v>
      </c>
      <c r="B91" s="1">
        <v>45662</v>
      </c>
      <c r="C91" t="s">
        <v>4007</v>
      </c>
      <c r="D91" t="s">
        <v>5015</v>
      </c>
      <c r="E91">
        <v>48000</v>
      </c>
      <c r="F91">
        <v>4</v>
      </c>
      <c r="G91">
        <f t="shared" si="3"/>
        <v>192000</v>
      </c>
      <c r="H91" t="s">
        <v>7</v>
      </c>
      <c r="I91">
        <f t="shared" si="4"/>
        <v>57600</v>
      </c>
      <c r="J91">
        <f t="shared" si="5"/>
        <v>230400</v>
      </c>
    </row>
    <row r="92" spans="1:10" x14ac:dyDescent="0.45">
      <c r="A92" t="s">
        <v>62</v>
      </c>
      <c r="B92" s="1">
        <v>45662</v>
      </c>
      <c r="C92" t="s">
        <v>9</v>
      </c>
      <c r="D92" t="s">
        <v>25</v>
      </c>
      <c r="E92">
        <v>5200</v>
      </c>
      <c r="F92">
        <v>1</v>
      </c>
      <c r="G92">
        <f t="shared" si="3"/>
        <v>5200</v>
      </c>
      <c r="H92" t="s">
        <v>21</v>
      </c>
      <c r="I92">
        <f t="shared" si="4"/>
        <v>6240</v>
      </c>
      <c r="J92">
        <f t="shared" si="5"/>
        <v>6240</v>
      </c>
    </row>
    <row r="93" spans="1:10" x14ac:dyDescent="0.45">
      <c r="A93" t="s">
        <v>63</v>
      </c>
      <c r="B93" s="1">
        <v>45662</v>
      </c>
      <c r="C93" t="s">
        <v>4007</v>
      </c>
      <c r="D93" t="s">
        <v>5015</v>
      </c>
      <c r="E93">
        <v>48000</v>
      </c>
      <c r="F93">
        <v>7</v>
      </c>
      <c r="G93">
        <f t="shared" si="3"/>
        <v>336000</v>
      </c>
      <c r="H93" t="s">
        <v>7</v>
      </c>
      <c r="I93">
        <f t="shared" si="4"/>
        <v>57600</v>
      </c>
      <c r="J93">
        <f t="shared" si="5"/>
        <v>403200</v>
      </c>
    </row>
    <row r="94" spans="1:10" x14ac:dyDescent="0.45">
      <c r="A94" t="s">
        <v>64</v>
      </c>
      <c r="B94" s="1">
        <v>45662</v>
      </c>
      <c r="C94" t="s">
        <v>9</v>
      </c>
      <c r="D94" t="s">
        <v>25</v>
      </c>
      <c r="E94">
        <v>5200</v>
      </c>
      <c r="F94">
        <v>8</v>
      </c>
      <c r="G94">
        <f t="shared" si="3"/>
        <v>41600</v>
      </c>
      <c r="H94" t="s">
        <v>7</v>
      </c>
      <c r="I94">
        <f t="shared" si="4"/>
        <v>6240</v>
      </c>
      <c r="J94">
        <f t="shared" si="5"/>
        <v>49920</v>
      </c>
    </row>
    <row r="95" spans="1:10" x14ac:dyDescent="0.45">
      <c r="A95" t="s">
        <v>65</v>
      </c>
      <c r="B95" s="1">
        <v>45662</v>
      </c>
      <c r="C95" t="s">
        <v>33</v>
      </c>
      <c r="D95" t="s">
        <v>34</v>
      </c>
      <c r="E95">
        <v>1700</v>
      </c>
      <c r="F95">
        <v>4</v>
      </c>
      <c r="G95">
        <f t="shared" si="3"/>
        <v>6800</v>
      </c>
      <c r="H95" t="s">
        <v>7</v>
      </c>
      <c r="I95">
        <f t="shared" si="4"/>
        <v>2040</v>
      </c>
      <c r="J95">
        <f t="shared" si="5"/>
        <v>8160</v>
      </c>
    </row>
    <row r="96" spans="1:10" x14ac:dyDescent="0.45">
      <c r="A96" t="s">
        <v>3212</v>
      </c>
      <c r="B96" s="1">
        <v>45662</v>
      </c>
      <c r="C96" t="s">
        <v>4007</v>
      </c>
      <c r="D96" t="s">
        <v>28</v>
      </c>
      <c r="E96">
        <v>500</v>
      </c>
      <c r="F96">
        <v>2</v>
      </c>
      <c r="G96">
        <f t="shared" si="3"/>
        <v>1000</v>
      </c>
      <c r="H96" t="s">
        <v>17</v>
      </c>
      <c r="I96">
        <f t="shared" si="4"/>
        <v>600</v>
      </c>
      <c r="J96">
        <f t="shared" si="5"/>
        <v>1200</v>
      </c>
    </row>
    <row r="97" spans="1:11" x14ac:dyDescent="0.45">
      <c r="A97" t="s">
        <v>3827</v>
      </c>
      <c r="B97" s="1">
        <v>45662</v>
      </c>
      <c r="C97" t="s">
        <v>4007</v>
      </c>
      <c r="D97" t="s">
        <v>2773</v>
      </c>
      <c r="E97">
        <v>3300</v>
      </c>
      <c r="F97">
        <v>3</v>
      </c>
      <c r="G97">
        <f t="shared" si="3"/>
        <v>9900</v>
      </c>
      <c r="H97" t="s">
        <v>17</v>
      </c>
      <c r="I97">
        <f t="shared" si="4"/>
        <v>3960</v>
      </c>
      <c r="J97">
        <f t="shared" si="5"/>
        <v>11880</v>
      </c>
    </row>
    <row r="98" spans="1:11" x14ac:dyDescent="0.45">
      <c r="A98" t="s">
        <v>4008</v>
      </c>
      <c r="B98" s="1">
        <v>45662</v>
      </c>
      <c r="C98" t="s">
        <v>3977</v>
      </c>
      <c r="D98" t="s">
        <v>3978</v>
      </c>
      <c r="E98">
        <v>2000</v>
      </c>
      <c r="F98" s="3">
        <v>7</v>
      </c>
      <c r="G98">
        <f t="shared" si="3"/>
        <v>14000</v>
      </c>
      <c r="H98" t="s">
        <v>21</v>
      </c>
      <c r="I98">
        <f t="shared" si="4"/>
        <v>2400</v>
      </c>
      <c r="J98">
        <f t="shared" si="5"/>
        <v>16800</v>
      </c>
      <c r="K98" s="3">
        <f>SUMIF(D:D,"Antibiotics",F:F)</f>
        <v>162</v>
      </c>
    </row>
    <row r="99" spans="1:11" x14ac:dyDescent="0.45">
      <c r="A99" t="s">
        <v>4114</v>
      </c>
      <c r="B99" s="1">
        <v>45662</v>
      </c>
      <c r="C99" t="s">
        <v>5008</v>
      </c>
      <c r="D99" t="s">
        <v>3998</v>
      </c>
      <c r="E99">
        <v>8000</v>
      </c>
      <c r="F99" s="3">
        <v>6</v>
      </c>
      <c r="G99">
        <f t="shared" si="3"/>
        <v>48000</v>
      </c>
      <c r="H99" t="s">
        <v>21</v>
      </c>
      <c r="I99">
        <f t="shared" si="4"/>
        <v>9600</v>
      </c>
      <c r="J99">
        <f t="shared" si="5"/>
        <v>57600</v>
      </c>
    </row>
    <row r="100" spans="1:11" x14ac:dyDescent="0.45">
      <c r="A100" t="s">
        <v>4251</v>
      </c>
      <c r="B100" s="1">
        <v>45662</v>
      </c>
      <c r="C100" t="s">
        <v>33</v>
      </c>
      <c r="D100" t="s">
        <v>42</v>
      </c>
      <c r="E100">
        <v>6900</v>
      </c>
      <c r="F100" s="3">
        <v>4</v>
      </c>
      <c r="G100">
        <f t="shared" si="3"/>
        <v>27600</v>
      </c>
      <c r="H100" t="s">
        <v>17</v>
      </c>
      <c r="I100">
        <f t="shared" si="4"/>
        <v>8280</v>
      </c>
      <c r="J100">
        <f t="shared" si="5"/>
        <v>33120</v>
      </c>
    </row>
    <row r="101" spans="1:11" x14ac:dyDescent="0.45">
      <c r="A101" t="s">
        <v>4276</v>
      </c>
      <c r="B101" s="1">
        <v>45662</v>
      </c>
      <c r="C101" t="s">
        <v>33</v>
      </c>
      <c r="D101" t="s">
        <v>3981</v>
      </c>
      <c r="E101">
        <v>4000</v>
      </c>
      <c r="F101" s="3">
        <v>4</v>
      </c>
      <c r="G101">
        <f t="shared" si="3"/>
        <v>16000</v>
      </c>
      <c r="H101" t="s">
        <v>17</v>
      </c>
      <c r="I101">
        <f t="shared" si="4"/>
        <v>4800</v>
      </c>
      <c r="J101">
        <f t="shared" si="5"/>
        <v>19200</v>
      </c>
    </row>
    <row r="102" spans="1:11" x14ac:dyDescent="0.45">
      <c r="A102" t="s">
        <v>4384</v>
      </c>
      <c r="B102" s="1">
        <v>45662</v>
      </c>
      <c r="C102" t="s">
        <v>33</v>
      </c>
      <c r="D102" t="s">
        <v>3981</v>
      </c>
      <c r="E102">
        <v>4000</v>
      </c>
      <c r="F102" s="3">
        <v>9</v>
      </c>
      <c r="G102">
        <f t="shared" si="3"/>
        <v>36000</v>
      </c>
      <c r="H102" t="s">
        <v>21</v>
      </c>
      <c r="I102">
        <f t="shared" si="4"/>
        <v>4800</v>
      </c>
      <c r="J102">
        <f t="shared" si="5"/>
        <v>43200</v>
      </c>
    </row>
    <row r="103" spans="1:11" x14ac:dyDescent="0.45">
      <c r="A103" t="s">
        <v>4509</v>
      </c>
      <c r="B103" s="1">
        <v>45662</v>
      </c>
      <c r="C103" t="s">
        <v>5008</v>
      </c>
      <c r="D103" t="s">
        <v>3995</v>
      </c>
      <c r="E103">
        <v>15000</v>
      </c>
      <c r="F103" s="3">
        <v>1</v>
      </c>
      <c r="G103">
        <f t="shared" si="3"/>
        <v>15000</v>
      </c>
      <c r="H103" t="s">
        <v>7</v>
      </c>
      <c r="I103">
        <f t="shared" si="4"/>
        <v>18000</v>
      </c>
      <c r="J103">
        <f t="shared" si="5"/>
        <v>18000</v>
      </c>
    </row>
    <row r="104" spans="1:11" x14ac:dyDescent="0.45">
      <c r="A104" t="s">
        <v>4519</v>
      </c>
      <c r="B104" s="1">
        <v>45662</v>
      </c>
      <c r="C104" t="s">
        <v>33</v>
      </c>
      <c r="D104" t="s">
        <v>3994</v>
      </c>
      <c r="E104">
        <v>2500</v>
      </c>
      <c r="F104" s="3">
        <v>5</v>
      </c>
      <c r="G104">
        <f t="shared" si="3"/>
        <v>12500</v>
      </c>
      <c r="H104" t="s">
        <v>21</v>
      </c>
      <c r="I104">
        <f t="shared" si="4"/>
        <v>3000</v>
      </c>
      <c r="J104">
        <f t="shared" si="5"/>
        <v>15000</v>
      </c>
    </row>
    <row r="105" spans="1:11" x14ac:dyDescent="0.45">
      <c r="A105" t="s">
        <v>4544</v>
      </c>
      <c r="B105" s="1">
        <v>45662</v>
      </c>
      <c r="C105" t="s">
        <v>5008</v>
      </c>
      <c r="D105" t="s">
        <v>3996</v>
      </c>
      <c r="E105">
        <v>2000</v>
      </c>
      <c r="F105" s="3">
        <v>1</v>
      </c>
      <c r="G105">
        <f t="shared" si="3"/>
        <v>2000</v>
      </c>
      <c r="H105" t="s">
        <v>17</v>
      </c>
      <c r="I105">
        <f t="shared" si="4"/>
        <v>2400</v>
      </c>
      <c r="J105">
        <f t="shared" si="5"/>
        <v>2400</v>
      </c>
    </row>
    <row r="106" spans="1:11" x14ac:dyDescent="0.45">
      <c r="A106" t="s">
        <v>4552</v>
      </c>
      <c r="B106" s="1">
        <v>45662</v>
      </c>
      <c r="C106" t="s">
        <v>4007</v>
      </c>
      <c r="D106" t="s">
        <v>3988</v>
      </c>
      <c r="E106">
        <v>35000</v>
      </c>
      <c r="F106" s="3">
        <v>1</v>
      </c>
      <c r="G106">
        <f t="shared" si="3"/>
        <v>35000</v>
      </c>
      <c r="H106" t="s">
        <v>21</v>
      </c>
      <c r="I106">
        <f t="shared" si="4"/>
        <v>42000</v>
      </c>
      <c r="J106">
        <f t="shared" si="5"/>
        <v>42000</v>
      </c>
    </row>
    <row r="107" spans="1:11" x14ac:dyDescent="0.45">
      <c r="A107" t="s">
        <v>4774</v>
      </c>
      <c r="B107" s="1">
        <v>45662</v>
      </c>
      <c r="C107" t="s">
        <v>5008</v>
      </c>
      <c r="D107" t="s">
        <v>3995</v>
      </c>
      <c r="E107">
        <v>15000</v>
      </c>
      <c r="F107" s="3">
        <v>3</v>
      </c>
      <c r="G107">
        <f t="shared" si="3"/>
        <v>45000</v>
      </c>
      <c r="H107" t="s">
        <v>21</v>
      </c>
      <c r="I107">
        <f t="shared" si="4"/>
        <v>18000</v>
      </c>
      <c r="J107">
        <f t="shared" si="5"/>
        <v>54000</v>
      </c>
    </row>
    <row r="108" spans="1:11" x14ac:dyDescent="0.45">
      <c r="A108" t="s">
        <v>4944</v>
      </c>
      <c r="B108" s="1">
        <v>45662</v>
      </c>
      <c r="C108" t="s">
        <v>3977</v>
      </c>
      <c r="D108" t="s">
        <v>3993</v>
      </c>
      <c r="E108">
        <v>1000</v>
      </c>
      <c r="F108" s="3">
        <v>7</v>
      </c>
      <c r="G108">
        <f t="shared" si="3"/>
        <v>7000</v>
      </c>
      <c r="H108" t="s">
        <v>21</v>
      </c>
      <c r="I108">
        <f t="shared" si="4"/>
        <v>1200</v>
      </c>
      <c r="J108">
        <f t="shared" si="5"/>
        <v>8400</v>
      </c>
    </row>
    <row r="109" spans="1:11" x14ac:dyDescent="0.45">
      <c r="A109" t="s">
        <v>4953</v>
      </c>
      <c r="B109" s="1">
        <v>45662</v>
      </c>
      <c r="C109" t="s">
        <v>3979</v>
      </c>
      <c r="D109" t="s">
        <v>3980</v>
      </c>
      <c r="E109">
        <v>500</v>
      </c>
      <c r="F109" s="3">
        <v>7</v>
      </c>
      <c r="G109">
        <f t="shared" si="3"/>
        <v>3500</v>
      </c>
      <c r="H109" t="s">
        <v>21</v>
      </c>
      <c r="I109">
        <f t="shared" si="4"/>
        <v>600</v>
      </c>
      <c r="J109">
        <f t="shared" si="5"/>
        <v>4200</v>
      </c>
    </row>
    <row r="110" spans="1:11" x14ac:dyDescent="0.45">
      <c r="A110" t="s">
        <v>66</v>
      </c>
      <c r="B110" s="1">
        <v>45663</v>
      </c>
      <c r="C110" t="s">
        <v>12</v>
      </c>
      <c r="D110" t="s">
        <v>5022</v>
      </c>
      <c r="E110">
        <v>2880</v>
      </c>
      <c r="F110">
        <v>1</v>
      </c>
      <c r="G110">
        <f t="shared" si="3"/>
        <v>2880</v>
      </c>
      <c r="H110" t="s">
        <v>21</v>
      </c>
      <c r="I110">
        <f t="shared" si="4"/>
        <v>3456</v>
      </c>
      <c r="J110">
        <f t="shared" si="5"/>
        <v>3456</v>
      </c>
    </row>
    <row r="111" spans="1:11" x14ac:dyDescent="0.45">
      <c r="A111" t="s">
        <v>67</v>
      </c>
      <c r="B111" s="1">
        <v>45663</v>
      </c>
      <c r="C111" t="s">
        <v>33</v>
      </c>
      <c r="D111" t="s">
        <v>16</v>
      </c>
      <c r="E111">
        <v>1200</v>
      </c>
      <c r="F111">
        <v>4</v>
      </c>
      <c r="G111">
        <f t="shared" si="3"/>
        <v>4800</v>
      </c>
      <c r="H111" t="s">
        <v>17</v>
      </c>
      <c r="I111">
        <f t="shared" si="4"/>
        <v>1440</v>
      </c>
      <c r="J111">
        <f t="shared" si="5"/>
        <v>5760</v>
      </c>
    </row>
    <row r="112" spans="1:11" x14ac:dyDescent="0.45">
      <c r="A112" t="s">
        <v>68</v>
      </c>
      <c r="B112" s="1">
        <v>45663</v>
      </c>
      <c r="C112" t="s">
        <v>12</v>
      </c>
      <c r="D112" t="s">
        <v>5023</v>
      </c>
      <c r="E112">
        <v>1750</v>
      </c>
      <c r="F112">
        <v>2</v>
      </c>
      <c r="G112">
        <f t="shared" si="3"/>
        <v>3500</v>
      </c>
      <c r="H112" t="s">
        <v>7</v>
      </c>
      <c r="I112">
        <f t="shared" si="4"/>
        <v>2100</v>
      </c>
      <c r="J112">
        <f t="shared" si="5"/>
        <v>4200</v>
      </c>
    </row>
    <row r="113" spans="1:10" x14ac:dyDescent="0.45">
      <c r="A113" t="s">
        <v>69</v>
      </c>
      <c r="B113" s="1">
        <v>45663</v>
      </c>
      <c r="C113" t="s">
        <v>33</v>
      </c>
      <c r="D113" t="s">
        <v>14</v>
      </c>
      <c r="E113">
        <v>800</v>
      </c>
      <c r="F113">
        <v>1</v>
      </c>
      <c r="G113">
        <f t="shared" si="3"/>
        <v>800</v>
      </c>
      <c r="H113" t="s">
        <v>17</v>
      </c>
      <c r="I113">
        <f t="shared" si="4"/>
        <v>960</v>
      </c>
      <c r="J113">
        <f t="shared" si="5"/>
        <v>960</v>
      </c>
    </row>
    <row r="114" spans="1:10" x14ac:dyDescent="0.45">
      <c r="A114" t="s">
        <v>70</v>
      </c>
      <c r="B114" s="1">
        <v>45663</v>
      </c>
      <c r="C114" t="s">
        <v>4007</v>
      </c>
      <c r="D114" t="s">
        <v>4005</v>
      </c>
      <c r="E114">
        <v>60000</v>
      </c>
      <c r="F114">
        <v>4</v>
      </c>
      <c r="G114">
        <f t="shared" si="3"/>
        <v>240000</v>
      </c>
      <c r="H114" t="s">
        <v>7</v>
      </c>
      <c r="I114">
        <f t="shared" si="4"/>
        <v>72000</v>
      </c>
      <c r="J114">
        <f t="shared" si="5"/>
        <v>288000</v>
      </c>
    </row>
    <row r="115" spans="1:10" x14ac:dyDescent="0.45">
      <c r="A115" t="s">
        <v>71</v>
      </c>
      <c r="B115" s="1">
        <v>45663</v>
      </c>
      <c r="C115" t="s">
        <v>4007</v>
      </c>
      <c r="D115" t="s">
        <v>28</v>
      </c>
      <c r="E115">
        <v>500</v>
      </c>
      <c r="F115">
        <v>4</v>
      </c>
      <c r="G115">
        <f t="shared" si="3"/>
        <v>2000</v>
      </c>
      <c r="H115" t="s">
        <v>21</v>
      </c>
      <c r="I115">
        <f t="shared" si="4"/>
        <v>600</v>
      </c>
      <c r="J115">
        <f t="shared" si="5"/>
        <v>2400</v>
      </c>
    </row>
    <row r="116" spans="1:10" x14ac:dyDescent="0.45">
      <c r="A116" t="s">
        <v>72</v>
      </c>
      <c r="B116" s="1">
        <v>45663</v>
      </c>
      <c r="C116" t="s">
        <v>4007</v>
      </c>
      <c r="D116" t="s">
        <v>5015</v>
      </c>
      <c r="E116">
        <v>48000</v>
      </c>
      <c r="F116">
        <v>8</v>
      </c>
      <c r="G116">
        <f t="shared" si="3"/>
        <v>384000</v>
      </c>
      <c r="H116" t="s">
        <v>17</v>
      </c>
      <c r="I116">
        <f t="shared" si="4"/>
        <v>57600</v>
      </c>
      <c r="J116">
        <f t="shared" si="5"/>
        <v>460800</v>
      </c>
    </row>
    <row r="117" spans="1:10" x14ac:dyDescent="0.45">
      <c r="A117" t="s">
        <v>73</v>
      </c>
      <c r="B117" s="1">
        <v>45663</v>
      </c>
      <c r="C117" t="s">
        <v>33</v>
      </c>
      <c r="D117" t="s">
        <v>42</v>
      </c>
      <c r="E117">
        <v>6900</v>
      </c>
      <c r="F117">
        <v>4</v>
      </c>
      <c r="G117">
        <f t="shared" si="3"/>
        <v>27600</v>
      </c>
      <c r="H117" t="s">
        <v>21</v>
      </c>
      <c r="I117">
        <f t="shared" si="4"/>
        <v>8280</v>
      </c>
      <c r="J117">
        <f t="shared" si="5"/>
        <v>33120</v>
      </c>
    </row>
    <row r="118" spans="1:10" x14ac:dyDescent="0.45">
      <c r="A118" t="s">
        <v>74</v>
      </c>
      <c r="B118" s="1">
        <v>45663</v>
      </c>
      <c r="C118" t="s">
        <v>9</v>
      </c>
      <c r="D118" t="s">
        <v>10</v>
      </c>
      <c r="E118">
        <v>400</v>
      </c>
      <c r="F118">
        <v>6</v>
      </c>
      <c r="G118">
        <f t="shared" si="3"/>
        <v>2400</v>
      </c>
      <c r="H118" t="s">
        <v>21</v>
      </c>
      <c r="I118">
        <f t="shared" si="4"/>
        <v>480</v>
      </c>
      <c r="J118">
        <f t="shared" si="5"/>
        <v>2880</v>
      </c>
    </row>
    <row r="119" spans="1:10" x14ac:dyDescent="0.45">
      <c r="A119" t="s">
        <v>2948</v>
      </c>
      <c r="B119" s="1">
        <v>45663</v>
      </c>
      <c r="C119" t="s">
        <v>4007</v>
      </c>
      <c r="D119" t="s">
        <v>2773</v>
      </c>
      <c r="E119">
        <v>3300</v>
      </c>
      <c r="F119">
        <v>3</v>
      </c>
      <c r="G119">
        <f t="shared" si="3"/>
        <v>9900</v>
      </c>
      <c r="H119" t="s">
        <v>7</v>
      </c>
      <c r="I119">
        <f t="shared" si="4"/>
        <v>3960</v>
      </c>
      <c r="J119">
        <f t="shared" si="5"/>
        <v>11880</v>
      </c>
    </row>
    <row r="120" spans="1:10" x14ac:dyDescent="0.45">
      <c r="A120" t="s">
        <v>3176</v>
      </c>
      <c r="B120" s="1">
        <v>45663</v>
      </c>
      <c r="C120" t="s">
        <v>4007</v>
      </c>
      <c r="D120" t="s">
        <v>2776</v>
      </c>
      <c r="E120">
        <v>3600</v>
      </c>
      <c r="F120">
        <v>2</v>
      </c>
      <c r="G120">
        <f t="shared" si="3"/>
        <v>7200</v>
      </c>
      <c r="H120" t="s">
        <v>7</v>
      </c>
      <c r="I120">
        <f t="shared" si="4"/>
        <v>4320</v>
      </c>
      <c r="J120">
        <f t="shared" si="5"/>
        <v>8640</v>
      </c>
    </row>
    <row r="121" spans="1:10" x14ac:dyDescent="0.45">
      <c r="A121" t="s">
        <v>3244</v>
      </c>
      <c r="B121" s="1">
        <v>45663</v>
      </c>
      <c r="C121" t="s">
        <v>33</v>
      </c>
      <c r="D121" t="s">
        <v>34</v>
      </c>
      <c r="E121">
        <v>1700</v>
      </c>
      <c r="F121">
        <v>10</v>
      </c>
      <c r="G121">
        <f t="shared" si="3"/>
        <v>17000</v>
      </c>
      <c r="H121" t="s">
        <v>7</v>
      </c>
      <c r="I121">
        <f t="shared" si="4"/>
        <v>2040</v>
      </c>
      <c r="J121">
        <f t="shared" si="5"/>
        <v>20400</v>
      </c>
    </row>
    <row r="122" spans="1:10" x14ac:dyDescent="0.45">
      <c r="A122" t="s">
        <v>4078</v>
      </c>
      <c r="B122" s="1">
        <v>45663</v>
      </c>
      <c r="C122" t="s">
        <v>4007</v>
      </c>
      <c r="D122" t="s">
        <v>3988</v>
      </c>
      <c r="E122">
        <v>35000</v>
      </c>
      <c r="F122" s="3">
        <v>10</v>
      </c>
      <c r="G122">
        <f t="shared" si="3"/>
        <v>350000</v>
      </c>
      <c r="H122" t="s">
        <v>7</v>
      </c>
      <c r="I122">
        <f t="shared" si="4"/>
        <v>42000</v>
      </c>
      <c r="J122">
        <f t="shared" si="5"/>
        <v>420000</v>
      </c>
    </row>
    <row r="123" spans="1:10" x14ac:dyDescent="0.45">
      <c r="A123" t="s">
        <v>4262</v>
      </c>
      <c r="B123" s="1">
        <v>45663</v>
      </c>
      <c r="C123" t="s">
        <v>33</v>
      </c>
      <c r="D123" t="s">
        <v>3994</v>
      </c>
      <c r="E123">
        <v>2500</v>
      </c>
      <c r="F123" s="3">
        <v>8</v>
      </c>
      <c r="G123">
        <f t="shared" si="3"/>
        <v>20000</v>
      </c>
      <c r="H123" t="s">
        <v>21</v>
      </c>
      <c r="I123">
        <f t="shared" si="4"/>
        <v>3000</v>
      </c>
      <c r="J123">
        <f t="shared" si="5"/>
        <v>24000</v>
      </c>
    </row>
    <row r="124" spans="1:10" x14ac:dyDescent="0.45">
      <c r="A124" t="s">
        <v>4290</v>
      </c>
      <c r="B124" s="1">
        <v>45663</v>
      </c>
      <c r="C124" t="s">
        <v>5009</v>
      </c>
      <c r="D124" t="s">
        <v>3982</v>
      </c>
      <c r="E124">
        <v>13000</v>
      </c>
      <c r="F124" s="3">
        <v>1</v>
      </c>
      <c r="G124">
        <f t="shared" si="3"/>
        <v>13000</v>
      </c>
      <c r="H124" t="s">
        <v>21</v>
      </c>
      <c r="I124">
        <f t="shared" si="4"/>
        <v>15600</v>
      </c>
      <c r="J124">
        <f t="shared" si="5"/>
        <v>15600</v>
      </c>
    </row>
    <row r="125" spans="1:10" x14ac:dyDescent="0.45">
      <c r="A125" t="s">
        <v>4373</v>
      </c>
      <c r="B125" s="1">
        <v>45663</v>
      </c>
      <c r="C125" t="s">
        <v>5008</v>
      </c>
      <c r="D125" t="s">
        <v>3996</v>
      </c>
      <c r="E125">
        <v>2000</v>
      </c>
      <c r="F125" s="3">
        <v>4</v>
      </c>
      <c r="G125">
        <f t="shared" si="3"/>
        <v>8000</v>
      </c>
      <c r="H125" t="s">
        <v>21</v>
      </c>
      <c r="I125">
        <f t="shared" si="4"/>
        <v>2400</v>
      </c>
      <c r="J125">
        <f t="shared" si="5"/>
        <v>9600</v>
      </c>
    </row>
    <row r="126" spans="1:10" x14ac:dyDescent="0.45">
      <c r="A126" t="s">
        <v>4392</v>
      </c>
      <c r="B126" s="1">
        <v>45663</v>
      </c>
      <c r="C126" t="s">
        <v>4007</v>
      </c>
      <c r="D126" t="s">
        <v>3999</v>
      </c>
      <c r="E126">
        <v>50000</v>
      </c>
      <c r="F126" s="3">
        <v>5</v>
      </c>
      <c r="G126">
        <f t="shared" si="3"/>
        <v>250000</v>
      </c>
      <c r="H126" t="s">
        <v>17</v>
      </c>
      <c r="I126">
        <f t="shared" si="4"/>
        <v>60000</v>
      </c>
      <c r="J126">
        <f t="shared" si="5"/>
        <v>300000</v>
      </c>
    </row>
    <row r="127" spans="1:10" x14ac:dyDescent="0.45">
      <c r="A127" t="s">
        <v>4705</v>
      </c>
      <c r="B127" s="1">
        <v>45663</v>
      </c>
      <c r="C127" t="s">
        <v>33</v>
      </c>
      <c r="D127" t="s">
        <v>4001</v>
      </c>
      <c r="E127">
        <v>500</v>
      </c>
      <c r="F127" s="3">
        <v>4</v>
      </c>
      <c r="G127">
        <f t="shared" si="3"/>
        <v>2000</v>
      </c>
      <c r="H127" t="s">
        <v>21</v>
      </c>
      <c r="I127">
        <f t="shared" si="4"/>
        <v>600</v>
      </c>
      <c r="J127">
        <f t="shared" si="5"/>
        <v>2400</v>
      </c>
    </row>
    <row r="128" spans="1:10" x14ac:dyDescent="0.45">
      <c r="A128" t="s">
        <v>4711</v>
      </c>
      <c r="B128" s="1">
        <v>45663</v>
      </c>
      <c r="C128" t="s">
        <v>3977</v>
      </c>
      <c r="D128" t="s">
        <v>4002</v>
      </c>
      <c r="E128">
        <v>2500</v>
      </c>
      <c r="F128" s="3">
        <v>9</v>
      </c>
      <c r="G128">
        <f t="shared" si="3"/>
        <v>22500</v>
      </c>
      <c r="H128" t="s">
        <v>17</v>
      </c>
      <c r="I128">
        <f t="shared" si="4"/>
        <v>3000</v>
      </c>
      <c r="J128">
        <f t="shared" si="5"/>
        <v>27000</v>
      </c>
    </row>
    <row r="129" spans="1:10" x14ac:dyDescent="0.45">
      <c r="A129" t="s">
        <v>4877</v>
      </c>
      <c r="B129" s="1">
        <v>45663</v>
      </c>
      <c r="C129" t="s">
        <v>5009</v>
      </c>
      <c r="D129" t="s">
        <v>4004</v>
      </c>
      <c r="E129">
        <v>15000</v>
      </c>
      <c r="F129" s="3">
        <v>4</v>
      </c>
      <c r="G129">
        <f t="shared" si="3"/>
        <v>60000</v>
      </c>
      <c r="H129" t="s">
        <v>17</v>
      </c>
      <c r="I129">
        <f t="shared" si="4"/>
        <v>18000</v>
      </c>
      <c r="J129">
        <f t="shared" si="5"/>
        <v>72000</v>
      </c>
    </row>
    <row r="130" spans="1:10" x14ac:dyDescent="0.45">
      <c r="A130" t="s">
        <v>4963</v>
      </c>
      <c r="B130" s="1">
        <v>45663</v>
      </c>
      <c r="C130" t="s">
        <v>5008</v>
      </c>
      <c r="D130" t="s">
        <v>4003</v>
      </c>
      <c r="E130">
        <v>10000</v>
      </c>
      <c r="F130" s="3">
        <v>7</v>
      </c>
      <c r="G130">
        <f t="shared" ref="G130:G193" si="6">E130*F130</f>
        <v>70000</v>
      </c>
      <c r="H130" t="s">
        <v>7</v>
      </c>
      <c r="I130">
        <f t="shared" ref="I130:I193" si="7">E130*1.2</f>
        <v>12000</v>
      </c>
      <c r="J130">
        <f t="shared" ref="J130:J193" si="8">I130*F130</f>
        <v>84000</v>
      </c>
    </row>
    <row r="131" spans="1:10" x14ac:dyDescent="0.45">
      <c r="A131" t="s">
        <v>75</v>
      </c>
      <c r="B131" s="1">
        <v>45664</v>
      </c>
      <c r="C131" t="s">
        <v>12</v>
      </c>
      <c r="D131" t="s">
        <v>5021</v>
      </c>
      <c r="E131">
        <v>2880</v>
      </c>
      <c r="F131">
        <v>4</v>
      </c>
      <c r="G131">
        <f t="shared" si="6"/>
        <v>11520</v>
      </c>
      <c r="H131" t="s">
        <v>21</v>
      </c>
      <c r="I131">
        <f t="shared" si="7"/>
        <v>3456</v>
      </c>
      <c r="J131">
        <f t="shared" si="8"/>
        <v>13824</v>
      </c>
    </row>
    <row r="132" spans="1:10" x14ac:dyDescent="0.45">
      <c r="A132" t="s">
        <v>76</v>
      </c>
      <c r="B132" s="1">
        <v>45664</v>
      </c>
      <c r="C132" t="s">
        <v>33</v>
      </c>
      <c r="D132" t="s">
        <v>34</v>
      </c>
      <c r="E132">
        <v>1700</v>
      </c>
      <c r="F132">
        <v>8</v>
      </c>
      <c r="G132">
        <f t="shared" si="6"/>
        <v>13600</v>
      </c>
      <c r="H132" t="s">
        <v>21</v>
      </c>
      <c r="I132">
        <f t="shared" si="7"/>
        <v>2040</v>
      </c>
      <c r="J132">
        <f t="shared" si="8"/>
        <v>16320</v>
      </c>
    </row>
    <row r="133" spans="1:10" x14ac:dyDescent="0.45">
      <c r="A133" t="s">
        <v>77</v>
      </c>
      <c r="B133" s="1">
        <v>45664</v>
      </c>
      <c r="C133" t="s">
        <v>33</v>
      </c>
      <c r="D133" t="s">
        <v>16</v>
      </c>
      <c r="E133">
        <v>1200</v>
      </c>
      <c r="F133">
        <v>10</v>
      </c>
      <c r="G133">
        <f t="shared" si="6"/>
        <v>12000</v>
      </c>
      <c r="H133" t="s">
        <v>21</v>
      </c>
      <c r="I133">
        <f t="shared" si="7"/>
        <v>1440</v>
      </c>
      <c r="J133">
        <f t="shared" si="8"/>
        <v>14400</v>
      </c>
    </row>
    <row r="134" spans="1:10" x14ac:dyDescent="0.45">
      <c r="A134" t="s">
        <v>78</v>
      </c>
      <c r="B134" s="1">
        <v>45664</v>
      </c>
      <c r="C134" t="s">
        <v>9</v>
      </c>
      <c r="D134" t="s">
        <v>25</v>
      </c>
      <c r="E134">
        <v>5200</v>
      </c>
      <c r="F134">
        <v>1</v>
      </c>
      <c r="G134">
        <f t="shared" si="6"/>
        <v>5200</v>
      </c>
      <c r="H134" t="s">
        <v>17</v>
      </c>
      <c r="I134">
        <f t="shared" si="7"/>
        <v>6240</v>
      </c>
      <c r="J134">
        <f t="shared" si="8"/>
        <v>6240</v>
      </c>
    </row>
    <row r="135" spans="1:10" x14ac:dyDescent="0.45">
      <c r="A135" t="s">
        <v>79</v>
      </c>
      <c r="B135" s="1">
        <v>45664</v>
      </c>
      <c r="C135" t="s">
        <v>33</v>
      </c>
      <c r="D135" t="s">
        <v>42</v>
      </c>
      <c r="E135">
        <v>6900</v>
      </c>
      <c r="F135">
        <v>10</v>
      </c>
      <c r="G135">
        <f t="shared" si="6"/>
        <v>69000</v>
      </c>
      <c r="H135" t="s">
        <v>7</v>
      </c>
      <c r="I135">
        <f t="shared" si="7"/>
        <v>8280</v>
      </c>
      <c r="J135">
        <f t="shared" si="8"/>
        <v>82800</v>
      </c>
    </row>
    <row r="136" spans="1:10" x14ac:dyDescent="0.45">
      <c r="A136" t="s">
        <v>80</v>
      </c>
      <c r="B136" s="1">
        <v>45664</v>
      </c>
      <c r="C136" t="s">
        <v>12</v>
      </c>
      <c r="D136" t="s">
        <v>5020</v>
      </c>
      <c r="E136">
        <v>2880</v>
      </c>
      <c r="F136">
        <v>1</v>
      </c>
      <c r="G136">
        <f t="shared" si="6"/>
        <v>2880</v>
      </c>
      <c r="H136" t="s">
        <v>17</v>
      </c>
      <c r="I136">
        <f t="shared" si="7"/>
        <v>3456</v>
      </c>
      <c r="J136">
        <f t="shared" si="8"/>
        <v>3456</v>
      </c>
    </row>
    <row r="137" spans="1:10" x14ac:dyDescent="0.45">
      <c r="A137" t="s">
        <v>81</v>
      </c>
      <c r="B137" s="1">
        <v>45664</v>
      </c>
      <c r="C137" t="s">
        <v>9</v>
      </c>
      <c r="D137" t="s">
        <v>19</v>
      </c>
      <c r="E137">
        <v>3000</v>
      </c>
      <c r="F137">
        <v>8</v>
      </c>
      <c r="G137">
        <f t="shared" si="6"/>
        <v>24000</v>
      </c>
      <c r="H137" t="s">
        <v>21</v>
      </c>
      <c r="I137">
        <f t="shared" si="7"/>
        <v>3600</v>
      </c>
      <c r="J137">
        <f t="shared" si="8"/>
        <v>28800</v>
      </c>
    </row>
    <row r="138" spans="1:10" x14ac:dyDescent="0.45">
      <c r="A138" t="s">
        <v>82</v>
      </c>
      <c r="B138" s="1">
        <v>45664</v>
      </c>
      <c r="C138" t="s">
        <v>9</v>
      </c>
      <c r="D138" t="s">
        <v>19</v>
      </c>
      <c r="E138">
        <v>3000</v>
      </c>
      <c r="F138">
        <v>8</v>
      </c>
      <c r="G138">
        <f t="shared" si="6"/>
        <v>24000</v>
      </c>
      <c r="H138" t="s">
        <v>7</v>
      </c>
      <c r="I138">
        <f t="shared" si="7"/>
        <v>3600</v>
      </c>
      <c r="J138">
        <f t="shared" si="8"/>
        <v>28800</v>
      </c>
    </row>
    <row r="139" spans="1:10" x14ac:dyDescent="0.45">
      <c r="A139" t="s">
        <v>83</v>
      </c>
      <c r="B139" s="1">
        <v>45664</v>
      </c>
      <c r="C139" t="s">
        <v>33</v>
      </c>
      <c r="D139" t="s">
        <v>16</v>
      </c>
      <c r="E139">
        <v>1200</v>
      </c>
      <c r="F139">
        <v>4</v>
      </c>
      <c r="G139">
        <f t="shared" si="6"/>
        <v>4800</v>
      </c>
      <c r="H139" t="s">
        <v>17</v>
      </c>
      <c r="I139">
        <f t="shared" si="7"/>
        <v>1440</v>
      </c>
      <c r="J139">
        <f t="shared" si="8"/>
        <v>5760</v>
      </c>
    </row>
    <row r="140" spans="1:10" x14ac:dyDescent="0.45">
      <c r="A140" t="s">
        <v>3039</v>
      </c>
      <c r="B140" s="1">
        <v>45664</v>
      </c>
      <c r="C140" t="s">
        <v>4007</v>
      </c>
      <c r="D140" t="s">
        <v>2773</v>
      </c>
      <c r="E140">
        <v>3300</v>
      </c>
      <c r="F140">
        <v>4</v>
      </c>
      <c r="G140">
        <f t="shared" si="6"/>
        <v>13200</v>
      </c>
      <c r="H140" t="s">
        <v>17</v>
      </c>
      <c r="I140">
        <f t="shared" si="7"/>
        <v>3960</v>
      </c>
      <c r="J140">
        <f t="shared" si="8"/>
        <v>15840</v>
      </c>
    </row>
    <row r="141" spans="1:10" x14ac:dyDescent="0.45">
      <c r="A141" t="s">
        <v>3366</v>
      </c>
      <c r="B141" s="1">
        <v>45664</v>
      </c>
      <c r="C141" t="s">
        <v>4007</v>
      </c>
      <c r="D141" t="s">
        <v>2776</v>
      </c>
      <c r="E141">
        <v>3600</v>
      </c>
      <c r="F141">
        <v>9</v>
      </c>
      <c r="G141">
        <f t="shared" si="6"/>
        <v>32400</v>
      </c>
      <c r="H141" t="s">
        <v>7</v>
      </c>
      <c r="I141">
        <f t="shared" si="7"/>
        <v>4320</v>
      </c>
      <c r="J141">
        <f t="shared" si="8"/>
        <v>38880</v>
      </c>
    </row>
    <row r="142" spans="1:10" x14ac:dyDescent="0.45">
      <c r="A142" t="s">
        <v>3406</v>
      </c>
      <c r="B142" s="1">
        <v>45664</v>
      </c>
      <c r="C142" t="s">
        <v>33</v>
      </c>
      <c r="D142" t="s">
        <v>14</v>
      </c>
      <c r="E142">
        <v>800</v>
      </c>
      <c r="F142">
        <v>10</v>
      </c>
      <c r="G142">
        <f t="shared" si="6"/>
        <v>8000</v>
      </c>
      <c r="H142" t="s">
        <v>7</v>
      </c>
      <c r="I142">
        <f t="shared" si="7"/>
        <v>960</v>
      </c>
      <c r="J142">
        <f t="shared" si="8"/>
        <v>9600</v>
      </c>
    </row>
    <row r="143" spans="1:10" x14ac:dyDescent="0.45">
      <c r="A143" t="s">
        <v>3505</v>
      </c>
      <c r="B143" s="1">
        <v>45664</v>
      </c>
      <c r="C143" t="s">
        <v>33</v>
      </c>
      <c r="D143" t="s">
        <v>34</v>
      </c>
      <c r="E143">
        <v>1700</v>
      </c>
      <c r="F143">
        <v>3</v>
      </c>
      <c r="G143">
        <f t="shared" si="6"/>
        <v>5100</v>
      </c>
      <c r="H143" t="s">
        <v>17</v>
      </c>
      <c r="I143">
        <f t="shared" si="7"/>
        <v>2040</v>
      </c>
      <c r="J143">
        <f t="shared" si="8"/>
        <v>6120</v>
      </c>
    </row>
    <row r="144" spans="1:10" x14ac:dyDescent="0.45">
      <c r="A144" t="s">
        <v>3613</v>
      </c>
      <c r="B144" s="1">
        <v>45664</v>
      </c>
      <c r="C144" t="s">
        <v>33</v>
      </c>
      <c r="D144" t="s">
        <v>14</v>
      </c>
      <c r="E144">
        <v>800</v>
      </c>
      <c r="F144">
        <v>5</v>
      </c>
      <c r="G144">
        <f t="shared" si="6"/>
        <v>4000</v>
      </c>
      <c r="H144" t="s">
        <v>7</v>
      </c>
      <c r="I144">
        <f t="shared" si="7"/>
        <v>960</v>
      </c>
      <c r="J144">
        <f t="shared" si="8"/>
        <v>4800</v>
      </c>
    </row>
    <row r="145" spans="1:10" x14ac:dyDescent="0.45">
      <c r="A145" t="s">
        <v>3963</v>
      </c>
      <c r="B145" s="1">
        <v>45664</v>
      </c>
      <c r="C145" t="s">
        <v>4007</v>
      </c>
      <c r="D145" t="s">
        <v>2774</v>
      </c>
      <c r="E145">
        <v>1900</v>
      </c>
      <c r="F145">
        <v>10</v>
      </c>
      <c r="G145">
        <f t="shared" si="6"/>
        <v>19000</v>
      </c>
      <c r="H145" t="s">
        <v>7</v>
      </c>
      <c r="I145">
        <f t="shared" si="7"/>
        <v>2280</v>
      </c>
      <c r="J145">
        <f t="shared" si="8"/>
        <v>22800</v>
      </c>
    </row>
    <row r="146" spans="1:10" x14ac:dyDescent="0.45">
      <c r="A146" t="s">
        <v>4043</v>
      </c>
      <c r="B146" s="1">
        <v>45664</v>
      </c>
      <c r="C146" t="s">
        <v>5009</v>
      </c>
      <c r="D146" t="s">
        <v>3992</v>
      </c>
      <c r="E146">
        <v>400</v>
      </c>
      <c r="F146" s="3">
        <v>1</v>
      </c>
      <c r="G146">
        <f t="shared" si="6"/>
        <v>400</v>
      </c>
      <c r="H146" t="s">
        <v>7</v>
      </c>
      <c r="I146">
        <f t="shared" si="7"/>
        <v>480</v>
      </c>
      <c r="J146">
        <f t="shared" si="8"/>
        <v>480</v>
      </c>
    </row>
    <row r="147" spans="1:10" x14ac:dyDescent="0.45">
      <c r="A147" t="s">
        <v>4075</v>
      </c>
      <c r="B147" s="1">
        <v>45664</v>
      </c>
      <c r="C147" t="s">
        <v>5008</v>
      </c>
      <c r="D147" t="s">
        <v>4003</v>
      </c>
      <c r="E147">
        <v>10000</v>
      </c>
      <c r="F147" s="3">
        <v>6</v>
      </c>
      <c r="G147">
        <f t="shared" si="6"/>
        <v>60000</v>
      </c>
      <c r="H147" t="s">
        <v>17</v>
      </c>
      <c r="I147">
        <f t="shared" si="7"/>
        <v>12000</v>
      </c>
      <c r="J147">
        <f t="shared" si="8"/>
        <v>72000</v>
      </c>
    </row>
    <row r="148" spans="1:10" x14ac:dyDescent="0.45">
      <c r="A148" t="s">
        <v>4256</v>
      </c>
      <c r="B148" s="1">
        <v>45664</v>
      </c>
      <c r="C148" t="s">
        <v>3979</v>
      </c>
      <c r="D148" t="s">
        <v>3980</v>
      </c>
      <c r="E148">
        <v>500</v>
      </c>
      <c r="F148" s="3">
        <v>4</v>
      </c>
      <c r="G148">
        <f t="shared" si="6"/>
        <v>2000</v>
      </c>
      <c r="H148" t="s">
        <v>17</v>
      </c>
      <c r="I148">
        <f t="shared" si="7"/>
        <v>600</v>
      </c>
      <c r="J148">
        <f t="shared" si="8"/>
        <v>2400</v>
      </c>
    </row>
    <row r="149" spans="1:10" x14ac:dyDescent="0.45">
      <c r="A149" t="s">
        <v>4280</v>
      </c>
      <c r="B149" s="1">
        <v>45664</v>
      </c>
      <c r="C149" t="s">
        <v>33</v>
      </c>
      <c r="D149" t="s">
        <v>3994</v>
      </c>
      <c r="E149">
        <v>2500</v>
      </c>
      <c r="F149" s="3">
        <v>9</v>
      </c>
      <c r="G149">
        <f t="shared" si="6"/>
        <v>22500</v>
      </c>
      <c r="H149" t="s">
        <v>21</v>
      </c>
      <c r="I149">
        <f t="shared" si="7"/>
        <v>3000</v>
      </c>
      <c r="J149">
        <f t="shared" si="8"/>
        <v>27000</v>
      </c>
    </row>
    <row r="150" spans="1:10" x14ac:dyDescent="0.45">
      <c r="A150" t="s">
        <v>4283</v>
      </c>
      <c r="B150" s="1">
        <v>45664</v>
      </c>
      <c r="C150" t="s">
        <v>5008</v>
      </c>
      <c r="D150" t="s">
        <v>4003</v>
      </c>
      <c r="E150">
        <v>10000</v>
      </c>
      <c r="F150" s="3">
        <v>7</v>
      </c>
      <c r="G150">
        <f t="shared" si="6"/>
        <v>70000</v>
      </c>
      <c r="H150" t="s">
        <v>21</v>
      </c>
      <c r="I150">
        <f t="shared" si="7"/>
        <v>12000</v>
      </c>
      <c r="J150">
        <f t="shared" si="8"/>
        <v>84000</v>
      </c>
    </row>
    <row r="151" spans="1:10" x14ac:dyDescent="0.45">
      <c r="A151" t="s">
        <v>4284</v>
      </c>
      <c r="B151" s="1">
        <v>45664</v>
      </c>
      <c r="C151" t="s">
        <v>33</v>
      </c>
      <c r="D151" t="s">
        <v>3994</v>
      </c>
      <c r="E151">
        <v>2500</v>
      </c>
      <c r="F151" s="3">
        <v>10</v>
      </c>
      <c r="G151">
        <f t="shared" si="6"/>
        <v>25000</v>
      </c>
      <c r="H151" t="s">
        <v>21</v>
      </c>
      <c r="I151">
        <f t="shared" si="7"/>
        <v>3000</v>
      </c>
      <c r="J151">
        <f t="shared" si="8"/>
        <v>30000</v>
      </c>
    </row>
    <row r="152" spans="1:10" x14ac:dyDescent="0.45">
      <c r="A152" t="s">
        <v>4363</v>
      </c>
      <c r="B152" s="1">
        <v>45664</v>
      </c>
      <c r="C152" t="s">
        <v>4007</v>
      </c>
      <c r="D152" t="s">
        <v>3999</v>
      </c>
      <c r="E152">
        <v>50000</v>
      </c>
      <c r="F152" s="3">
        <v>4</v>
      </c>
      <c r="G152">
        <f t="shared" si="6"/>
        <v>200000</v>
      </c>
      <c r="H152" t="s">
        <v>7</v>
      </c>
      <c r="I152">
        <f t="shared" si="7"/>
        <v>60000</v>
      </c>
      <c r="J152">
        <f t="shared" si="8"/>
        <v>240000</v>
      </c>
    </row>
    <row r="153" spans="1:10" x14ac:dyDescent="0.45">
      <c r="A153" t="s">
        <v>4555</v>
      </c>
      <c r="B153" s="1">
        <v>45664</v>
      </c>
      <c r="C153" t="s">
        <v>5009</v>
      </c>
      <c r="D153" t="s">
        <v>3982</v>
      </c>
      <c r="E153">
        <v>13000</v>
      </c>
      <c r="F153" s="3">
        <v>9</v>
      </c>
      <c r="G153">
        <f t="shared" si="6"/>
        <v>117000</v>
      </c>
      <c r="H153" t="s">
        <v>21</v>
      </c>
      <c r="I153">
        <f t="shared" si="7"/>
        <v>15600</v>
      </c>
      <c r="J153">
        <f t="shared" si="8"/>
        <v>140400</v>
      </c>
    </row>
    <row r="154" spans="1:10" x14ac:dyDescent="0.45">
      <c r="A154" t="s">
        <v>4588</v>
      </c>
      <c r="B154" s="1">
        <v>45664</v>
      </c>
      <c r="C154" t="s">
        <v>4007</v>
      </c>
      <c r="D154" t="s">
        <v>3999</v>
      </c>
      <c r="E154">
        <v>50000</v>
      </c>
      <c r="F154" s="3">
        <v>3</v>
      </c>
      <c r="G154">
        <f t="shared" si="6"/>
        <v>150000</v>
      </c>
      <c r="H154" t="s">
        <v>7</v>
      </c>
      <c r="I154">
        <f t="shared" si="7"/>
        <v>60000</v>
      </c>
      <c r="J154">
        <f t="shared" si="8"/>
        <v>180000</v>
      </c>
    </row>
    <row r="155" spans="1:10" x14ac:dyDescent="0.45">
      <c r="A155" t="s">
        <v>84</v>
      </c>
      <c r="B155" s="1">
        <v>45665</v>
      </c>
      <c r="C155" t="s">
        <v>33</v>
      </c>
      <c r="D155" t="s">
        <v>14</v>
      </c>
      <c r="E155">
        <v>800</v>
      </c>
      <c r="F155">
        <v>8</v>
      </c>
      <c r="G155">
        <f t="shared" si="6"/>
        <v>6400</v>
      </c>
      <c r="H155" t="s">
        <v>21</v>
      </c>
      <c r="I155">
        <f t="shared" si="7"/>
        <v>960</v>
      </c>
      <c r="J155">
        <f t="shared" si="8"/>
        <v>7680</v>
      </c>
    </row>
    <row r="156" spans="1:10" x14ac:dyDescent="0.45">
      <c r="A156" t="s">
        <v>85</v>
      </c>
      <c r="B156" s="1">
        <v>45665</v>
      </c>
      <c r="C156" t="s">
        <v>33</v>
      </c>
      <c r="D156" t="s">
        <v>42</v>
      </c>
      <c r="E156">
        <v>6900</v>
      </c>
      <c r="F156">
        <v>1</v>
      </c>
      <c r="G156">
        <f t="shared" si="6"/>
        <v>6900</v>
      </c>
      <c r="H156" t="s">
        <v>7</v>
      </c>
      <c r="I156">
        <f t="shared" si="7"/>
        <v>8280</v>
      </c>
      <c r="J156">
        <f t="shared" si="8"/>
        <v>8280</v>
      </c>
    </row>
    <row r="157" spans="1:10" x14ac:dyDescent="0.45">
      <c r="A157" t="s">
        <v>86</v>
      </c>
      <c r="B157" s="1">
        <v>45665</v>
      </c>
      <c r="C157" t="s">
        <v>33</v>
      </c>
      <c r="D157" t="s">
        <v>42</v>
      </c>
      <c r="E157">
        <v>6900</v>
      </c>
      <c r="F157">
        <v>10</v>
      </c>
      <c r="G157">
        <f t="shared" si="6"/>
        <v>69000</v>
      </c>
      <c r="H157" t="s">
        <v>17</v>
      </c>
      <c r="I157">
        <f t="shared" si="7"/>
        <v>8280</v>
      </c>
      <c r="J157">
        <f t="shared" si="8"/>
        <v>82800</v>
      </c>
    </row>
    <row r="158" spans="1:10" x14ac:dyDescent="0.45">
      <c r="A158" t="s">
        <v>87</v>
      </c>
      <c r="B158" s="1">
        <v>45665</v>
      </c>
      <c r="C158" t="s">
        <v>33</v>
      </c>
      <c r="D158" t="s">
        <v>14</v>
      </c>
      <c r="E158">
        <v>800</v>
      </c>
      <c r="F158">
        <v>9</v>
      </c>
      <c r="G158">
        <f t="shared" si="6"/>
        <v>7200</v>
      </c>
      <c r="H158" t="s">
        <v>17</v>
      </c>
      <c r="I158">
        <f t="shared" si="7"/>
        <v>960</v>
      </c>
      <c r="J158">
        <f t="shared" si="8"/>
        <v>8640</v>
      </c>
    </row>
    <row r="159" spans="1:10" x14ac:dyDescent="0.45">
      <c r="A159" t="s">
        <v>88</v>
      </c>
      <c r="B159" s="1">
        <v>45665</v>
      </c>
      <c r="C159" t="s">
        <v>12</v>
      </c>
      <c r="D159" t="s">
        <v>5021</v>
      </c>
      <c r="E159">
        <v>2880</v>
      </c>
      <c r="F159">
        <v>9</v>
      </c>
      <c r="G159">
        <f t="shared" si="6"/>
        <v>25920</v>
      </c>
      <c r="H159" t="s">
        <v>7</v>
      </c>
      <c r="I159">
        <f t="shared" si="7"/>
        <v>3456</v>
      </c>
      <c r="J159">
        <f t="shared" si="8"/>
        <v>31104</v>
      </c>
    </row>
    <row r="160" spans="1:10" x14ac:dyDescent="0.45">
      <c r="A160" t="s">
        <v>89</v>
      </c>
      <c r="B160" s="1">
        <v>45665</v>
      </c>
      <c r="C160" t="s">
        <v>33</v>
      </c>
      <c r="D160" t="s">
        <v>42</v>
      </c>
      <c r="E160">
        <v>6900</v>
      </c>
      <c r="F160">
        <v>8</v>
      </c>
      <c r="G160">
        <f t="shared" si="6"/>
        <v>55200</v>
      </c>
      <c r="H160" t="s">
        <v>21</v>
      </c>
      <c r="I160">
        <f t="shared" si="7"/>
        <v>8280</v>
      </c>
      <c r="J160">
        <f t="shared" si="8"/>
        <v>66240</v>
      </c>
    </row>
    <row r="161" spans="1:10" x14ac:dyDescent="0.45">
      <c r="A161" t="s">
        <v>90</v>
      </c>
      <c r="B161" s="1">
        <v>45665</v>
      </c>
      <c r="C161" t="s">
        <v>33</v>
      </c>
      <c r="D161" t="s">
        <v>34</v>
      </c>
      <c r="E161">
        <v>1700</v>
      </c>
      <c r="F161">
        <v>5</v>
      </c>
      <c r="G161">
        <f t="shared" si="6"/>
        <v>8500</v>
      </c>
      <c r="H161" t="s">
        <v>7</v>
      </c>
      <c r="I161">
        <f t="shared" si="7"/>
        <v>2040</v>
      </c>
      <c r="J161">
        <f t="shared" si="8"/>
        <v>10200</v>
      </c>
    </row>
    <row r="162" spans="1:10" x14ac:dyDescent="0.45">
      <c r="A162" t="s">
        <v>91</v>
      </c>
      <c r="B162" s="1">
        <v>45665</v>
      </c>
      <c r="C162" t="s">
        <v>9</v>
      </c>
      <c r="D162" t="s">
        <v>19</v>
      </c>
      <c r="E162">
        <v>3000</v>
      </c>
      <c r="F162">
        <v>4</v>
      </c>
      <c r="G162">
        <f t="shared" si="6"/>
        <v>12000</v>
      </c>
      <c r="H162" t="s">
        <v>17</v>
      </c>
      <c r="I162">
        <f t="shared" si="7"/>
        <v>3600</v>
      </c>
      <c r="J162">
        <f t="shared" si="8"/>
        <v>14400</v>
      </c>
    </row>
    <row r="163" spans="1:10" x14ac:dyDescent="0.45">
      <c r="A163" t="s">
        <v>92</v>
      </c>
      <c r="B163" s="1">
        <v>45665</v>
      </c>
      <c r="C163" t="s">
        <v>33</v>
      </c>
      <c r="D163" t="s">
        <v>34</v>
      </c>
      <c r="E163">
        <v>1700</v>
      </c>
      <c r="F163">
        <v>1</v>
      </c>
      <c r="G163">
        <f t="shared" si="6"/>
        <v>1700</v>
      </c>
      <c r="H163" t="s">
        <v>7</v>
      </c>
      <c r="I163">
        <f t="shared" si="7"/>
        <v>2040</v>
      </c>
      <c r="J163">
        <f t="shared" si="8"/>
        <v>2040</v>
      </c>
    </row>
    <row r="164" spans="1:10" x14ac:dyDescent="0.45">
      <c r="A164" t="s">
        <v>93</v>
      </c>
      <c r="B164" s="1">
        <v>45665</v>
      </c>
      <c r="C164" t="s">
        <v>9</v>
      </c>
      <c r="D164" t="s">
        <v>10</v>
      </c>
      <c r="E164">
        <v>400</v>
      </c>
      <c r="F164">
        <v>3</v>
      </c>
      <c r="G164">
        <f t="shared" si="6"/>
        <v>1200</v>
      </c>
      <c r="H164" t="s">
        <v>7</v>
      </c>
      <c r="I164">
        <f t="shared" si="7"/>
        <v>480</v>
      </c>
      <c r="J164">
        <f t="shared" si="8"/>
        <v>1440</v>
      </c>
    </row>
    <row r="165" spans="1:10" x14ac:dyDescent="0.45">
      <c r="A165" t="s">
        <v>2829</v>
      </c>
      <c r="B165" s="1">
        <v>45665</v>
      </c>
      <c r="C165" t="s">
        <v>4007</v>
      </c>
      <c r="D165" t="s">
        <v>5015</v>
      </c>
      <c r="E165">
        <v>48000</v>
      </c>
      <c r="F165">
        <v>5</v>
      </c>
      <c r="G165">
        <f t="shared" si="6"/>
        <v>240000</v>
      </c>
      <c r="H165" t="s">
        <v>21</v>
      </c>
      <c r="I165">
        <f t="shared" si="7"/>
        <v>57600</v>
      </c>
      <c r="J165">
        <f t="shared" si="8"/>
        <v>288000</v>
      </c>
    </row>
    <row r="166" spans="1:10" x14ac:dyDescent="0.45">
      <c r="A166" t="s">
        <v>2847</v>
      </c>
      <c r="B166" s="1">
        <v>45665</v>
      </c>
      <c r="C166" t="s">
        <v>33</v>
      </c>
      <c r="D166" t="s">
        <v>34</v>
      </c>
      <c r="E166">
        <v>1700</v>
      </c>
      <c r="F166">
        <v>4</v>
      </c>
      <c r="G166">
        <f t="shared" si="6"/>
        <v>6800</v>
      </c>
      <c r="H166" t="s">
        <v>17</v>
      </c>
      <c r="I166">
        <f t="shared" si="7"/>
        <v>2040</v>
      </c>
      <c r="J166">
        <f t="shared" si="8"/>
        <v>8160</v>
      </c>
    </row>
    <row r="167" spans="1:10" x14ac:dyDescent="0.45">
      <c r="A167" t="s">
        <v>3157</v>
      </c>
      <c r="B167" s="1">
        <v>45665</v>
      </c>
      <c r="C167" t="s">
        <v>4007</v>
      </c>
      <c r="D167" t="s">
        <v>2774</v>
      </c>
      <c r="E167">
        <v>1900</v>
      </c>
      <c r="F167">
        <v>8</v>
      </c>
      <c r="G167">
        <f t="shared" si="6"/>
        <v>15200</v>
      </c>
      <c r="H167" t="s">
        <v>21</v>
      </c>
      <c r="I167">
        <f t="shared" si="7"/>
        <v>2280</v>
      </c>
      <c r="J167">
        <f t="shared" si="8"/>
        <v>18240</v>
      </c>
    </row>
    <row r="168" spans="1:10" x14ac:dyDescent="0.45">
      <c r="A168" t="s">
        <v>3344</v>
      </c>
      <c r="B168" s="1">
        <v>45665</v>
      </c>
      <c r="C168" t="s">
        <v>33</v>
      </c>
      <c r="D168" t="s">
        <v>34</v>
      </c>
      <c r="E168">
        <v>1700</v>
      </c>
      <c r="F168">
        <v>4</v>
      </c>
      <c r="G168">
        <f t="shared" si="6"/>
        <v>6800</v>
      </c>
      <c r="H168" t="s">
        <v>17</v>
      </c>
      <c r="I168">
        <f t="shared" si="7"/>
        <v>2040</v>
      </c>
      <c r="J168">
        <f t="shared" si="8"/>
        <v>8160</v>
      </c>
    </row>
    <row r="169" spans="1:10" x14ac:dyDescent="0.45">
      <c r="A169" t="s">
        <v>3425</v>
      </c>
      <c r="B169" s="1">
        <v>45665</v>
      </c>
      <c r="C169" t="s">
        <v>4007</v>
      </c>
      <c r="D169" t="s">
        <v>2770</v>
      </c>
      <c r="E169">
        <v>600</v>
      </c>
      <c r="F169">
        <v>10</v>
      </c>
      <c r="G169">
        <f t="shared" si="6"/>
        <v>6000</v>
      </c>
      <c r="H169" t="s">
        <v>17</v>
      </c>
      <c r="I169">
        <f t="shared" si="7"/>
        <v>720</v>
      </c>
      <c r="J169">
        <f t="shared" si="8"/>
        <v>7200</v>
      </c>
    </row>
    <row r="170" spans="1:10" x14ac:dyDescent="0.45">
      <c r="A170" t="s">
        <v>3703</v>
      </c>
      <c r="B170" s="1">
        <v>45665</v>
      </c>
      <c r="C170" t="s">
        <v>4007</v>
      </c>
      <c r="D170" t="s">
        <v>2774</v>
      </c>
      <c r="E170">
        <v>1900</v>
      </c>
      <c r="F170">
        <v>3</v>
      </c>
      <c r="G170">
        <f t="shared" si="6"/>
        <v>5700</v>
      </c>
      <c r="H170" t="s">
        <v>7</v>
      </c>
      <c r="I170">
        <f t="shared" si="7"/>
        <v>2280</v>
      </c>
      <c r="J170">
        <f t="shared" si="8"/>
        <v>6840</v>
      </c>
    </row>
    <row r="171" spans="1:10" x14ac:dyDescent="0.45">
      <c r="A171" t="s">
        <v>3739</v>
      </c>
      <c r="B171" s="1">
        <v>45665</v>
      </c>
      <c r="C171" t="s">
        <v>4007</v>
      </c>
      <c r="D171" t="s">
        <v>28</v>
      </c>
      <c r="E171">
        <v>500</v>
      </c>
      <c r="F171">
        <v>3</v>
      </c>
      <c r="G171">
        <f t="shared" si="6"/>
        <v>1500</v>
      </c>
      <c r="H171" t="s">
        <v>7</v>
      </c>
      <c r="I171">
        <f t="shared" si="7"/>
        <v>600</v>
      </c>
      <c r="J171">
        <f t="shared" si="8"/>
        <v>1800</v>
      </c>
    </row>
    <row r="172" spans="1:10" x14ac:dyDescent="0.45">
      <c r="A172" t="s">
        <v>4135</v>
      </c>
      <c r="B172" s="1">
        <v>45665</v>
      </c>
      <c r="C172" t="s">
        <v>5008</v>
      </c>
      <c r="D172" t="s">
        <v>3995</v>
      </c>
      <c r="E172">
        <v>15000</v>
      </c>
      <c r="F172" s="3">
        <v>9</v>
      </c>
      <c r="G172">
        <f t="shared" si="6"/>
        <v>135000</v>
      </c>
      <c r="H172" t="s">
        <v>7</v>
      </c>
      <c r="I172">
        <f t="shared" si="7"/>
        <v>18000</v>
      </c>
      <c r="J172">
        <f t="shared" si="8"/>
        <v>162000</v>
      </c>
    </row>
    <row r="173" spans="1:10" x14ac:dyDescent="0.45">
      <c r="A173" t="s">
        <v>4136</v>
      </c>
      <c r="B173" s="1">
        <v>45665</v>
      </c>
      <c r="C173" t="s">
        <v>4007</v>
      </c>
      <c r="D173" t="s">
        <v>3997</v>
      </c>
      <c r="E173">
        <v>62000</v>
      </c>
      <c r="F173" s="3">
        <v>8</v>
      </c>
      <c r="G173">
        <f t="shared" si="6"/>
        <v>496000</v>
      </c>
      <c r="H173" t="s">
        <v>21</v>
      </c>
      <c r="I173">
        <f t="shared" si="7"/>
        <v>74400</v>
      </c>
      <c r="J173">
        <f t="shared" si="8"/>
        <v>595200</v>
      </c>
    </row>
    <row r="174" spans="1:10" x14ac:dyDescent="0.45">
      <c r="A174" t="s">
        <v>4275</v>
      </c>
      <c r="B174" s="1">
        <v>45665</v>
      </c>
      <c r="C174" t="s">
        <v>4007</v>
      </c>
      <c r="D174" t="s">
        <v>3999</v>
      </c>
      <c r="E174">
        <v>50000</v>
      </c>
      <c r="F174" s="3">
        <v>10</v>
      </c>
      <c r="G174">
        <f t="shared" si="6"/>
        <v>500000</v>
      </c>
      <c r="H174" t="s">
        <v>17</v>
      </c>
      <c r="I174">
        <f t="shared" si="7"/>
        <v>60000</v>
      </c>
      <c r="J174">
        <f t="shared" si="8"/>
        <v>600000</v>
      </c>
    </row>
    <row r="175" spans="1:10" x14ac:dyDescent="0.45">
      <c r="A175" t="s">
        <v>4424</v>
      </c>
      <c r="B175" s="1">
        <v>45665</v>
      </c>
      <c r="C175" t="s">
        <v>33</v>
      </c>
      <c r="D175" t="s">
        <v>3981</v>
      </c>
      <c r="E175">
        <v>4000</v>
      </c>
      <c r="F175" s="3">
        <v>4</v>
      </c>
      <c r="G175">
        <f t="shared" si="6"/>
        <v>16000</v>
      </c>
      <c r="H175" t="s">
        <v>21</v>
      </c>
      <c r="I175">
        <f t="shared" si="7"/>
        <v>4800</v>
      </c>
      <c r="J175">
        <f t="shared" si="8"/>
        <v>19200</v>
      </c>
    </row>
    <row r="176" spans="1:10" x14ac:dyDescent="0.45">
      <c r="A176" t="s">
        <v>4451</v>
      </c>
      <c r="B176" s="1">
        <v>45665</v>
      </c>
      <c r="C176" t="s">
        <v>5008</v>
      </c>
      <c r="D176" t="s">
        <v>3996</v>
      </c>
      <c r="E176">
        <v>2000</v>
      </c>
      <c r="F176" s="3">
        <v>1</v>
      </c>
      <c r="G176">
        <f t="shared" si="6"/>
        <v>2000</v>
      </c>
      <c r="H176" t="s">
        <v>21</v>
      </c>
      <c r="I176">
        <f t="shared" si="7"/>
        <v>2400</v>
      </c>
      <c r="J176">
        <f t="shared" si="8"/>
        <v>2400</v>
      </c>
    </row>
    <row r="177" spans="1:10" x14ac:dyDescent="0.45">
      <c r="A177" t="s">
        <v>4490</v>
      </c>
      <c r="B177" s="1">
        <v>45665</v>
      </c>
      <c r="C177" t="s">
        <v>5009</v>
      </c>
      <c r="D177" t="s">
        <v>4004</v>
      </c>
      <c r="E177">
        <v>15000</v>
      </c>
      <c r="F177" s="3">
        <v>5</v>
      </c>
      <c r="G177">
        <f t="shared" si="6"/>
        <v>75000</v>
      </c>
      <c r="H177" t="s">
        <v>17</v>
      </c>
      <c r="I177">
        <f t="shared" si="7"/>
        <v>18000</v>
      </c>
      <c r="J177">
        <f t="shared" si="8"/>
        <v>90000</v>
      </c>
    </row>
    <row r="178" spans="1:10" x14ac:dyDescent="0.45">
      <c r="A178" t="s">
        <v>4514</v>
      </c>
      <c r="B178" s="1">
        <v>45665</v>
      </c>
      <c r="C178" t="s">
        <v>5009</v>
      </c>
      <c r="D178" t="s">
        <v>3990</v>
      </c>
      <c r="E178">
        <v>2800</v>
      </c>
      <c r="F178" s="3">
        <v>3</v>
      </c>
      <c r="G178">
        <f t="shared" si="6"/>
        <v>8400</v>
      </c>
      <c r="H178" t="s">
        <v>17</v>
      </c>
      <c r="I178">
        <f t="shared" si="7"/>
        <v>3360</v>
      </c>
      <c r="J178">
        <f t="shared" si="8"/>
        <v>10080</v>
      </c>
    </row>
    <row r="179" spans="1:10" x14ac:dyDescent="0.45">
      <c r="A179" t="s">
        <v>4612</v>
      </c>
      <c r="B179" s="1">
        <v>45665</v>
      </c>
      <c r="C179" t="s">
        <v>5008</v>
      </c>
      <c r="D179" t="s">
        <v>3996</v>
      </c>
      <c r="E179">
        <v>2000</v>
      </c>
      <c r="F179" s="3">
        <v>7</v>
      </c>
      <c r="G179">
        <f t="shared" si="6"/>
        <v>14000</v>
      </c>
      <c r="H179" t="s">
        <v>17</v>
      </c>
      <c r="I179">
        <f t="shared" si="7"/>
        <v>2400</v>
      </c>
      <c r="J179">
        <f t="shared" si="8"/>
        <v>16800</v>
      </c>
    </row>
    <row r="180" spans="1:10" x14ac:dyDescent="0.45">
      <c r="A180" t="s">
        <v>4693</v>
      </c>
      <c r="B180" s="1">
        <v>45665</v>
      </c>
      <c r="C180" t="s">
        <v>33</v>
      </c>
      <c r="D180" t="s">
        <v>3994</v>
      </c>
      <c r="E180">
        <v>2500</v>
      </c>
      <c r="F180" s="3">
        <v>2</v>
      </c>
      <c r="G180">
        <f t="shared" si="6"/>
        <v>5000</v>
      </c>
      <c r="H180" t="s">
        <v>17</v>
      </c>
      <c r="I180">
        <f t="shared" si="7"/>
        <v>3000</v>
      </c>
      <c r="J180">
        <f t="shared" si="8"/>
        <v>6000</v>
      </c>
    </row>
    <row r="181" spans="1:10" x14ac:dyDescent="0.45">
      <c r="A181" t="s">
        <v>4694</v>
      </c>
      <c r="B181" s="1">
        <v>45665</v>
      </c>
      <c r="C181" t="s">
        <v>5009</v>
      </c>
      <c r="D181" t="s">
        <v>3992</v>
      </c>
      <c r="E181">
        <v>400</v>
      </c>
      <c r="F181" s="3">
        <v>2</v>
      </c>
      <c r="G181">
        <f t="shared" si="6"/>
        <v>800</v>
      </c>
      <c r="H181" t="s">
        <v>7</v>
      </c>
      <c r="I181">
        <f t="shared" si="7"/>
        <v>480</v>
      </c>
      <c r="J181">
        <f t="shared" si="8"/>
        <v>960</v>
      </c>
    </row>
    <row r="182" spans="1:10" x14ac:dyDescent="0.45">
      <c r="A182" t="s">
        <v>4734</v>
      </c>
      <c r="B182" s="1">
        <v>45665</v>
      </c>
      <c r="C182" t="s">
        <v>33</v>
      </c>
      <c r="D182" t="s">
        <v>3994</v>
      </c>
      <c r="E182">
        <v>2500</v>
      </c>
      <c r="F182" s="3">
        <v>3</v>
      </c>
      <c r="G182">
        <f t="shared" si="6"/>
        <v>7500</v>
      </c>
      <c r="H182" t="s">
        <v>21</v>
      </c>
      <c r="I182">
        <f t="shared" si="7"/>
        <v>3000</v>
      </c>
      <c r="J182">
        <f t="shared" si="8"/>
        <v>9000</v>
      </c>
    </row>
    <row r="183" spans="1:10" x14ac:dyDescent="0.45">
      <c r="A183" t="s">
        <v>4754</v>
      </c>
      <c r="B183" s="1">
        <v>45665</v>
      </c>
      <c r="C183" t="s">
        <v>5008</v>
      </c>
      <c r="D183" t="s">
        <v>3986</v>
      </c>
      <c r="E183">
        <v>12000</v>
      </c>
      <c r="F183" s="3">
        <v>10</v>
      </c>
      <c r="G183">
        <f t="shared" si="6"/>
        <v>120000</v>
      </c>
      <c r="H183" t="s">
        <v>17</v>
      </c>
      <c r="I183">
        <f t="shared" si="7"/>
        <v>14400</v>
      </c>
      <c r="J183">
        <f t="shared" si="8"/>
        <v>144000</v>
      </c>
    </row>
    <row r="184" spans="1:10" x14ac:dyDescent="0.45">
      <c r="A184" t="s">
        <v>4815</v>
      </c>
      <c r="B184" s="1">
        <v>45665</v>
      </c>
      <c r="C184" t="s">
        <v>3979</v>
      </c>
      <c r="D184" t="s">
        <v>3987</v>
      </c>
      <c r="E184">
        <v>8000</v>
      </c>
      <c r="F184" s="3">
        <v>4</v>
      </c>
      <c r="G184">
        <f t="shared" si="6"/>
        <v>32000</v>
      </c>
      <c r="H184" t="s">
        <v>7</v>
      </c>
      <c r="I184">
        <f t="shared" si="7"/>
        <v>9600</v>
      </c>
      <c r="J184">
        <f t="shared" si="8"/>
        <v>38400</v>
      </c>
    </row>
    <row r="185" spans="1:10" x14ac:dyDescent="0.45">
      <c r="A185" t="s">
        <v>4856</v>
      </c>
      <c r="B185" s="1">
        <v>45665</v>
      </c>
      <c r="C185" t="s">
        <v>4007</v>
      </c>
      <c r="D185" t="s">
        <v>4005</v>
      </c>
      <c r="E185">
        <v>60000</v>
      </c>
      <c r="F185" s="3">
        <v>9</v>
      </c>
      <c r="G185">
        <f t="shared" si="6"/>
        <v>540000</v>
      </c>
      <c r="H185" t="s">
        <v>7</v>
      </c>
      <c r="I185">
        <f t="shared" si="7"/>
        <v>72000</v>
      </c>
      <c r="J185">
        <f t="shared" si="8"/>
        <v>648000</v>
      </c>
    </row>
    <row r="186" spans="1:10" x14ac:dyDescent="0.45">
      <c r="A186" t="s">
        <v>4869</v>
      </c>
      <c r="B186" s="1">
        <v>45665</v>
      </c>
      <c r="C186" t="s">
        <v>5009</v>
      </c>
      <c r="D186" t="s">
        <v>3982</v>
      </c>
      <c r="E186">
        <v>13000</v>
      </c>
      <c r="F186" s="3">
        <v>2</v>
      </c>
      <c r="G186">
        <f t="shared" si="6"/>
        <v>26000</v>
      </c>
      <c r="H186" t="s">
        <v>21</v>
      </c>
      <c r="I186">
        <f t="shared" si="7"/>
        <v>15600</v>
      </c>
      <c r="J186">
        <f t="shared" si="8"/>
        <v>31200</v>
      </c>
    </row>
    <row r="187" spans="1:10" x14ac:dyDescent="0.45">
      <c r="A187" t="s">
        <v>4872</v>
      </c>
      <c r="B187" s="1">
        <v>45665</v>
      </c>
      <c r="C187" t="s">
        <v>3979</v>
      </c>
      <c r="D187" t="s">
        <v>3983</v>
      </c>
      <c r="E187">
        <v>1000</v>
      </c>
      <c r="F187" s="3">
        <v>3</v>
      </c>
      <c r="G187">
        <f t="shared" si="6"/>
        <v>3000</v>
      </c>
      <c r="H187" t="s">
        <v>17</v>
      </c>
      <c r="I187">
        <f t="shared" si="7"/>
        <v>1200</v>
      </c>
      <c r="J187">
        <f t="shared" si="8"/>
        <v>3600</v>
      </c>
    </row>
    <row r="188" spans="1:10" x14ac:dyDescent="0.45">
      <c r="A188" t="s">
        <v>4876</v>
      </c>
      <c r="B188" s="1">
        <v>45665</v>
      </c>
      <c r="C188" t="s">
        <v>4007</v>
      </c>
      <c r="D188" t="s">
        <v>3999</v>
      </c>
      <c r="E188">
        <v>50000</v>
      </c>
      <c r="F188" s="3">
        <v>3</v>
      </c>
      <c r="G188">
        <f t="shared" si="6"/>
        <v>150000</v>
      </c>
      <c r="H188" t="s">
        <v>17</v>
      </c>
      <c r="I188">
        <f t="shared" si="7"/>
        <v>60000</v>
      </c>
      <c r="J188">
        <f t="shared" si="8"/>
        <v>180000</v>
      </c>
    </row>
    <row r="189" spans="1:10" x14ac:dyDescent="0.45">
      <c r="A189" t="s">
        <v>4888</v>
      </c>
      <c r="B189" s="1">
        <v>45665</v>
      </c>
      <c r="C189" t="s">
        <v>4007</v>
      </c>
      <c r="D189" t="s">
        <v>3997</v>
      </c>
      <c r="E189">
        <v>62000</v>
      </c>
      <c r="F189" s="3">
        <v>10</v>
      </c>
      <c r="G189">
        <f t="shared" si="6"/>
        <v>620000</v>
      </c>
      <c r="H189" t="s">
        <v>21</v>
      </c>
      <c r="I189">
        <f t="shared" si="7"/>
        <v>74400</v>
      </c>
      <c r="J189">
        <f t="shared" si="8"/>
        <v>744000</v>
      </c>
    </row>
    <row r="190" spans="1:10" x14ac:dyDescent="0.45">
      <c r="A190" t="s">
        <v>94</v>
      </c>
      <c r="B190" s="1">
        <v>45666</v>
      </c>
      <c r="C190" t="s">
        <v>33</v>
      </c>
      <c r="D190" t="s">
        <v>34</v>
      </c>
      <c r="E190">
        <v>1700</v>
      </c>
      <c r="F190">
        <v>2</v>
      </c>
      <c r="G190">
        <f t="shared" si="6"/>
        <v>3400</v>
      </c>
      <c r="H190" t="s">
        <v>7</v>
      </c>
      <c r="I190">
        <f t="shared" si="7"/>
        <v>2040</v>
      </c>
      <c r="J190">
        <f t="shared" si="8"/>
        <v>4080</v>
      </c>
    </row>
    <row r="191" spans="1:10" x14ac:dyDescent="0.45">
      <c r="A191" t="s">
        <v>95</v>
      </c>
      <c r="B191" s="1">
        <v>45666</v>
      </c>
      <c r="C191" t="s">
        <v>33</v>
      </c>
      <c r="D191" t="s">
        <v>34</v>
      </c>
      <c r="E191">
        <v>1700</v>
      </c>
      <c r="F191">
        <v>3</v>
      </c>
      <c r="G191">
        <f t="shared" si="6"/>
        <v>5100</v>
      </c>
      <c r="H191" t="s">
        <v>17</v>
      </c>
      <c r="I191">
        <f t="shared" si="7"/>
        <v>2040</v>
      </c>
      <c r="J191">
        <f t="shared" si="8"/>
        <v>6120</v>
      </c>
    </row>
    <row r="192" spans="1:10" x14ac:dyDescent="0.45">
      <c r="A192" t="s">
        <v>96</v>
      </c>
      <c r="B192" s="1">
        <v>45666</v>
      </c>
      <c r="C192" t="s">
        <v>4007</v>
      </c>
      <c r="D192" t="s">
        <v>28</v>
      </c>
      <c r="E192">
        <v>500</v>
      </c>
      <c r="F192">
        <v>10</v>
      </c>
      <c r="G192">
        <f t="shared" si="6"/>
        <v>5000</v>
      </c>
      <c r="H192" t="s">
        <v>21</v>
      </c>
      <c r="I192">
        <f t="shared" si="7"/>
        <v>600</v>
      </c>
      <c r="J192">
        <f t="shared" si="8"/>
        <v>6000</v>
      </c>
    </row>
    <row r="193" spans="1:10" x14ac:dyDescent="0.45">
      <c r="A193" t="s">
        <v>97</v>
      </c>
      <c r="B193" s="1">
        <v>45666</v>
      </c>
      <c r="C193" t="s">
        <v>4007</v>
      </c>
      <c r="D193" t="s">
        <v>4005</v>
      </c>
      <c r="E193">
        <v>60000</v>
      </c>
      <c r="F193">
        <v>10</v>
      </c>
      <c r="G193">
        <f t="shared" si="6"/>
        <v>600000</v>
      </c>
      <c r="H193" t="s">
        <v>17</v>
      </c>
      <c r="I193">
        <f t="shared" si="7"/>
        <v>72000</v>
      </c>
      <c r="J193">
        <f t="shared" si="8"/>
        <v>720000</v>
      </c>
    </row>
    <row r="194" spans="1:10" x14ac:dyDescent="0.45">
      <c r="A194" t="s">
        <v>98</v>
      </c>
      <c r="B194" s="1">
        <v>45666</v>
      </c>
      <c r="C194" t="s">
        <v>9</v>
      </c>
      <c r="D194" t="s">
        <v>10</v>
      </c>
      <c r="E194">
        <v>400</v>
      </c>
      <c r="F194">
        <v>6</v>
      </c>
      <c r="G194">
        <f t="shared" ref="G194:G257" si="9">E194*F194</f>
        <v>2400</v>
      </c>
      <c r="H194" t="s">
        <v>17</v>
      </c>
      <c r="I194">
        <f t="shared" ref="I194:I257" si="10">E194*1.2</f>
        <v>480</v>
      </c>
      <c r="J194">
        <f t="shared" ref="J194:J257" si="11">I194*F194</f>
        <v>2880</v>
      </c>
    </row>
    <row r="195" spans="1:10" x14ac:dyDescent="0.45">
      <c r="A195" t="s">
        <v>99</v>
      </c>
      <c r="B195" s="1">
        <v>45666</v>
      </c>
      <c r="C195" t="s">
        <v>4007</v>
      </c>
      <c r="D195" t="s">
        <v>28</v>
      </c>
      <c r="E195">
        <v>500</v>
      </c>
      <c r="F195">
        <v>9</v>
      </c>
      <c r="G195">
        <f t="shared" si="9"/>
        <v>4500</v>
      </c>
      <c r="H195" t="s">
        <v>17</v>
      </c>
      <c r="I195">
        <f t="shared" si="10"/>
        <v>600</v>
      </c>
      <c r="J195">
        <f t="shared" si="11"/>
        <v>5400</v>
      </c>
    </row>
    <row r="196" spans="1:10" x14ac:dyDescent="0.45">
      <c r="A196" t="s">
        <v>2792</v>
      </c>
      <c r="B196" s="1">
        <v>45666</v>
      </c>
      <c r="C196" t="s">
        <v>2772</v>
      </c>
      <c r="D196" t="s">
        <v>2771</v>
      </c>
      <c r="E196">
        <v>120</v>
      </c>
      <c r="F196">
        <v>8</v>
      </c>
      <c r="G196">
        <f t="shared" si="9"/>
        <v>960</v>
      </c>
      <c r="H196" t="s">
        <v>17</v>
      </c>
      <c r="I196">
        <f t="shared" si="10"/>
        <v>144</v>
      </c>
      <c r="J196">
        <f t="shared" si="11"/>
        <v>1152</v>
      </c>
    </row>
    <row r="197" spans="1:10" x14ac:dyDescent="0.45">
      <c r="A197" t="s">
        <v>3779</v>
      </c>
      <c r="B197" s="1">
        <v>45666</v>
      </c>
      <c r="C197" t="s">
        <v>4007</v>
      </c>
      <c r="D197" t="s">
        <v>2773</v>
      </c>
      <c r="E197">
        <v>3300</v>
      </c>
      <c r="F197">
        <v>9</v>
      </c>
      <c r="G197">
        <f t="shared" si="9"/>
        <v>29700</v>
      </c>
      <c r="H197" t="s">
        <v>17</v>
      </c>
      <c r="I197">
        <f t="shared" si="10"/>
        <v>3960</v>
      </c>
      <c r="J197">
        <f t="shared" si="11"/>
        <v>35640</v>
      </c>
    </row>
    <row r="198" spans="1:10" x14ac:dyDescent="0.45">
      <c r="A198" t="s">
        <v>4084</v>
      </c>
      <c r="B198" s="1">
        <v>45666</v>
      </c>
      <c r="C198" t="s">
        <v>5008</v>
      </c>
      <c r="D198" t="s">
        <v>3986</v>
      </c>
      <c r="E198">
        <v>12000</v>
      </c>
      <c r="F198" s="3">
        <v>9</v>
      </c>
      <c r="G198">
        <f t="shared" si="9"/>
        <v>108000</v>
      </c>
      <c r="H198" t="s">
        <v>17</v>
      </c>
      <c r="I198">
        <f t="shared" si="10"/>
        <v>14400</v>
      </c>
      <c r="J198">
        <f t="shared" si="11"/>
        <v>129600</v>
      </c>
    </row>
    <row r="199" spans="1:10" x14ac:dyDescent="0.45">
      <c r="A199" t="s">
        <v>4365</v>
      </c>
      <c r="B199" s="1">
        <v>45666</v>
      </c>
      <c r="C199" t="s">
        <v>5009</v>
      </c>
      <c r="D199" t="s">
        <v>4004</v>
      </c>
      <c r="E199">
        <v>15000</v>
      </c>
      <c r="F199" s="3">
        <v>9</v>
      </c>
      <c r="G199">
        <f t="shared" si="9"/>
        <v>135000</v>
      </c>
      <c r="H199" t="s">
        <v>17</v>
      </c>
      <c r="I199">
        <f t="shared" si="10"/>
        <v>18000</v>
      </c>
      <c r="J199">
        <f t="shared" si="11"/>
        <v>162000</v>
      </c>
    </row>
    <row r="200" spans="1:10" x14ac:dyDescent="0.45">
      <c r="A200" t="s">
        <v>4690</v>
      </c>
      <c r="B200" s="1">
        <v>45666</v>
      </c>
      <c r="C200" t="s">
        <v>5008</v>
      </c>
      <c r="D200" t="s">
        <v>4003</v>
      </c>
      <c r="E200">
        <v>10000</v>
      </c>
      <c r="F200" s="3">
        <v>6</v>
      </c>
      <c r="G200">
        <f t="shared" si="9"/>
        <v>60000</v>
      </c>
      <c r="H200" t="s">
        <v>17</v>
      </c>
      <c r="I200">
        <f t="shared" si="10"/>
        <v>12000</v>
      </c>
      <c r="J200">
        <f t="shared" si="11"/>
        <v>72000</v>
      </c>
    </row>
    <row r="201" spans="1:10" x14ac:dyDescent="0.45">
      <c r="A201" t="s">
        <v>4840</v>
      </c>
      <c r="B201" s="1">
        <v>45666</v>
      </c>
      <c r="C201" t="s">
        <v>5009</v>
      </c>
      <c r="D201" t="s">
        <v>3982</v>
      </c>
      <c r="E201">
        <v>13000</v>
      </c>
      <c r="F201" s="3">
        <v>8</v>
      </c>
      <c r="G201">
        <f t="shared" si="9"/>
        <v>104000</v>
      </c>
      <c r="H201" t="s">
        <v>21</v>
      </c>
      <c r="I201">
        <f t="shared" si="10"/>
        <v>15600</v>
      </c>
      <c r="J201">
        <f t="shared" si="11"/>
        <v>124800</v>
      </c>
    </row>
    <row r="202" spans="1:10" x14ac:dyDescent="0.45">
      <c r="A202" t="s">
        <v>4844</v>
      </c>
      <c r="B202" s="1">
        <v>45666</v>
      </c>
      <c r="C202" t="s">
        <v>5008</v>
      </c>
      <c r="D202" t="s">
        <v>3986</v>
      </c>
      <c r="E202">
        <v>12000</v>
      </c>
      <c r="F202" s="3">
        <v>5</v>
      </c>
      <c r="G202">
        <f t="shared" si="9"/>
        <v>60000</v>
      </c>
      <c r="H202" t="s">
        <v>17</v>
      </c>
      <c r="I202">
        <f t="shared" si="10"/>
        <v>14400</v>
      </c>
      <c r="J202">
        <f t="shared" si="11"/>
        <v>72000</v>
      </c>
    </row>
    <row r="203" spans="1:10" x14ac:dyDescent="0.45">
      <c r="A203" t="s">
        <v>4959</v>
      </c>
      <c r="B203" s="1">
        <v>45666</v>
      </c>
      <c r="C203" t="s">
        <v>33</v>
      </c>
      <c r="D203" t="s">
        <v>3985</v>
      </c>
      <c r="E203">
        <v>1950</v>
      </c>
      <c r="F203" s="3">
        <v>3</v>
      </c>
      <c r="G203">
        <f t="shared" si="9"/>
        <v>5850</v>
      </c>
      <c r="H203" t="s">
        <v>21</v>
      </c>
      <c r="I203">
        <f t="shared" si="10"/>
        <v>2340</v>
      </c>
      <c r="J203">
        <f t="shared" si="11"/>
        <v>7020</v>
      </c>
    </row>
    <row r="204" spans="1:10" x14ac:dyDescent="0.45">
      <c r="A204" t="s">
        <v>4966</v>
      </c>
      <c r="B204" s="1">
        <v>45666</v>
      </c>
      <c r="C204" t="s">
        <v>33</v>
      </c>
      <c r="D204" t="s">
        <v>3981</v>
      </c>
      <c r="E204">
        <v>4000</v>
      </c>
      <c r="F204" s="3">
        <v>10</v>
      </c>
      <c r="G204">
        <f t="shared" si="9"/>
        <v>40000</v>
      </c>
      <c r="H204" t="s">
        <v>7</v>
      </c>
      <c r="I204">
        <f t="shared" si="10"/>
        <v>4800</v>
      </c>
      <c r="J204">
        <f t="shared" si="11"/>
        <v>48000</v>
      </c>
    </row>
    <row r="205" spans="1:10" x14ac:dyDescent="0.45">
      <c r="A205" t="s">
        <v>4992</v>
      </c>
      <c r="B205" s="1">
        <v>45666</v>
      </c>
      <c r="C205" t="s">
        <v>3979</v>
      </c>
      <c r="D205" t="s">
        <v>3980</v>
      </c>
      <c r="E205">
        <v>500</v>
      </c>
      <c r="F205" s="3">
        <v>7</v>
      </c>
      <c r="G205">
        <f t="shared" si="9"/>
        <v>3500</v>
      </c>
      <c r="H205" t="s">
        <v>17</v>
      </c>
      <c r="I205">
        <f t="shared" si="10"/>
        <v>600</v>
      </c>
      <c r="J205">
        <f t="shared" si="11"/>
        <v>4200</v>
      </c>
    </row>
    <row r="206" spans="1:10" x14ac:dyDescent="0.45">
      <c r="A206" t="s">
        <v>100</v>
      </c>
      <c r="B206" s="1">
        <v>45667</v>
      </c>
      <c r="C206" t="s">
        <v>33</v>
      </c>
      <c r="D206" t="s">
        <v>34</v>
      </c>
      <c r="E206">
        <v>1700</v>
      </c>
      <c r="F206">
        <v>1</v>
      </c>
      <c r="G206">
        <f t="shared" si="9"/>
        <v>1700</v>
      </c>
      <c r="H206" t="s">
        <v>7</v>
      </c>
      <c r="I206">
        <f t="shared" si="10"/>
        <v>2040</v>
      </c>
      <c r="J206">
        <f t="shared" si="11"/>
        <v>2040</v>
      </c>
    </row>
    <row r="207" spans="1:10" x14ac:dyDescent="0.45">
      <c r="A207" t="s">
        <v>101</v>
      </c>
      <c r="B207" s="1">
        <v>45667</v>
      </c>
      <c r="C207" t="s">
        <v>9</v>
      </c>
      <c r="D207" t="s">
        <v>10</v>
      </c>
      <c r="E207">
        <v>400</v>
      </c>
      <c r="F207">
        <v>9</v>
      </c>
      <c r="G207">
        <f t="shared" si="9"/>
        <v>3600</v>
      </c>
      <c r="H207" t="s">
        <v>7</v>
      </c>
      <c r="I207">
        <f t="shared" si="10"/>
        <v>480</v>
      </c>
      <c r="J207">
        <f t="shared" si="11"/>
        <v>4320</v>
      </c>
    </row>
    <row r="208" spans="1:10" x14ac:dyDescent="0.45">
      <c r="A208" t="s">
        <v>102</v>
      </c>
      <c r="B208" s="1">
        <v>45667</v>
      </c>
      <c r="C208" t="s">
        <v>12</v>
      </c>
      <c r="D208" t="s">
        <v>5022</v>
      </c>
      <c r="E208">
        <v>2880</v>
      </c>
      <c r="F208">
        <v>7</v>
      </c>
      <c r="G208">
        <f t="shared" si="9"/>
        <v>20160</v>
      </c>
      <c r="H208" t="s">
        <v>21</v>
      </c>
      <c r="I208">
        <f t="shared" si="10"/>
        <v>3456</v>
      </c>
      <c r="J208">
        <f t="shared" si="11"/>
        <v>24192</v>
      </c>
    </row>
    <row r="209" spans="1:11" x14ac:dyDescent="0.45">
      <c r="A209" t="s">
        <v>103</v>
      </c>
      <c r="B209" s="1">
        <v>45667</v>
      </c>
      <c r="C209" t="s">
        <v>12</v>
      </c>
      <c r="D209" t="s">
        <v>5023</v>
      </c>
      <c r="E209">
        <v>1750</v>
      </c>
      <c r="F209">
        <v>3</v>
      </c>
      <c r="G209">
        <f t="shared" si="9"/>
        <v>5250</v>
      </c>
      <c r="H209" t="s">
        <v>17</v>
      </c>
      <c r="I209">
        <f t="shared" si="10"/>
        <v>2100</v>
      </c>
      <c r="J209">
        <f t="shared" si="11"/>
        <v>6300</v>
      </c>
    </row>
    <row r="210" spans="1:11" x14ac:dyDescent="0.45">
      <c r="A210" t="s">
        <v>104</v>
      </c>
      <c r="B210" s="1">
        <v>45667</v>
      </c>
      <c r="C210" t="s">
        <v>12</v>
      </c>
      <c r="D210" t="s">
        <v>5022</v>
      </c>
      <c r="E210">
        <v>2880</v>
      </c>
      <c r="F210">
        <v>8</v>
      </c>
      <c r="G210">
        <f t="shared" si="9"/>
        <v>23040</v>
      </c>
      <c r="H210" t="s">
        <v>7</v>
      </c>
      <c r="I210">
        <f t="shared" si="10"/>
        <v>3456</v>
      </c>
      <c r="J210">
        <f t="shared" si="11"/>
        <v>27648</v>
      </c>
    </row>
    <row r="211" spans="1:11" x14ac:dyDescent="0.45">
      <c r="A211" t="s">
        <v>105</v>
      </c>
      <c r="B211" s="1">
        <v>45667</v>
      </c>
      <c r="C211" t="s">
        <v>12</v>
      </c>
      <c r="D211" t="s">
        <v>5021</v>
      </c>
      <c r="E211">
        <v>2880</v>
      </c>
      <c r="F211">
        <v>6</v>
      </c>
      <c r="G211">
        <f t="shared" si="9"/>
        <v>17280</v>
      </c>
      <c r="H211" t="s">
        <v>7</v>
      </c>
      <c r="I211">
        <f t="shared" si="10"/>
        <v>3456</v>
      </c>
      <c r="J211">
        <f t="shared" si="11"/>
        <v>20736</v>
      </c>
    </row>
    <row r="212" spans="1:11" x14ac:dyDescent="0.45">
      <c r="A212" t="s">
        <v>106</v>
      </c>
      <c r="B212" s="1">
        <v>45667</v>
      </c>
      <c r="C212" t="s">
        <v>4007</v>
      </c>
      <c r="D212" t="s">
        <v>39</v>
      </c>
      <c r="E212">
        <v>6000</v>
      </c>
      <c r="F212">
        <v>3</v>
      </c>
      <c r="G212">
        <f t="shared" si="9"/>
        <v>18000</v>
      </c>
      <c r="H212" t="s">
        <v>17</v>
      </c>
      <c r="I212">
        <f t="shared" si="10"/>
        <v>7200</v>
      </c>
      <c r="J212">
        <f t="shared" si="11"/>
        <v>21600</v>
      </c>
    </row>
    <row r="213" spans="1:11" x14ac:dyDescent="0.45">
      <c r="A213" t="s">
        <v>107</v>
      </c>
      <c r="B213" s="1">
        <v>45667</v>
      </c>
      <c r="C213" t="s">
        <v>33</v>
      </c>
      <c r="D213" t="s">
        <v>14</v>
      </c>
      <c r="E213">
        <v>800</v>
      </c>
      <c r="F213">
        <v>1</v>
      </c>
      <c r="G213">
        <f t="shared" si="9"/>
        <v>800</v>
      </c>
      <c r="H213" t="s">
        <v>17</v>
      </c>
      <c r="I213">
        <f t="shared" si="10"/>
        <v>960</v>
      </c>
      <c r="J213">
        <f t="shared" si="11"/>
        <v>960</v>
      </c>
    </row>
    <row r="214" spans="1:11" x14ac:dyDescent="0.45">
      <c r="A214" t="s">
        <v>2863</v>
      </c>
      <c r="B214" s="1">
        <v>45667</v>
      </c>
      <c r="C214" t="s">
        <v>2772</v>
      </c>
      <c r="D214" t="s">
        <v>2775</v>
      </c>
      <c r="E214">
        <v>9100</v>
      </c>
      <c r="F214">
        <v>6</v>
      </c>
      <c r="G214">
        <f t="shared" si="9"/>
        <v>54600</v>
      </c>
      <c r="H214" t="s">
        <v>17</v>
      </c>
      <c r="I214">
        <f t="shared" si="10"/>
        <v>10920</v>
      </c>
      <c r="J214">
        <f t="shared" si="11"/>
        <v>65520</v>
      </c>
    </row>
    <row r="215" spans="1:11" x14ac:dyDescent="0.45">
      <c r="A215" t="s">
        <v>2931</v>
      </c>
      <c r="B215" s="1">
        <v>45667</v>
      </c>
      <c r="C215" t="s">
        <v>4007</v>
      </c>
      <c r="D215" t="s">
        <v>2774</v>
      </c>
      <c r="E215">
        <v>1900</v>
      </c>
      <c r="F215">
        <v>9</v>
      </c>
      <c r="G215">
        <f t="shared" si="9"/>
        <v>17100</v>
      </c>
      <c r="H215" t="s">
        <v>21</v>
      </c>
      <c r="I215">
        <f t="shared" si="10"/>
        <v>2280</v>
      </c>
      <c r="J215">
        <f t="shared" si="11"/>
        <v>20520</v>
      </c>
    </row>
    <row r="216" spans="1:11" x14ac:dyDescent="0.45">
      <c r="A216" t="s">
        <v>2991</v>
      </c>
      <c r="B216" s="1">
        <v>45667</v>
      </c>
      <c r="C216" t="s">
        <v>4007</v>
      </c>
      <c r="D216" t="s">
        <v>2774</v>
      </c>
      <c r="E216">
        <v>1900</v>
      </c>
      <c r="F216">
        <v>5</v>
      </c>
      <c r="G216">
        <f t="shared" si="9"/>
        <v>9500</v>
      </c>
      <c r="H216" t="s">
        <v>7</v>
      </c>
      <c r="I216">
        <f t="shared" si="10"/>
        <v>2280</v>
      </c>
      <c r="J216">
        <f t="shared" si="11"/>
        <v>11400</v>
      </c>
    </row>
    <row r="217" spans="1:11" x14ac:dyDescent="0.45">
      <c r="A217" t="s">
        <v>3142</v>
      </c>
      <c r="B217" s="1">
        <v>45667</v>
      </c>
      <c r="C217" t="s">
        <v>4007</v>
      </c>
      <c r="D217" t="s">
        <v>2776</v>
      </c>
      <c r="E217">
        <v>3600</v>
      </c>
      <c r="F217">
        <v>6</v>
      </c>
      <c r="G217">
        <f t="shared" si="9"/>
        <v>21600</v>
      </c>
      <c r="H217" t="s">
        <v>17</v>
      </c>
      <c r="I217">
        <f t="shared" si="10"/>
        <v>4320</v>
      </c>
      <c r="J217">
        <f t="shared" si="11"/>
        <v>25920</v>
      </c>
    </row>
    <row r="218" spans="1:11" x14ac:dyDescent="0.45">
      <c r="A218" t="s">
        <v>3307</v>
      </c>
      <c r="B218" s="1">
        <v>45667</v>
      </c>
      <c r="C218" t="s">
        <v>2772</v>
      </c>
      <c r="D218" t="s">
        <v>2775</v>
      </c>
      <c r="E218">
        <v>9100</v>
      </c>
      <c r="F218">
        <v>9</v>
      </c>
      <c r="G218">
        <f t="shared" si="9"/>
        <v>81900</v>
      </c>
      <c r="H218" t="s">
        <v>21</v>
      </c>
      <c r="I218">
        <f t="shared" si="10"/>
        <v>10920</v>
      </c>
      <c r="J218">
        <f t="shared" si="11"/>
        <v>98280</v>
      </c>
    </row>
    <row r="219" spans="1:11" x14ac:dyDescent="0.45">
      <c r="A219" t="s">
        <v>3462</v>
      </c>
      <c r="B219" s="1">
        <v>45667</v>
      </c>
      <c r="C219" t="s">
        <v>4007</v>
      </c>
      <c r="D219" t="s">
        <v>2773</v>
      </c>
      <c r="E219">
        <v>3300</v>
      </c>
      <c r="F219">
        <v>3</v>
      </c>
      <c r="G219">
        <f t="shared" si="9"/>
        <v>9900</v>
      </c>
      <c r="H219" t="s">
        <v>7</v>
      </c>
      <c r="I219">
        <f t="shared" si="10"/>
        <v>3960</v>
      </c>
      <c r="J219">
        <f t="shared" si="11"/>
        <v>11880</v>
      </c>
      <c r="K219">
        <f>SUMIF(D:D,"Eggs",F:F)</f>
        <v>628</v>
      </c>
    </row>
    <row r="220" spans="1:11" x14ac:dyDescent="0.45">
      <c r="A220" t="s">
        <v>3890</v>
      </c>
      <c r="B220" s="1">
        <v>45667</v>
      </c>
      <c r="C220" t="s">
        <v>4007</v>
      </c>
      <c r="D220" t="s">
        <v>28</v>
      </c>
      <c r="E220">
        <v>500</v>
      </c>
      <c r="F220">
        <v>1</v>
      </c>
      <c r="G220">
        <f t="shared" si="9"/>
        <v>500</v>
      </c>
      <c r="H220" t="s">
        <v>21</v>
      </c>
      <c r="I220">
        <f t="shared" si="10"/>
        <v>600</v>
      </c>
      <c r="J220">
        <f t="shared" si="11"/>
        <v>600</v>
      </c>
    </row>
    <row r="221" spans="1:11" x14ac:dyDescent="0.45">
      <c r="A221" t="s">
        <v>4016</v>
      </c>
      <c r="B221" s="1">
        <v>45667</v>
      </c>
      <c r="C221" t="s">
        <v>3977</v>
      </c>
      <c r="D221" t="s">
        <v>3978</v>
      </c>
      <c r="E221">
        <v>2000</v>
      </c>
      <c r="F221" s="3">
        <v>2</v>
      </c>
      <c r="G221">
        <f t="shared" si="9"/>
        <v>4000</v>
      </c>
      <c r="H221" t="s">
        <v>7</v>
      </c>
      <c r="I221">
        <f t="shared" si="10"/>
        <v>2400</v>
      </c>
      <c r="J221">
        <f t="shared" si="11"/>
        <v>4800</v>
      </c>
    </row>
    <row r="222" spans="1:11" x14ac:dyDescent="0.45">
      <c r="A222" t="s">
        <v>4040</v>
      </c>
      <c r="B222" s="1">
        <v>45667</v>
      </c>
      <c r="C222" t="s">
        <v>5009</v>
      </c>
      <c r="D222" t="s">
        <v>3982</v>
      </c>
      <c r="E222">
        <v>13000</v>
      </c>
      <c r="F222" s="3">
        <v>8</v>
      </c>
      <c r="G222">
        <f t="shared" si="9"/>
        <v>104000</v>
      </c>
      <c r="H222" t="s">
        <v>21</v>
      </c>
      <c r="I222">
        <f t="shared" si="10"/>
        <v>15600</v>
      </c>
      <c r="J222">
        <f t="shared" si="11"/>
        <v>124800</v>
      </c>
    </row>
    <row r="223" spans="1:11" x14ac:dyDescent="0.45">
      <c r="A223" t="s">
        <v>4100</v>
      </c>
      <c r="B223" s="1">
        <v>45667</v>
      </c>
      <c r="C223" t="s">
        <v>5009</v>
      </c>
      <c r="D223" t="s">
        <v>4004</v>
      </c>
      <c r="E223">
        <v>15000</v>
      </c>
      <c r="F223" s="3">
        <v>7</v>
      </c>
      <c r="G223">
        <f t="shared" si="9"/>
        <v>105000</v>
      </c>
      <c r="H223" t="s">
        <v>21</v>
      </c>
      <c r="I223">
        <f t="shared" si="10"/>
        <v>18000</v>
      </c>
      <c r="J223">
        <f t="shared" si="11"/>
        <v>126000</v>
      </c>
    </row>
    <row r="224" spans="1:11" x14ac:dyDescent="0.45">
      <c r="A224" t="s">
        <v>4305</v>
      </c>
      <c r="B224" s="1">
        <v>45667</v>
      </c>
      <c r="C224" t="s">
        <v>33</v>
      </c>
      <c r="D224" t="s">
        <v>42</v>
      </c>
      <c r="E224">
        <v>6900</v>
      </c>
      <c r="F224" s="3">
        <v>6</v>
      </c>
      <c r="G224">
        <f t="shared" si="9"/>
        <v>41400</v>
      </c>
      <c r="H224" t="s">
        <v>7</v>
      </c>
      <c r="I224">
        <f t="shared" si="10"/>
        <v>8280</v>
      </c>
      <c r="J224">
        <f t="shared" si="11"/>
        <v>49680</v>
      </c>
    </row>
    <row r="225" spans="1:10" x14ac:dyDescent="0.45">
      <c r="A225" t="s">
        <v>4325</v>
      </c>
      <c r="B225" s="1">
        <v>45667</v>
      </c>
      <c r="C225" t="s">
        <v>3979</v>
      </c>
      <c r="D225" t="s">
        <v>3980</v>
      </c>
      <c r="E225">
        <v>500</v>
      </c>
      <c r="F225" s="3">
        <v>5</v>
      </c>
      <c r="G225">
        <f t="shared" si="9"/>
        <v>2500</v>
      </c>
      <c r="H225" t="s">
        <v>21</v>
      </c>
      <c r="I225">
        <f t="shared" si="10"/>
        <v>600</v>
      </c>
      <c r="J225">
        <f t="shared" si="11"/>
        <v>3000</v>
      </c>
    </row>
    <row r="226" spans="1:10" x14ac:dyDescent="0.45">
      <c r="A226" t="s">
        <v>4576</v>
      </c>
      <c r="B226" s="1">
        <v>45667</v>
      </c>
      <c r="C226" t="s">
        <v>5008</v>
      </c>
      <c r="D226" t="s">
        <v>3998</v>
      </c>
      <c r="E226">
        <v>8000</v>
      </c>
      <c r="F226" s="3">
        <v>7</v>
      </c>
      <c r="G226">
        <f t="shared" si="9"/>
        <v>56000</v>
      </c>
      <c r="H226" t="s">
        <v>7</v>
      </c>
      <c r="I226">
        <f t="shared" si="10"/>
        <v>9600</v>
      </c>
      <c r="J226">
        <f t="shared" si="11"/>
        <v>67200</v>
      </c>
    </row>
    <row r="227" spans="1:10" x14ac:dyDescent="0.45">
      <c r="A227" t="s">
        <v>4931</v>
      </c>
      <c r="B227" s="1">
        <v>45667</v>
      </c>
      <c r="C227" t="s">
        <v>5009</v>
      </c>
      <c r="D227" t="s">
        <v>4004</v>
      </c>
      <c r="E227">
        <v>15000</v>
      </c>
      <c r="F227" s="3">
        <v>7</v>
      </c>
      <c r="G227">
        <f t="shared" si="9"/>
        <v>105000</v>
      </c>
      <c r="H227" t="s">
        <v>21</v>
      </c>
      <c r="I227">
        <f t="shared" si="10"/>
        <v>18000</v>
      </c>
      <c r="J227">
        <f t="shared" si="11"/>
        <v>126000</v>
      </c>
    </row>
    <row r="228" spans="1:10" x14ac:dyDescent="0.45">
      <c r="A228" t="s">
        <v>4933</v>
      </c>
      <c r="B228" s="1">
        <v>45667</v>
      </c>
      <c r="C228" t="s">
        <v>3979</v>
      </c>
      <c r="D228" t="s">
        <v>3984</v>
      </c>
      <c r="E228">
        <v>12000</v>
      </c>
      <c r="F228" s="3">
        <v>4</v>
      </c>
      <c r="G228">
        <f t="shared" si="9"/>
        <v>48000</v>
      </c>
      <c r="H228" t="s">
        <v>17</v>
      </c>
      <c r="I228">
        <f t="shared" si="10"/>
        <v>14400</v>
      </c>
      <c r="J228">
        <f t="shared" si="11"/>
        <v>57600</v>
      </c>
    </row>
    <row r="229" spans="1:10" x14ac:dyDescent="0.45">
      <c r="A229" t="s">
        <v>4964</v>
      </c>
      <c r="B229" s="1">
        <v>45667</v>
      </c>
      <c r="C229" t="s">
        <v>4007</v>
      </c>
      <c r="D229" t="s">
        <v>5015</v>
      </c>
      <c r="E229">
        <v>48000</v>
      </c>
      <c r="F229" s="3">
        <v>9</v>
      </c>
      <c r="G229">
        <f t="shared" si="9"/>
        <v>432000</v>
      </c>
      <c r="H229" t="s">
        <v>17</v>
      </c>
      <c r="I229">
        <f t="shared" si="10"/>
        <v>57600</v>
      </c>
      <c r="J229">
        <f t="shared" si="11"/>
        <v>518400</v>
      </c>
    </row>
    <row r="230" spans="1:10" x14ac:dyDescent="0.45">
      <c r="A230" t="s">
        <v>108</v>
      </c>
      <c r="B230" s="1">
        <v>45668</v>
      </c>
      <c r="C230" t="s">
        <v>33</v>
      </c>
      <c r="D230" t="s">
        <v>14</v>
      </c>
      <c r="E230">
        <v>800</v>
      </c>
      <c r="F230">
        <v>10</v>
      </c>
      <c r="G230">
        <f t="shared" si="9"/>
        <v>8000</v>
      </c>
      <c r="H230" t="s">
        <v>21</v>
      </c>
      <c r="I230">
        <f t="shared" si="10"/>
        <v>960</v>
      </c>
      <c r="J230">
        <f t="shared" si="11"/>
        <v>9600</v>
      </c>
    </row>
    <row r="231" spans="1:10" x14ac:dyDescent="0.45">
      <c r="A231" t="s">
        <v>109</v>
      </c>
      <c r="B231" s="1">
        <v>45668</v>
      </c>
      <c r="C231" t="s">
        <v>12</v>
      </c>
      <c r="D231" t="s">
        <v>5023</v>
      </c>
      <c r="E231">
        <v>1750</v>
      </c>
      <c r="F231">
        <v>2</v>
      </c>
      <c r="G231">
        <f t="shared" si="9"/>
        <v>3500</v>
      </c>
      <c r="H231" t="s">
        <v>17</v>
      </c>
      <c r="I231">
        <f t="shared" si="10"/>
        <v>2100</v>
      </c>
      <c r="J231">
        <f t="shared" si="11"/>
        <v>4200</v>
      </c>
    </row>
    <row r="232" spans="1:10" x14ac:dyDescent="0.45">
      <c r="A232" t="s">
        <v>110</v>
      </c>
      <c r="B232" s="1">
        <v>45668</v>
      </c>
      <c r="C232" t="s">
        <v>33</v>
      </c>
      <c r="D232" t="s">
        <v>34</v>
      </c>
      <c r="E232">
        <v>1700</v>
      </c>
      <c r="F232">
        <v>4</v>
      </c>
      <c r="G232">
        <f t="shared" si="9"/>
        <v>6800</v>
      </c>
      <c r="H232" t="s">
        <v>17</v>
      </c>
      <c r="I232">
        <f t="shared" si="10"/>
        <v>2040</v>
      </c>
      <c r="J232">
        <f t="shared" si="11"/>
        <v>8160</v>
      </c>
    </row>
    <row r="233" spans="1:10" x14ac:dyDescent="0.45">
      <c r="A233" t="s">
        <v>111</v>
      </c>
      <c r="B233" s="1">
        <v>45668</v>
      </c>
      <c r="C233" t="s">
        <v>12</v>
      </c>
      <c r="D233" t="s">
        <v>5022</v>
      </c>
      <c r="E233">
        <v>2880</v>
      </c>
      <c r="F233">
        <v>1</v>
      </c>
      <c r="G233">
        <f t="shared" si="9"/>
        <v>2880</v>
      </c>
      <c r="H233" t="s">
        <v>17</v>
      </c>
      <c r="I233">
        <f t="shared" si="10"/>
        <v>3456</v>
      </c>
      <c r="J233">
        <f t="shared" si="11"/>
        <v>3456</v>
      </c>
    </row>
    <row r="234" spans="1:10" x14ac:dyDescent="0.45">
      <c r="A234" t="s">
        <v>112</v>
      </c>
      <c r="B234" s="1">
        <v>45668</v>
      </c>
      <c r="C234" t="s">
        <v>4007</v>
      </c>
      <c r="D234" t="s">
        <v>5015</v>
      </c>
      <c r="E234">
        <v>48000</v>
      </c>
      <c r="F234">
        <v>9</v>
      </c>
      <c r="G234">
        <f t="shared" si="9"/>
        <v>432000</v>
      </c>
      <c r="H234" t="s">
        <v>21</v>
      </c>
      <c r="I234">
        <f t="shared" si="10"/>
        <v>57600</v>
      </c>
      <c r="J234">
        <f t="shared" si="11"/>
        <v>518400</v>
      </c>
    </row>
    <row r="235" spans="1:10" x14ac:dyDescent="0.45">
      <c r="A235" t="s">
        <v>113</v>
      </c>
      <c r="B235" s="1">
        <v>45668</v>
      </c>
      <c r="C235" t="s">
        <v>33</v>
      </c>
      <c r="D235" t="s">
        <v>42</v>
      </c>
      <c r="E235">
        <v>6900</v>
      </c>
      <c r="F235">
        <v>10</v>
      </c>
      <c r="G235">
        <f t="shared" si="9"/>
        <v>69000</v>
      </c>
      <c r="H235" t="s">
        <v>7</v>
      </c>
      <c r="I235">
        <f t="shared" si="10"/>
        <v>8280</v>
      </c>
      <c r="J235">
        <f t="shared" si="11"/>
        <v>82800</v>
      </c>
    </row>
    <row r="236" spans="1:10" x14ac:dyDescent="0.45">
      <c r="A236" t="s">
        <v>114</v>
      </c>
      <c r="B236" s="1">
        <v>45668</v>
      </c>
      <c r="C236" t="s">
        <v>33</v>
      </c>
      <c r="D236" t="s">
        <v>34</v>
      </c>
      <c r="E236">
        <v>1700</v>
      </c>
      <c r="F236">
        <v>5</v>
      </c>
      <c r="G236">
        <f t="shared" si="9"/>
        <v>8500</v>
      </c>
      <c r="H236" t="s">
        <v>21</v>
      </c>
      <c r="I236">
        <f t="shared" si="10"/>
        <v>2040</v>
      </c>
      <c r="J236">
        <f t="shared" si="11"/>
        <v>10200</v>
      </c>
    </row>
    <row r="237" spans="1:10" x14ac:dyDescent="0.45">
      <c r="A237" t="s">
        <v>115</v>
      </c>
      <c r="B237" s="1">
        <v>45668</v>
      </c>
      <c r="C237" t="s">
        <v>9</v>
      </c>
      <c r="D237" t="s">
        <v>10</v>
      </c>
      <c r="E237">
        <v>400</v>
      </c>
      <c r="F237">
        <v>5</v>
      </c>
      <c r="G237">
        <f t="shared" si="9"/>
        <v>2000</v>
      </c>
      <c r="H237" t="s">
        <v>17</v>
      </c>
      <c r="I237">
        <f t="shared" si="10"/>
        <v>480</v>
      </c>
      <c r="J237">
        <f t="shared" si="11"/>
        <v>2400</v>
      </c>
    </row>
    <row r="238" spans="1:10" x14ac:dyDescent="0.45">
      <c r="A238" t="s">
        <v>116</v>
      </c>
      <c r="B238" s="1">
        <v>45668</v>
      </c>
      <c r="C238" t="s">
        <v>4007</v>
      </c>
      <c r="D238" t="s">
        <v>28</v>
      </c>
      <c r="E238">
        <v>500</v>
      </c>
      <c r="F238">
        <v>10</v>
      </c>
      <c r="G238">
        <f t="shared" si="9"/>
        <v>5000</v>
      </c>
      <c r="H238" t="s">
        <v>17</v>
      </c>
      <c r="I238">
        <f t="shared" si="10"/>
        <v>600</v>
      </c>
      <c r="J238">
        <f t="shared" si="11"/>
        <v>6000</v>
      </c>
    </row>
    <row r="239" spans="1:10" x14ac:dyDescent="0.45">
      <c r="A239" t="s">
        <v>117</v>
      </c>
      <c r="B239" s="1">
        <v>45668</v>
      </c>
      <c r="C239" t="s">
        <v>4007</v>
      </c>
      <c r="D239" t="s">
        <v>4005</v>
      </c>
      <c r="E239">
        <v>60000</v>
      </c>
      <c r="F239">
        <v>3</v>
      </c>
      <c r="G239">
        <f t="shared" si="9"/>
        <v>180000</v>
      </c>
      <c r="H239" t="s">
        <v>17</v>
      </c>
      <c r="I239">
        <f t="shared" si="10"/>
        <v>72000</v>
      </c>
      <c r="J239">
        <f t="shared" si="11"/>
        <v>216000</v>
      </c>
    </row>
    <row r="240" spans="1:10" x14ac:dyDescent="0.45">
      <c r="A240" t="s">
        <v>3939</v>
      </c>
      <c r="B240" s="1">
        <v>45668</v>
      </c>
      <c r="C240" t="s">
        <v>4007</v>
      </c>
      <c r="D240" t="s">
        <v>2774</v>
      </c>
      <c r="E240">
        <v>1900</v>
      </c>
      <c r="F240">
        <v>5</v>
      </c>
      <c r="G240">
        <f t="shared" si="9"/>
        <v>9500</v>
      </c>
      <c r="H240" t="s">
        <v>17</v>
      </c>
      <c r="I240">
        <f t="shared" si="10"/>
        <v>2280</v>
      </c>
      <c r="J240">
        <f t="shared" si="11"/>
        <v>11400</v>
      </c>
    </row>
    <row r="241" spans="1:10" x14ac:dyDescent="0.45">
      <c r="A241" t="s">
        <v>4233</v>
      </c>
      <c r="B241" s="1">
        <v>45668</v>
      </c>
      <c r="C241" t="s">
        <v>5009</v>
      </c>
      <c r="D241" t="s">
        <v>4004</v>
      </c>
      <c r="E241">
        <v>15000</v>
      </c>
      <c r="F241" s="3">
        <v>2</v>
      </c>
      <c r="G241">
        <f t="shared" si="9"/>
        <v>30000</v>
      </c>
      <c r="H241" t="s">
        <v>21</v>
      </c>
      <c r="I241">
        <f t="shared" si="10"/>
        <v>18000</v>
      </c>
      <c r="J241">
        <f t="shared" si="11"/>
        <v>36000</v>
      </c>
    </row>
    <row r="242" spans="1:10" x14ac:dyDescent="0.45">
      <c r="A242" t="s">
        <v>4247</v>
      </c>
      <c r="B242" s="1">
        <v>45668</v>
      </c>
      <c r="C242" t="s">
        <v>5008</v>
      </c>
      <c r="D242" t="s">
        <v>3996</v>
      </c>
      <c r="E242">
        <v>2000</v>
      </c>
      <c r="F242" s="3">
        <v>1</v>
      </c>
      <c r="G242">
        <f t="shared" si="9"/>
        <v>2000</v>
      </c>
      <c r="H242" t="s">
        <v>7</v>
      </c>
      <c r="I242">
        <f t="shared" si="10"/>
        <v>2400</v>
      </c>
      <c r="J242">
        <f t="shared" si="11"/>
        <v>2400</v>
      </c>
    </row>
    <row r="243" spans="1:10" x14ac:dyDescent="0.45">
      <c r="A243" t="s">
        <v>4248</v>
      </c>
      <c r="B243" s="1">
        <v>45668</v>
      </c>
      <c r="C243" t="s">
        <v>4007</v>
      </c>
      <c r="D243" t="s">
        <v>3999</v>
      </c>
      <c r="E243">
        <v>50000</v>
      </c>
      <c r="F243" s="3">
        <v>9</v>
      </c>
      <c r="G243">
        <f t="shared" si="9"/>
        <v>450000</v>
      </c>
      <c r="H243" t="s">
        <v>21</v>
      </c>
      <c r="I243">
        <f t="shared" si="10"/>
        <v>60000</v>
      </c>
      <c r="J243">
        <f t="shared" si="11"/>
        <v>540000</v>
      </c>
    </row>
    <row r="244" spans="1:10" x14ac:dyDescent="0.45">
      <c r="A244" t="s">
        <v>4388</v>
      </c>
      <c r="B244" s="1">
        <v>45668</v>
      </c>
      <c r="C244" t="s">
        <v>5009</v>
      </c>
      <c r="D244" t="s">
        <v>4000</v>
      </c>
      <c r="E244">
        <v>3000</v>
      </c>
      <c r="F244" s="3">
        <v>4</v>
      </c>
      <c r="G244">
        <f t="shared" si="9"/>
        <v>12000</v>
      </c>
      <c r="H244" t="s">
        <v>17</v>
      </c>
      <c r="I244">
        <f t="shared" si="10"/>
        <v>3600</v>
      </c>
      <c r="J244">
        <f t="shared" si="11"/>
        <v>14400</v>
      </c>
    </row>
    <row r="245" spans="1:10" x14ac:dyDescent="0.45">
      <c r="A245" t="s">
        <v>4414</v>
      </c>
      <c r="B245" s="1">
        <v>45668</v>
      </c>
      <c r="C245" t="s">
        <v>4007</v>
      </c>
      <c r="D245" t="s">
        <v>3997</v>
      </c>
      <c r="E245">
        <v>62000</v>
      </c>
      <c r="F245" s="3">
        <v>5</v>
      </c>
      <c r="G245">
        <f t="shared" si="9"/>
        <v>310000</v>
      </c>
      <c r="H245" t="s">
        <v>21</v>
      </c>
      <c r="I245">
        <f t="shared" si="10"/>
        <v>74400</v>
      </c>
      <c r="J245">
        <f t="shared" si="11"/>
        <v>372000</v>
      </c>
    </row>
    <row r="246" spans="1:10" x14ac:dyDescent="0.45">
      <c r="A246" t="s">
        <v>4687</v>
      </c>
      <c r="B246" s="1">
        <v>45668</v>
      </c>
      <c r="C246" t="s">
        <v>4007</v>
      </c>
      <c r="D246" t="s">
        <v>4005</v>
      </c>
      <c r="E246">
        <v>60000</v>
      </c>
      <c r="F246" s="3">
        <v>6</v>
      </c>
      <c r="G246">
        <f t="shared" si="9"/>
        <v>360000</v>
      </c>
      <c r="H246" t="s">
        <v>7</v>
      </c>
      <c r="I246">
        <f t="shared" si="10"/>
        <v>72000</v>
      </c>
      <c r="J246">
        <f t="shared" si="11"/>
        <v>432000</v>
      </c>
    </row>
    <row r="247" spans="1:10" x14ac:dyDescent="0.45">
      <c r="A247" t="s">
        <v>4731</v>
      </c>
      <c r="B247" s="1">
        <v>45668</v>
      </c>
      <c r="C247" t="s">
        <v>4007</v>
      </c>
      <c r="D247" t="s">
        <v>3999</v>
      </c>
      <c r="E247">
        <v>50000</v>
      </c>
      <c r="F247" s="3">
        <v>7</v>
      </c>
      <c r="G247">
        <f t="shared" si="9"/>
        <v>350000</v>
      </c>
      <c r="H247" t="s">
        <v>17</v>
      </c>
      <c r="I247">
        <f t="shared" si="10"/>
        <v>60000</v>
      </c>
      <c r="J247">
        <f t="shared" si="11"/>
        <v>420000</v>
      </c>
    </row>
    <row r="248" spans="1:10" x14ac:dyDescent="0.45">
      <c r="A248" t="s">
        <v>4765</v>
      </c>
      <c r="B248" s="1">
        <v>45668</v>
      </c>
      <c r="C248" t="s">
        <v>33</v>
      </c>
      <c r="D248" t="s">
        <v>4001</v>
      </c>
      <c r="E248">
        <v>500</v>
      </c>
      <c r="F248" s="3">
        <v>6</v>
      </c>
      <c r="G248">
        <f t="shared" si="9"/>
        <v>3000</v>
      </c>
      <c r="H248" t="s">
        <v>17</v>
      </c>
      <c r="I248">
        <f t="shared" si="10"/>
        <v>600</v>
      </c>
      <c r="J248">
        <f t="shared" si="11"/>
        <v>3600</v>
      </c>
    </row>
    <row r="249" spans="1:10" x14ac:dyDescent="0.45">
      <c r="A249" t="s">
        <v>118</v>
      </c>
      <c r="B249" s="1">
        <v>45669</v>
      </c>
      <c r="C249" t="s">
        <v>4007</v>
      </c>
      <c r="D249" t="s">
        <v>5015</v>
      </c>
      <c r="E249">
        <v>48000</v>
      </c>
      <c r="F249">
        <v>4</v>
      </c>
      <c r="G249">
        <f t="shared" si="9"/>
        <v>192000</v>
      </c>
      <c r="H249" t="s">
        <v>17</v>
      </c>
      <c r="I249">
        <f t="shared" si="10"/>
        <v>57600</v>
      </c>
      <c r="J249">
        <f t="shared" si="11"/>
        <v>230400</v>
      </c>
    </row>
    <row r="250" spans="1:10" x14ac:dyDescent="0.45">
      <c r="A250" t="s">
        <v>119</v>
      </c>
      <c r="B250" s="1">
        <v>45669</v>
      </c>
      <c r="C250" t="s">
        <v>9</v>
      </c>
      <c r="D250" t="s">
        <v>10</v>
      </c>
      <c r="E250">
        <v>400</v>
      </c>
      <c r="F250">
        <v>1</v>
      </c>
      <c r="G250">
        <f t="shared" si="9"/>
        <v>400</v>
      </c>
      <c r="H250" t="s">
        <v>21</v>
      </c>
      <c r="I250">
        <f t="shared" si="10"/>
        <v>480</v>
      </c>
      <c r="J250">
        <f t="shared" si="11"/>
        <v>480</v>
      </c>
    </row>
    <row r="251" spans="1:10" x14ac:dyDescent="0.45">
      <c r="A251" t="s">
        <v>120</v>
      </c>
      <c r="B251" s="1">
        <v>45669</v>
      </c>
      <c r="C251" t="s">
        <v>4007</v>
      </c>
      <c r="D251" t="s">
        <v>4005</v>
      </c>
      <c r="E251">
        <v>60000</v>
      </c>
      <c r="F251">
        <v>2</v>
      </c>
      <c r="G251">
        <f t="shared" si="9"/>
        <v>120000</v>
      </c>
      <c r="H251" t="s">
        <v>21</v>
      </c>
      <c r="I251">
        <f t="shared" si="10"/>
        <v>72000</v>
      </c>
      <c r="J251">
        <f t="shared" si="11"/>
        <v>144000</v>
      </c>
    </row>
    <row r="252" spans="1:10" x14ac:dyDescent="0.45">
      <c r="A252" t="s">
        <v>121</v>
      </c>
      <c r="B252" s="1">
        <v>45669</v>
      </c>
      <c r="C252" t="s">
        <v>4007</v>
      </c>
      <c r="D252" t="s">
        <v>39</v>
      </c>
      <c r="E252">
        <v>6000</v>
      </c>
      <c r="F252">
        <v>7</v>
      </c>
      <c r="G252">
        <f t="shared" si="9"/>
        <v>42000</v>
      </c>
      <c r="H252" t="s">
        <v>17</v>
      </c>
      <c r="I252">
        <f t="shared" si="10"/>
        <v>7200</v>
      </c>
      <c r="J252">
        <f t="shared" si="11"/>
        <v>50400</v>
      </c>
    </row>
    <row r="253" spans="1:10" x14ac:dyDescent="0.45">
      <c r="A253" t="s">
        <v>122</v>
      </c>
      <c r="B253" s="1">
        <v>45669</v>
      </c>
      <c r="C253" t="s">
        <v>33</v>
      </c>
      <c r="D253" t="s">
        <v>42</v>
      </c>
      <c r="E253">
        <v>6900</v>
      </c>
      <c r="F253">
        <v>1</v>
      </c>
      <c r="G253">
        <f t="shared" si="9"/>
        <v>6900</v>
      </c>
      <c r="H253" t="s">
        <v>7</v>
      </c>
      <c r="I253">
        <f t="shared" si="10"/>
        <v>8280</v>
      </c>
      <c r="J253">
        <f t="shared" si="11"/>
        <v>8280</v>
      </c>
    </row>
    <row r="254" spans="1:10" x14ac:dyDescent="0.45">
      <c r="A254" t="s">
        <v>3152</v>
      </c>
      <c r="B254" s="1">
        <v>45669</v>
      </c>
      <c r="C254" t="s">
        <v>4007</v>
      </c>
      <c r="D254" t="s">
        <v>28</v>
      </c>
      <c r="E254">
        <v>500</v>
      </c>
      <c r="F254">
        <v>4</v>
      </c>
      <c r="G254">
        <f t="shared" si="9"/>
        <v>2000</v>
      </c>
      <c r="H254" t="s">
        <v>17</v>
      </c>
      <c r="I254">
        <f t="shared" si="10"/>
        <v>600</v>
      </c>
      <c r="J254">
        <f t="shared" si="11"/>
        <v>2400</v>
      </c>
    </row>
    <row r="255" spans="1:10" x14ac:dyDescent="0.45">
      <c r="A255" t="s">
        <v>3370</v>
      </c>
      <c r="B255" s="1">
        <v>45669</v>
      </c>
      <c r="C255" t="s">
        <v>33</v>
      </c>
      <c r="D255" t="s">
        <v>34</v>
      </c>
      <c r="E255">
        <v>1700</v>
      </c>
      <c r="F255">
        <v>6</v>
      </c>
      <c r="G255">
        <f t="shared" si="9"/>
        <v>10200</v>
      </c>
      <c r="H255" t="s">
        <v>21</v>
      </c>
      <c r="I255">
        <f t="shared" si="10"/>
        <v>2040</v>
      </c>
      <c r="J255">
        <f t="shared" si="11"/>
        <v>12240</v>
      </c>
    </row>
    <row r="256" spans="1:10" x14ac:dyDescent="0.45">
      <c r="A256" t="s">
        <v>3549</v>
      </c>
      <c r="B256" s="1">
        <v>45669</v>
      </c>
      <c r="C256" t="s">
        <v>4007</v>
      </c>
      <c r="D256" t="s">
        <v>5015</v>
      </c>
      <c r="E256">
        <v>48000</v>
      </c>
      <c r="F256">
        <v>9</v>
      </c>
      <c r="G256">
        <f t="shared" si="9"/>
        <v>432000</v>
      </c>
      <c r="H256" t="s">
        <v>17</v>
      </c>
      <c r="I256">
        <f t="shared" si="10"/>
        <v>57600</v>
      </c>
      <c r="J256">
        <f t="shared" si="11"/>
        <v>518400</v>
      </c>
    </row>
    <row r="257" spans="1:10" x14ac:dyDescent="0.45">
      <c r="A257" t="s">
        <v>4085</v>
      </c>
      <c r="B257" s="1">
        <v>45669</v>
      </c>
      <c r="C257" t="s">
        <v>5008</v>
      </c>
      <c r="D257" t="s">
        <v>3996</v>
      </c>
      <c r="E257">
        <v>2000</v>
      </c>
      <c r="F257" s="3">
        <v>9</v>
      </c>
      <c r="G257">
        <f t="shared" si="9"/>
        <v>18000</v>
      </c>
      <c r="H257" t="s">
        <v>21</v>
      </c>
      <c r="I257">
        <f t="shared" si="10"/>
        <v>2400</v>
      </c>
      <c r="J257">
        <f t="shared" si="11"/>
        <v>21600</v>
      </c>
    </row>
    <row r="258" spans="1:10" x14ac:dyDescent="0.45">
      <c r="A258" t="s">
        <v>4113</v>
      </c>
      <c r="B258" s="1">
        <v>45669</v>
      </c>
      <c r="C258" t="s">
        <v>3979</v>
      </c>
      <c r="D258" t="s">
        <v>3984</v>
      </c>
      <c r="E258">
        <v>12000</v>
      </c>
      <c r="F258" s="3">
        <v>10</v>
      </c>
      <c r="G258">
        <f t="shared" ref="G258:G321" si="12">E258*F258</f>
        <v>120000</v>
      </c>
      <c r="H258" t="s">
        <v>7</v>
      </c>
      <c r="I258">
        <f t="shared" ref="I258:I321" si="13">E258*1.2</f>
        <v>14400</v>
      </c>
      <c r="J258">
        <f t="shared" ref="J258:J321" si="14">I258*F258</f>
        <v>144000</v>
      </c>
    </row>
    <row r="259" spans="1:10" x14ac:dyDescent="0.45">
      <c r="A259" t="s">
        <v>4129</v>
      </c>
      <c r="B259" s="1">
        <v>45669</v>
      </c>
      <c r="C259" t="s">
        <v>5009</v>
      </c>
      <c r="D259" t="s">
        <v>3982</v>
      </c>
      <c r="E259">
        <v>13000</v>
      </c>
      <c r="F259" s="3">
        <v>7</v>
      </c>
      <c r="G259">
        <f t="shared" si="12"/>
        <v>91000</v>
      </c>
      <c r="H259" t="s">
        <v>21</v>
      </c>
      <c r="I259">
        <f t="shared" si="13"/>
        <v>15600</v>
      </c>
      <c r="J259">
        <f t="shared" si="14"/>
        <v>109200</v>
      </c>
    </row>
    <row r="260" spans="1:10" x14ac:dyDescent="0.45">
      <c r="A260" t="s">
        <v>4426</v>
      </c>
      <c r="B260" s="1">
        <v>45669</v>
      </c>
      <c r="C260" t="s">
        <v>3977</v>
      </c>
      <c r="D260" t="s">
        <v>3991</v>
      </c>
      <c r="E260">
        <v>2000</v>
      </c>
      <c r="F260" s="3">
        <v>2</v>
      </c>
      <c r="G260">
        <f t="shared" si="12"/>
        <v>4000</v>
      </c>
      <c r="H260" t="s">
        <v>7</v>
      </c>
      <c r="I260">
        <f t="shared" si="13"/>
        <v>2400</v>
      </c>
      <c r="J260">
        <f t="shared" si="14"/>
        <v>4800</v>
      </c>
    </row>
    <row r="261" spans="1:10" x14ac:dyDescent="0.45">
      <c r="A261" t="s">
        <v>4456</v>
      </c>
      <c r="B261" s="1">
        <v>45669</v>
      </c>
      <c r="C261" t="s">
        <v>3977</v>
      </c>
      <c r="D261" t="s">
        <v>3978</v>
      </c>
      <c r="E261">
        <v>2000</v>
      </c>
      <c r="F261" s="3">
        <v>1</v>
      </c>
      <c r="G261">
        <f t="shared" si="12"/>
        <v>2000</v>
      </c>
      <c r="H261" t="s">
        <v>21</v>
      </c>
      <c r="I261">
        <f t="shared" si="13"/>
        <v>2400</v>
      </c>
      <c r="J261">
        <f t="shared" si="14"/>
        <v>2400</v>
      </c>
    </row>
    <row r="262" spans="1:10" x14ac:dyDescent="0.45">
      <c r="A262" t="s">
        <v>4554</v>
      </c>
      <c r="B262" s="1">
        <v>45669</v>
      </c>
      <c r="C262" t="s">
        <v>5008</v>
      </c>
      <c r="D262" t="s">
        <v>3998</v>
      </c>
      <c r="E262">
        <v>8000</v>
      </c>
      <c r="F262" s="3">
        <v>10</v>
      </c>
      <c r="G262">
        <f t="shared" si="12"/>
        <v>80000</v>
      </c>
      <c r="H262" t="s">
        <v>21</v>
      </c>
      <c r="I262">
        <f t="shared" si="13"/>
        <v>9600</v>
      </c>
      <c r="J262">
        <f t="shared" si="14"/>
        <v>96000</v>
      </c>
    </row>
    <row r="263" spans="1:10" x14ac:dyDescent="0.45">
      <c r="A263" t="s">
        <v>4631</v>
      </c>
      <c r="B263" s="1">
        <v>45669</v>
      </c>
      <c r="C263" t="s">
        <v>5008</v>
      </c>
      <c r="D263" t="s">
        <v>3996</v>
      </c>
      <c r="E263">
        <v>2000</v>
      </c>
      <c r="F263" s="3">
        <v>10</v>
      </c>
      <c r="G263">
        <f t="shared" si="12"/>
        <v>20000</v>
      </c>
      <c r="H263" t="s">
        <v>7</v>
      </c>
      <c r="I263">
        <f t="shared" si="13"/>
        <v>2400</v>
      </c>
      <c r="J263">
        <f t="shared" si="14"/>
        <v>24000</v>
      </c>
    </row>
    <row r="264" spans="1:10" x14ac:dyDescent="0.45">
      <c r="A264" t="s">
        <v>4707</v>
      </c>
      <c r="B264" s="1">
        <v>45669</v>
      </c>
      <c r="C264" t="s">
        <v>33</v>
      </c>
      <c r="D264" t="s">
        <v>3985</v>
      </c>
      <c r="E264">
        <v>1950</v>
      </c>
      <c r="F264" s="3">
        <v>10</v>
      </c>
      <c r="G264">
        <f t="shared" si="12"/>
        <v>19500</v>
      </c>
      <c r="H264" t="s">
        <v>7</v>
      </c>
      <c r="I264">
        <f t="shared" si="13"/>
        <v>2340</v>
      </c>
      <c r="J264">
        <f t="shared" si="14"/>
        <v>23400</v>
      </c>
    </row>
    <row r="265" spans="1:10" x14ac:dyDescent="0.45">
      <c r="A265" t="s">
        <v>4746</v>
      </c>
      <c r="B265" s="1">
        <v>45669</v>
      </c>
      <c r="C265" t="s">
        <v>3979</v>
      </c>
      <c r="D265" t="s">
        <v>3984</v>
      </c>
      <c r="E265">
        <v>12000</v>
      </c>
      <c r="F265" s="3">
        <v>8</v>
      </c>
      <c r="G265">
        <f t="shared" si="12"/>
        <v>96000</v>
      </c>
      <c r="H265" t="s">
        <v>7</v>
      </c>
      <c r="I265">
        <f t="shared" si="13"/>
        <v>14400</v>
      </c>
      <c r="J265">
        <f t="shared" si="14"/>
        <v>115200</v>
      </c>
    </row>
    <row r="266" spans="1:10" x14ac:dyDescent="0.45">
      <c r="A266" t="s">
        <v>4808</v>
      </c>
      <c r="B266" s="1">
        <v>45669</v>
      </c>
      <c r="C266" t="s">
        <v>5009</v>
      </c>
      <c r="D266" t="s">
        <v>3992</v>
      </c>
      <c r="E266">
        <v>400</v>
      </c>
      <c r="F266" s="3">
        <v>6</v>
      </c>
      <c r="G266">
        <f t="shared" si="12"/>
        <v>2400</v>
      </c>
      <c r="H266" t="s">
        <v>17</v>
      </c>
      <c r="I266">
        <f t="shared" si="13"/>
        <v>480</v>
      </c>
      <c r="J266">
        <f t="shared" si="14"/>
        <v>2880</v>
      </c>
    </row>
    <row r="267" spans="1:10" x14ac:dyDescent="0.45">
      <c r="A267" t="s">
        <v>4871</v>
      </c>
      <c r="B267" s="1">
        <v>45669</v>
      </c>
      <c r="C267" t="s">
        <v>33</v>
      </c>
      <c r="D267" t="s">
        <v>42</v>
      </c>
      <c r="E267">
        <v>6900</v>
      </c>
      <c r="F267" s="3">
        <v>7</v>
      </c>
      <c r="G267">
        <f t="shared" si="12"/>
        <v>48300</v>
      </c>
      <c r="H267" t="s">
        <v>7</v>
      </c>
      <c r="I267">
        <f t="shared" si="13"/>
        <v>8280</v>
      </c>
      <c r="J267">
        <f t="shared" si="14"/>
        <v>57960</v>
      </c>
    </row>
    <row r="268" spans="1:10" x14ac:dyDescent="0.45">
      <c r="A268" t="s">
        <v>123</v>
      </c>
      <c r="B268" s="1">
        <v>45670</v>
      </c>
      <c r="C268" t="s">
        <v>4007</v>
      </c>
      <c r="D268" t="s">
        <v>4005</v>
      </c>
      <c r="E268">
        <v>60000</v>
      </c>
      <c r="F268">
        <v>1</v>
      </c>
      <c r="G268">
        <f t="shared" si="12"/>
        <v>60000</v>
      </c>
      <c r="H268" t="s">
        <v>17</v>
      </c>
      <c r="I268">
        <f t="shared" si="13"/>
        <v>72000</v>
      </c>
      <c r="J268">
        <f t="shared" si="14"/>
        <v>72000</v>
      </c>
    </row>
    <row r="269" spans="1:10" x14ac:dyDescent="0.45">
      <c r="A269" t="s">
        <v>124</v>
      </c>
      <c r="B269" s="1">
        <v>45670</v>
      </c>
      <c r="C269" t="s">
        <v>33</v>
      </c>
      <c r="D269" t="s">
        <v>34</v>
      </c>
      <c r="E269">
        <v>1700</v>
      </c>
      <c r="F269">
        <v>8</v>
      </c>
      <c r="G269">
        <f t="shared" si="12"/>
        <v>13600</v>
      </c>
      <c r="H269" t="s">
        <v>17</v>
      </c>
      <c r="I269">
        <f t="shared" si="13"/>
        <v>2040</v>
      </c>
      <c r="J269">
        <f t="shared" si="14"/>
        <v>16320</v>
      </c>
    </row>
    <row r="270" spans="1:10" x14ac:dyDescent="0.45">
      <c r="A270" t="s">
        <v>125</v>
      </c>
      <c r="B270" s="1">
        <v>45670</v>
      </c>
      <c r="C270" t="s">
        <v>33</v>
      </c>
      <c r="D270" t="s">
        <v>16</v>
      </c>
      <c r="E270">
        <v>1200</v>
      </c>
      <c r="F270">
        <v>4</v>
      </c>
      <c r="G270">
        <f t="shared" si="12"/>
        <v>4800</v>
      </c>
      <c r="H270" t="s">
        <v>17</v>
      </c>
      <c r="I270">
        <f t="shared" si="13"/>
        <v>1440</v>
      </c>
      <c r="J270">
        <f t="shared" si="14"/>
        <v>5760</v>
      </c>
    </row>
    <row r="271" spans="1:10" x14ac:dyDescent="0.45">
      <c r="A271" t="s">
        <v>126</v>
      </c>
      <c r="B271" s="1">
        <v>45670</v>
      </c>
      <c r="C271" t="s">
        <v>33</v>
      </c>
      <c r="D271" t="s">
        <v>16</v>
      </c>
      <c r="E271">
        <v>1200</v>
      </c>
      <c r="F271">
        <v>6</v>
      </c>
      <c r="G271">
        <f t="shared" si="12"/>
        <v>7200</v>
      </c>
      <c r="H271" t="s">
        <v>21</v>
      </c>
      <c r="I271">
        <f t="shared" si="13"/>
        <v>1440</v>
      </c>
      <c r="J271">
        <f t="shared" si="14"/>
        <v>8640</v>
      </c>
    </row>
    <row r="272" spans="1:10" x14ac:dyDescent="0.45">
      <c r="A272" t="s">
        <v>127</v>
      </c>
      <c r="B272" s="1">
        <v>45670</v>
      </c>
      <c r="C272" t="s">
        <v>9</v>
      </c>
      <c r="D272" t="s">
        <v>10</v>
      </c>
      <c r="E272">
        <v>400</v>
      </c>
      <c r="F272">
        <v>9</v>
      </c>
      <c r="G272">
        <f t="shared" si="12"/>
        <v>3600</v>
      </c>
      <c r="H272" t="s">
        <v>17</v>
      </c>
      <c r="I272">
        <f t="shared" si="13"/>
        <v>480</v>
      </c>
      <c r="J272">
        <f t="shared" si="14"/>
        <v>4320</v>
      </c>
    </row>
    <row r="273" spans="1:10" x14ac:dyDescent="0.45">
      <c r="A273" t="s">
        <v>128</v>
      </c>
      <c r="B273" s="1">
        <v>45670</v>
      </c>
      <c r="C273" t="s">
        <v>4007</v>
      </c>
      <c r="D273" t="s">
        <v>39</v>
      </c>
      <c r="E273">
        <v>6000</v>
      </c>
      <c r="F273">
        <v>1</v>
      </c>
      <c r="G273">
        <f t="shared" si="12"/>
        <v>6000</v>
      </c>
      <c r="H273" t="s">
        <v>21</v>
      </c>
      <c r="I273">
        <f t="shared" si="13"/>
        <v>7200</v>
      </c>
      <c r="J273">
        <f t="shared" si="14"/>
        <v>7200</v>
      </c>
    </row>
    <row r="274" spans="1:10" x14ac:dyDescent="0.45">
      <c r="A274" t="s">
        <v>129</v>
      </c>
      <c r="B274" s="1">
        <v>45670</v>
      </c>
      <c r="C274" t="s">
        <v>33</v>
      </c>
      <c r="D274" t="s">
        <v>42</v>
      </c>
      <c r="E274">
        <v>6900</v>
      </c>
      <c r="F274">
        <v>10</v>
      </c>
      <c r="G274">
        <f t="shared" si="12"/>
        <v>69000</v>
      </c>
      <c r="H274" t="s">
        <v>7</v>
      </c>
      <c r="I274">
        <f t="shared" si="13"/>
        <v>8280</v>
      </c>
      <c r="J274">
        <f t="shared" si="14"/>
        <v>82800</v>
      </c>
    </row>
    <row r="275" spans="1:10" x14ac:dyDescent="0.45">
      <c r="A275" t="s">
        <v>130</v>
      </c>
      <c r="B275" s="1">
        <v>45670</v>
      </c>
      <c r="C275" t="s">
        <v>12</v>
      </c>
      <c r="D275" t="s">
        <v>5022</v>
      </c>
      <c r="E275">
        <v>2880</v>
      </c>
      <c r="F275">
        <v>10</v>
      </c>
      <c r="G275">
        <f t="shared" si="12"/>
        <v>28800</v>
      </c>
      <c r="H275" t="s">
        <v>21</v>
      </c>
      <c r="I275">
        <f t="shared" si="13"/>
        <v>3456</v>
      </c>
      <c r="J275">
        <f t="shared" si="14"/>
        <v>34560</v>
      </c>
    </row>
    <row r="276" spans="1:10" x14ac:dyDescent="0.45">
      <c r="A276" t="s">
        <v>3381</v>
      </c>
      <c r="B276" s="1">
        <v>45670</v>
      </c>
      <c r="C276" t="s">
        <v>2772</v>
      </c>
      <c r="D276" t="s">
        <v>2775</v>
      </c>
      <c r="E276">
        <v>9100</v>
      </c>
      <c r="F276">
        <v>4</v>
      </c>
      <c r="G276">
        <f t="shared" si="12"/>
        <v>36400</v>
      </c>
      <c r="H276" t="s">
        <v>17</v>
      </c>
      <c r="I276">
        <f t="shared" si="13"/>
        <v>10920</v>
      </c>
      <c r="J276">
        <f t="shared" si="14"/>
        <v>43680</v>
      </c>
    </row>
    <row r="277" spans="1:10" x14ac:dyDescent="0.45">
      <c r="A277" t="s">
        <v>3783</v>
      </c>
      <c r="B277" s="1">
        <v>45670</v>
      </c>
      <c r="C277" t="s">
        <v>33</v>
      </c>
      <c r="D277" t="s">
        <v>34</v>
      </c>
      <c r="E277">
        <v>1700</v>
      </c>
      <c r="F277">
        <v>7</v>
      </c>
      <c r="G277">
        <f t="shared" si="12"/>
        <v>11900</v>
      </c>
      <c r="H277" t="s">
        <v>17</v>
      </c>
      <c r="I277">
        <f t="shared" si="13"/>
        <v>2040</v>
      </c>
      <c r="J277">
        <f t="shared" si="14"/>
        <v>14280</v>
      </c>
    </row>
    <row r="278" spans="1:10" x14ac:dyDescent="0.45">
      <c r="A278" t="s">
        <v>3845</v>
      </c>
      <c r="B278" s="1">
        <v>45670</v>
      </c>
      <c r="C278" t="s">
        <v>4007</v>
      </c>
      <c r="D278" t="s">
        <v>2770</v>
      </c>
      <c r="E278">
        <v>600</v>
      </c>
      <c r="F278">
        <v>8</v>
      </c>
      <c r="G278">
        <f t="shared" si="12"/>
        <v>4800</v>
      </c>
      <c r="H278" t="s">
        <v>17</v>
      </c>
      <c r="I278">
        <f t="shared" si="13"/>
        <v>720</v>
      </c>
      <c r="J278">
        <f t="shared" si="14"/>
        <v>5760</v>
      </c>
    </row>
    <row r="279" spans="1:10" x14ac:dyDescent="0.45">
      <c r="A279" t="s">
        <v>3973</v>
      </c>
      <c r="B279" s="1">
        <v>45670</v>
      </c>
      <c r="C279" t="s">
        <v>2772</v>
      </c>
      <c r="D279" t="s">
        <v>2771</v>
      </c>
      <c r="E279">
        <v>120</v>
      </c>
      <c r="F279">
        <v>9</v>
      </c>
      <c r="G279">
        <f t="shared" si="12"/>
        <v>1080</v>
      </c>
      <c r="H279" t="s">
        <v>7</v>
      </c>
      <c r="I279">
        <f t="shared" si="13"/>
        <v>144</v>
      </c>
      <c r="J279">
        <f t="shared" si="14"/>
        <v>1296</v>
      </c>
    </row>
    <row r="280" spans="1:10" x14ac:dyDescent="0.45">
      <c r="A280" t="s">
        <v>4083</v>
      </c>
      <c r="B280" s="1">
        <v>45670</v>
      </c>
      <c r="C280" t="s">
        <v>3979</v>
      </c>
      <c r="D280" t="s">
        <v>3980</v>
      </c>
      <c r="E280">
        <v>500</v>
      </c>
      <c r="F280" s="3">
        <v>10</v>
      </c>
      <c r="G280">
        <f t="shared" si="12"/>
        <v>5000</v>
      </c>
      <c r="H280" t="s">
        <v>17</v>
      </c>
      <c r="I280">
        <f t="shared" si="13"/>
        <v>600</v>
      </c>
      <c r="J280">
        <f t="shared" si="14"/>
        <v>6000</v>
      </c>
    </row>
    <row r="281" spans="1:10" x14ac:dyDescent="0.45">
      <c r="A281" t="s">
        <v>4203</v>
      </c>
      <c r="B281" s="1">
        <v>45670</v>
      </c>
      <c r="C281" t="s">
        <v>5008</v>
      </c>
      <c r="D281" t="s">
        <v>3986</v>
      </c>
      <c r="E281">
        <v>12000</v>
      </c>
      <c r="F281" s="3">
        <v>1</v>
      </c>
      <c r="G281">
        <f t="shared" si="12"/>
        <v>12000</v>
      </c>
      <c r="H281" t="s">
        <v>17</v>
      </c>
      <c r="I281">
        <f t="shared" si="13"/>
        <v>14400</v>
      </c>
      <c r="J281">
        <f t="shared" si="14"/>
        <v>14400</v>
      </c>
    </row>
    <row r="282" spans="1:10" x14ac:dyDescent="0.45">
      <c r="A282" t="s">
        <v>4440</v>
      </c>
      <c r="B282" s="1">
        <v>45670</v>
      </c>
      <c r="C282" t="s">
        <v>3979</v>
      </c>
      <c r="D282" t="s">
        <v>3984</v>
      </c>
      <c r="E282">
        <v>12000</v>
      </c>
      <c r="F282" s="3">
        <v>6</v>
      </c>
      <c r="G282">
        <f t="shared" si="12"/>
        <v>72000</v>
      </c>
      <c r="H282" t="s">
        <v>21</v>
      </c>
      <c r="I282">
        <f t="shared" si="13"/>
        <v>14400</v>
      </c>
      <c r="J282">
        <f t="shared" si="14"/>
        <v>86400</v>
      </c>
    </row>
    <row r="283" spans="1:10" x14ac:dyDescent="0.45">
      <c r="A283" t="s">
        <v>4535</v>
      </c>
      <c r="B283" s="1">
        <v>45670</v>
      </c>
      <c r="C283" t="s">
        <v>5008</v>
      </c>
      <c r="D283" t="s">
        <v>3995</v>
      </c>
      <c r="E283">
        <v>15000</v>
      </c>
      <c r="F283" s="3">
        <v>2</v>
      </c>
      <c r="G283">
        <f t="shared" si="12"/>
        <v>30000</v>
      </c>
      <c r="H283" t="s">
        <v>21</v>
      </c>
      <c r="I283">
        <f t="shared" si="13"/>
        <v>18000</v>
      </c>
      <c r="J283">
        <f t="shared" si="14"/>
        <v>36000</v>
      </c>
    </row>
    <row r="284" spans="1:10" x14ac:dyDescent="0.45">
      <c r="A284" t="s">
        <v>4581</v>
      </c>
      <c r="B284" s="1">
        <v>45670</v>
      </c>
      <c r="C284" t="s">
        <v>4007</v>
      </c>
      <c r="D284" t="s">
        <v>4005</v>
      </c>
      <c r="E284">
        <v>60000</v>
      </c>
      <c r="F284" s="3">
        <v>2</v>
      </c>
      <c r="G284">
        <f t="shared" si="12"/>
        <v>120000</v>
      </c>
      <c r="H284" t="s">
        <v>17</v>
      </c>
      <c r="I284">
        <f t="shared" si="13"/>
        <v>72000</v>
      </c>
      <c r="J284">
        <f t="shared" si="14"/>
        <v>144000</v>
      </c>
    </row>
    <row r="285" spans="1:10" x14ac:dyDescent="0.45">
      <c r="A285" t="s">
        <v>4624</v>
      </c>
      <c r="B285" s="1">
        <v>45670</v>
      </c>
      <c r="C285" t="s">
        <v>5009</v>
      </c>
      <c r="D285" t="s">
        <v>4004</v>
      </c>
      <c r="E285">
        <v>15000</v>
      </c>
      <c r="F285" s="3">
        <v>6</v>
      </c>
      <c r="G285">
        <f t="shared" si="12"/>
        <v>90000</v>
      </c>
      <c r="H285" t="s">
        <v>21</v>
      </c>
      <c r="I285">
        <f t="shared" si="13"/>
        <v>18000</v>
      </c>
      <c r="J285">
        <f t="shared" si="14"/>
        <v>108000</v>
      </c>
    </row>
    <row r="286" spans="1:10" x14ac:dyDescent="0.45">
      <c r="A286" t="s">
        <v>4893</v>
      </c>
      <c r="B286" s="1">
        <v>45670</v>
      </c>
      <c r="C286" t="s">
        <v>5009</v>
      </c>
      <c r="D286" t="s">
        <v>3990</v>
      </c>
      <c r="E286">
        <v>2800</v>
      </c>
      <c r="F286" s="3">
        <v>7</v>
      </c>
      <c r="G286">
        <f t="shared" si="12"/>
        <v>19600</v>
      </c>
      <c r="H286" t="s">
        <v>17</v>
      </c>
      <c r="I286">
        <f t="shared" si="13"/>
        <v>3360</v>
      </c>
      <c r="J286">
        <f t="shared" si="14"/>
        <v>23520</v>
      </c>
    </row>
    <row r="287" spans="1:10" x14ac:dyDescent="0.45">
      <c r="A287" t="s">
        <v>4935</v>
      </c>
      <c r="B287" s="1">
        <v>45670</v>
      </c>
      <c r="C287" t="s">
        <v>3977</v>
      </c>
      <c r="D287" t="s">
        <v>3991</v>
      </c>
      <c r="E287">
        <v>2000</v>
      </c>
      <c r="F287" s="3">
        <v>9</v>
      </c>
      <c r="G287">
        <f t="shared" si="12"/>
        <v>18000</v>
      </c>
      <c r="H287" t="s">
        <v>21</v>
      </c>
      <c r="I287">
        <f t="shared" si="13"/>
        <v>2400</v>
      </c>
      <c r="J287">
        <f t="shared" si="14"/>
        <v>21600</v>
      </c>
    </row>
    <row r="288" spans="1:10" x14ac:dyDescent="0.45">
      <c r="A288" t="s">
        <v>4961</v>
      </c>
      <c r="B288" s="1">
        <v>45670</v>
      </c>
      <c r="C288" t="s">
        <v>4007</v>
      </c>
      <c r="D288" t="s">
        <v>5015</v>
      </c>
      <c r="E288">
        <v>48000</v>
      </c>
      <c r="F288" s="3">
        <v>4</v>
      </c>
      <c r="G288">
        <f t="shared" si="12"/>
        <v>192000</v>
      </c>
      <c r="H288" t="s">
        <v>17</v>
      </c>
      <c r="I288">
        <f t="shared" si="13"/>
        <v>57600</v>
      </c>
      <c r="J288">
        <f t="shared" si="14"/>
        <v>230400</v>
      </c>
    </row>
    <row r="289" spans="1:10" x14ac:dyDescent="0.45">
      <c r="A289" t="s">
        <v>4975</v>
      </c>
      <c r="B289" s="1">
        <v>45670</v>
      </c>
      <c r="C289" t="s">
        <v>33</v>
      </c>
      <c r="D289" t="s">
        <v>3994</v>
      </c>
      <c r="E289">
        <v>2500</v>
      </c>
      <c r="F289" s="3">
        <v>3</v>
      </c>
      <c r="G289">
        <f t="shared" si="12"/>
        <v>7500</v>
      </c>
      <c r="H289" t="s">
        <v>21</v>
      </c>
      <c r="I289">
        <f t="shared" si="13"/>
        <v>3000</v>
      </c>
      <c r="J289">
        <f t="shared" si="14"/>
        <v>9000</v>
      </c>
    </row>
    <row r="290" spans="1:10" x14ac:dyDescent="0.45">
      <c r="A290" t="s">
        <v>131</v>
      </c>
      <c r="B290" s="1">
        <v>45671</v>
      </c>
      <c r="C290" t="s">
        <v>4007</v>
      </c>
      <c r="D290" t="s">
        <v>4005</v>
      </c>
      <c r="E290">
        <v>60000</v>
      </c>
      <c r="F290">
        <v>1</v>
      </c>
      <c r="G290">
        <f t="shared" si="12"/>
        <v>60000</v>
      </c>
      <c r="H290" t="s">
        <v>17</v>
      </c>
      <c r="I290">
        <f t="shared" si="13"/>
        <v>72000</v>
      </c>
      <c r="J290">
        <f t="shared" si="14"/>
        <v>72000</v>
      </c>
    </row>
    <row r="291" spans="1:10" x14ac:dyDescent="0.45">
      <c r="A291" t="s">
        <v>132</v>
      </c>
      <c r="B291" s="1">
        <v>45671</v>
      </c>
      <c r="C291" t="s">
        <v>12</v>
      </c>
      <c r="D291" t="s">
        <v>5023</v>
      </c>
      <c r="E291">
        <v>1750</v>
      </c>
      <c r="F291">
        <v>8</v>
      </c>
      <c r="G291">
        <f t="shared" si="12"/>
        <v>14000</v>
      </c>
      <c r="H291" t="s">
        <v>17</v>
      </c>
      <c r="I291">
        <f t="shared" si="13"/>
        <v>2100</v>
      </c>
      <c r="J291">
        <f t="shared" si="14"/>
        <v>16800</v>
      </c>
    </row>
    <row r="292" spans="1:10" x14ac:dyDescent="0.45">
      <c r="A292" t="s">
        <v>133</v>
      </c>
      <c r="B292" s="1">
        <v>45671</v>
      </c>
      <c r="C292" t="s">
        <v>9</v>
      </c>
      <c r="D292" t="s">
        <v>25</v>
      </c>
      <c r="E292">
        <v>5200</v>
      </c>
      <c r="F292">
        <v>4</v>
      </c>
      <c r="G292">
        <f t="shared" si="12"/>
        <v>20800</v>
      </c>
      <c r="H292" t="s">
        <v>7</v>
      </c>
      <c r="I292">
        <f t="shared" si="13"/>
        <v>6240</v>
      </c>
      <c r="J292">
        <f t="shared" si="14"/>
        <v>24960</v>
      </c>
    </row>
    <row r="293" spans="1:10" x14ac:dyDescent="0.45">
      <c r="A293" t="s">
        <v>134</v>
      </c>
      <c r="B293" s="1">
        <v>45671</v>
      </c>
      <c r="C293" t="s">
        <v>33</v>
      </c>
      <c r="D293" t="s">
        <v>16</v>
      </c>
      <c r="E293">
        <v>1200</v>
      </c>
      <c r="F293">
        <v>2</v>
      </c>
      <c r="G293">
        <f t="shared" si="12"/>
        <v>2400</v>
      </c>
      <c r="H293" t="s">
        <v>21</v>
      </c>
      <c r="I293">
        <f t="shared" si="13"/>
        <v>1440</v>
      </c>
      <c r="J293">
        <f t="shared" si="14"/>
        <v>2880</v>
      </c>
    </row>
    <row r="294" spans="1:10" x14ac:dyDescent="0.45">
      <c r="A294" t="s">
        <v>135</v>
      </c>
      <c r="B294" s="1">
        <v>45671</v>
      </c>
      <c r="C294" t="s">
        <v>4007</v>
      </c>
      <c r="D294" t="s">
        <v>28</v>
      </c>
      <c r="E294">
        <v>500</v>
      </c>
      <c r="F294">
        <v>3</v>
      </c>
      <c r="G294">
        <f t="shared" si="12"/>
        <v>1500</v>
      </c>
      <c r="H294" t="s">
        <v>17</v>
      </c>
      <c r="I294">
        <f t="shared" si="13"/>
        <v>600</v>
      </c>
      <c r="J294">
        <f t="shared" si="14"/>
        <v>1800</v>
      </c>
    </row>
    <row r="295" spans="1:10" x14ac:dyDescent="0.45">
      <c r="A295" t="s">
        <v>2803</v>
      </c>
      <c r="B295" s="1">
        <v>45671</v>
      </c>
      <c r="C295" t="s">
        <v>4007</v>
      </c>
      <c r="D295" t="s">
        <v>2770</v>
      </c>
      <c r="E295">
        <v>600</v>
      </c>
      <c r="F295">
        <v>2</v>
      </c>
      <c r="G295">
        <f t="shared" si="12"/>
        <v>1200</v>
      </c>
      <c r="H295" t="s">
        <v>7</v>
      </c>
      <c r="I295">
        <f t="shared" si="13"/>
        <v>720</v>
      </c>
      <c r="J295">
        <f t="shared" si="14"/>
        <v>1440</v>
      </c>
    </row>
    <row r="296" spans="1:10" x14ac:dyDescent="0.45">
      <c r="A296" t="s">
        <v>2891</v>
      </c>
      <c r="B296" s="1">
        <v>45671</v>
      </c>
      <c r="C296" t="s">
        <v>4007</v>
      </c>
      <c r="D296" t="s">
        <v>28</v>
      </c>
      <c r="E296">
        <v>500</v>
      </c>
      <c r="F296">
        <v>2</v>
      </c>
      <c r="G296">
        <f t="shared" si="12"/>
        <v>1000</v>
      </c>
      <c r="H296" t="s">
        <v>17</v>
      </c>
      <c r="I296">
        <f t="shared" si="13"/>
        <v>600</v>
      </c>
      <c r="J296">
        <f t="shared" si="14"/>
        <v>1200</v>
      </c>
    </row>
    <row r="297" spans="1:10" x14ac:dyDescent="0.45">
      <c r="A297" t="s">
        <v>2945</v>
      </c>
      <c r="B297" s="1">
        <v>45671</v>
      </c>
      <c r="C297" t="s">
        <v>4007</v>
      </c>
      <c r="D297" t="s">
        <v>2776</v>
      </c>
      <c r="E297">
        <v>3600</v>
      </c>
      <c r="F297">
        <v>9</v>
      </c>
      <c r="G297">
        <f t="shared" si="12"/>
        <v>32400</v>
      </c>
      <c r="H297" t="s">
        <v>7</v>
      </c>
      <c r="I297">
        <f t="shared" si="13"/>
        <v>4320</v>
      </c>
      <c r="J297">
        <f t="shared" si="14"/>
        <v>38880</v>
      </c>
    </row>
    <row r="298" spans="1:10" x14ac:dyDescent="0.45">
      <c r="A298" t="s">
        <v>3114</v>
      </c>
      <c r="B298" s="1">
        <v>45671</v>
      </c>
      <c r="C298" t="s">
        <v>4007</v>
      </c>
      <c r="D298" t="s">
        <v>2774</v>
      </c>
      <c r="E298">
        <v>1900</v>
      </c>
      <c r="F298">
        <v>10</v>
      </c>
      <c r="G298">
        <f t="shared" si="12"/>
        <v>19000</v>
      </c>
      <c r="H298" t="s">
        <v>21</v>
      </c>
      <c r="I298">
        <f t="shared" si="13"/>
        <v>2280</v>
      </c>
      <c r="J298">
        <f t="shared" si="14"/>
        <v>22800</v>
      </c>
    </row>
    <row r="299" spans="1:10" x14ac:dyDescent="0.45">
      <c r="A299" t="s">
        <v>3326</v>
      </c>
      <c r="B299" s="1">
        <v>45671</v>
      </c>
      <c r="C299" t="s">
        <v>4007</v>
      </c>
      <c r="D299" t="s">
        <v>28</v>
      </c>
      <c r="E299">
        <v>500</v>
      </c>
      <c r="F299">
        <v>2</v>
      </c>
      <c r="G299">
        <f t="shared" si="12"/>
        <v>1000</v>
      </c>
      <c r="H299" t="s">
        <v>17</v>
      </c>
      <c r="I299">
        <f t="shared" si="13"/>
        <v>600</v>
      </c>
      <c r="J299">
        <f t="shared" si="14"/>
        <v>1200</v>
      </c>
    </row>
    <row r="300" spans="1:10" x14ac:dyDescent="0.45">
      <c r="A300" t="s">
        <v>4210</v>
      </c>
      <c r="B300" s="1">
        <v>45671</v>
      </c>
      <c r="C300" t="s">
        <v>3979</v>
      </c>
      <c r="D300" t="s">
        <v>3980</v>
      </c>
      <c r="E300">
        <v>500</v>
      </c>
      <c r="F300" s="3">
        <v>7</v>
      </c>
      <c r="G300">
        <f t="shared" si="12"/>
        <v>3500</v>
      </c>
      <c r="H300" t="s">
        <v>21</v>
      </c>
      <c r="I300">
        <f t="shared" si="13"/>
        <v>600</v>
      </c>
      <c r="J300">
        <f t="shared" si="14"/>
        <v>4200</v>
      </c>
    </row>
    <row r="301" spans="1:10" x14ac:dyDescent="0.45">
      <c r="A301" t="s">
        <v>4257</v>
      </c>
      <c r="B301" s="1">
        <v>45671</v>
      </c>
      <c r="C301" t="s">
        <v>4007</v>
      </c>
      <c r="D301" t="s">
        <v>4005</v>
      </c>
      <c r="E301">
        <v>60000</v>
      </c>
      <c r="F301" s="3">
        <v>7</v>
      </c>
      <c r="G301">
        <f t="shared" si="12"/>
        <v>420000</v>
      </c>
      <c r="H301" t="s">
        <v>17</v>
      </c>
      <c r="I301">
        <f t="shared" si="13"/>
        <v>72000</v>
      </c>
      <c r="J301">
        <f t="shared" si="14"/>
        <v>504000</v>
      </c>
    </row>
    <row r="302" spans="1:10" x14ac:dyDescent="0.45">
      <c r="A302" t="s">
        <v>4383</v>
      </c>
      <c r="B302" s="1">
        <v>45671</v>
      </c>
      <c r="C302" t="s">
        <v>5008</v>
      </c>
      <c r="D302" t="s">
        <v>3995</v>
      </c>
      <c r="E302">
        <v>15000</v>
      </c>
      <c r="F302" s="3">
        <v>5</v>
      </c>
      <c r="G302">
        <f t="shared" si="12"/>
        <v>75000</v>
      </c>
      <c r="H302" t="s">
        <v>21</v>
      </c>
      <c r="I302">
        <f t="shared" si="13"/>
        <v>18000</v>
      </c>
      <c r="J302">
        <f t="shared" si="14"/>
        <v>90000</v>
      </c>
    </row>
    <row r="303" spans="1:10" x14ac:dyDescent="0.45">
      <c r="A303" t="s">
        <v>4390</v>
      </c>
      <c r="B303" s="1">
        <v>45671</v>
      </c>
      <c r="C303" t="s">
        <v>4007</v>
      </c>
      <c r="D303" t="s">
        <v>3997</v>
      </c>
      <c r="E303">
        <v>62000</v>
      </c>
      <c r="F303" s="3">
        <v>5</v>
      </c>
      <c r="G303">
        <f t="shared" si="12"/>
        <v>310000</v>
      </c>
      <c r="H303" t="s">
        <v>17</v>
      </c>
      <c r="I303">
        <f t="shared" si="13"/>
        <v>74400</v>
      </c>
      <c r="J303">
        <f t="shared" si="14"/>
        <v>372000</v>
      </c>
    </row>
    <row r="304" spans="1:10" x14ac:dyDescent="0.45">
      <c r="A304" t="s">
        <v>4585</v>
      </c>
      <c r="B304" s="1">
        <v>45671</v>
      </c>
      <c r="C304" t="s">
        <v>4007</v>
      </c>
      <c r="D304" t="s">
        <v>3999</v>
      </c>
      <c r="E304">
        <v>50000</v>
      </c>
      <c r="F304" s="3">
        <v>4</v>
      </c>
      <c r="G304">
        <f t="shared" si="12"/>
        <v>200000</v>
      </c>
      <c r="H304" t="s">
        <v>21</v>
      </c>
      <c r="I304">
        <f t="shared" si="13"/>
        <v>60000</v>
      </c>
      <c r="J304">
        <f t="shared" si="14"/>
        <v>240000</v>
      </c>
    </row>
    <row r="305" spans="1:10" x14ac:dyDescent="0.45">
      <c r="A305" t="s">
        <v>4591</v>
      </c>
      <c r="B305" s="1">
        <v>45671</v>
      </c>
      <c r="C305" t="s">
        <v>5008</v>
      </c>
      <c r="D305" t="s">
        <v>3996</v>
      </c>
      <c r="E305">
        <v>2000</v>
      </c>
      <c r="F305" s="3">
        <v>4</v>
      </c>
      <c r="G305">
        <f t="shared" si="12"/>
        <v>8000</v>
      </c>
      <c r="H305" t="s">
        <v>17</v>
      </c>
      <c r="I305">
        <f t="shared" si="13"/>
        <v>2400</v>
      </c>
      <c r="J305">
        <f t="shared" si="14"/>
        <v>9600</v>
      </c>
    </row>
    <row r="306" spans="1:10" x14ac:dyDescent="0.45">
      <c r="A306" t="s">
        <v>4678</v>
      </c>
      <c r="B306" s="1">
        <v>45671</v>
      </c>
      <c r="C306" t="s">
        <v>5008</v>
      </c>
      <c r="D306" t="s">
        <v>4003</v>
      </c>
      <c r="E306">
        <v>10000</v>
      </c>
      <c r="F306" s="3">
        <v>10</v>
      </c>
      <c r="G306">
        <f t="shared" si="12"/>
        <v>100000</v>
      </c>
      <c r="H306" t="s">
        <v>17</v>
      </c>
      <c r="I306">
        <f t="shared" si="13"/>
        <v>12000</v>
      </c>
      <c r="J306">
        <f t="shared" si="14"/>
        <v>120000</v>
      </c>
    </row>
    <row r="307" spans="1:10" x14ac:dyDescent="0.45">
      <c r="A307" t="s">
        <v>4689</v>
      </c>
      <c r="B307" s="1">
        <v>45671</v>
      </c>
      <c r="C307" t="s">
        <v>5009</v>
      </c>
      <c r="D307" t="s">
        <v>4000</v>
      </c>
      <c r="E307">
        <v>3000</v>
      </c>
      <c r="F307" s="3">
        <v>1</v>
      </c>
      <c r="G307">
        <f t="shared" si="12"/>
        <v>3000</v>
      </c>
      <c r="H307" t="s">
        <v>17</v>
      </c>
      <c r="I307">
        <f t="shared" si="13"/>
        <v>3600</v>
      </c>
      <c r="J307">
        <f t="shared" si="14"/>
        <v>3600</v>
      </c>
    </row>
    <row r="308" spans="1:10" x14ac:dyDescent="0.45">
      <c r="A308" t="s">
        <v>4749</v>
      </c>
      <c r="B308" s="1">
        <v>45671</v>
      </c>
      <c r="C308" t="s">
        <v>4007</v>
      </c>
      <c r="D308" t="s">
        <v>3997</v>
      </c>
      <c r="E308">
        <v>62000</v>
      </c>
      <c r="F308" s="3">
        <v>1</v>
      </c>
      <c r="G308">
        <f t="shared" si="12"/>
        <v>62000</v>
      </c>
      <c r="H308" t="s">
        <v>21</v>
      </c>
      <c r="I308">
        <f t="shared" si="13"/>
        <v>74400</v>
      </c>
      <c r="J308">
        <f t="shared" si="14"/>
        <v>74400</v>
      </c>
    </row>
    <row r="309" spans="1:10" x14ac:dyDescent="0.45">
      <c r="A309" t="s">
        <v>4796</v>
      </c>
      <c r="B309" s="1">
        <v>45671</v>
      </c>
      <c r="C309" t="s">
        <v>3977</v>
      </c>
      <c r="D309" t="s">
        <v>3991</v>
      </c>
      <c r="E309">
        <v>2000</v>
      </c>
      <c r="F309" s="3">
        <v>3</v>
      </c>
      <c r="G309">
        <f t="shared" si="12"/>
        <v>6000</v>
      </c>
      <c r="H309" t="s">
        <v>21</v>
      </c>
      <c r="I309">
        <f t="shared" si="13"/>
        <v>2400</v>
      </c>
      <c r="J309">
        <f t="shared" si="14"/>
        <v>7200</v>
      </c>
    </row>
    <row r="310" spans="1:10" x14ac:dyDescent="0.45">
      <c r="A310" t="s">
        <v>4816</v>
      </c>
      <c r="B310" s="1">
        <v>45671</v>
      </c>
      <c r="C310" t="s">
        <v>3977</v>
      </c>
      <c r="D310" t="s">
        <v>3993</v>
      </c>
      <c r="E310">
        <v>1000</v>
      </c>
      <c r="F310" s="3">
        <v>1</v>
      </c>
      <c r="G310">
        <f t="shared" si="12"/>
        <v>1000</v>
      </c>
      <c r="H310" t="s">
        <v>17</v>
      </c>
      <c r="I310">
        <f t="shared" si="13"/>
        <v>1200</v>
      </c>
      <c r="J310">
        <f t="shared" si="14"/>
        <v>1200</v>
      </c>
    </row>
    <row r="311" spans="1:10" x14ac:dyDescent="0.45">
      <c r="A311" t="s">
        <v>4860</v>
      </c>
      <c r="B311" s="1">
        <v>45671</v>
      </c>
      <c r="C311" t="s">
        <v>3977</v>
      </c>
      <c r="D311" t="s">
        <v>3978</v>
      </c>
      <c r="E311">
        <v>2000</v>
      </c>
      <c r="F311" s="3">
        <v>7</v>
      </c>
      <c r="G311">
        <f t="shared" si="12"/>
        <v>14000</v>
      </c>
      <c r="H311" t="s">
        <v>7</v>
      </c>
      <c r="I311">
        <f t="shared" si="13"/>
        <v>2400</v>
      </c>
      <c r="J311">
        <f t="shared" si="14"/>
        <v>16800</v>
      </c>
    </row>
    <row r="312" spans="1:10" x14ac:dyDescent="0.45">
      <c r="A312" t="s">
        <v>4908</v>
      </c>
      <c r="B312" s="1">
        <v>45671</v>
      </c>
      <c r="C312" t="s">
        <v>3979</v>
      </c>
      <c r="D312" t="s">
        <v>3984</v>
      </c>
      <c r="E312">
        <v>12000</v>
      </c>
      <c r="F312" s="3">
        <v>9</v>
      </c>
      <c r="G312">
        <f t="shared" si="12"/>
        <v>108000</v>
      </c>
      <c r="H312" t="s">
        <v>21</v>
      </c>
      <c r="I312">
        <f t="shared" si="13"/>
        <v>14400</v>
      </c>
      <c r="J312">
        <f t="shared" si="14"/>
        <v>129600</v>
      </c>
    </row>
    <row r="313" spans="1:10" x14ac:dyDescent="0.45">
      <c r="A313" t="s">
        <v>136</v>
      </c>
      <c r="B313" s="1">
        <v>45672</v>
      </c>
      <c r="C313" t="s">
        <v>33</v>
      </c>
      <c r="D313" t="s">
        <v>34</v>
      </c>
      <c r="E313">
        <v>1700</v>
      </c>
      <c r="F313">
        <v>6</v>
      </c>
      <c r="G313">
        <f t="shared" si="12"/>
        <v>10200</v>
      </c>
      <c r="H313" t="s">
        <v>21</v>
      </c>
      <c r="I313">
        <f t="shared" si="13"/>
        <v>2040</v>
      </c>
      <c r="J313">
        <f t="shared" si="14"/>
        <v>12240</v>
      </c>
    </row>
    <row r="314" spans="1:10" x14ac:dyDescent="0.45">
      <c r="A314" t="s">
        <v>137</v>
      </c>
      <c r="B314" s="1">
        <v>45672</v>
      </c>
      <c r="C314" t="s">
        <v>4007</v>
      </c>
      <c r="D314" t="s">
        <v>5015</v>
      </c>
      <c r="E314">
        <v>48000</v>
      </c>
      <c r="F314">
        <v>8</v>
      </c>
      <c r="G314">
        <f t="shared" si="12"/>
        <v>384000</v>
      </c>
      <c r="H314" t="s">
        <v>21</v>
      </c>
      <c r="I314">
        <f t="shared" si="13"/>
        <v>57600</v>
      </c>
      <c r="J314">
        <f t="shared" si="14"/>
        <v>460800</v>
      </c>
    </row>
    <row r="315" spans="1:10" x14ac:dyDescent="0.45">
      <c r="A315" t="s">
        <v>138</v>
      </c>
      <c r="B315" s="1">
        <v>45672</v>
      </c>
      <c r="C315" t="s">
        <v>33</v>
      </c>
      <c r="D315" t="s">
        <v>16</v>
      </c>
      <c r="E315">
        <v>1200</v>
      </c>
      <c r="F315">
        <v>8</v>
      </c>
      <c r="G315">
        <f t="shared" si="12"/>
        <v>9600</v>
      </c>
      <c r="H315" t="s">
        <v>7</v>
      </c>
      <c r="I315">
        <f t="shared" si="13"/>
        <v>1440</v>
      </c>
      <c r="J315">
        <f t="shared" si="14"/>
        <v>11520</v>
      </c>
    </row>
    <row r="316" spans="1:10" x14ac:dyDescent="0.45">
      <c r="A316" t="s">
        <v>139</v>
      </c>
      <c r="B316" s="1">
        <v>45672</v>
      </c>
      <c r="C316" t="s">
        <v>9</v>
      </c>
      <c r="D316" t="s">
        <v>10</v>
      </c>
      <c r="E316">
        <v>400</v>
      </c>
      <c r="F316">
        <v>2</v>
      </c>
      <c r="G316">
        <f t="shared" si="12"/>
        <v>800</v>
      </c>
      <c r="H316" t="s">
        <v>7</v>
      </c>
      <c r="I316">
        <f t="shared" si="13"/>
        <v>480</v>
      </c>
      <c r="J316">
        <f t="shared" si="14"/>
        <v>960</v>
      </c>
    </row>
    <row r="317" spans="1:10" x14ac:dyDescent="0.45">
      <c r="A317" t="s">
        <v>140</v>
      </c>
      <c r="B317" s="1">
        <v>45672</v>
      </c>
      <c r="C317" t="s">
        <v>12</v>
      </c>
      <c r="D317" t="s">
        <v>5023</v>
      </c>
      <c r="E317">
        <v>1750</v>
      </c>
      <c r="F317">
        <v>2</v>
      </c>
      <c r="G317">
        <f t="shared" si="12"/>
        <v>3500</v>
      </c>
      <c r="H317" t="s">
        <v>21</v>
      </c>
      <c r="I317">
        <f t="shared" si="13"/>
        <v>2100</v>
      </c>
      <c r="J317">
        <f t="shared" si="14"/>
        <v>4200</v>
      </c>
    </row>
    <row r="318" spans="1:10" x14ac:dyDescent="0.45">
      <c r="A318" t="s">
        <v>141</v>
      </c>
      <c r="B318" s="1">
        <v>45672</v>
      </c>
      <c r="C318" t="s">
        <v>4007</v>
      </c>
      <c r="D318" t="s">
        <v>28</v>
      </c>
      <c r="E318">
        <v>500</v>
      </c>
      <c r="F318">
        <v>3</v>
      </c>
      <c r="G318">
        <f t="shared" si="12"/>
        <v>1500</v>
      </c>
      <c r="H318" t="s">
        <v>7</v>
      </c>
      <c r="I318">
        <f t="shared" si="13"/>
        <v>600</v>
      </c>
      <c r="J318">
        <f t="shared" si="14"/>
        <v>1800</v>
      </c>
    </row>
    <row r="319" spans="1:10" x14ac:dyDescent="0.45">
      <c r="A319" t="s">
        <v>142</v>
      </c>
      <c r="B319" s="1">
        <v>45672</v>
      </c>
      <c r="C319" t="s">
        <v>33</v>
      </c>
      <c r="D319" t="s">
        <v>34</v>
      </c>
      <c r="E319">
        <v>1700</v>
      </c>
      <c r="F319">
        <v>7</v>
      </c>
      <c r="G319">
        <f t="shared" si="12"/>
        <v>11900</v>
      </c>
      <c r="H319" t="s">
        <v>7</v>
      </c>
      <c r="I319">
        <f t="shared" si="13"/>
        <v>2040</v>
      </c>
      <c r="J319">
        <f t="shared" si="14"/>
        <v>14280</v>
      </c>
    </row>
    <row r="320" spans="1:10" x14ac:dyDescent="0.45">
      <c r="A320" t="s">
        <v>3216</v>
      </c>
      <c r="B320" s="1">
        <v>45672</v>
      </c>
      <c r="C320" t="s">
        <v>33</v>
      </c>
      <c r="D320" t="s">
        <v>14</v>
      </c>
      <c r="E320">
        <v>800</v>
      </c>
      <c r="F320">
        <v>6</v>
      </c>
      <c r="G320">
        <f t="shared" si="12"/>
        <v>4800</v>
      </c>
      <c r="H320" t="s">
        <v>7</v>
      </c>
      <c r="I320">
        <f t="shared" si="13"/>
        <v>960</v>
      </c>
      <c r="J320">
        <f t="shared" si="14"/>
        <v>5760</v>
      </c>
    </row>
    <row r="321" spans="1:10" x14ac:dyDescent="0.45">
      <c r="A321" t="s">
        <v>3470</v>
      </c>
      <c r="B321" s="1">
        <v>45672</v>
      </c>
      <c r="C321" t="s">
        <v>4007</v>
      </c>
      <c r="D321" t="s">
        <v>5015</v>
      </c>
      <c r="E321">
        <v>48000</v>
      </c>
      <c r="F321">
        <v>8</v>
      </c>
      <c r="G321">
        <f t="shared" si="12"/>
        <v>384000</v>
      </c>
      <c r="H321" t="s">
        <v>21</v>
      </c>
      <c r="I321">
        <f t="shared" si="13"/>
        <v>57600</v>
      </c>
      <c r="J321">
        <f t="shared" si="14"/>
        <v>460800</v>
      </c>
    </row>
    <row r="322" spans="1:10" x14ac:dyDescent="0.45">
      <c r="A322" t="s">
        <v>3567</v>
      </c>
      <c r="B322" s="1">
        <v>45672</v>
      </c>
      <c r="C322" t="s">
        <v>33</v>
      </c>
      <c r="D322" t="s">
        <v>34</v>
      </c>
      <c r="E322">
        <v>1700</v>
      </c>
      <c r="F322">
        <v>3</v>
      </c>
      <c r="G322">
        <f t="shared" ref="G322:G385" si="15">E322*F322</f>
        <v>5100</v>
      </c>
      <c r="H322" t="s">
        <v>21</v>
      </c>
      <c r="I322">
        <f t="shared" ref="I322:I385" si="16">E322*1.2</f>
        <v>2040</v>
      </c>
      <c r="J322">
        <f t="shared" ref="J322:J385" si="17">I322*F322</f>
        <v>6120</v>
      </c>
    </row>
    <row r="323" spans="1:10" x14ac:dyDescent="0.45">
      <c r="A323" t="s">
        <v>4023</v>
      </c>
      <c r="B323" s="1">
        <v>45672</v>
      </c>
      <c r="C323" t="s">
        <v>5009</v>
      </c>
      <c r="D323" t="s">
        <v>3990</v>
      </c>
      <c r="E323">
        <v>2800</v>
      </c>
      <c r="F323" s="3">
        <v>6</v>
      </c>
      <c r="G323">
        <f t="shared" si="15"/>
        <v>16800</v>
      </c>
      <c r="H323" t="s">
        <v>21</v>
      </c>
      <c r="I323">
        <f t="shared" si="16"/>
        <v>3360</v>
      </c>
      <c r="J323">
        <f t="shared" si="17"/>
        <v>20160</v>
      </c>
    </row>
    <row r="324" spans="1:10" x14ac:dyDescent="0.45">
      <c r="A324" t="s">
        <v>4045</v>
      </c>
      <c r="B324" s="1">
        <v>45672</v>
      </c>
      <c r="C324" t="s">
        <v>3979</v>
      </c>
      <c r="D324" t="s">
        <v>3983</v>
      </c>
      <c r="E324">
        <v>1000</v>
      </c>
      <c r="F324" s="3">
        <v>9</v>
      </c>
      <c r="G324">
        <f t="shared" si="15"/>
        <v>9000</v>
      </c>
      <c r="H324" t="s">
        <v>21</v>
      </c>
      <c r="I324">
        <f t="shared" si="16"/>
        <v>1200</v>
      </c>
      <c r="J324">
        <f t="shared" si="17"/>
        <v>10800</v>
      </c>
    </row>
    <row r="325" spans="1:10" x14ac:dyDescent="0.45">
      <c r="A325" t="s">
        <v>4199</v>
      </c>
      <c r="B325" s="1">
        <v>45672</v>
      </c>
      <c r="C325" t="s">
        <v>5008</v>
      </c>
      <c r="D325" t="s">
        <v>3986</v>
      </c>
      <c r="E325">
        <v>12000</v>
      </c>
      <c r="F325" s="3">
        <v>2</v>
      </c>
      <c r="G325">
        <f t="shared" si="15"/>
        <v>24000</v>
      </c>
      <c r="H325" t="s">
        <v>17</v>
      </c>
      <c r="I325">
        <f t="shared" si="16"/>
        <v>14400</v>
      </c>
      <c r="J325">
        <f t="shared" si="17"/>
        <v>28800</v>
      </c>
    </row>
    <row r="326" spans="1:10" x14ac:dyDescent="0.45">
      <c r="A326" t="s">
        <v>4448</v>
      </c>
      <c r="B326" s="1">
        <v>45672</v>
      </c>
      <c r="C326" t="s">
        <v>4007</v>
      </c>
      <c r="D326" t="s">
        <v>3997</v>
      </c>
      <c r="E326">
        <v>62000</v>
      </c>
      <c r="F326" s="3">
        <v>5</v>
      </c>
      <c r="G326">
        <f t="shared" si="15"/>
        <v>310000</v>
      </c>
      <c r="H326" t="s">
        <v>21</v>
      </c>
      <c r="I326">
        <f t="shared" si="16"/>
        <v>74400</v>
      </c>
      <c r="J326">
        <f t="shared" si="17"/>
        <v>372000</v>
      </c>
    </row>
    <row r="327" spans="1:10" x14ac:dyDescent="0.45">
      <c r="A327" t="s">
        <v>4450</v>
      </c>
      <c r="B327" s="1">
        <v>45672</v>
      </c>
      <c r="C327" t="s">
        <v>33</v>
      </c>
      <c r="D327" t="s">
        <v>4001</v>
      </c>
      <c r="E327">
        <v>500</v>
      </c>
      <c r="F327" s="3">
        <v>9</v>
      </c>
      <c r="G327">
        <f t="shared" si="15"/>
        <v>4500</v>
      </c>
      <c r="H327" t="s">
        <v>21</v>
      </c>
      <c r="I327">
        <f t="shared" si="16"/>
        <v>600</v>
      </c>
      <c r="J327">
        <f t="shared" si="17"/>
        <v>5400</v>
      </c>
    </row>
    <row r="328" spans="1:10" x14ac:dyDescent="0.45">
      <c r="A328" t="s">
        <v>4452</v>
      </c>
      <c r="B328" s="1">
        <v>45672</v>
      </c>
      <c r="C328" t="s">
        <v>5009</v>
      </c>
      <c r="D328" t="s">
        <v>3990</v>
      </c>
      <c r="E328">
        <v>2800</v>
      </c>
      <c r="F328" s="3">
        <v>7</v>
      </c>
      <c r="G328">
        <f t="shared" si="15"/>
        <v>19600</v>
      </c>
      <c r="H328" t="s">
        <v>17</v>
      </c>
      <c r="I328">
        <f t="shared" si="16"/>
        <v>3360</v>
      </c>
      <c r="J328">
        <f t="shared" si="17"/>
        <v>23520</v>
      </c>
    </row>
    <row r="329" spans="1:10" x14ac:dyDescent="0.45">
      <c r="A329" t="s">
        <v>4640</v>
      </c>
      <c r="B329" s="1">
        <v>45672</v>
      </c>
      <c r="C329" t="s">
        <v>4007</v>
      </c>
      <c r="D329" t="s">
        <v>5015</v>
      </c>
      <c r="E329">
        <v>48000</v>
      </c>
      <c r="F329" s="3">
        <v>2</v>
      </c>
      <c r="G329">
        <f t="shared" si="15"/>
        <v>96000</v>
      </c>
      <c r="H329" t="s">
        <v>17</v>
      </c>
      <c r="I329">
        <f t="shared" si="16"/>
        <v>57600</v>
      </c>
      <c r="J329">
        <f t="shared" si="17"/>
        <v>115200</v>
      </c>
    </row>
    <row r="330" spans="1:10" x14ac:dyDescent="0.45">
      <c r="A330" t="s">
        <v>4643</v>
      </c>
      <c r="B330" s="1">
        <v>45672</v>
      </c>
      <c r="C330" t="s">
        <v>3977</v>
      </c>
      <c r="D330" t="s">
        <v>3978</v>
      </c>
      <c r="E330">
        <v>2000</v>
      </c>
      <c r="F330" s="3">
        <v>10</v>
      </c>
      <c r="G330">
        <f t="shared" si="15"/>
        <v>20000</v>
      </c>
      <c r="H330" t="s">
        <v>17</v>
      </c>
      <c r="I330">
        <f t="shared" si="16"/>
        <v>2400</v>
      </c>
      <c r="J330">
        <f t="shared" si="17"/>
        <v>24000</v>
      </c>
    </row>
    <row r="331" spans="1:10" x14ac:dyDescent="0.45">
      <c r="A331" t="s">
        <v>4658</v>
      </c>
      <c r="B331" s="1">
        <v>45672</v>
      </c>
      <c r="C331" t="s">
        <v>3979</v>
      </c>
      <c r="D331" t="s">
        <v>3987</v>
      </c>
      <c r="E331">
        <v>8000</v>
      </c>
      <c r="F331" s="3">
        <v>5</v>
      </c>
      <c r="G331">
        <f t="shared" si="15"/>
        <v>40000</v>
      </c>
      <c r="H331" t="s">
        <v>17</v>
      </c>
      <c r="I331">
        <f t="shared" si="16"/>
        <v>9600</v>
      </c>
      <c r="J331">
        <f t="shared" si="17"/>
        <v>48000</v>
      </c>
    </row>
    <row r="332" spans="1:10" x14ac:dyDescent="0.45">
      <c r="A332" t="s">
        <v>4757</v>
      </c>
      <c r="B332" s="1">
        <v>45672</v>
      </c>
      <c r="C332" t="s">
        <v>3977</v>
      </c>
      <c r="D332" t="s">
        <v>3991</v>
      </c>
      <c r="E332">
        <v>2000</v>
      </c>
      <c r="F332" s="3">
        <v>7</v>
      </c>
      <c r="G332">
        <f t="shared" si="15"/>
        <v>14000</v>
      </c>
      <c r="H332" t="s">
        <v>21</v>
      </c>
      <c r="I332">
        <f t="shared" si="16"/>
        <v>2400</v>
      </c>
      <c r="J332">
        <f t="shared" si="17"/>
        <v>16800</v>
      </c>
    </row>
    <row r="333" spans="1:10" x14ac:dyDescent="0.45">
      <c r="A333" t="s">
        <v>4777</v>
      </c>
      <c r="B333" s="1">
        <v>45672</v>
      </c>
      <c r="C333" t="s">
        <v>33</v>
      </c>
      <c r="D333" t="s">
        <v>3981</v>
      </c>
      <c r="E333">
        <v>4000</v>
      </c>
      <c r="F333" s="3">
        <v>6</v>
      </c>
      <c r="G333">
        <f t="shared" si="15"/>
        <v>24000</v>
      </c>
      <c r="H333" t="s">
        <v>7</v>
      </c>
      <c r="I333">
        <f t="shared" si="16"/>
        <v>4800</v>
      </c>
      <c r="J333">
        <f t="shared" si="17"/>
        <v>28800</v>
      </c>
    </row>
    <row r="334" spans="1:10" x14ac:dyDescent="0.45">
      <c r="A334" t="s">
        <v>4800</v>
      </c>
      <c r="B334" s="1">
        <v>45672</v>
      </c>
      <c r="C334" t="s">
        <v>33</v>
      </c>
      <c r="D334" t="s">
        <v>3985</v>
      </c>
      <c r="E334">
        <v>1950</v>
      </c>
      <c r="F334" s="3">
        <v>10</v>
      </c>
      <c r="G334">
        <f t="shared" si="15"/>
        <v>19500</v>
      </c>
      <c r="H334" t="s">
        <v>7</v>
      </c>
      <c r="I334">
        <f t="shared" si="16"/>
        <v>2340</v>
      </c>
      <c r="J334">
        <f t="shared" si="17"/>
        <v>23400</v>
      </c>
    </row>
    <row r="335" spans="1:10" x14ac:dyDescent="0.45">
      <c r="A335" t="s">
        <v>4846</v>
      </c>
      <c r="B335" s="1">
        <v>45672</v>
      </c>
      <c r="C335" t="s">
        <v>3979</v>
      </c>
      <c r="D335" t="s">
        <v>3987</v>
      </c>
      <c r="E335">
        <v>8000</v>
      </c>
      <c r="F335" s="3">
        <v>10</v>
      </c>
      <c r="G335">
        <f t="shared" si="15"/>
        <v>80000</v>
      </c>
      <c r="H335" t="s">
        <v>7</v>
      </c>
      <c r="I335">
        <f t="shared" si="16"/>
        <v>9600</v>
      </c>
      <c r="J335">
        <f t="shared" si="17"/>
        <v>96000</v>
      </c>
    </row>
    <row r="336" spans="1:10" x14ac:dyDescent="0.45">
      <c r="A336" t="s">
        <v>143</v>
      </c>
      <c r="B336" s="1">
        <v>45673</v>
      </c>
      <c r="C336" t="s">
        <v>33</v>
      </c>
      <c r="D336" t="s">
        <v>34</v>
      </c>
      <c r="E336">
        <v>1700</v>
      </c>
      <c r="F336">
        <v>1</v>
      </c>
      <c r="G336">
        <f t="shared" si="15"/>
        <v>1700</v>
      </c>
      <c r="H336" t="s">
        <v>7</v>
      </c>
      <c r="I336">
        <f t="shared" si="16"/>
        <v>2040</v>
      </c>
      <c r="J336">
        <f t="shared" si="17"/>
        <v>2040</v>
      </c>
    </row>
    <row r="337" spans="1:10" x14ac:dyDescent="0.45">
      <c r="A337" t="s">
        <v>144</v>
      </c>
      <c r="B337" s="1">
        <v>45673</v>
      </c>
      <c r="C337" t="s">
        <v>4007</v>
      </c>
      <c r="D337" t="s">
        <v>39</v>
      </c>
      <c r="E337">
        <v>6000</v>
      </c>
      <c r="F337">
        <v>7</v>
      </c>
      <c r="G337">
        <f t="shared" si="15"/>
        <v>42000</v>
      </c>
      <c r="H337" t="s">
        <v>17</v>
      </c>
      <c r="I337">
        <f t="shared" si="16"/>
        <v>7200</v>
      </c>
      <c r="J337">
        <f t="shared" si="17"/>
        <v>50400</v>
      </c>
    </row>
    <row r="338" spans="1:10" x14ac:dyDescent="0.45">
      <c r="A338" t="s">
        <v>145</v>
      </c>
      <c r="B338" s="1">
        <v>45673</v>
      </c>
      <c r="C338" t="s">
        <v>12</v>
      </c>
      <c r="D338" t="s">
        <v>5020</v>
      </c>
      <c r="E338">
        <v>2880</v>
      </c>
      <c r="F338">
        <v>4</v>
      </c>
      <c r="G338">
        <f t="shared" si="15"/>
        <v>11520</v>
      </c>
      <c r="H338" t="s">
        <v>7</v>
      </c>
      <c r="I338">
        <f t="shared" si="16"/>
        <v>3456</v>
      </c>
      <c r="J338">
        <f t="shared" si="17"/>
        <v>13824</v>
      </c>
    </row>
    <row r="339" spans="1:10" x14ac:dyDescent="0.45">
      <c r="A339" t="s">
        <v>146</v>
      </c>
      <c r="B339" s="1">
        <v>45673</v>
      </c>
      <c r="C339" t="s">
        <v>4007</v>
      </c>
      <c r="D339" t="s">
        <v>39</v>
      </c>
      <c r="E339">
        <v>6000</v>
      </c>
      <c r="F339">
        <v>7</v>
      </c>
      <c r="G339">
        <f t="shared" si="15"/>
        <v>42000</v>
      </c>
      <c r="H339" t="s">
        <v>21</v>
      </c>
      <c r="I339">
        <f t="shared" si="16"/>
        <v>7200</v>
      </c>
      <c r="J339">
        <f t="shared" si="17"/>
        <v>50400</v>
      </c>
    </row>
    <row r="340" spans="1:10" x14ac:dyDescent="0.45">
      <c r="A340" t="s">
        <v>147</v>
      </c>
      <c r="B340" s="1">
        <v>45673</v>
      </c>
      <c r="C340" t="s">
        <v>33</v>
      </c>
      <c r="D340" t="s">
        <v>16</v>
      </c>
      <c r="E340">
        <v>1200</v>
      </c>
      <c r="F340">
        <v>4</v>
      </c>
      <c r="G340">
        <f t="shared" si="15"/>
        <v>4800</v>
      </c>
      <c r="H340" t="s">
        <v>21</v>
      </c>
      <c r="I340">
        <f t="shared" si="16"/>
        <v>1440</v>
      </c>
      <c r="J340">
        <f t="shared" si="17"/>
        <v>5760</v>
      </c>
    </row>
    <row r="341" spans="1:10" x14ac:dyDescent="0.45">
      <c r="A341" t="s">
        <v>148</v>
      </c>
      <c r="B341" s="1">
        <v>45673</v>
      </c>
      <c r="C341" t="s">
        <v>12</v>
      </c>
      <c r="D341" t="s">
        <v>5023</v>
      </c>
      <c r="E341">
        <v>1750</v>
      </c>
      <c r="F341">
        <v>7</v>
      </c>
      <c r="G341">
        <f t="shared" si="15"/>
        <v>12250</v>
      </c>
      <c r="H341" t="s">
        <v>17</v>
      </c>
      <c r="I341">
        <f t="shared" si="16"/>
        <v>2100</v>
      </c>
      <c r="J341">
        <f t="shared" si="17"/>
        <v>14700</v>
      </c>
    </row>
    <row r="342" spans="1:10" x14ac:dyDescent="0.45">
      <c r="A342" t="s">
        <v>149</v>
      </c>
      <c r="B342" s="1">
        <v>45673</v>
      </c>
      <c r="C342" t="s">
        <v>9</v>
      </c>
      <c r="D342" t="s">
        <v>25</v>
      </c>
      <c r="E342">
        <v>5200</v>
      </c>
      <c r="F342">
        <v>10</v>
      </c>
      <c r="G342">
        <f t="shared" si="15"/>
        <v>52000</v>
      </c>
      <c r="H342" t="s">
        <v>21</v>
      </c>
      <c r="I342">
        <f t="shared" si="16"/>
        <v>6240</v>
      </c>
      <c r="J342">
        <f t="shared" si="17"/>
        <v>62400</v>
      </c>
    </row>
    <row r="343" spans="1:10" x14ac:dyDescent="0.45">
      <c r="A343" t="s">
        <v>2839</v>
      </c>
      <c r="B343" s="1">
        <v>45673</v>
      </c>
      <c r="C343" t="s">
        <v>2772</v>
      </c>
      <c r="D343" t="s">
        <v>2771</v>
      </c>
      <c r="E343">
        <v>120</v>
      </c>
      <c r="F343">
        <v>9</v>
      </c>
      <c r="G343">
        <f t="shared" si="15"/>
        <v>1080</v>
      </c>
      <c r="H343" t="s">
        <v>17</v>
      </c>
      <c r="I343">
        <f t="shared" si="16"/>
        <v>144</v>
      </c>
      <c r="J343">
        <f t="shared" si="17"/>
        <v>1296</v>
      </c>
    </row>
    <row r="344" spans="1:10" x14ac:dyDescent="0.45">
      <c r="A344" t="s">
        <v>3305</v>
      </c>
      <c r="B344" s="1">
        <v>45673</v>
      </c>
      <c r="C344" t="s">
        <v>4007</v>
      </c>
      <c r="D344" t="s">
        <v>28</v>
      </c>
      <c r="E344">
        <v>500</v>
      </c>
      <c r="F344">
        <v>8</v>
      </c>
      <c r="G344">
        <f t="shared" si="15"/>
        <v>4000</v>
      </c>
      <c r="H344" t="s">
        <v>17</v>
      </c>
      <c r="I344">
        <f t="shared" si="16"/>
        <v>600</v>
      </c>
      <c r="J344">
        <f t="shared" si="17"/>
        <v>4800</v>
      </c>
    </row>
    <row r="345" spans="1:10" x14ac:dyDescent="0.45">
      <c r="A345" t="s">
        <v>3403</v>
      </c>
      <c r="B345" s="1">
        <v>45673</v>
      </c>
      <c r="C345" t="s">
        <v>4007</v>
      </c>
      <c r="D345" t="s">
        <v>2770</v>
      </c>
      <c r="E345">
        <v>600</v>
      </c>
      <c r="F345">
        <v>3</v>
      </c>
      <c r="G345">
        <f t="shared" si="15"/>
        <v>1800</v>
      </c>
      <c r="H345" t="s">
        <v>17</v>
      </c>
      <c r="I345">
        <f t="shared" si="16"/>
        <v>720</v>
      </c>
      <c r="J345">
        <f t="shared" si="17"/>
        <v>2160</v>
      </c>
    </row>
    <row r="346" spans="1:10" x14ac:dyDescent="0.45">
      <c r="A346" t="s">
        <v>3473</v>
      </c>
      <c r="B346" s="1">
        <v>45673</v>
      </c>
      <c r="C346" t="s">
        <v>33</v>
      </c>
      <c r="D346" t="s">
        <v>14</v>
      </c>
      <c r="E346">
        <v>800</v>
      </c>
      <c r="F346">
        <v>7</v>
      </c>
      <c r="G346">
        <f t="shared" si="15"/>
        <v>5600</v>
      </c>
      <c r="H346" t="s">
        <v>21</v>
      </c>
      <c r="I346">
        <f t="shared" si="16"/>
        <v>960</v>
      </c>
      <c r="J346">
        <f t="shared" si="17"/>
        <v>6720</v>
      </c>
    </row>
    <row r="347" spans="1:10" x14ac:dyDescent="0.45">
      <c r="A347" t="s">
        <v>3714</v>
      </c>
      <c r="B347" s="1">
        <v>45673</v>
      </c>
      <c r="C347" t="s">
        <v>2772</v>
      </c>
      <c r="D347" t="s">
        <v>2775</v>
      </c>
      <c r="E347">
        <v>9100</v>
      </c>
      <c r="F347">
        <v>6</v>
      </c>
      <c r="G347">
        <f t="shared" si="15"/>
        <v>54600</v>
      </c>
      <c r="H347" t="s">
        <v>17</v>
      </c>
      <c r="I347">
        <f t="shared" si="16"/>
        <v>10920</v>
      </c>
      <c r="J347">
        <f t="shared" si="17"/>
        <v>65520</v>
      </c>
    </row>
    <row r="348" spans="1:10" x14ac:dyDescent="0.45">
      <c r="A348" t="s">
        <v>4125</v>
      </c>
      <c r="B348" s="1">
        <v>45673</v>
      </c>
      <c r="C348" t="s">
        <v>5008</v>
      </c>
      <c r="D348" t="s">
        <v>3995</v>
      </c>
      <c r="E348">
        <v>15000</v>
      </c>
      <c r="F348" s="3">
        <v>1</v>
      </c>
      <c r="G348">
        <f t="shared" si="15"/>
        <v>15000</v>
      </c>
      <c r="H348" t="s">
        <v>21</v>
      </c>
      <c r="I348">
        <f t="shared" si="16"/>
        <v>18000</v>
      </c>
      <c r="J348">
        <f t="shared" si="17"/>
        <v>18000</v>
      </c>
    </row>
    <row r="349" spans="1:10" x14ac:dyDescent="0.45">
      <c r="A349" t="s">
        <v>4174</v>
      </c>
      <c r="B349" s="1">
        <v>45673</v>
      </c>
      <c r="C349" t="s">
        <v>33</v>
      </c>
      <c r="D349" t="s">
        <v>4001</v>
      </c>
      <c r="E349">
        <v>500</v>
      </c>
      <c r="F349" s="3">
        <v>10</v>
      </c>
      <c r="G349">
        <f t="shared" si="15"/>
        <v>5000</v>
      </c>
      <c r="H349" t="s">
        <v>7</v>
      </c>
      <c r="I349">
        <f t="shared" si="16"/>
        <v>600</v>
      </c>
      <c r="J349">
        <f t="shared" si="17"/>
        <v>6000</v>
      </c>
    </row>
    <row r="350" spans="1:10" x14ac:dyDescent="0.45">
      <c r="A350" t="s">
        <v>4219</v>
      </c>
      <c r="B350" s="1">
        <v>45673</v>
      </c>
      <c r="C350" t="s">
        <v>4007</v>
      </c>
      <c r="D350" t="s">
        <v>3988</v>
      </c>
      <c r="E350">
        <v>35000</v>
      </c>
      <c r="F350" s="3">
        <v>9</v>
      </c>
      <c r="G350">
        <f t="shared" si="15"/>
        <v>315000</v>
      </c>
      <c r="H350" t="s">
        <v>7</v>
      </c>
      <c r="I350">
        <f t="shared" si="16"/>
        <v>42000</v>
      </c>
      <c r="J350">
        <f t="shared" si="17"/>
        <v>378000</v>
      </c>
    </row>
    <row r="351" spans="1:10" x14ac:dyDescent="0.45">
      <c r="A351" t="s">
        <v>4518</v>
      </c>
      <c r="B351" s="1">
        <v>45673</v>
      </c>
      <c r="C351" t="s">
        <v>5009</v>
      </c>
      <c r="D351" t="s">
        <v>3982</v>
      </c>
      <c r="E351">
        <v>13000</v>
      </c>
      <c r="F351" s="3">
        <v>7</v>
      </c>
      <c r="G351">
        <f t="shared" si="15"/>
        <v>91000</v>
      </c>
      <c r="H351" t="s">
        <v>7</v>
      </c>
      <c r="I351">
        <f t="shared" si="16"/>
        <v>15600</v>
      </c>
      <c r="J351">
        <f t="shared" si="17"/>
        <v>109200</v>
      </c>
    </row>
    <row r="352" spans="1:10" x14ac:dyDescent="0.45">
      <c r="A352" t="s">
        <v>4534</v>
      </c>
      <c r="B352" s="1">
        <v>45673</v>
      </c>
      <c r="C352" t="s">
        <v>5008</v>
      </c>
      <c r="D352" t="s">
        <v>3995</v>
      </c>
      <c r="E352">
        <v>15000</v>
      </c>
      <c r="F352" s="3">
        <v>4</v>
      </c>
      <c r="G352">
        <f t="shared" si="15"/>
        <v>60000</v>
      </c>
      <c r="H352" t="s">
        <v>7</v>
      </c>
      <c r="I352">
        <f t="shared" si="16"/>
        <v>18000</v>
      </c>
      <c r="J352">
        <f t="shared" si="17"/>
        <v>72000</v>
      </c>
    </row>
    <row r="353" spans="1:10" x14ac:dyDescent="0.45">
      <c r="A353" t="s">
        <v>4656</v>
      </c>
      <c r="B353" s="1">
        <v>45673</v>
      </c>
      <c r="C353" t="s">
        <v>5009</v>
      </c>
      <c r="D353" t="s">
        <v>3982</v>
      </c>
      <c r="E353">
        <v>13000</v>
      </c>
      <c r="F353" s="3">
        <v>2</v>
      </c>
      <c r="G353">
        <f t="shared" si="15"/>
        <v>26000</v>
      </c>
      <c r="H353" t="s">
        <v>17</v>
      </c>
      <c r="I353">
        <f t="shared" si="16"/>
        <v>15600</v>
      </c>
      <c r="J353">
        <f t="shared" si="17"/>
        <v>31200</v>
      </c>
    </row>
    <row r="354" spans="1:10" x14ac:dyDescent="0.45">
      <c r="A354" t="s">
        <v>4669</v>
      </c>
      <c r="B354" s="1">
        <v>45673</v>
      </c>
      <c r="C354" t="s">
        <v>5009</v>
      </c>
      <c r="D354" t="s">
        <v>3982</v>
      </c>
      <c r="E354">
        <v>13000</v>
      </c>
      <c r="F354" s="3">
        <v>7</v>
      </c>
      <c r="G354">
        <f t="shared" si="15"/>
        <v>91000</v>
      </c>
      <c r="H354" t="s">
        <v>17</v>
      </c>
      <c r="I354">
        <f t="shared" si="16"/>
        <v>15600</v>
      </c>
      <c r="J354">
        <f t="shared" si="17"/>
        <v>109200</v>
      </c>
    </row>
    <row r="355" spans="1:10" x14ac:dyDescent="0.45">
      <c r="A355" t="s">
        <v>4695</v>
      </c>
      <c r="B355" s="1">
        <v>45673</v>
      </c>
      <c r="C355" t="s">
        <v>33</v>
      </c>
      <c r="D355" t="s">
        <v>42</v>
      </c>
      <c r="E355">
        <v>6900</v>
      </c>
      <c r="F355" s="3">
        <v>10</v>
      </c>
      <c r="G355">
        <f t="shared" si="15"/>
        <v>69000</v>
      </c>
      <c r="H355" t="s">
        <v>21</v>
      </c>
      <c r="I355">
        <f t="shared" si="16"/>
        <v>8280</v>
      </c>
      <c r="J355">
        <f t="shared" si="17"/>
        <v>82800</v>
      </c>
    </row>
    <row r="356" spans="1:10" x14ac:dyDescent="0.45">
      <c r="A356" t="s">
        <v>4702</v>
      </c>
      <c r="B356" s="1">
        <v>45673</v>
      </c>
      <c r="C356" t="s">
        <v>4007</v>
      </c>
      <c r="D356" t="s">
        <v>3988</v>
      </c>
      <c r="E356">
        <v>35000</v>
      </c>
      <c r="F356" s="3">
        <v>9</v>
      </c>
      <c r="G356">
        <f t="shared" si="15"/>
        <v>315000</v>
      </c>
      <c r="H356" t="s">
        <v>17</v>
      </c>
      <c r="I356">
        <f t="shared" si="16"/>
        <v>42000</v>
      </c>
      <c r="J356">
        <f t="shared" si="17"/>
        <v>378000</v>
      </c>
    </row>
    <row r="357" spans="1:10" x14ac:dyDescent="0.45">
      <c r="A357" t="s">
        <v>4814</v>
      </c>
      <c r="B357" s="1">
        <v>45673</v>
      </c>
      <c r="C357" t="s">
        <v>5009</v>
      </c>
      <c r="D357" t="s">
        <v>4004</v>
      </c>
      <c r="E357">
        <v>15000</v>
      </c>
      <c r="F357" s="3">
        <v>2</v>
      </c>
      <c r="G357">
        <f t="shared" si="15"/>
        <v>30000</v>
      </c>
      <c r="H357" t="s">
        <v>7</v>
      </c>
      <c r="I357">
        <f t="shared" si="16"/>
        <v>18000</v>
      </c>
      <c r="J357">
        <f t="shared" si="17"/>
        <v>36000</v>
      </c>
    </row>
    <row r="358" spans="1:10" x14ac:dyDescent="0.45">
      <c r="A358" t="s">
        <v>150</v>
      </c>
      <c r="B358" s="1">
        <v>45674</v>
      </c>
      <c r="C358" t="s">
        <v>12</v>
      </c>
      <c r="D358" t="s">
        <v>5021</v>
      </c>
      <c r="E358">
        <v>2880</v>
      </c>
      <c r="F358">
        <v>6</v>
      </c>
      <c r="G358">
        <f t="shared" si="15"/>
        <v>17280</v>
      </c>
      <c r="H358" t="s">
        <v>21</v>
      </c>
      <c r="I358">
        <f t="shared" si="16"/>
        <v>3456</v>
      </c>
      <c r="J358">
        <f t="shared" si="17"/>
        <v>20736</v>
      </c>
    </row>
    <row r="359" spans="1:10" x14ac:dyDescent="0.45">
      <c r="A359" t="s">
        <v>151</v>
      </c>
      <c r="B359" s="1">
        <v>45674</v>
      </c>
      <c r="C359" t="s">
        <v>12</v>
      </c>
      <c r="D359" t="s">
        <v>5023</v>
      </c>
      <c r="E359">
        <v>1750</v>
      </c>
      <c r="F359">
        <v>8</v>
      </c>
      <c r="G359">
        <f t="shared" si="15"/>
        <v>14000</v>
      </c>
      <c r="H359" t="s">
        <v>21</v>
      </c>
      <c r="I359">
        <f t="shared" si="16"/>
        <v>2100</v>
      </c>
      <c r="J359">
        <f t="shared" si="17"/>
        <v>16800</v>
      </c>
    </row>
    <row r="360" spans="1:10" x14ac:dyDescent="0.45">
      <c r="A360" t="s">
        <v>152</v>
      </c>
      <c r="B360" s="1">
        <v>45674</v>
      </c>
      <c r="C360" t="s">
        <v>4007</v>
      </c>
      <c r="D360" t="s">
        <v>28</v>
      </c>
      <c r="E360">
        <v>500</v>
      </c>
      <c r="F360">
        <v>1</v>
      </c>
      <c r="G360">
        <f t="shared" si="15"/>
        <v>500</v>
      </c>
      <c r="H360" t="s">
        <v>7</v>
      </c>
      <c r="I360">
        <f t="shared" si="16"/>
        <v>600</v>
      </c>
      <c r="J360">
        <f t="shared" si="17"/>
        <v>600</v>
      </c>
    </row>
    <row r="361" spans="1:10" x14ac:dyDescent="0.45">
      <c r="A361" t="s">
        <v>153</v>
      </c>
      <c r="B361" s="1">
        <v>45674</v>
      </c>
      <c r="C361" t="s">
        <v>33</v>
      </c>
      <c r="D361" t="s">
        <v>14</v>
      </c>
      <c r="E361">
        <v>800</v>
      </c>
      <c r="F361">
        <v>4</v>
      </c>
      <c r="G361">
        <f t="shared" si="15"/>
        <v>3200</v>
      </c>
      <c r="H361" t="s">
        <v>21</v>
      </c>
      <c r="I361">
        <f t="shared" si="16"/>
        <v>960</v>
      </c>
      <c r="J361">
        <f t="shared" si="17"/>
        <v>3840</v>
      </c>
    </row>
    <row r="362" spans="1:10" x14ac:dyDescent="0.45">
      <c r="A362" t="s">
        <v>154</v>
      </c>
      <c r="B362" s="1">
        <v>45674</v>
      </c>
      <c r="C362" t="s">
        <v>4007</v>
      </c>
      <c r="D362" t="s">
        <v>39</v>
      </c>
      <c r="E362">
        <v>6000</v>
      </c>
      <c r="F362">
        <v>8</v>
      </c>
      <c r="G362">
        <f t="shared" si="15"/>
        <v>48000</v>
      </c>
      <c r="H362" t="s">
        <v>21</v>
      </c>
      <c r="I362">
        <f t="shared" si="16"/>
        <v>7200</v>
      </c>
      <c r="J362">
        <f t="shared" si="17"/>
        <v>57600</v>
      </c>
    </row>
    <row r="363" spans="1:10" x14ac:dyDescent="0.45">
      <c r="A363" t="s">
        <v>155</v>
      </c>
      <c r="B363" s="1">
        <v>45674</v>
      </c>
      <c r="C363" t="s">
        <v>33</v>
      </c>
      <c r="D363" t="s">
        <v>16</v>
      </c>
      <c r="E363">
        <v>1200</v>
      </c>
      <c r="F363">
        <v>3</v>
      </c>
      <c r="G363">
        <f t="shared" si="15"/>
        <v>3600</v>
      </c>
      <c r="H363" t="s">
        <v>21</v>
      </c>
      <c r="I363">
        <f t="shared" si="16"/>
        <v>1440</v>
      </c>
      <c r="J363">
        <f t="shared" si="17"/>
        <v>4320</v>
      </c>
    </row>
    <row r="364" spans="1:10" x14ac:dyDescent="0.45">
      <c r="A364" t="s">
        <v>156</v>
      </c>
      <c r="B364" s="1">
        <v>45674</v>
      </c>
      <c r="C364" t="s">
        <v>12</v>
      </c>
      <c r="D364" t="s">
        <v>5020</v>
      </c>
      <c r="E364">
        <v>2880</v>
      </c>
      <c r="F364">
        <v>7</v>
      </c>
      <c r="G364">
        <f t="shared" si="15"/>
        <v>20160</v>
      </c>
      <c r="H364" t="s">
        <v>21</v>
      </c>
      <c r="I364">
        <f t="shared" si="16"/>
        <v>3456</v>
      </c>
      <c r="J364">
        <f t="shared" si="17"/>
        <v>24192</v>
      </c>
    </row>
    <row r="365" spans="1:10" x14ac:dyDescent="0.45">
      <c r="A365" t="s">
        <v>157</v>
      </c>
      <c r="B365" s="1">
        <v>45674</v>
      </c>
      <c r="C365" t="s">
        <v>12</v>
      </c>
      <c r="D365" t="s">
        <v>5022</v>
      </c>
      <c r="E365">
        <v>2880</v>
      </c>
      <c r="F365">
        <v>7</v>
      </c>
      <c r="G365">
        <f t="shared" si="15"/>
        <v>20160</v>
      </c>
      <c r="H365" t="s">
        <v>17</v>
      </c>
      <c r="I365">
        <f t="shared" si="16"/>
        <v>3456</v>
      </c>
      <c r="J365">
        <f t="shared" si="17"/>
        <v>24192</v>
      </c>
    </row>
    <row r="366" spans="1:10" x14ac:dyDescent="0.45">
      <c r="A366" t="s">
        <v>158</v>
      </c>
      <c r="B366" s="1">
        <v>45674</v>
      </c>
      <c r="C366" t="s">
        <v>12</v>
      </c>
      <c r="D366" t="s">
        <v>5022</v>
      </c>
      <c r="E366">
        <v>2880</v>
      </c>
      <c r="F366">
        <v>5</v>
      </c>
      <c r="G366">
        <f t="shared" si="15"/>
        <v>14400</v>
      </c>
      <c r="H366" t="s">
        <v>17</v>
      </c>
      <c r="I366">
        <f t="shared" si="16"/>
        <v>3456</v>
      </c>
      <c r="J366">
        <f t="shared" si="17"/>
        <v>17280</v>
      </c>
    </row>
    <row r="367" spans="1:10" x14ac:dyDescent="0.45">
      <c r="A367" t="s">
        <v>2943</v>
      </c>
      <c r="B367" s="1">
        <v>45674</v>
      </c>
      <c r="C367" t="s">
        <v>4007</v>
      </c>
      <c r="D367" t="s">
        <v>28</v>
      </c>
      <c r="E367">
        <v>500</v>
      </c>
      <c r="F367">
        <v>5</v>
      </c>
      <c r="G367">
        <f t="shared" si="15"/>
        <v>2500</v>
      </c>
      <c r="H367" t="s">
        <v>21</v>
      </c>
      <c r="I367">
        <f t="shared" si="16"/>
        <v>600</v>
      </c>
      <c r="J367">
        <f t="shared" si="17"/>
        <v>3000</v>
      </c>
    </row>
    <row r="368" spans="1:10" x14ac:dyDescent="0.45">
      <c r="A368" t="s">
        <v>3067</v>
      </c>
      <c r="B368" s="1">
        <v>45674</v>
      </c>
      <c r="C368" t="s">
        <v>33</v>
      </c>
      <c r="D368" t="s">
        <v>34</v>
      </c>
      <c r="E368">
        <v>1700</v>
      </c>
      <c r="F368">
        <v>2</v>
      </c>
      <c r="G368">
        <f t="shared" si="15"/>
        <v>3400</v>
      </c>
      <c r="H368" t="s">
        <v>7</v>
      </c>
      <c r="I368">
        <f t="shared" si="16"/>
        <v>2040</v>
      </c>
      <c r="J368">
        <f t="shared" si="17"/>
        <v>4080</v>
      </c>
    </row>
    <row r="369" spans="1:10" x14ac:dyDescent="0.45">
      <c r="A369" t="s">
        <v>3130</v>
      </c>
      <c r="B369" s="1">
        <v>45674</v>
      </c>
      <c r="C369" t="s">
        <v>33</v>
      </c>
      <c r="D369" t="s">
        <v>14</v>
      </c>
      <c r="E369">
        <v>800</v>
      </c>
      <c r="F369">
        <v>5</v>
      </c>
      <c r="G369">
        <f t="shared" si="15"/>
        <v>4000</v>
      </c>
      <c r="H369" t="s">
        <v>7</v>
      </c>
      <c r="I369">
        <f t="shared" si="16"/>
        <v>960</v>
      </c>
      <c r="J369">
        <f t="shared" si="17"/>
        <v>4800</v>
      </c>
    </row>
    <row r="370" spans="1:10" x14ac:dyDescent="0.45">
      <c r="A370" t="s">
        <v>3299</v>
      </c>
      <c r="B370" s="1">
        <v>45674</v>
      </c>
      <c r="C370" t="s">
        <v>4007</v>
      </c>
      <c r="D370" t="s">
        <v>2774</v>
      </c>
      <c r="E370">
        <v>1900</v>
      </c>
      <c r="F370">
        <v>3</v>
      </c>
      <c r="G370">
        <f t="shared" si="15"/>
        <v>5700</v>
      </c>
      <c r="H370" t="s">
        <v>7</v>
      </c>
      <c r="I370">
        <f t="shared" si="16"/>
        <v>2280</v>
      </c>
      <c r="J370">
        <f t="shared" si="17"/>
        <v>6840</v>
      </c>
    </row>
    <row r="371" spans="1:10" x14ac:dyDescent="0.45">
      <c r="A371" t="s">
        <v>3579</v>
      </c>
      <c r="B371" s="1">
        <v>45674</v>
      </c>
      <c r="C371" t="s">
        <v>4007</v>
      </c>
      <c r="D371" t="s">
        <v>2776</v>
      </c>
      <c r="E371">
        <v>3600</v>
      </c>
      <c r="F371">
        <v>9</v>
      </c>
      <c r="G371">
        <f t="shared" si="15"/>
        <v>32400</v>
      </c>
      <c r="H371" t="s">
        <v>7</v>
      </c>
      <c r="I371">
        <f t="shared" si="16"/>
        <v>4320</v>
      </c>
      <c r="J371">
        <f t="shared" si="17"/>
        <v>38880</v>
      </c>
    </row>
    <row r="372" spans="1:10" x14ac:dyDescent="0.45">
      <c r="A372" t="s">
        <v>3768</v>
      </c>
      <c r="B372" s="1">
        <v>45674</v>
      </c>
      <c r="C372" t="s">
        <v>4007</v>
      </c>
      <c r="D372" t="s">
        <v>5015</v>
      </c>
      <c r="E372">
        <v>48000</v>
      </c>
      <c r="F372">
        <v>10</v>
      </c>
      <c r="G372">
        <f t="shared" si="15"/>
        <v>480000</v>
      </c>
      <c r="H372" t="s">
        <v>21</v>
      </c>
      <c r="I372">
        <f t="shared" si="16"/>
        <v>57600</v>
      </c>
      <c r="J372">
        <f t="shared" si="17"/>
        <v>576000</v>
      </c>
    </row>
    <row r="373" spans="1:10" x14ac:dyDescent="0.45">
      <c r="A373" t="s">
        <v>4048</v>
      </c>
      <c r="B373" s="1">
        <v>45674</v>
      </c>
      <c r="C373" t="s">
        <v>33</v>
      </c>
      <c r="D373" t="s">
        <v>4001</v>
      </c>
      <c r="E373">
        <v>500</v>
      </c>
      <c r="F373" s="3">
        <v>1</v>
      </c>
      <c r="G373">
        <f t="shared" si="15"/>
        <v>500</v>
      </c>
      <c r="H373" t="s">
        <v>17</v>
      </c>
      <c r="I373">
        <f t="shared" si="16"/>
        <v>600</v>
      </c>
      <c r="J373">
        <f t="shared" si="17"/>
        <v>600</v>
      </c>
    </row>
    <row r="374" spans="1:10" x14ac:dyDescent="0.45">
      <c r="A374" t="s">
        <v>4332</v>
      </c>
      <c r="B374" s="1">
        <v>45674</v>
      </c>
      <c r="C374" t="s">
        <v>33</v>
      </c>
      <c r="D374" t="s">
        <v>3985</v>
      </c>
      <c r="E374">
        <v>1950</v>
      </c>
      <c r="F374" s="3">
        <v>6</v>
      </c>
      <c r="G374">
        <f t="shared" si="15"/>
        <v>11700</v>
      </c>
      <c r="H374" t="s">
        <v>7</v>
      </c>
      <c r="I374">
        <f t="shared" si="16"/>
        <v>2340</v>
      </c>
      <c r="J374">
        <f t="shared" si="17"/>
        <v>14040</v>
      </c>
    </row>
    <row r="375" spans="1:10" x14ac:dyDescent="0.45">
      <c r="A375" t="s">
        <v>4527</v>
      </c>
      <c r="B375" s="1">
        <v>45674</v>
      </c>
      <c r="C375" t="s">
        <v>5009</v>
      </c>
      <c r="D375" t="s">
        <v>3982</v>
      </c>
      <c r="E375">
        <v>13000</v>
      </c>
      <c r="F375" s="3">
        <v>5</v>
      </c>
      <c r="G375">
        <f t="shared" si="15"/>
        <v>65000</v>
      </c>
      <c r="H375" t="s">
        <v>7</v>
      </c>
      <c r="I375">
        <f t="shared" si="16"/>
        <v>15600</v>
      </c>
      <c r="J375">
        <f t="shared" si="17"/>
        <v>78000</v>
      </c>
    </row>
    <row r="376" spans="1:10" x14ac:dyDescent="0.45">
      <c r="A376" t="s">
        <v>4573</v>
      </c>
      <c r="B376" s="1">
        <v>45674</v>
      </c>
      <c r="C376" t="s">
        <v>4007</v>
      </c>
      <c r="D376" t="s">
        <v>3997</v>
      </c>
      <c r="E376">
        <v>62000</v>
      </c>
      <c r="F376" s="3">
        <v>10</v>
      </c>
      <c r="G376">
        <f t="shared" si="15"/>
        <v>620000</v>
      </c>
      <c r="H376" t="s">
        <v>17</v>
      </c>
      <c r="I376">
        <f t="shared" si="16"/>
        <v>74400</v>
      </c>
      <c r="J376">
        <f t="shared" si="17"/>
        <v>744000</v>
      </c>
    </row>
    <row r="377" spans="1:10" x14ac:dyDescent="0.45">
      <c r="A377" t="s">
        <v>4617</v>
      </c>
      <c r="B377" s="1">
        <v>45674</v>
      </c>
      <c r="C377" t="s">
        <v>4007</v>
      </c>
      <c r="D377" t="s">
        <v>3988</v>
      </c>
      <c r="E377">
        <v>35000</v>
      </c>
      <c r="F377" s="3">
        <v>2</v>
      </c>
      <c r="G377">
        <f t="shared" si="15"/>
        <v>70000</v>
      </c>
      <c r="H377" t="s">
        <v>17</v>
      </c>
      <c r="I377">
        <f t="shared" si="16"/>
        <v>42000</v>
      </c>
      <c r="J377">
        <f t="shared" si="17"/>
        <v>84000</v>
      </c>
    </row>
    <row r="378" spans="1:10" x14ac:dyDescent="0.45">
      <c r="A378" t="s">
        <v>4630</v>
      </c>
      <c r="B378" s="1">
        <v>45674</v>
      </c>
      <c r="C378" t="s">
        <v>33</v>
      </c>
      <c r="D378" t="s">
        <v>3981</v>
      </c>
      <c r="E378">
        <v>4000</v>
      </c>
      <c r="F378" s="3">
        <v>7</v>
      </c>
      <c r="G378">
        <f t="shared" si="15"/>
        <v>28000</v>
      </c>
      <c r="H378" t="s">
        <v>7</v>
      </c>
      <c r="I378">
        <f t="shared" si="16"/>
        <v>4800</v>
      </c>
      <c r="J378">
        <f t="shared" si="17"/>
        <v>33600</v>
      </c>
    </row>
    <row r="379" spans="1:10" x14ac:dyDescent="0.45">
      <c r="A379" t="s">
        <v>4677</v>
      </c>
      <c r="B379" s="1">
        <v>45674</v>
      </c>
      <c r="C379" t="s">
        <v>5009</v>
      </c>
      <c r="D379" t="s">
        <v>3992</v>
      </c>
      <c r="E379">
        <v>400</v>
      </c>
      <c r="F379" s="3">
        <v>2</v>
      </c>
      <c r="G379">
        <f t="shared" si="15"/>
        <v>800</v>
      </c>
      <c r="H379" t="s">
        <v>7</v>
      </c>
      <c r="I379">
        <f t="shared" si="16"/>
        <v>480</v>
      </c>
      <c r="J379">
        <f t="shared" si="17"/>
        <v>960</v>
      </c>
    </row>
    <row r="380" spans="1:10" x14ac:dyDescent="0.45">
      <c r="A380" t="s">
        <v>4717</v>
      </c>
      <c r="B380" s="1">
        <v>45674</v>
      </c>
      <c r="C380" t="s">
        <v>5009</v>
      </c>
      <c r="D380" t="s">
        <v>3990</v>
      </c>
      <c r="E380">
        <v>2800</v>
      </c>
      <c r="F380" s="3">
        <v>3</v>
      </c>
      <c r="G380">
        <f t="shared" si="15"/>
        <v>8400</v>
      </c>
      <c r="H380" t="s">
        <v>7</v>
      </c>
      <c r="I380">
        <f t="shared" si="16"/>
        <v>3360</v>
      </c>
      <c r="J380">
        <f t="shared" si="17"/>
        <v>10080</v>
      </c>
    </row>
    <row r="381" spans="1:10" x14ac:dyDescent="0.45">
      <c r="A381" t="s">
        <v>4782</v>
      </c>
      <c r="B381" s="1">
        <v>45674</v>
      </c>
      <c r="C381" t="s">
        <v>4007</v>
      </c>
      <c r="D381" t="s">
        <v>4005</v>
      </c>
      <c r="E381">
        <v>60000</v>
      </c>
      <c r="F381" s="3">
        <v>2</v>
      </c>
      <c r="G381">
        <f t="shared" si="15"/>
        <v>120000</v>
      </c>
      <c r="H381" t="s">
        <v>7</v>
      </c>
      <c r="I381">
        <f t="shared" si="16"/>
        <v>72000</v>
      </c>
      <c r="J381">
        <f t="shared" si="17"/>
        <v>144000</v>
      </c>
    </row>
    <row r="382" spans="1:10" x14ac:dyDescent="0.45">
      <c r="A382" t="s">
        <v>4797</v>
      </c>
      <c r="B382" s="1">
        <v>45674</v>
      </c>
      <c r="C382" t="s">
        <v>5009</v>
      </c>
      <c r="D382" t="s">
        <v>4004</v>
      </c>
      <c r="E382">
        <v>15000</v>
      </c>
      <c r="F382" s="3">
        <v>7</v>
      </c>
      <c r="G382">
        <f t="shared" si="15"/>
        <v>105000</v>
      </c>
      <c r="H382" t="s">
        <v>7</v>
      </c>
      <c r="I382">
        <f t="shared" si="16"/>
        <v>18000</v>
      </c>
      <c r="J382">
        <f t="shared" si="17"/>
        <v>126000</v>
      </c>
    </row>
    <row r="383" spans="1:10" x14ac:dyDescent="0.45">
      <c r="A383" t="s">
        <v>4875</v>
      </c>
      <c r="B383" s="1">
        <v>45674</v>
      </c>
      <c r="C383" t="s">
        <v>3977</v>
      </c>
      <c r="D383" t="s">
        <v>4002</v>
      </c>
      <c r="E383">
        <v>2500</v>
      </c>
      <c r="F383" s="3">
        <v>2</v>
      </c>
      <c r="G383">
        <f t="shared" si="15"/>
        <v>5000</v>
      </c>
      <c r="H383" t="s">
        <v>17</v>
      </c>
      <c r="I383">
        <f t="shared" si="16"/>
        <v>3000</v>
      </c>
      <c r="J383">
        <f t="shared" si="17"/>
        <v>6000</v>
      </c>
    </row>
    <row r="384" spans="1:10" x14ac:dyDescent="0.45">
      <c r="A384" t="s">
        <v>159</v>
      </c>
      <c r="B384" s="1">
        <v>45675</v>
      </c>
      <c r="C384" t="s">
        <v>9</v>
      </c>
      <c r="D384" t="s">
        <v>25</v>
      </c>
      <c r="E384">
        <v>5200</v>
      </c>
      <c r="F384">
        <v>10</v>
      </c>
      <c r="G384">
        <f t="shared" si="15"/>
        <v>52000</v>
      </c>
      <c r="H384" t="s">
        <v>17</v>
      </c>
      <c r="I384">
        <f t="shared" si="16"/>
        <v>6240</v>
      </c>
      <c r="J384">
        <f t="shared" si="17"/>
        <v>62400</v>
      </c>
    </row>
    <row r="385" spans="1:10" x14ac:dyDescent="0.45">
      <c r="A385" t="s">
        <v>160</v>
      </c>
      <c r="B385" s="1">
        <v>45675</v>
      </c>
      <c r="C385" t="s">
        <v>12</v>
      </c>
      <c r="D385" t="s">
        <v>5022</v>
      </c>
      <c r="E385">
        <v>2880</v>
      </c>
      <c r="F385">
        <v>2</v>
      </c>
      <c r="G385">
        <f t="shared" si="15"/>
        <v>5760</v>
      </c>
      <c r="H385" t="s">
        <v>7</v>
      </c>
      <c r="I385">
        <f t="shared" si="16"/>
        <v>3456</v>
      </c>
      <c r="J385">
        <f t="shared" si="17"/>
        <v>6912</v>
      </c>
    </row>
    <row r="386" spans="1:10" x14ac:dyDescent="0.45">
      <c r="A386" t="s">
        <v>161</v>
      </c>
      <c r="B386" s="1">
        <v>45675</v>
      </c>
      <c r="C386" t="s">
        <v>9</v>
      </c>
      <c r="D386" t="s">
        <v>25</v>
      </c>
      <c r="E386">
        <v>5200</v>
      </c>
      <c r="F386">
        <v>8</v>
      </c>
      <c r="G386">
        <f t="shared" ref="G386:G449" si="18">E386*F386</f>
        <v>41600</v>
      </c>
      <c r="H386" t="s">
        <v>17</v>
      </c>
      <c r="I386">
        <f t="shared" ref="I386:I449" si="19">E386*1.2</f>
        <v>6240</v>
      </c>
      <c r="J386">
        <f t="shared" ref="J386:J449" si="20">I386*F386</f>
        <v>49920</v>
      </c>
    </row>
    <row r="387" spans="1:10" x14ac:dyDescent="0.45">
      <c r="A387" t="s">
        <v>162</v>
      </c>
      <c r="B387" s="1">
        <v>45675</v>
      </c>
      <c r="C387" t="s">
        <v>33</v>
      </c>
      <c r="D387" t="s">
        <v>14</v>
      </c>
      <c r="E387">
        <v>800</v>
      </c>
      <c r="F387">
        <v>5</v>
      </c>
      <c r="G387">
        <f t="shared" si="18"/>
        <v>4000</v>
      </c>
      <c r="H387" t="s">
        <v>17</v>
      </c>
      <c r="I387">
        <f t="shared" si="19"/>
        <v>960</v>
      </c>
      <c r="J387">
        <f t="shared" si="20"/>
        <v>4800</v>
      </c>
    </row>
    <row r="388" spans="1:10" x14ac:dyDescent="0.45">
      <c r="A388" t="s">
        <v>163</v>
      </c>
      <c r="B388" s="1">
        <v>45675</v>
      </c>
      <c r="C388" t="s">
        <v>12</v>
      </c>
      <c r="D388" t="s">
        <v>5021</v>
      </c>
      <c r="E388">
        <v>2880</v>
      </c>
      <c r="F388">
        <v>4</v>
      </c>
      <c r="G388">
        <f t="shared" si="18"/>
        <v>11520</v>
      </c>
      <c r="H388" t="s">
        <v>17</v>
      </c>
      <c r="I388">
        <f t="shared" si="19"/>
        <v>3456</v>
      </c>
      <c r="J388">
        <f t="shared" si="20"/>
        <v>13824</v>
      </c>
    </row>
    <row r="389" spans="1:10" x14ac:dyDescent="0.45">
      <c r="A389" t="s">
        <v>164</v>
      </c>
      <c r="B389" s="1">
        <v>45675</v>
      </c>
      <c r="C389" t="s">
        <v>33</v>
      </c>
      <c r="D389" t="s">
        <v>16</v>
      </c>
      <c r="E389">
        <v>1200</v>
      </c>
      <c r="F389">
        <v>4</v>
      </c>
      <c r="G389">
        <f t="shared" si="18"/>
        <v>4800</v>
      </c>
      <c r="H389" t="s">
        <v>21</v>
      </c>
      <c r="I389">
        <f t="shared" si="19"/>
        <v>1440</v>
      </c>
      <c r="J389">
        <f t="shared" si="20"/>
        <v>5760</v>
      </c>
    </row>
    <row r="390" spans="1:10" x14ac:dyDescent="0.45">
      <c r="A390" t="s">
        <v>2805</v>
      </c>
      <c r="B390" s="1">
        <v>45675</v>
      </c>
      <c r="C390" t="s">
        <v>33</v>
      </c>
      <c r="D390" t="s">
        <v>34</v>
      </c>
      <c r="E390">
        <v>1700</v>
      </c>
      <c r="F390">
        <v>8</v>
      </c>
      <c r="G390">
        <f t="shared" si="18"/>
        <v>13600</v>
      </c>
      <c r="H390" t="s">
        <v>7</v>
      </c>
      <c r="I390">
        <f t="shared" si="19"/>
        <v>2040</v>
      </c>
      <c r="J390">
        <f t="shared" si="20"/>
        <v>16320</v>
      </c>
    </row>
    <row r="391" spans="1:10" x14ac:dyDescent="0.45">
      <c r="A391" t="s">
        <v>2845</v>
      </c>
      <c r="B391" s="1">
        <v>45675</v>
      </c>
      <c r="C391" t="s">
        <v>4007</v>
      </c>
      <c r="D391" t="s">
        <v>2774</v>
      </c>
      <c r="E391">
        <v>1900</v>
      </c>
      <c r="F391">
        <v>2</v>
      </c>
      <c r="G391">
        <f t="shared" si="18"/>
        <v>3800</v>
      </c>
      <c r="H391" t="s">
        <v>21</v>
      </c>
      <c r="I391">
        <f t="shared" si="19"/>
        <v>2280</v>
      </c>
      <c r="J391">
        <f t="shared" si="20"/>
        <v>4560</v>
      </c>
    </row>
    <row r="392" spans="1:10" x14ac:dyDescent="0.45">
      <c r="A392" t="s">
        <v>3097</v>
      </c>
      <c r="B392" s="1">
        <v>45675</v>
      </c>
      <c r="C392" t="s">
        <v>33</v>
      </c>
      <c r="D392" t="s">
        <v>34</v>
      </c>
      <c r="E392">
        <v>1700</v>
      </c>
      <c r="F392">
        <v>5</v>
      </c>
      <c r="G392">
        <f t="shared" si="18"/>
        <v>8500</v>
      </c>
      <c r="H392" t="s">
        <v>7</v>
      </c>
      <c r="I392">
        <f t="shared" si="19"/>
        <v>2040</v>
      </c>
      <c r="J392">
        <f t="shared" si="20"/>
        <v>10200</v>
      </c>
    </row>
    <row r="393" spans="1:10" x14ac:dyDescent="0.45">
      <c r="A393" t="s">
        <v>3172</v>
      </c>
      <c r="B393" s="1">
        <v>45675</v>
      </c>
      <c r="C393" t="s">
        <v>4007</v>
      </c>
      <c r="D393" t="s">
        <v>2776</v>
      </c>
      <c r="E393">
        <v>3600</v>
      </c>
      <c r="F393">
        <v>6</v>
      </c>
      <c r="G393">
        <f t="shared" si="18"/>
        <v>21600</v>
      </c>
      <c r="H393" t="s">
        <v>17</v>
      </c>
      <c r="I393">
        <f t="shared" si="19"/>
        <v>4320</v>
      </c>
      <c r="J393">
        <f t="shared" si="20"/>
        <v>25920</v>
      </c>
    </row>
    <row r="394" spans="1:10" x14ac:dyDescent="0.45">
      <c r="A394" t="s">
        <v>3957</v>
      </c>
      <c r="B394" s="1">
        <v>45675</v>
      </c>
      <c r="C394" t="s">
        <v>4007</v>
      </c>
      <c r="D394" t="s">
        <v>2776</v>
      </c>
      <c r="E394">
        <v>3600</v>
      </c>
      <c r="F394">
        <v>8</v>
      </c>
      <c r="G394">
        <f t="shared" si="18"/>
        <v>28800</v>
      </c>
      <c r="H394" t="s">
        <v>7</v>
      </c>
      <c r="I394">
        <f t="shared" si="19"/>
        <v>4320</v>
      </c>
      <c r="J394">
        <f t="shared" si="20"/>
        <v>34560</v>
      </c>
    </row>
    <row r="395" spans="1:10" x14ac:dyDescent="0.45">
      <c r="A395" t="s">
        <v>4144</v>
      </c>
      <c r="B395" s="1">
        <v>45675</v>
      </c>
      <c r="C395" t="s">
        <v>3979</v>
      </c>
      <c r="D395" t="s">
        <v>3980</v>
      </c>
      <c r="E395">
        <v>500</v>
      </c>
      <c r="F395" s="3">
        <v>5</v>
      </c>
      <c r="G395">
        <f t="shared" si="18"/>
        <v>2500</v>
      </c>
      <c r="H395" t="s">
        <v>7</v>
      </c>
      <c r="I395">
        <f t="shared" si="19"/>
        <v>600</v>
      </c>
      <c r="J395">
        <f t="shared" si="20"/>
        <v>3000</v>
      </c>
    </row>
    <row r="396" spans="1:10" x14ac:dyDescent="0.45">
      <c r="A396" t="s">
        <v>4182</v>
      </c>
      <c r="B396" s="1">
        <v>45675</v>
      </c>
      <c r="C396" t="s">
        <v>4007</v>
      </c>
      <c r="D396" t="s">
        <v>5015</v>
      </c>
      <c r="E396">
        <v>48000</v>
      </c>
      <c r="F396" s="3">
        <v>8</v>
      </c>
      <c r="G396">
        <f t="shared" si="18"/>
        <v>384000</v>
      </c>
      <c r="H396" t="s">
        <v>17</v>
      </c>
      <c r="I396">
        <f t="shared" si="19"/>
        <v>57600</v>
      </c>
      <c r="J396">
        <f t="shared" si="20"/>
        <v>460800</v>
      </c>
    </row>
    <row r="397" spans="1:10" x14ac:dyDescent="0.45">
      <c r="A397" t="s">
        <v>4329</v>
      </c>
      <c r="B397" s="1">
        <v>45675</v>
      </c>
      <c r="C397" t="s">
        <v>3977</v>
      </c>
      <c r="D397" t="s">
        <v>4002</v>
      </c>
      <c r="E397">
        <v>2500</v>
      </c>
      <c r="F397" s="3">
        <v>1</v>
      </c>
      <c r="G397">
        <f t="shared" si="18"/>
        <v>2500</v>
      </c>
      <c r="H397" t="s">
        <v>21</v>
      </c>
      <c r="I397">
        <f t="shared" si="19"/>
        <v>3000</v>
      </c>
      <c r="J397">
        <f t="shared" si="20"/>
        <v>3000</v>
      </c>
    </row>
    <row r="398" spans="1:10" x14ac:dyDescent="0.45">
      <c r="A398" t="s">
        <v>4653</v>
      </c>
      <c r="B398" s="1">
        <v>45675</v>
      </c>
      <c r="C398" t="s">
        <v>33</v>
      </c>
      <c r="D398" t="s">
        <v>3981</v>
      </c>
      <c r="E398">
        <v>4000</v>
      </c>
      <c r="F398" s="3">
        <v>9</v>
      </c>
      <c r="G398">
        <f t="shared" si="18"/>
        <v>36000</v>
      </c>
      <c r="H398" t="s">
        <v>17</v>
      </c>
      <c r="I398">
        <f t="shared" si="19"/>
        <v>4800</v>
      </c>
      <c r="J398">
        <f t="shared" si="20"/>
        <v>43200</v>
      </c>
    </row>
    <row r="399" spans="1:10" x14ac:dyDescent="0.45">
      <c r="A399" t="s">
        <v>4665</v>
      </c>
      <c r="B399" s="1">
        <v>45675</v>
      </c>
      <c r="C399" t="s">
        <v>5008</v>
      </c>
      <c r="D399" t="s">
        <v>3995</v>
      </c>
      <c r="E399">
        <v>15000</v>
      </c>
      <c r="F399" s="3">
        <v>3</v>
      </c>
      <c r="G399">
        <f t="shared" si="18"/>
        <v>45000</v>
      </c>
      <c r="H399" t="s">
        <v>17</v>
      </c>
      <c r="I399">
        <f t="shared" si="19"/>
        <v>18000</v>
      </c>
      <c r="J399">
        <f t="shared" si="20"/>
        <v>54000</v>
      </c>
    </row>
    <row r="400" spans="1:10" x14ac:dyDescent="0.45">
      <c r="A400" t="s">
        <v>4727</v>
      </c>
      <c r="B400" s="1">
        <v>45675</v>
      </c>
      <c r="C400" t="s">
        <v>5008</v>
      </c>
      <c r="D400" t="s">
        <v>3996</v>
      </c>
      <c r="E400">
        <v>2000</v>
      </c>
      <c r="F400" s="3">
        <v>6</v>
      </c>
      <c r="G400">
        <f t="shared" si="18"/>
        <v>12000</v>
      </c>
      <c r="H400" t="s">
        <v>17</v>
      </c>
      <c r="I400">
        <f t="shared" si="19"/>
        <v>2400</v>
      </c>
      <c r="J400">
        <f t="shared" si="20"/>
        <v>14400</v>
      </c>
    </row>
    <row r="401" spans="1:10" x14ac:dyDescent="0.45">
      <c r="A401" t="s">
        <v>4729</v>
      </c>
      <c r="B401" s="1">
        <v>45675</v>
      </c>
      <c r="C401" t="s">
        <v>5009</v>
      </c>
      <c r="D401" t="s">
        <v>3990</v>
      </c>
      <c r="E401">
        <v>2800</v>
      </c>
      <c r="F401" s="3">
        <v>9</v>
      </c>
      <c r="G401">
        <f t="shared" si="18"/>
        <v>25200</v>
      </c>
      <c r="H401" t="s">
        <v>21</v>
      </c>
      <c r="I401">
        <f t="shared" si="19"/>
        <v>3360</v>
      </c>
      <c r="J401">
        <f t="shared" si="20"/>
        <v>30240</v>
      </c>
    </row>
    <row r="402" spans="1:10" x14ac:dyDescent="0.45">
      <c r="A402" t="s">
        <v>4881</v>
      </c>
      <c r="B402" s="1">
        <v>45675</v>
      </c>
      <c r="C402" t="s">
        <v>5009</v>
      </c>
      <c r="D402" t="s">
        <v>4004</v>
      </c>
      <c r="E402">
        <v>15000</v>
      </c>
      <c r="F402" s="3">
        <v>6</v>
      </c>
      <c r="G402">
        <f t="shared" si="18"/>
        <v>90000</v>
      </c>
      <c r="H402" t="s">
        <v>21</v>
      </c>
      <c r="I402">
        <f t="shared" si="19"/>
        <v>18000</v>
      </c>
      <c r="J402">
        <f t="shared" si="20"/>
        <v>108000</v>
      </c>
    </row>
    <row r="403" spans="1:10" x14ac:dyDescent="0.45">
      <c r="A403" t="s">
        <v>4904</v>
      </c>
      <c r="B403" s="1">
        <v>45675</v>
      </c>
      <c r="C403" t="s">
        <v>5008</v>
      </c>
      <c r="D403" t="s">
        <v>3995</v>
      </c>
      <c r="E403">
        <v>15000</v>
      </c>
      <c r="F403" s="3">
        <v>7</v>
      </c>
      <c r="G403">
        <f t="shared" si="18"/>
        <v>105000</v>
      </c>
      <c r="H403" t="s">
        <v>17</v>
      </c>
      <c r="I403">
        <f t="shared" si="19"/>
        <v>18000</v>
      </c>
      <c r="J403">
        <f t="shared" si="20"/>
        <v>126000</v>
      </c>
    </row>
    <row r="404" spans="1:10" x14ac:dyDescent="0.45">
      <c r="A404" t="s">
        <v>165</v>
      </c>
      <c r="B404" s="1">
        <v>45676</v>
      </c>
      <c r="C404" t="s">
        <v>4007</v>
      </c>
      <c r="D404" t="s">
        <v>39</v>
      </c>
      <c r="E404">
        <v>6000</v>
      </c>
      <c r="F404">
        <v>4</v>
      </c>
      <c r="G404">
        <f t="shared" si="18"/>
        <v>24000</v>
      </c>
      <c r="H404" t="s">
        <v>17</v>
      </c>
      <c r="I404">
        <f t="shared" si="19"/>
        <v>7200</v>
      </c>
      <c r="J404">
        <f t="shared" si="20"/>
        <v>28800</v>
      </c>
    </row>
    <row r="405" spans="1:10" x14ac:dyDescent="0.45">
      <c r="A405" t="s">
        <v>166</v>
      </c>
      <c r="B405" s="1">
        <v>45676</v>
      </c>
      <c r="C405" t="s">
        <v>12</v>
      </c>
      <c r="D405" t="s">
        <v>5022</v>
      </c>
      <c r="E405">
        <v>2880</v>
      </c>
      <c r="F405">
        <v>4</v>
      </c>
      <c r="G405">
        <f t="shared" si="18"/>
        <v>11520</v>
      </c>
      <c r="H405" t="s">
        <v>17</v>
      </c>
      <c r="I405">
        <f t="shared" si="19"/>
        <v>3456</v>
      </c>
      <c r="J405">
        <f t="shared" si="20"/>
        <v>13824</v>
      </c>
    </row>
    <row r="406" spans="1:10" x14ac:dyDescent="0.45">
      <c r="A406" t="s">
        <v>167</v>
      </c>
      <c r="B406" s="1">
        <v>45676</v>
      </c>
      <c r="C406" t="s">
        <v>4007</v>
      </c>
      <c r="D406" t="s">
        <v>28</v>
      </c>
      <c r="E406">
        <v>500</v>
      </c>
      <c r="F406">
        <v>8</v>
      </c>
      <c r="G406">
        <f t="shared" si="18"/>
        <v>4000</v>
      </c>
      <c r="H406" t="s">
        <v>21</v>
      </c>
      <c r="I406">
        <f t="shared" si="19"/>
        <v>600</v>
      </c>
      <c r="J406">
        <f t="shared" si="20"/>
        <v>4800</v>
      </c>
    </row>
    <row r="407" spans="1:10" x14ac:dyDescent="0.45">
      <c r="A407" t="s">
        <v>168</v>
      </c>
      <c r="B407" s="1">
        <v>45676</v>
      </c>
      <c r="C407" t="s">
        <v>9</v>
      </c>
      <c r="D407" t="s">
        <v>19</v>
      </c>
      <c r="E407">
        <v>3000</v>
      </c>
      <c r="F407">
        <v>1</v>
      </c>
      <c r="G407">
        <f t="shared" si="18"/>
        <v>3000</v>
      </c>
      <c r="H407" t="s">
        <v>17</v>
      </c>
      <c r="I407">
        <f t="shared" si="19"/>
        <v>3600</v>
      </c>
      <c r="J407">
        <f t="shared" si="20"/>
        <v>3600</v>
      </c>
    </row>
    <row r="408" spans="1:10" x14ac:dyDescent="0.45">
      <c r="A408" t="s">
        <v>169</v>
      </c>
      <c r="B408" s="1">
        <v>45676</v>
      </c>
      <c r="C408" t="s">
        <v>4007</v>
      </c>
      <c r="D408" t="s">
        <v>4005</v>
      </c>
      <c r="E408">
        <v>60000</v>
      </c>
      <c r="F408">
        <v>6</v>
      </c>
      <c r="G408">
        <f t="shared" si="18"/>
        <v>360000</v>
      </c>
      <c r="H408" t="s">
        <v>17</v>
      </c>
      <c r="I408">
        <f t="shared" si="19"/>
        <v>72000</v>
      </c>
      <c r="J408">
        <f t="shared" si="20"/>
        <v>432000</v>
      </c>
    </row>
    <row r="409" spans="1:10" x14ac:dyDescent="0.45">
      <c r="A409" t="s">
        <v>2808</v>
      </c>
      <c r="B409" s="1">
        <v>45676</v>
      </c>
      <c r="C409" t="s">
        <v>2772</v>
      </c>
      <c r="D409" t="s">
        <v>2775</v>
      </c>
      <c r="E409">
        <v>9100</v>
      </c>
      <c r="F409">
        <v>8</v>
      </c>
      <c r="G409">
        <f t="shared" si="18"/>
        <v>72800</v>
      </c>
      <c r="H409" t="s">
        <v>21</v>
      </c>
      <c r="I409">
        <f t="shared" si="19"/>
        <v>10920</v>
      </c>
      <c r="J409">
        <f t="shared" si="20"/>
        <v>87360</v>
      </c>
    </row>
    <row r="410" spans="1:10" x14ac:dyDescent="0.45">
      <c r="A410" t="s">
        <v>2879</v>
      </c>
      <c r="B410" s="1">
        <v>45676</v>
      </c>
      <c r="C410" t="s">
        <v>2772</v>
      </c>
      <c r="D410" t="s">
        <v>2771</v>
      </c>
      <c r="E410">
        <v>120</v>
      </c>
      <c r="F410">
        <v>3</v>
      </c>
      <c r="G410">
        <f t="shared" si="18"/>
        <v>360</v>
      </c>
      <c r="H410" t="s">
        <v>17</v>
      </c>
      <c r="I410">
        <f t="shared" si="19"/>
        <v>144</v>
      </c>
      <c r="J410">
        <f t="shared" si="20"/>
        <v>432</v>
      </c>
    </row>
    <row r="411" spans="1:10" x14ac:dyDescent="0.45">
      <c r="A411" t="s">
        <v>3382</v>
      </c>
      <c r="B411" s="1">
        <v>45676</v>
      </c>
      <c r="C411" t="s">
        <v>4007</v>
      </c>
      <c r="D411" t="s">
        <v>2770</v>
      </c>
      <c r="E411">
        <v>600</v>
      </c>
      <c r="F411">
        <v>1</v>
      </c>
      <c r="G411">
        <f t="shared" si="18"/>
        <v>600</v>
      </c>
      <c r="H411" t="s">
        <v>21</v>
      </c>
      <c r="I411">
        <f t="shared" si="19"/>
        <v>720</v>
      </c>
      <c r="J411">
        <f t="shared" si="20"/>
        <v>720</v>
      </c>
    </row>
    <row r="412" spans="1:10" x14ac:dyDescent="0.45">
      <c r="A412" t="s">
        <v>3388</v>
      </c>
      <c r="B412" s="1">
        <v>45676</v>
      </c>
      <c r="C412" t="s">
        <v>4007</v>
      </c>
      <c r="D412" t="s">
        <v>5015</v>
      </c>
      <c r="E412">
        <v>48000</v>
      </c>
      <c r="F412">
        <v>3</v>
      </c>
      <c r="G412">
        <f t="shared" si="18"/>
        <v>144000</v>
      </c>
      <c r="H412" t="s">
        <v>21</v>
      </c>
      <c r="I412">
        <f t="shared" si="19"/>
        <v>57600</v>
      </c>
      <c r="J412">
        <f t="shared" si="20"/>
        <v>172800</v>
      </c>
    </row>
    <row r="413" spans="1:10" x14ac:dyDescent="0.45">
      <c r="A413" t="s">
        <v>3918</v>
      </c>
      <c r="B413" s="1">
        <v>45676</v>
      </c>
      <c r="C413" t="s">
        <v>4007</v>
      </c>
      <c r="D413" t="s">
        <v>2773</v>
      </c>
      <c r="E413">
        <v>3300</v>
      </c>
      <c r="F413">
        <v>8</v>
      </c>
      <c r="G413">
        <f t="shared" si="18"/>
        <v>26400</v>
      </c>
      <c r="H413" t="s">
        <v>21</v>
      </c>
      <c r="I413">
        <f t="shared" si="19"/>
        <v>3960</v>
      </c>
      <c r="J413">
        <f t="shared" si="20"/>
        <v>31680</v>
      </c>
    </row>
    <row r="414" spans="1:10" x14ac:dyDescent="0.45">
      <c r="A414" t="s">
        <v>4121</v>
      </c>
      <c r="B414" s="1">
        <v>45676</v>
      </c>
      <c r="C414" t="s">
        <v>33</v>
      </c>
      <c r="D414" t="s">
        <v>42</v>
      </c>
      <c r="E414">
        <v>6900</v>
      </c>
      <c r="F414" s="3">
        <v>9</v>
      </c>
      <c r="G414">
        <f t="shared" si="18"/>
        <v>62100</v>
      </c>
      <c r="H414" t="s">
        <v>7</v>
      </c>
      <c r="I414">
        <f t="shared" si="19"/>
        <v>8280</v>
      </c>
      <c r="J414">
        <f t="shared" si="20"/>
        <v>74520</v>
      </c>
    </row>
    <row r="415" spans="1:10" x14ac:dyDescent="0.45">
      <c r="A415" t="s">
        <v>4168</v>
      </c>
      <c r="B415" s="1">
        <v>45676</v>
      </c>
      <c r="C415" t="s">
        <v>4007</v>
      </c>
      <c r="D415" t="s">
        <v>4005</v>
      </c>
      <c r="E415">
        <v>60000</v>
      </c>
      <c r="F415" s="3">
        <v>8</v>
      </c>
      <c r="G415">
        <f t="shared" si="18"/>
        <v>480000</v>
      </c>
      <c r="H415" t="s">
        <v>17</v>
      </c>
      <c r="I415">
        <f t="shared" si="19"/>
        <v>72000</v>
      </c>
      <c r="J415">
        <f t="shared" si="20"/>
        <v>576000</v>
      </c>
    </row>
    <row r="416" spans="1:10" x14ac:dyDescent="0.45">
      <c r="A416" t="s">
        <v>4176</v>
      </c>
      <c r="B416" s="1">
        <v>45676</v>
      </c>
      <c r="C416" t="s">
        <v>4007</v>
      </c>
      <c r="D416" t="s">
        <v>3988</v>
      </c>
      <c r="E416">
        <v>35000</v>
      </c>
      <c r="F416" s="3">
        <v>6</v>
      </c>
      <c r="G416">
        <f t="shared" si="18"/>
        <v>210000</v>
      </c>
      <c r="H416" t="s">
        <v>17</v>
      </c>
      <c r="I416">
        <f t="shared" si="19"/>
        <v>42000</v>
      </c>
      <c r="J416">
        <f t="shared" si="20"/>
        <v>252000</v>
      </c>
    </row>
    <row r="417" spans="1:10" x14ac:dyDescent="0.45">
      <c r="A417" t="s">
        <v>4181</v>
      </c>
      <c r="B417" s="1">
        <v>45676</v>
      </c>
      <c r="C417" t="s">
        <v>3979</v>
      </c>
      <c r="D417" t="s">
        <v>4006</v>
      </c>
      <c r="E417">
        <v>2000</v>
      </c>
      <c r="F417" s="3">
        <v>6</v>
      </c>
      <c r="G417">
        <f t="shared" si="18"/>
        <v>12000</v>
      </c>
      <c r="H417" t="s">
        <v>21</v>
      </c>
      <c r="I417">
        <f t="shared" si="19"/>
        <v>2400</v>
      </c>
      <c r="J417">
        <f t="shared" si="20"/>
        <v>14400</v>
      </c>
    </row>
    <row r="418" spans="1:10" x14ac:dyDescent="0.45">
      <c r="A418" t="s">
        <v>4307</v>
      </c>
      <c r="B418" s="1">
        <v>45676</v>
      </c>
      <c r="C418" t="s">
        <v>33</v>
      </c>
      <c r="D418" t="s">
        <v>42</v>
      </c>
      <c r="E418">
        <v>6900</v>
      </c>
      <c r="F418" s="3">
        <v>1</v>
      </c>
      <c r="G418">
        <f t="shared" si="18"/>
        <v>6900</v>
      </c>
      <c r="H418" t="s">
        <v>17</v>
      </c>
      <c r="I418">
        <f t="shared" si="19"/>
        <v>8280</v>
      </c>
      <c r="J418">
        <f t="shared" si="20"/>
        <v>8280</v>
      </c>
    </row>
    <row r="419" spans="1:10" x14ac:dyDescent="0.45">
      <c r="A419" t="s">
        <v>4413</v>
      </c>
      <c r="B419" s="1">
        <v>45676</v>
      </c>
      <c r="C419" t="s">
        <v>5009</v>
      </c>
      <c r="D419" t="s">
        <v>3992</v>
      </c>
      <c r="E419">
        <v>400</v>
      </c>
      <c r="F419" s="3">
        <v>4</v>
      </c>
      <c r="G419">
        <f t="shared" si="18"/>
        <v>1600</v>
      </c>
      <c r="H419" t="s">
        <v>21</v>
      </c>
      <c r="I419">
        <f t="shared" si="19"/>
        <v>480</v>
      </c>
      <c r="J419">
        <f t="shared" si="20"/>
        <v>1920</v>
      </c>
    </row>
    <row r="420" spans="1:10" x14ac:dyDescent="0.45">
      <c r="A420" t="s">
        <v>4592</v>
      </c>
      <c r="B420" s="1">
        <v>45676</v>
      </c>
      <c r="C420" t="s">
        <v>5009</v>
      </c>
      <c r="D420" t="s">
        <v>4000</v>
      </c>
      <c r="E420">
        <v>3000</v>
      </c>
      <c r="F420" s="3">
        <v>3</v>
      </c>
      <c r="G420">
        <f t="shared" si="18"/>
        <v>9000</v>
      </c>
      <c r="H420" t="s">
        <v>21</v>
      </c>
      <c r="I420">
        <f t="shared" si="19"/>
        <v>3600</v>
      </c>
      <c r="J420">
        <f t="shared" si="20"/>
        <v>10800</v>
      </c>
    </row>
    <row r="421" spans="1:10" x14ac:dyDescent="0.45">
      <c r="A421" t="s">
        <v>4621</v>
      </c>
      <c r="B421" s="1">
        <v>45676</v>
      </c>
      <c r="C421" t="s">
        <v>5009</v>
      </c>
      <c r="D421" t="s">
        <v>3990</v>
      </c>
      <c r="E421">
        <v>2800</v>
      </c>
      <c r="F421" s="3">
        <v>1</v>
      </c>
      <c r="G421">
        <f t="shared" si="18"/>
        <v>2800</v>
      </c>
      <c r="H421" t="s">
        <v>21</v>
      </c>
      <c r="I421">
        <f t="shared" si="19"/>
        <v>3360</v>
      </c>
      <c r="J421">
        <f t="shared" si="20"/>
        <v>3360</v>
      </c>
    </row>
    <row r="422" spans="1:10" x14ac:dyDescent="0.45">
      <c r="A422" t="s">
        <v>4638</v>
      </c>
      <c r="B422" s="1">
        <v>45676</v>
      </c>
      <c r="C422" t="s">
        <v>5009</v>
      </c>
      <c r="D422" t="s">
        <v>4000</v>
      </c>
      <c r="E422">
        <v>3000</v>
      </c>
      <c r="F422" s="3">
        <v>10</v>
      </c>
      <c r="G422">
        <f t="shared" si="18"/>
        <v>30000</v>
      </c>
      <c r="H422" t="s">
        <v>17</v>
      </c>
      <c r="I422">
        <f t="shared" si="19"/>
        <v>3600</v>
      </c>
      <c r="J422">
        <f t="shared" si="20"/>
        <v>36000</v>
      </c>
    </row>
    <row r="423" spans="1:10" x14ac:dyDescent="0.45">
      <c r="A423" t="s">
        <v>4725</v>
      </c>
      <c r="B423" s="1">
        <v>45676</v>
      </c>
      <c r="C423" t="s">
        <v>3979</v>
      </c>
      <c r="D423" t="s">
        <v>3983</v>
      </c>
      <c r="E423">
        <v>1000</v>
      </c>
      <c r="F423" s="3">
        <v>3</v>
      </c>
      <c r="G423">
        <f t="shared" si="18"/>
        <v>3000</v>
      </c>
      <c r="H423" t="s">
        <v>17</v>
      </c>
      <c r="I423">
        <f t="shared" si="19"/>
        <v>1200</v>
      </c>
      <c r="J423">
        <f t="shared" si="20"/>
        <v>3600</v>
      </c>
    </row>
    <row r="424" spans="1:10" x14ac:dyDescent="0.45">
      <c r="A424" t="s">
        <v>4825</v>
      </c>
      <c r="B424" s="1">
        <v>45676</v>
      </c>
      <c r="C424" t="s">
        <v>4007</v>
      </c>
      <c r="D424" t="s">
        <v>3997</v>
      </c>
      <c r="E424">
        <v>62000</v>
      </c>
      <c r="F424" s="3">
        <v>8</v>
      </c>
      <c r="G424">
        <f t="shared" si="18"/>
        <v>496000</v>
      </c>
      <c r="H424" t="s">
        <v>21</v>
      </c>
      <c r="I424">
        <f t="shared" si="19"/>
        <v>74400</v>
      </c>
      <c r="J424">
        <f t="shared" si="20"/>
        <v>595200</v>
      </c>
    </row>
    <row r="425" spans="1:10" x14ac:dyDescent="0.45">
      <c r="A425" t="s">
        <v>4857</v>
      </c>
      <c r="B425" s="1">
        <v>45676</v>
      </c>
      <c r="C425" t="s">
        <v>5008</v>
      </c>
      <c r="D425" t="s">
        <v>3986</v>
      </c>
      <c r="E425">
        <v>12000</v>
      </c>
      <c r="F425" s="3">
        <v>6</v>
      </c>
      <c r="G425">
        <f t="shared" si="18"/>
        <v>72000</v>
      </c>
      <c r="H425" t="s">
        <v>7</v>
      </c>
      <c r="I425">
        <f t="shared" si="19"/>
        <v>14400</v>
      </c>
      <c r="J425">
        <f t="shared" si="20"/>
        <v>86400</v>
      </c>
    </row>
    <row r="426" spans="1:10" x14ac:dyDescent="0.45">
      <c r="A426" t="s">
        <v>4887</v>
      </c>
      <c r="B426" s="1">
        <v>45676</v>
      </c>
      <c r="C426" t="s">
        <v>3979</v>
      </c>
      <c r="D426" t="s">
        <v>3980</v>
      </c>
      <c r="E426">
        <v>500</v>
      </c>
      <c r="F426" s="3">
        <v>8</v>
      </c>
      <c r="G426">
        <f t="shared" si="18"/>
        <v>4000</v>
      </c>
      <c r="H426" t="s">
        <v>17</v>
      </c>
      <c r="I426">
        <f t="shared" si="19"/>
        <v>600</v>
      </c>
      <c r="J426">
        <f t="shared" si="20"/>
        <v>4800</v>
      </c>
    </row>
    <row r="427" spans="1:10" x14ac:dyDescent="0.45">
      <c r="A427" t="s">
        <v>4919</v>
      </c>
      <c r="B427" s="1">
        <v>45676</v>
      </c>
      <c r="C427" t="s">
        <v>3979</v>
      </c>
      <c r="D427" t="s">
        <v>3987</v>
      </c>
      <c r="E427">
        <v>8000</v>
      </c>
      <c r="F427" s="3">
        <v>4</v>
      </c>
      <c r="G427">
        <f t="shared" si="18"/>
        <v>32000</v>
      </c>
      <c r="H427" t="s">
        <v>7</v>
      </c>
      <c r="I427">
        <f t="shared" si="19"/>
        <v>9600</v>
      </c>
      <c r="J427">
        <f t="shared" si="20"/>
        <v>38400</v>
      </c>
    </row>
    <row r="428" spans="1:10" x14ac:dyDescent="0.45">
      <c r="A428" t="s">
        <v>4950</v>
      </c>
      <c r="B428" s="1">
        <v>45676</v>
      </c>
      <c r="C428" t="s">
        <v>33</v>
      </c>
      <c r="D428" t="s">
        <v>42</v>
      </c>
      <c r="E428">
        <v>6900</v>
      </c>
      <c r="F428" s="3">
        <v>10</v>
      </c>
      <c r="G428">
        <f t="shared" si="18"/>
        <v>69000</v>
      </c>
      <c r="H428" t="s">
        <v>17</v>
      </c>
      <c r="I428">
        <f t="shared" si="19"/>
        <v>8280</v>
      </c>
      <c r="J428">
        <f t="shared" si="20"/>
        <v>82800</v>
      </c>
    </row>
    <row r="429" spans="1:10" x14ac:dyDescent="0.45">
      <c r="A429" t="s">
        <v>4988</v>
      </c>
      <c r="B429" s="1">
        <v>45676</v>
      </c>
      <c r="C429" t="s">
        <v>4007</v>
      </c>
      <c r="D429" t="s">
        <v>5015</v>
      </c>
      <c r="E429">
        <v>48000</v>
      </c>
      <c r="F429" s="3">
        <v>4</v>
      </c>
      <c r="G429">
        <f t="shared" si="18"/>
        <v>192000</v>
      </c>
      <c r="H429" t="s">
        <v>7</v>
      </c>
      <c r="I429">
        <f t="shared" si="19"/>
        <v>57600</v>
      </c>
      <c r="J429">
        <f t="shared" si="20"/>
        <v>230400</v>
      </c>
    </row>
    <row r="430" spans="1:10" x14ac:dyDescent="0.45">
      <c r="A430" t="s">
        <v>170</v>
      </c>
      <c r="B430" s="1">
        <v>45677</v>
      </c>
      <c r="C430" t="s">
        <v>4007</v>
      </c>
      <c r="D430" t="s">
        <v>28</v>
      </c>
      <c r="E430">
        <v>500</v>
      </c>
      <c r="F430">
        <v>4</v>
      </c>
      <c r="G430">
        <f t="shared" si="18"/>
        <v>2000</v>
      </c>
      <c r="H430" t="s">
        <v>21</v>
      </c>
      <c r="I430">
        <f t="shared" si="19"/>
        <v>600</v>
      </c>
      <c r="J430">
        <f t="shared" si="20"/>
        <v>2400</v>
      </c>
    </row>
    <row r="431" spans="1:10" x14ac:dyDescent="0.45">
      <c r="A431" t="s">
        <v>171</v>
      </c>
      <c r="B431" s="1">
        <v>45677</v>
      </c>
      <c r="C431" t="s">
        <v>4007</v>
      </c>
      <c r="D431" t="s">
        <v>28</v>
      </c>
      <c r="E431">
        <v>500</v>
      </c>
      <c r="F431">
        <v>10</v>
      </c>
      <c r="G431">
        <f t="shared" si="18"/>
        <v>5000</v>
      </c>
      <c r="H431" t="s">
        <v>17</v>
      </c>
      <c r="I431">
        <f t="shared" si="19"/>
        <v>600</v>
      </c>
      <c r="J431">
        <f t="shared" si="20"/>
        <v>6000</v>
      </c>
    </row>
    <row r="432" spans="1:10" x14ac:dyDescent="0.45">
      <c r="A432" t="s">
        <v>172</v>
      </c>
      <c r="B432" s="1">
        <v>45677</v>
      </c>
      <c r="C432" t="s">
        <v>33</v>
      </c>
      <c r="D432" t="s">
        <v>14</v>
      </c>
      <c r="E432">
        <v>800</v>
      </c>
      <c r="F432">
        <v>10</v>
      </c>
      <c r="G432">
        <f t="shared" si="18"/>
        <v>8000</v>
      </c>
      <c r="H432" t="s">
        <v>17</v>
      </c>
      <c r="I432">
        <f t="shared" si="19"/>
        <v>960</v>
      </c>
      <c r="J432">
        <f t="shared" si="20"/>
        <v>9600</v>
      </c>
    </row>
    <row r="433" spans="1:10" x14ac:dyDescent="0.45">
      <c r="A433" t="s">
        <v>173</v>
      </c>
      <c r="B433" s="1">
        <v>45677</v>
      </c>
      <c r="C433" t="s">
        <v>12</v>
      </c>
      <c r="D433" t="s">
        <v>5020</v>
      </c>
      <c r="E433">
        <v>2880</v>
      </c>
      <c r="F433">
        <v>8</v>
      </c>
      <c r="G433">
        <f t="shared" si="18"/>
        <v>23040</v>
      </c>
      <c r="H433" t="s">
        <v>7</v>
      </c>
      <c r="I433">
        <f t="shared" si="19"/>
        <v>3456</v>
      </c>
      <c r="J433">
        <f t="shared" si="20"/>
        <v>27648</v>
      </c>
    </row>
    <row r="434" spans="1:10" x14ac:dyDescent="0.45">
      <c r="A434" t="s">
        <v>174</v>
      </c>
      <c r="B434" s="1">
        <v>45677</v>
      </c>
      <c r="C434" t="s">
        <v>33</v>
      </c>
      <c r="D434" t="s">
        <v>34</v>
      </c>
      <c r="E434">
        <v>1700</v>
      </c>
      <c r="F434">
        <v>9</v>
      </c>
      <c r="G434">
        <f t="shared" si="18"/>
        <v>15300</v>
      </c>
      <c r="H434" t="s">
        <v>17</v>
      </c>
      <c r="I434">
        <f t="shared" si="19"/>
        <v>2040</v>
      </c>
      <c r="J434">
        <f t="shared" si="20"/>
        <v>18360</v>
      </c>
    </row>
    <row r="435" spans="1:10" x14ac:dyDescent="0.45">
      <c r="A435" t="s">
        <v>175</v>
      </c>
      <c r="B435" s="1">
        <v>45677</v>
      </c>
      <c r="C435" t="s">
        <v>12</v>
      </c>
      <c r="D435" t="s">
        <v>5022</v>
      </c>
      <c r="E435">
        <v>2880</v>
      </c>
      <c r="F435">
        <v>3</v>
      </c>
      <c r="G435">
        <f t="shared" si="18"/>
        <v>8640</v>
      </c>
      <c r="H435" t="s">
        <v>21</v>
      </c>
      <c r="I435">
        <f t="shared" si="19"/>
        <v>3456</v>
      </c>
      <c r="J435">
        <f t="shared" si="20"/>
        <v>10368</v>
      </c>
    </row>
    <row r="436" spans="1:10" x14ac:dyDescent="0.45">
      <c r="A436" t="s">
        <v>3475</v>
      </c>
      <c r="B436" s="1">
        <v>45677</v>
      </c>
      <c r="C436" t="s">
        <v>4007</v>
      </c>
      <c r="D436" t="s">
        <v>5015</v>
      </c>
      <c r="E436">
        <v>48000</v>
      </c>
      <c r="F436">
        <v>10</v>
      </c>
      <c r="G436">
        <f t="shared" si="18"/>
        <v>480000</v>
      </c>
      <c r="H436" t="s">
        <v>17</v>
      </c>
      <c r="I436">
        <f t="shared" si="19"/>
        <v>57600</v>
      </c>
      <c r="J436">
        <f t="shared" si="20"/>
        <v>576000</v>
      </c>
    </row>
    <row r="437" spans="1:10" x14ac:dyDescent="0.45">
      <c r="A437" t="s">
        <v>3632</v>
      </c>
      <c r="B437" s="1">
        <v>45677</v>
      </c>
      <c r="C437" t="s">
        <v>4007</v>
      </c>
      <c r="D437" t="s">
        <v>28</v>
      </c>
      <c r="E437">
        <v>500</v>
      </c>
      <c r="F437">
        <v>6</v>
      </c>
      <c r="G437">
        <f t="shared" si="18"/>
        <v>3000</v>
      </c>
      <c r="H437" t="s">
        <v>17</v>
      </c>
      <c r="I437">
        <f t="shared" si="19"/>
        <v>600</v>
      </c>
      <c r="J437">
        <f t="shared" si="20"/>
        <v>3600</v>
      </c>
    </row>
    <row r="438" spans="1:10" x14ac:dyDescent="0.45">
      <c r="A438" t="s">
        <v>3672</v>
      </c>
      <c r="B438" s="1">
        <v>45677</v>
      </c>
      <c r="C438" t="s">
        <v>4007</v>
      </c>
      <c r="D438" t="s">
        <v>5015</v>
      </c>
      <c r="E438">
        <v>48000</v>
      </c>
      <c r="F438">
        <v>1</v>
      </c>
      <c r="G438">
        <f t="shared" si="18"/>
        <v>48000</v>
      </c>
      <c r="H438" t="s">
        <v>17</v>
      </c>
      <c r="I438">
        <f t="shared" si="19"/>
        <v>57600</v>
      </c>
      <c r="J438">
        <f t="shared" si="20"/>
        <v>57600</v>
      </c>
    </row>
    <row r="439" spans="1:10" x14ac:dyDescent="0.45">
      <c r="A439" t="s">
        <v>3737</v>
      </c>
      <c r="B439" s="1">
        <v>45677</v>
      </c>
      <c r="C439" t="s">
        <v>4007</v>
      </c>
      <c r="D439" t="s">
        <v>2774</v>
      </c>
      <c r="E439">
        <v>1900</v>
      </c>
      <c r="F439">
        <v>6</v>
      </c>
      <c r="G439">
        <f t="shared" si="18"/>
        <v>11400</v>
      </c>
      <c r="H439" t="s">
        <v>17</v>
      </c>
      <c r="I439">
        <f t="shared" si="19"/>
        <v>2280</v>
      </c>
      <c r="J439">
        <f t="shared" si="20"/>
        <v>13680</v>
      </c>
    </row>
    <row r="440" spans="1:10" x14ac:dyDescent="0.45">
      <c r="A440" t="s">
        <v>4066</v>
      </c>
      <c r="B440" s="1">
        <v>45677</v>
      </c>
      <c r="C440" t="s">
        <v>33</v>
      </c>
      <c r="D440" t="s">
        <v>3994</v>
      </c>
      <c r="E440">
        <v>2500</v>
      </c>
      <c r="F440" s="3">
        <v>10</v>
      </c>
      <c r="G440">
        <f t="shared" si="18"/>
        <v>25000</v>
      </c>
      <c r="H440" t="s">
        <v>7</v>
      </c>
      <c r="I440">
        <f t="shared" si="19"/>
        <v>3000</v>
      </c>
      <c r="J440">
        <f t="shared" si="20"/>
        <v>30000</v>
      </c>
    </row>
    <row r="441" spans="1:10" x14ac:dyDescent="0.45">
      <c r="A441" t="s">
        <v>4127</v>
      </c>
      <c r="B441" s="1">
        <v>45677</v>
      </c>
      <c r="C441" t="s">
        <v>33</v>
      </c>
      <c r="D441" t="s">
        <v>3981</v>
      </c>
      <c r="E441">
        <v>4000</v>
      </c>
      <c r="F441" s="3">
        <v>2</v>
      </c>
      <c r="G441">
        <f t="shared" si="18"/>
        <v>8000</v>
      </c>
      <c r="H441" t="s">
        <v>7</v>
      </c>
      <c r="I441">
        <f t="shared" si="19"/>
        <v>4800</v>
      </c>
      <c r="J441">
        <f t="shared" si="20"/>
        <v>9600</v>
      </c>
    </row>
    <row r="442" spans="1:10" x14ac:dyDescent="0.45">
      <c r="A442" t="s">
        <v>4243</v>
      </c>
      <c r="B442" s="1">
        <v>45677</v>
      </c>
      <c r="C442" t="s">
        <v>5009</v>
      </c>
      <c r="D442" t="s">
        <v>3990</v>
      </c>
      <c r="E442">
        <v>2800</v>
      </c>
      <c r="F442" s="3">
        <v>2</v>
      </c>
      <c r="G442">
        <f t="shared" si="18"/>
        <v>5600</v>
      </c>
      <c r="H442" t="s">
        <v>7</v>
      </c>
      <c r="I442">
        <f t="shared" si="19"/>
        <v>3360</v>
      </c>
      <c r="J442">
        <f t="shared" si="20"/>
        <v>6720</v>
      </c>
    </row>
    <row r="443" spans="1:10" x14ac:dyDescent="0.45">
      <c r="A443" t="s">
        <v>4355</v>
      </c>
      <c r="B443" s="1">
        <v>45677</v>
      </c>
      <c r="C443" t="s">
        <v>33</v>
      </c>
      <c r="D443" t="s">
        <v>3985</v>
      </c>
      <c r="E443">
        <v>1950</v>
      </c>
      <c r="F443" s="3">
        <v>8</v>
      </c>
      <c r="G443">
        <f t="shared" si="18"/>
        <v>15600</v>
      </c>
      <c r="H443" t="s">
        <v>21</v>
      </c>
      <c r="I443">
        <f t="shared" si="19"/>
        <v>2340</v>
      </c>
      <c r="J443">
        <f t="shared" si="20"/>
        <v>18720</v>
      </c>
    </row>
    <row r="444" spans="1:10" x14ac:dyDescent="0.45">
      <c r="A444" t="s">
        <v>4444</v>
      </c>
      <c r="B444" s="1">
        <v>45677</v>
      </c>
      <c r="C444" t="s">
        <v>5009</v>
      </c>
      <c r="D444" t="s">
        <v>4000</v>
      </c>
      <c r="E444">
        <v>3000</v>
      </c>
      <c r="F444" s="3">
        <v>4</v>
      </c>
      <c r="G444">
        <f t="shared" si="18"/>
        <v>12000</v>
      </c>
      <c r="H444" t="s">
        <v>7</v>
      </c>
      <c r="I444">
        <f t="shared" si="19"/>
        <v>3600</v>
      </c>
      <c r="J444">
        <f t="shared" si="20"/>
        <v>14400</v>
      </c>
    </row>
    <row r="445" spans="1:10" x14ac:dyDescent="0.45">
      <c r="A445" t="s">
        <v>4563</v>
      </c>
      <c r="B445" s="1">
        <v>45677</v>
      </c>
      <c r="C445" t="s">
        <v>33</v>
      </c>
      <c r="D445" t="s">
        <v>3981</v>
      </c>
      <c r="E445">
        <v>4000</v>
      </c>
      <c r="F445" s="3">
        <v>3</v>
      </c>
      <c r="G445">
        <f t="shared" si="18"/>
        <v>12000</v>
      </c>
      <c r="H445" t="s">
        <v>17</v>
      </c>
      <c r="I445">
        <f t="shared" si="19"/>
        <v>4800</v>
      </c>
      <c r="J445">
        <f t="shared" si="20"/>
        <v>14400</v>
      </c>
    </row>
    <row r="446" spans="1:10" x14ac:dyDescent="0.45">
      <c r="A446" t="s">
        <v>4716</v>
      </c>
      <c r="B446" s="1">
        <v>45677</v>
      </c>
      <c r="C446" t="s">
        <v>5008</v>
      </c>
      <c r="D446" t="s">
        <v>3998</v>
      </c>
      <c r="E446">
        <v>8000</v>
      </c>
      <c r="F446" s="3">
        <v>8</v>
      </c>
      <c r="G446">
        <f t="shared" si="18"/>
        <v>64000</v>
      </c>
      <c r="H446" t="s">
        <v>7</v>
      </c>
      <c r="I446">
        <f t="shared" si="19"/>
        <v>9600</v>
      </c>
      <c r="J446">
        <f t="shared" si="20"/>
        <v>76800</v>
      </c>
    </row>
    <row r="447" spans="1:10" x14ac:dyDescent="0.45">
      <c r="A447" t="s">
        <v>4770</v>
      </c>
      <c r="B447" s="1">
        <v>45677</v>
      </c>
      <c r="C447" t="s">
        <v>5008</v>
      </c>
      <c r="D447" t="s">
        <v>3995</v>
      </c>
      <c r="E447">
        <v>15000</v>
      </c>
      <c r="F447" s="3">
        <v>8</v>
      </c>
      <c r="G447">
        <f t="shared" si="18"/>
        <v>120000</v>
      </c>
      <c r="H447" t="s">
        <v>17</v>
      </c>
      <c r="I447">
        <f t="shared" si="19"/>
        <v>18000</v>
      </c>
      <c r="J447">
        <f t="shared" si="20"/>
        <v>144000</v>
      </c>
    </row>
    <row r="448" spans="1:10" x14ac:dyDescent="0.45">
      <c r="A448" t="s">
        <v>4772</v>
      </c>
      <c r="B448" s="1">
        <v>45677</v>
      </c>
      <c r="C448" t="s">
        <v>3977</v>
      </c>
      <c r="D448" t="s">
        <v>3993</v>
      </c>
      <c r="E448">
        <v>1000</v>
      </c>
      <c r="F448" s="3">
        <v>4</v>
      </c>
      <c r="G448">
        <f t="shared" si="18"/>
        <v>4000</v>
      </c>
      <c r="H448" t="s">
        <v>21</v>
      </c>
      <c r="I448">
        <f t="shared" si="19"/>
        <v>1200</v>
      </c>
      <c r="J448">
        <f t="shared" si="20"/>
        <v>4800</v>
      </c>
    </row>
    <row r="449" spans="1:10" x14ac:dyDescent="0.45">
      <c r="A449" t="s">
        <v>4941</v>
      </c>
      <c r="B449" s="1">
        <v>45677</v>
      </c>
      <c r="C449" t="s">
        <v>3977</v>
      </c>
      <c r="D449" t="s">
        <v>4002</v>
      </c>
      <c r="E449">
        <v>2500</v>
      </c>
      <c r="F449" s="3">
        <v>7</v>
      </c>
      <c r="G449">
        <f t="shared" si="18"/>
        <v>17500</v>
      </c>
      <c r="H449" t="s">
        <v>7</v>
      </c>
      <c r="I449">
        <f t="shared" si="19"/>
        <v>3000</v>
      </c>
      <c r="J449">
        <f t="shared" si="20"/>
        <v>21000</v>
      </c>
    </row>
    <row r="450" spans="1:10" x14ac:dyDescent="0.45">
      <c r="A450" t="s">
        <v>176</v>
      </c>
      <c r="B450" s="1">
        <v>45678</v>
      </c>
      <c r="C450" t="s">
        <v>33</v>
      </c>
      <c r="D450" t="s">
        <v>16</v>
      </c>
      <c r="E450">
        <v>1200</v>
      </c>
      <c r="F450">
        <v>3</v>
      </c>
      <c r="G450">
        <f t="shared" ref="G450:G513" si="21">E450*F450</f>
        <v>3600</v>
      </c>
      <c r="H450" t="s">
        <v>17</v>
      </c>
      <c r="I450">
        <f t="shared" ref="I450:I513" si="22">E450*1.2</f>
        <v>1440</v>
      </c>
      <c r="J450">
        <f t="shared" ref="J450:J513" si="23">I450*F450</f>
        <v>4320</v>
      </c>
    </row>
    <row r="451" spans="1:10" x14ac:dyDescent="0.45">
      <c r="A451" t="s">
        <v>177</v>
      </c>
      <c r="B451" s="1">
        <v>45678</v>
      </c>
      <c r="C451" t="s">
        <v>12</v>
      </c>
      <c r="D451" t="s">
        <v>5023</v>
      </c>
      <c r="E451">
        <v>1750</v>
      </c>
      <c r="F451">
        <v>1</v>
      </c>
      <c r="G451">
        <f t="shared" si="21"/>
        <v>1750</v>
      </c>
      <c r="H451" t="s">
        <v>7</v>
      </c>
      <c r="I451">
        <f t="shared" si="22"/>
        <v>2100</v>
      </c>
      <c r="J451">
        <f t="shared" si="23"/>
        <v>2100</v>
      </c>
    </row>
    <row r="452" spans="1:10" x14ac:dyDescent="0.45">
      <c r="A452" t="s">
        <v>178</v>
      </c>
      <c r="B452" s="1">
        <v>45678</v>
      </c>
      <c r="C452" t="s">
        <v>33</v>
      </c>
      <c r="D452" t="s">
        <v>34</v>
      </c>
      <c r="E452">
        <v>1700</v>
      </c>
      <c r="F452">
        <v>4</v>
      </c>
      <c r="G452">
        <f t="shared" si="21"/>
        <v>6800</v>
      </c>
      <c r="H452" t="s">
        <v>21</v>
      </c>
      <c r="I452">
        <f t="shared" si="22"/>
        <v>2040</v>
      </c>
      <c r="J452">
        <f t="shared" si="23"/>
        <v>8160</v>
      </c>
    </row>
    <row r="453" spans="1:10" x14ac:dyDescent="0.45">
      <c r="A453" t="s">
        <v>179</v>
      </c>
      <c r="B453" s="1">
        <v>45678</v>
      </c>
      <c r="C453" t="s">
        <v>9</v>
      </c>
      <c r="D453" t="s">
        <v>25</v>
      </c>
      <c r="E453">
        <v>5200</v>
      </c>
      <c r="F453">
        <v>6</v>
      </c>
      <c r="G453">
        <f t="shared" si="21"/>
        <v>31200</v>
      </c>
      <c r="H453" t="s">
        <v>7</v>
      </c>
      <c r="I453">
        <f t="shared" si="22"/>
        <v>6240</v>
      </c>
      <c r="J453">
        <f t="shared" si="23"/>
        <v>37440</v>
      </c>
    </row>
    <row r="454" spans="1:10" x14ac:dyDescent="0.45">
      <c r="A454" t="s">
        <v>180</v>
      </c>
      <c r="B454" s="1">
        <v>45678</v>
      </c>
      <c r="C454" t="s">
        <v>33</v>
      </c>
      <c r="D454" t="s">
        <v>16</v>
      </c>
      <c r="E454">
        <v>1200</v>
      </c>
      <c r="F454">
        <v>9</v>
      </c>
      <c r="G454">
        <f t="shared" si="21"/>
        <v>10800</v>
      </c>
      <c r="H454" t="s">
        <v>17</v>
      </c>
      <c r="I454">
        <f t="shared" si="22"/>
        <v>1440</v>
      </c>
      <c r="J454">
        <f t="shared" si="23"/>
        <v>12960</v>
      </c>
    </row>
    <row r="455" spans="1:10" x14ac:dyDescent="0.45">
      <c r="A455" t="s">
        <v>181</v>
      </c>
      <c r="B455" s="1">
        <v>45678</v>
      </c>
      <c r="C455" t="s">
        <v>33</v>
      </c>
      <c r="D455" t="s">
        <v>16</v>
      </c>
      <c r="E455">
        <v>1200</v>
      </c>
      <c r="F455">
        <v>7</v>
      </c>
      <c r="G455">
        <f t="shared" si="21"/>
        <v>8400</v>
      </c>
      <c r="H455" t="s">
        <v>7</v>
      </c>
      <c r="I455">
        <f t="shared" si="22"/>
        <v>1440</v>
      </c>
      <c r="J455">
        <f t="shared" si="23"/>
        <v>10080</v>
      </c>
    </row>
    <row r="456" spans="1:10" x14ac:dyDescent="0.45">
      <c r="A456" t="s">
        <v>182</v>
      </c>
      <c r="B456" s="1">
        <v>45678</v>
      </c>
      <c r="C456" t="s">
        <v>4007</v>
      </c>
      <c r="D456" t="s">
        <v>4005</v>
      </c>
      <c r="E456">
        <v>60000</v>
      </c>
      <c r="F456">
        <v>2</v>
      </c>
      <c r="G456">
        <f t="shared" si="21"/>
        <v>120000</v>
      </c>
      <c r="H456" t="s">
        <v>17</v>
      </c>
      <c r="I456">
        <f t="shared" si="22"/>
        <v>72000</v>
      </c>
      <c r="J456">
        <f t="shared" si="23"/>
        <v>144000</v>
      </c>
    </row>
    <row r="457" spans="1:10" x14ac:dyDescent="0.45">
      <c r="A457" t="s">
        <v>183</v>
      </c>
      <c r="B457" s="1">
        <v>45678</v>
      </c>
      <c r="C457" t="s">
        <v>4007</v>
      </c>
      <c r="D457" t="s">
        <v>5015</v>
      </c>
      <c r="E457">
        <v>48000</v>
      </c>
      <c r="F457">
        <v>6</v>
      </c>
      <c r="G457">
        <f t="shared" si="21"/>
        <v>288000</v>
      </c>
      <c r="H457" t="s">
        <v>7</v>
      </c>
      <c r="I457">
        <f t="shared" si="22"/>
        <v>57600</v>
      </c>
      <c r="J457">
        <f t="shared" si="23"/>
        <v>345600</v>
      </c>
    </row>
    <row r="458" spans="1:10" x14ac:dyDescent="0.45">
      <c r="A458" t="s">
        <v>184</v>
      </c>
      <c r="B458" s="1">
        <v>45678</v>
      </c>
      <c r="C458" t="s">
        <v>33</v>
      </c>
      <c r="D458" t="s">
        <v>14</v>
      </c>
      <c r="E458">
        <v>800</v>
      </c>
      <c r="F458">
        <v>9</v>
      </c>
      <c r="G458">
        <f t="shared" si="21"/>
        <v>7200</v>
      </c>
      <c r="H458" t="s">
        <v>7</v>
      </c>
      <c r="I458">
        <f t="shared" si="22"/>
        <v>960</v>
      </c>
      <c r="J458">
        <f t="shared" si="23"/>
        <v>8640</v>
      </c>
    </row>
    <row r="459" spans="1:10" x14ac:dyDescent="0.45">
      <c r="A459" t="s">
        <v>185</v>
      </c>
      <c r="B459" s="1">
        <v>45678</v>
      </c>
      <c r="C459" t="s">
        <v>33</v>
      </c>
      <c r="D459" t="s">
        <v>34</v>
      </c>
      <c r="E459">
        <v>1700</v>
      </c>
      <c r="F459">
        <v>4</v>
      </c>
      <c r="G459">
        <f t="shared" si="21"/>
        <v>6800</v>
      </c>
      <c r="H459" t="s">
        <v>21</v>
      </c>
      <c r="I459">
        <f t="shared" si="22"/>
        <v>2040</v>
      </c>
      <c r="J459">
        <f t="shared" si="23"/>
        <v>8160</v>
      </c>
    </row>
    <row r="460" spans="1:10" x14ac:dyDescent="0.45">
      <c r="A460" t="s">
        <v>2886</v>
      </c>
      <c r="B460" s="1">
        <v>45678</v>
      </c>
      <c r="C460" t="s">
        <v>2772</v>
      </c>
      <c r="D460" t="s">
        <v>2775</v>
      </c>
      <c r="E460">
        <v>9100</v>
      </c>
      <c r="F460">
        <v>4</v>
      </c>
      <c r="G460">
        <f t="shared" si="21"/>
        <v>36400</v>
      </c>
      <c r="H460" t="s">
        <v>21</v>
      </c>
      <c r="I460">
        <f t="shared" si="22"/>
        <v>10920</v>
      </c>
      <c r="J460">
        <f t="shared" si="23"/>
        <v>43680</v>
      </c>
    </row>
    <row r="461" spans="1:10" x14ac:dyDescent="0.45">
      <c r="A461" t="s">
        <v>3304</v>
      </c>
      <c r="B461" s="1">
        <v>45678</v>
      </c>
      <c r="C461" t="s">
        <v>2772</v>
      </c>
      <c r="D461" t="s">
        <v>2771</v>
      </c>
      <c r="E461">
        <v>120</v>
      </c>
      <c r="F461">
        <v>9</v>
      </c>
      <c r="G461">
        <f t="shared" si="21"/>
        <v>1080</v>
      </c>
      <c r="H461" t="s">
        <v>21</v>
      </c>
      <c r="I461">
        <f t="shared" si="22"/>
        <v>144</v>
      </c>
      <c r="J461">
        <f t="shared" si="23"/>
        <v>1296</v>
      </c>
    </row>
    <row r="462" spans="1:10" x14ac:dyDescent="0.45">
      <c r="A462" t="s">
        <v>3705</v>
      </c>
      <c r="B462" s="1">
        <v>45678</v>
      </c>
      <c r="C462" t="s">
        <v>33</v>
      </c>
      <c r="D462" t="s">
        <v>34</v>
      </c>
      <c r="E462">
        <v>1700</v>
      </c>
      <c r="F462">
        <v>4</v>
      </c>
      <c r="G462">
        <f t="shared" si="21"/>
        <v>6800</v>
      </c>
      <c r="H462" t="s">
        <v>17</v>
      </c>
      <c r="I462">
        <f t="shared" si="22"/>
        <v>2040</v>
      </c>
      <c r="J462">
        <f t="shared" si="23"/>
        <v>8160</v>
      </c>
    </row>
    <row r="463" spans="1:10" x14ac:dyDescent="0.45">
      <c r="A463" t="s">
        <v>4026</v>
      </c>
      <c r="B463" s="1">
        <v>45678</v>
      </c>
      <c r="C463" t="s">
        <v>4007</v>
      </c>
      <c r="D463" t="s">
        <v>3988</v>
      </c>
      <c r="E463">
        <v>35000</v>
      </c>
      <c r="F463" s="3">
        <v>3</v>
      </c>
      <c r="G463">
        <f t="shared" si="21"/>
        <v>105000</v>
      </c>
      <c r="H463" t="s">
        <v>21</v>
      </c>
      <c r="I463">
        <f t="shared" si="22"/>
        <v>42000</v>
      </c>
      <c r="J463">
        <f t="shared" si="23"/>
        <v>126000</v>
      </c>
    </row>
    <row r="464" spans="1:10" x14ac:dyDescent="0.45">
      <c r="A464" t="s">
        <v>4088</v>
      </c>
      <c r="B464" s="1">
        <v>45678</v>
      </c>
      <c r="C464" t="s">
        <v>3977</v>
      </c>
      <c r="D464" t="s">
        <v>3989</v>
      </c>
      <c r="E464">
        <v>1000</v>
      </c>
      <c r="F464" s="3">
        <v>6</v>
      </c>
      <c r="G464">
        <f t="shared" si="21"/>
        <v>6000</v>
      </c>
      <c r="H464" t="s">
        <v>17</v>
      </c>
      <c r="I464">
        <f t="shared" si="22"/>
        <v>1200</v>
      </c>
      <c r="J464">
        <f t="shared" si="23"/>
        <v>7200</v>
      </c>
    </row>
    <row r="465" spans="1:10" x14ac:dyDescent="0.45">
      <c r="A465" t="s">
        <v>4152</v>
      </c>
      <c r="B465" s="1">
        <v>45678</v>
      </c>
      <c r="C465" t="s">
        <v>33</v>
      </c>
      <c r="D465" t="s">
        <v>4001</v>
      </c>
      <c r="E465">
        <v>500</v>
      </c>
      <c r="F465" s="3">
        <v>6</v>
      </c>
      <c r="G465">
        <f t="shared" si="21"/>
        <v>3000</v>
      </c>
      <c r="H465" t="s">
        <v>21</v>
      </c>
      <c r="I465">
        <f t="shared" si="22"/>
        <v>600</v>
      </c>
      <c r="J465">
        <f t="shared" si="23"/>
        <v>3600</v>
      </c>
    </row>
    <row r="466" spans="1:10" x14ac:dyDescent="0.45">
      <c r="A466" t="s">
        <v>4301</v>
      </c>
      <c r="B466" s="1">
        <v>45678</v>
      </c>
      <c r="C466" t="s">
        <v>4007</v>
      </c>
      <c r="D466" t="s">
        <v>3999</v>
      </c>
      <c r="E466">
        <v>50000</v>
      </c>
      <c r="F466" s="3">
        <v>2</v>
      </c>
      <c r="G466">
        <f t="shared" si="21"/>
        <v>100000</v>
      </c>
      <c r="H466" t="s">
        <v>21</v>
      </c>
      <c r="I466">
        <f t="shared" si="22"/>
        <v>60000</v>
      </c>
      <c r="J466">
        <f t="shared" si="23"/>
        <v>120000</v>
      </c>
    </row>
    <row r="467" spans="1:10" x14ac:dyDescent="0.45">
      <c r="A467" t="s">
        <v>4371</v>
      </c>
      <c r="B467" s="1">
        <v>45678</v>
      </c>
      <c r="C467" t="s">
        <v>33</v>
      </c>
      <c r="D467" t="s">
        <v>4001</v>
      </c>
      <c r="E467">
        <v>500</v>
      </c>
      <c r="F467" s="3">
        <v>6</v>
      </c>
      <c r="G467">
        <f t="shared" si="21"/>
        <v>3000</v>
      </c>
      <c r="H467" t="s">
        <v>7</v>
      </c>
      <c r="I467">
        <f t="shared" si="22"/>
        <v>600</v>
      </c>
      <c r="J467">
        <f t="shared" si="23"/>
        <v>3600</v>
      </c>
    </row>
    <row r="468" spans="1:10" x14ac:dyDescent="0.45">
      <c r="A468" t="s">
        <v>4434</v>
      </c>
      <c r="B468" s="1">
        <v>45678</v>
      </c>
      <c r="C468" t="s">
        <v>3977</v>
      </c>
      <c r="D468" t="s">
        <v>3989</v>
      </c>
      <c r="E468">
        <v>1000</v>
      </c>
      <c r="F468" s="3">
        <v>7</v>
      </c>
      <c r="G468">
        <f t="shared" si="21"/>
        <v>7000</v>
      </c>
      <c r="H468" t="s">
        <v>21</v>
      </c>
      <c r="I468">
        <f t="shared" si="22"/>
        <v>1200</v>
      </c>
      <c r="J468">
        <f t="shared" si="23"/>
        <v>8400</v>
      </c>
    </row>
    <row r="469" spans="1:10" x14ac:dyDescent="0.45">
      <c r="A469" t="s">
        <v>4506</v>
      </c>
      <c r="B469" s="1">
        <v>45678</v>
      </c>
      <c r="C469" t="s">
        <v>5009</v>
      </c>
      <c r="D469" t="s">
        <v>3990</v>
      </c>
      <c r="E469">
        <v>2800</v>
      </c>
      <c r="F469" s="3">
        <v>1</v>
      </c>
      <c r="G469">
        <f t="shared" si="21"/>
        <v>2800</v>
      </c>
      <c r="H469" t="s">
        <v>7</v>
      </c>
      <c r="I469">
        <f t="shared" si="22"/>
        <v>3360</v>
      </c>
      <c r="J469">
        <f t="shared" si="23"/>
        <v>3360</v>
      </c>
    </row>
    <row r="470" spans="1:10" x14ac:dyDescent="0.45">
      <c r="A470" t="s">
        <v>4715</v>
      </c>
      <c r="B470" s="1">
        <v>45678</v>
      </c>
      <c r="C470" t="s">
        <v>4007</v>
      </c>
      <c r="D470" t="s">
        <v>5015</v>
      </c>
      <c r="E470">
        <v>48000</v>
      </c>
      <c r="F470" s="3">
        <v>1</v>
      </c>
      <c r="G470">
        <f t="shared" si="21"/>
        <v>48000</v>
      </c>
      <c r="H470" t="s">
        <v>21</v>
      </c>
      <c r="I470">
        <f t="shared" si="22"/>
        <v>57600</v>
      </c>
      <c r="J470">
        <f t="shared" si="23"/>
        <v>57600</v>
      </c>
    </row>
    <row r="471" spans="1:10" x14ac:dyDescent="0.45">
      <c r="A471" t="s">
        <v>186</v>
      </c>
      <c r="B471" s="1">
        <v>45679</v>
      </c>
      <c r="C471" t="s">
        <v>33</v>
      </c>
      <c r="D471" t="s">
        <v>34</v>
      </c>
      <c r="E471">
        <v>1700</v>
      </c>
      <c r="F471">
        <v>6</v>
      </c>
      <c r="G471">
        <f t="shared" si="21"/>
        <v>10200</v>
      </c>
      <c r="H471" t="s">
        <v>17</v>
      </c>
      <c r="I471">
        <f t="shared" si="22"/>
        <v>2040</v>
      </c>
      <c r="J471">
        <f t="shared" si="23"/>
        <v>12240</v>
      </c>
    </row>
    <row r="472" spans="1:10" x14ac:dyDescent="0.45">
      <c r="A472" t="s">
        <v>187</v>
      </c>
      <c r="B472" s="1">
        <v>45679</v>
      </c>
      <c r="C472" t="s">
        <v>12</v>
      </c>
      <c r="D472" t="s">
        <v>5023</v>
      </c>
      <c r="E472">
        <v>1750</v>
      </c>
      <c r="F472">
        <v>3</v>
      </c>
      <c r="G472">
        <f t="shared" si="21"/>
        <v>5250</v>
      </c>
      <c r="H472" t="s">
        <v>21</v>
      </c>
      <c r="I472">
        <f t="shared" si="22"/>
        <v>2100</v>
      </c>
      <c r="J472">
        <f t="shared" si="23"/>
        <v>6300</v>
      </c>
    </row>
    <row r="473" spans="1:10" x14ac:dyDescent="0.45">
      <c r="A473" t="s">
        <v>188</v>
      </c>
      <c r="B473" s="1">
        <v>45679</v>
      </c>
      <c r="C473" t="s">
        <v>33</v>
      </c>
      <c r="D473" t="s">
        <v>34</v>
      </c>
      <c r="E473">
        <v>1700</v>
      </c>
      <c r="F473">
        <v>5</v>
      </c>
      <c r="G473">
        <f t="shared" si="21"/>
        <v>8500</v>
      </c>
      <c r="H473" t="s">
        <v>21</v>
      </c>
      <c r="I473">
        <f t="shared" si="22"/>
        <v>2040</v>
      </c>
      <c r="J473">
        <f t="shared" si="23"/>
        <v>10200</v>
      </c>
    </row>
    <row r="474" spans="1:10" x14ac:dyDescent="0.45">
      <c r="A474" t="s">
        <v>189</v>
      </c>
      <c r="B474" s="1">
        <v>45679</v>
      </c>
      <c r="C474" t="s">
        <v>12</v>
      </c>
      <c r="D474" t="s">
        <v>5022</v>
      </c>
      <c r="E474">
        <v>2880</v>
      </c>
      <c r="F474">
        <v>4</v>
      </c>
      <c r="G474">
        <f t="shared" si="21"/>
        <v>11520</v>
      </c>
      <c r="H474" t="s">
        <v>7</v>
      </c>
      <c r="I474">
        <f t="shared" si="22"/>
        <v>3456</v>
      </c>
      <c r="J474">
        <f t="shared" si="23"/>
        <v>13824</v>
      </c>
    </row>
    <row r="475" spans="1:10" x14ac:dyDescent="0.45">
      <c r="A475" t="s">
        <v>190</v>
      </c>
      <c r="B475" s="1">
        <v>45679</v>
      </c>
      <c r="C475" t="s">
        <v>4007</v>
      </c>
      <c r="D475" t="s">
        <v>28</v>
      </c>
      <c r="E475">
        <v>500</v>
      </c>
      <c r="F475">
        <v>3</v>
      </c>
      <c r="G475">
        <f t="shared" si="21"/>
        <v>1500</v>
      </c>
      <c r="H475" t="s">
        <v>21</v>
      </c>
      <c r="I475">
        <f t="shared" si="22"/>
        <v>600</v>
      </c>
      <c r="J475">
        <f t="shared" si="23"/>
        <v>1800</v>
      </c>
    </row>
    <row r="476" spans="1:10" x14ac:dyDescent="0.45">
      <c r="A476" t="s">
        <v>191</v>
      </c>
      <c r="B476" s="1">
        <v>45679</v>
      </c>
      <c r="C476" t="s">
        <v>33</v>
      </c>
      <c r="D476" t="s">
        <v>42</v>
      </c>
      <c r="E476">
        <v>6900</v>
      </c>
      <c r="F476">
        <v>10</v>
      </c>
      <c r="G476">
        <f t="shared" si="21"/>
        <v>69000</v>
      </c>
      <c r="H476" t="s">
        <v>17</v>
      </c>
      <c r="I476">
        <f t="shared" si="22"/>
        <v>8280</v>
      </c>
      <c r="J476">
        <f t="shared" si="23"/>
        <v>82800</v>
      </c>
    </row>
    <row r="477" spans="1:10" x14ac:dyDescent="0.45">
      <c r="A477" t="s">
        <v>192</v>
      </c>
      <c r="B477" s="1">
        <v>45679</v>
      </c>
      <c r="C477" t="s">
        <v>4007</v>
      </c>
      <c r="D477" t="s">
        <v>28</v>
      </c>
      <c r="E477">
        <v>500</v>
      </c>
      <c r="F477">
        <v>5</v>
      </c>
      <c r="G477">
        <f t="shared" si="21"/>
        <v>2500</v>
      </c>
      <c r="H477" t="s">
        <v>7</v>
      </c>
      <c r="I477">
        <f t="shared" si="22"/>
        <v>600</v>
      </c>
      <c r="J477">
        <f t="shared" si="23"/>
        <v>3000</v>
      </c>
    </row>
    <row r="478" spans="1:10" x14ac:dyDescent="0.45">
      <c r="A478" t="s">
        <v>193</v>
      </c>
      <c r="B478" s="1">
        <v>45679</v>
      </c>
      <c r="C478" t="s">
        <v>4007</v>
      </c>
      <c r="D478" t="s">
        <v>39</v>
      </c>
      <c r="E478">
        <v>6000</v>
      </c>
      <c r="F478">
        <v>9</v>
      </c>
      <c r="G478">
        <f t="shared" si="21"/>
        <v>54000</v>
      </c>
      <c r="H478" t="s">
        <v>7</v>
      </c>
      <c r="I478">
        <f t="shared" si="22"/>
        <v>7200</v>
      </c>
      <c r="J478">
        <f t="shared" si="23"/>
        <v>64800</v>
      </c>
    </row>
    <row r="479" spans="1:10" x14ac:dyDescent="0.45">
      <c r="A479" t="s">
        <v>3004</v>
      </c>
      <c r="B479" s="1">
        <v>45679</v>
      </c>
      <c r="C479" t="s">
        <v>33</v>
      </c>
      <c r="D479" t="s">
        <v>34</v>
      </c>
      <c r="E479">
        <v>1700</v>
      </c>
      <c r="F479">
        <v>6</v>
      </c>
      <c r="G479">
        <f t="shared" si="21"/>
        <v>10200</v>
      </c>
      <c r="H479" t="s">
        <v>17</v>
      </c>
      <c r="I479">
        <f t="shared" si="22"/>
        <v>2040</v>
      </c>
      <c r="J479">
        <f t="shared" si="23"/>
        <v>12240</v>
      </c>
    </row>
    <row r="480" spans="1:10" x14ac:dyDescent="0.45">
      <c r="A480" t="s">
        <v>3287</v>
      </c>
      <c r="B480" s="1">
        <v>45679</v>
      </c>
      <c r="C480" t="s">
        <v>4007</v>
      </c>
      <c r="D480" t="s">
        <v>2770</v>
      </c>
      <c r="E480">
        <v>600</v>
      </c>
      <c r="F480">
        <v>3</v>
      </c>
      <c r="G480">
        <f t="shared" si="21"/>
        <v>1800</v>
      </c>
      <c r="H480" t="s">
        <v>7</v>
      </c>
      <c r="I480">
        <f t="shared" si="22"/>
        <v>720</v>
      </c>
      <c r="J480">
        <f t="shared" si="23"/>
        <v>2160</v>
      </c>
    </row>
    <row r="481" spans="1:10" x14ac:dyDescent="0.45">
      <c r="A481" t="s">
        <v>3723</v>
      </c>
      <c r="B481" s="1">
        <v>45679</v>
      </c>
      <c r="C481" t="s">
        <v>4007</v>
      </c>
      <c r="D481" t="s">
        <v>5015</v>
      </c>
      <c r="E481">
        <v>48000</v>
      </c>
      <c r="F481">
        <v>1</v>
      </c>
      <c r="G481">
        <f t="shared" si="21"/>
        <v>48000</v>
      </c>
      <c r="H481" t="s">
        <v>17</v>
      </c>
      <c r="I481">
        <f t="shared" si="22"/>
        <v>57600</v>
      </c>
      <c r="J481">
        <f t="shared" si="23"/>
        <v>57600</v>
      </c>
    </row>
    <row r="482" spans="1:10" x14ac:dyDescent="0.45">
      <c r="A482" t="s">
        <v>4082</v>
      </c>
      <c r="B482" s="1">
        <v>45679</v>
      </c>
      <c r="C482" t="s">
        <v>33</v>
      </c>
      <c r="D482" t="s">
        <v>42</v>
      </c>
      <c r="E482">
        <v>6900</v>
      </c>
      <c r="F482" s="3">
        <v>9</v>
      </c>
      <c r="G482">
        <f t="shared" si="21"/>
        <v>62100</v>
      </c>
      <c r="H482" t="s">
        <v>21</v>
      </c>
      <c r="I482">
        <f t="shared" si="22"/>
        <v>8280</v>
      </c>
      <c r="J482">
        <f t="shared" si="23"/>
        <v>74520</v>
      </c>
    </row>
    <row r="483" spans="1:10" x14ac:dyDescent="0.45">
      <c r="A483" t="s">
        <v>4087</v>
      </c>
      <c r="B483" s="1">
        <v>45679</v>
      </c>
      <c r="C483" t="s">
        <v>3977</v>
      </c>
      <c r="D483" t="s">
        <v>4002</v>
      </c>
      <c r="E483">
        <v>2500</v>
      </c>
      <c r="F483" s="3">
        <v>5</v>
      </c>
      <c r="G483">
        <f t="shared" si="21"/>
        <v>12500</v>
      </c>
      <c r="H483" t="s">
        <v>7</v>
      </c>
      <c r="I483">
        <f t="shared" si="22"/>
        <v>3000</v>
      </c>
      <c r="J483">
        <f t="shared" si="23"/>
        <v>15000</v>
      </c>
    </row>
    <row r="484" spans="1:10" x14ac:dyDescent="0.45">
      <c r="A484" t="s">
        <v>4425</v>
      </c>
      <c r="B484" s="1">
        <v>45679</v>
      </c>
      <c r="C484" t="s">
        <v>3977</v>
      </c>
      <c r="D484" t="s">
        <v>4002</v>
      </c>
      <c r="E484">
        <v>2500</v>
      </c>
      <c r="F484" s="3">
        <v>1</v>
      </c>
      <c r="G484">
        <f t="shared" si="21"/>
        <v>2500</v>
      </c>
      <c r="H484" t="s">
        <v>17</v>
      </c>
      <c r="I484">
        <f t="shared" si="22"/>
        <v>3000</v>
      </c>
      <c r="J484">
        <f t="shared" si="23"/>
        <v>3000</v>
      </c>
    </row>
    <row r="485" spans="1:10" x14ac:dyDescent="0.45">
      <c r="A485" t="s">
        <v>4525</v>
      </c>
      <c r="B485" s="1">
        <v>45679</v>
      </c>
      <c r="C485" t="s">
        <v>33</v>
      </c>
      <c r="D485" t="s">
        <v>3981</v>
      </c>
      <c r="E485">
        <v>4000</v>
      </c>
      <c r="F485" s="3">
        <v>5</v>
      </c>
      <c r="G485">
        <f t="shared" si="21"/>
        <v>20000</v>
      </c>
      <c r="H485" t="s">
        <v>21</v>
      </c>
      <c r="I485">
        <f t="shared" si="22"/>
        <v>4800</v>
      </c>
      <c r="J485">
        <f t="shared" si="23"/>
        <v>24000</v>
      </c>
    </row>
    <row r="486" spans="1:10" x14ac:dyDescent="0.45">
      <c r="A486" t="s">
        <v>4548</v>
      </c>
      <c r="B486" s="1">
        <v>45679</v>
      </c>
      <c r="C486" t="s">
        <v>33</v>
      </c>
      <c r="D486" t="s">
        <v>3994</v>
      </c>
      <c r="E486">
        <v>2500</v>
      </c>
      <c r="F486" s="3">
        <v>3</v>
      </c>
      <c r="G486">
        <f t="shared" si="21"/>
        <v>7500</v>
      </c>
      <c r="H486" t="s">
        <v>7</v>
      </c>
      <c r="I486">
        <f t="shared" si="22"/>
        <v>3000</v>
      </c>
      <c r="J486">
        <f t="shared" si="23"/>
        <v>9000</v>
      </c>
    </row>
    <row r="487" spans="1:10" x14ac:dyDescent="0.45">
      <c r="A487" t="s">
        <v>4659</v>
      </c>
      <c r="B487" s="1">
        <v>45679</v>
      </c>
      <c r="C487" t="s">
        <v>3977</v>
      </c>
      <c r="D487" t="s">
        <v>4002</v>
      </c>
      <c r="E487">
        <v>2500</v>
      </c>
      <c r="F487" s="3">
        <v>6</v>
      </c>
      <c r="G487">
        <f t="shared" si="21"/>
        <v>15000</v>
      </c>
      <c r="H487" t="s">
        <v>21</v>
      </c>
      <c r="I487">
        <f t="shared" si="22"/>
        <v>3000</v>
      </c>
      <c r="J487">
        <f t="shared" si="23"/>
        <v>18000</v>
      </c>
    </row>
    <row r="488" spans="1:10" x14ac:dyDescent="0.45">
      <c r="A488" t="s">
        <v>4783</v>
      </c>
      <c r="B488" s="1">
        <v>45679</v>
      </c>
      <c r="C488" t="s">
        <v>4007</v>
      </c>
      <c r="D488" t="s">
        <v>3997</v>
      </c>
      <c r="E488">
        <v>62000</v>
      </c>
      <c r="F488" s="3">
        <v>5</v>
      </c>
      <c r="G488">
        <f t="shared" si="21"/>
        <v>310000</v>
      </c>
      <c r="H488" t="s">
        <v>21</v>
      </c>
      <c r="I488">
        <f t="shared" si="22"/>
        <v>74400</v>
      </c>
      <c r="J488">
        <f t="shared" si="23"/>
        <v>372000</v>
      </c>
    </row>
    <row r="489" spans="1:10" x14ac:dyDescent="0.45">
      <c r="A489" t="s">
        <v>194</v>
      </c>
      <c r="B489" s="1">
        <v>45680</v>
      </c>
      <c r="C489" t="s">
        <v>4007</v>
      </c>
      <c r="D489" t="s">
        <v>39</v>
      </c>
      <c r="E489">
        <v>6000</v>
      </c>
      <c r="F489">
        <v>4</v>
      </c>
      <c r="G489">
        <f t="shared" si="21"/>
        <v>24000</v>
      </c>
      <c r="H489" t="s">
        <v>21</v>
      </c>
      <c r="I489">
        <f t="shared" si="22"/>
        <v>7200</v>
      </c>
      <c r="J489">
        <f t="shared" si="23"/>
        <v>28800</v>
      </c>
    </row>
    <row r="490" spans="1:10" x14ac:dyDescent="0.45">
      <c r="A490" t="s">
        <v>195</v>
      </c>
      <c r="B490" s="1">
        <v>45680</v>
      </c>
      <c r="C490" t="s">
        <v>12</v>
      </c>
      <c r="D490" t="s">
        <v>5023</v>
      </c>
      <c r="E490">
        <v>1750</v>
      </c>
      <c r="F490">
        <v>2</v>
      </c>
      <c r="G490">
        <f t="shared" si="21"/>
        <v>3500</v>
      </c>
      <c r="H490" t="s">
        <v>21</v>
      </c>
      <c r="I490">
        <f t="shared" si="22"/>
        <v>2100</v>
      </c>
      <c r="J490">
        <f t="shared" si="23"/>
        <v>4200</v>
      </c>
    </row>
    <row r="491" spans="1:10" x14ac:dyDescent="0.45">
      <c r="A491" t="s">
        <v>196</v>
      </c>
      <c r="B491" s="1">
        <v>45680</v>
      </c>
      <c r="C491" t="s">
        <v>4007</v>
      </c>
      <c r="D491" t="s">
        <v>5015</v>
      </c>
      <c r="E491">
        <v>48000</v>
      </c>
      <c r="F491">
        <v>6</v>
      </c>
      <c r="G491">
        <f t="shared" si="21"/>
        <v>288000</v>
      </c>
      <c r="H491" t="s">
        <v>21</v>
      </c>
      <c r="I491">
        <f t="shared" si="22"/>
        <v>57600</v>
      </c>
      <c r="J491">
        <f t="shared" si="23"/>
        <v>345600</v>
      </c>
    </row>
    <row r="492" spans="1:10" x14ac:dyDescent="0.45">
      <c r="A492" t="s">
        <v>197</v>
      </c>
      <c r="B492" s="1">
        <v>45680</v>
      </c>
      <c r="C492" t="s">
        <v>4007</v>
      </c>
      <c r="D492" t="s">
        <v>4005</v>
      </c>
      <c r="E492">
        <v>60000</v>
      </c>
      <c r="F492">
        <v>1</v>
      </c>
      <c r="G492">
        <f t="shared" si="21"/>
        <v>60000</v>
      </c>
      <c r="H492" t="s">
        <v>7</v>
      </c>
      <c r="I492">
        <f t="shared" si="22"/>
        <v>72000</v>
      </c>
      <c r="J492">
        <f t="shared" si="23"/>
        <v>72000</v>
      </c>
    </row>
    <row r="493" spans="1:10" x14ac:dyDescent="0.45">
      <c r="A493" t="s">
        <v>198</v>
      </c>
      <c r="B493" s="1">
        <v>45680</v>
      </c>
      <c r="C493" t="s">
        <v>9</v>
      </c>
      <c r="D493" t="s">
        <v>19</v>
      </c>
      <c r="E493">
        <v>3000</v>
      </c>
      <c r="F493">
        <v>1</v>
      </c>
      <c r="G493">
        <f t="shared" si="21"/>
        <v>3000</v>
      </c>
      <c r="H493" t="s">
        <v>21</v>
      </c>
      <c r="I493">
        <f t="shared" si="22"/>
        <v>3600</v>
      </c>
      <c r="J493">
        <f t="shared" si="23"/>
        <v>3600</v>
      </c>
    </row>
    <row r="494" spans="1:10" x14ac:dyDescent="0.45">
      <c r="A494" t="s">
        <v>199</v>
      </c>
      <c r="B494" s="1">
        <v>45680</v>
      </c>
      <c r="C494" t="s">
        <v>4007</v>
      </c>
      <c r="D494" t="s">
        <v>4005</v>
      </c>
      <c r="E494">
        <v>60000</v>
      </c>
      <c r="F494">
        <v>10</v>
      </c>
      <c r="G494">
        <f t="shared" si="21"/>
        <v>600000</v>
      </c>
      <c r="H494" t="s">
        <v>17</v>
      </c>
      <c r="I494">
        <f t="shared" si="22"/>
        <v>72000</v>
      </c>
      <c r="J494">
        <f t="shared" si="23"/>
        <v>720000</v>
      </c>
    </row>
    <row r="495" spans="1:10" x14ac:dyDescent="0.45">
      <c r="A495" t="s">
        <v>200</v>
      </c>
      <c r="B495" s="1">
        <v>45680</v>
      </c>
      <c r="C495" t="s">
        <v>12</v>
      </c>
      <c r="D495" t="s">
        <v>5023</v>
      </c>
      <c r="E495">
        <v>1750</v>
      </c>
      <c r="F495">
        <v>2</v>
      </c>
      <c r="G495">
        <f t="shared" si="21"/>
        <v>3500</v>
      </c>
      <c r="H495" t="s">
        <v>21</v>
      </c>
      <c r="I495">
        <f t="shared" si="22"/>
        <v>2100</v>
      </c>
      <c r="J495">
        <f t="shared" si="23"/>
        <v>4200</v>
      </c>
    </row>
    <row r="496" spans="1:10" x14ac:dyDescent="0.45">
      <c r="A496" t="s">
        <v>201</v>
      </c>
      <c r="B496" s="1">
        <v>45680</v>
      </c>
      <c r="C496" t="s">
        <v>9</v>
      </c>
      <c r="D496" t="s">
        <v>10</v>
      </c>
      <c r="E496">
        <v>400</v>
      </c>
      <c r="F496">
        <v>7</v>
      </c>
      <c r="G496">
        <f t="shared" si="21"/>
        <v>2800</v>
      </c>
      <c r="H496" t="s">
        <v>21</v>
      </c>
      <c r="I496">
        <f t="shared" si="22"/>
        <v>480</v>
      </c>
      <c r="J496">
        <f t="shared" si="23"/>
        <v>3360</v>
      </c>
    </row>
    <row r="497" spans="1:10" x14ac:dyDescent="0.45">
      <c r="A497" t="s">
        <v>202</v>
      </c>
      <c r="B497" s="1">
        <v>45680</v>
      </c>
      <c r="C497" t="s">
        <v>12</v>
      </c>
      <c r="D497" t="s">
        <v>5021</v>
      </c>
      <c r="E497">
        <v>2880</v>
      </c>
      <c r="F497">
        <v>4</v>
      </c>
      <c r="G497">
        <f t="shared" si="21"/>
        <v>11520</v>
      </c>
      <c r="H497" t="s">
        <v>7</v>
      </c>
      <c r="I497">
        <f t="shared" si="22"/>
        <v>3456</v>
      </c>
      <c r="J497">
        <f t="shared" si="23"/>
        <v>13824</v>
      </c>
    </row>
    <row r="498" spans="1:10" x14ac:dyDescent="0.45">
      <c r="A498" t="s">
        <v>2968</v>
      </c>
      <c r="B498" s="1">
        <v>45680</v>
      </c>
      <c r="C498" t="s">
        <v>33</v>
      </c>
      <c r="D498" t="s">
        <v>34</v>
      </c>
      <c r="E498">
        <v>1700</v>
      </c>
      <c r="F498">
        <v>3</v>
      </c>
      <c r="G498">
        <f t="shared" si="21"/>
        <v>5100</v>
      </c>
      <c r="H498" t="s">
        <v>21</v>
      </c>
      <c r="I498">
        <f t="shared" si="22"/>
        <v>2040</v>
      </c>
      <c r="J498">
        <f t="shared" si="23"/>
        <v>6120</v>
      </c>
    </row>
    <row r="499" spans="1:10" x14ac:dyDescent="0.45">
      <c r="A499" t="s">
        <v>3132</v>
      </c>
      <c r="B499" s="1">
        <v>45680</v>
      </c>
      <c r="C499" t="s">
        <v>2772</v>
      </c>
      <c r="D499" t="s">
        <v>2775</v>
      </c>
      <c r="E499">
        <v>9100</v>
      </c>
      <c r="F499">
        <v>4</v>
      </c>
      <c r="G499">
        <f t="shared" si="21"/>
        <v>36400</v>
      </c>
      <c r="H499" t="s">
        <v>17</v>
      </c>
      <c r="I499">
        <f t="shared" si="22"/>
        <v>10920</v>
      </c>
      <c r="J499">
        <f t="shared" si="23"/>
        <v>43680</v>
      </c>
    </row>
    <row r="500" spans="1:10" x14ac:dyDescent="0.45">
      <c r="A500" t="s">
        <v>3281</v>
      </c>
      <c r="B500" s="1">
        <v>45680</v>
      </c>
      <c r="C500" t="s">
        <v>4007</v>
      </c>
      <c r="D500" t="s">
        <v>2774</v>
      </c>
      <c r="E500">
        <v>1900</v>
      </c>
      <c r="F500">
        <v>9</v>
      </c>
      <c r="G500">
        <f t="shared" si="21"/>
        <v>17100</v>
      </c>
      <c r="H500" t="s">
        <v>17</v>
      </c>
      <c r="I500">
        <f t="shared" si="22"/>
        <v>2280</v>
      </c>
      <c r="J500">
        <f t="shared" si="23"/>
        <v>20520</v>
      </c>
    </row>
    <row r="501" spans="1:10" x14ac:dyDescent="0.45">
      <c r="A501" t="s">
        <v>3795</v>
      </c>
      <c r="B501" s="1">
        <v>45680</v>
      </c>
      <c r="C501" t="s">
        <v>33</v>
      </c>
      <c r="D501" t="s">
        <v>14</v>
      </c>
      <c r="E501">
        <v>800</v>
      </c>
      <c r="F501">
        <v>9</v>
      </c>
      <c r="G501">
        <f t="shared" si="21"/>
        <v>7200</v>
      </c>
      <c r="H501" t="s">
        <v>17</v>
      </c>
      <c r="I501">
        <f t="shared" si="22"/>
        <v>960</v>
      </c>
      <c r="J501">
        <f t="shared" si="23"/>
        <v>8640</v>
      </c>
    </row>
    <row r="502" spans="1:10" x14ac:dyDescent="0.45">
      <c r="A502" t="s">
        <v>4090</v>
      </c>
      <c r="B502" s="1">
        <v>45680</v>
      </c>
      <c r="C502" t="s">
        <v>4007</v>
      </c>
      <c r="D502" t="s">
        <v>4005</v>
      </c>
      <c r="E502">
        <v>60000</v>
      </c>
      <c r="F502" s="3">
        <v>8</v>
      </c>
      <c r="G502">
        <f t="shared" si="21"/>
        <v>480000</v>
      </c>
      <c r="H502" t="s">
        <v>7</v>
      </c>
      <c r="I502">
        <f t="shared" si="22"/>
        <v>72000</v>
      </c>
      <c r="J502">
        <f t="shared" si="23"/>
        <v>576000</v>
      </c>
    </row>
    <row r="503" spans="1:10" x14ac:dyDescent="0.45">
      <c r="A503" t="s">
        <v>4098</v>
      </c>
      <c r="B503" s="1">
        <v>45680</v>
      </c>
      <c r="C503" t="s">
        <v>33</v>
      </c>
      <c r="D503" t="s">
        <v>3985</v>
      </c>
      <c r="E503">
        <v>1950</v>
      </c>
      <c r="F503" s="3">
        <v>4</v>
      </c>
      <c r="G503">
        <f t="shared" si="21"/>
        <v>7800</v>
      </c>
      <c r="H503" t="s">
        <v>7</v>
      </c>
      <c r="I503">
        <f t="shared" si="22"/>
        <v>2340</v>
      </c>
      <c r="J503">
        <f t="shared" si="23"/>
        <v>9360</v>
      </c>
    </row>
    <row r="504" spans="1:10" x14ac:dyDescent="0.45">
      <c r="A504" t="s">
        <v>4148</v>
      </c>
      <c r="B504" s="1">
        <v>45680</v>
      </c>
      <c r="C504" t="s">
        <v>5009</v>
      </c>
      <c r="D504" t="s">
        <v>3982</v>
      </c>
      <c r="E504">
        <v>13000</v>
      </c>
      <c r="F504" s="3">
        <v>10</v>
      </c>
      <c r="G504">
        <f t="shared" si="21"/>
        <v>130000</v>
      </c>
      <c r="H504" t="s">
        <v>17</v>
      </c>
      <c r="I504">
        <f t="shared" si="22"/>
        <v>15600</v>
      </c>
      <c r="J504">
        <f t="shared" si="23"/>
        <v>156000</v>
      </c>
    </row>
    <row r="505" spans="1:10" x14ac:dyDescent="0.45">
      <c r="A505" t="s">
        <v>4189</v>
      </c>
      <c r="B505" s="1">
        <v>45680</v>
      </c>
      <c r="C505" t="s">
        <v>4007</v>
      </c>
      <c r="D505" t="s">
        <v>3999</v>
      </c>
      <c r="E505">
        <v>50000</v>
      </c>
      <c r="F505" s="3">
        <v>8</v>
      </c>
      <c r="G505">
        <f t="shared" si="21"/>
        <v>400000</v>
      </c>
      <c r="H505" t="s">
        <v>7</v>
      </c>
      <c r="I505">
        <f t="shared" si="22"/>
        <v>60000</v>
      </c>
      <c r="J505">
        <f t="shared" si="23"/>
        <v>480000</v>
      </c>
    </row>
    <row r="506" spans="1:10" x14ac:dyDescent="0.45">
      <c r="A506" t="s">
        <v>4255</v>
      </c>
      <c r="B506" s="1">
        <v>45680</v>
      </c>
      <c r="C506" t="s">
        <v>5008</v>
      </c>
      <c r="D506" t="s">
        <v>3996</v>
      </c>
      <c r="E506">
        <v>2000</v>
      </c>
      <c r="F506" s="3">
        <v>5</v>
      </c>
      <c r="G506">
        <f t="shared" si="21"/>
        <v>10000</v>
      </c>
      <c r="H506" t="s">
        <v>7</v>
      </c>
      <c r="I506">
        <f t="shared" si="22"/>
        <v>2400</v>
      </c>
      <c r="J506">
        <f t="shared" si="23"/>
        <v>12000</v>
      </c>
    </row>
    <row r="507" spans="1:10" x14ac:dyDescent="0.45">
      <c r="A507" t="s">
        <v>4429</v>
      </c>
      <c r="B507" s="1">
        <v>45680</v>
      </c>
      <c r="C507" t="s">
        <v>3979</v>
      </c>
      <c r="D507" t="s">
        <v>3984</v>
      </c>
      <c r="E507">
        <v>12000</v>
      </c>
      <c r="F507" s="3">
        <v>3</v>
      </c>
      <c r="G507">
        <f t="shared" si="21"/>
        <v>36000</v>
      </c>
      <c r="H507" t="s">
        <v>21</v>
      </c>
      <c r="I507">
        <f t="shared" si="22"/>
        <v>14400</v>
      </c>
      <c r="J507">
        <f t="shared" si="23"/>
        <v>43200</v>
      </c>
    </row>
    <row r="508" spans="1:10" x14ac:dyDescent="0.45">
      <c r="A508" t="s">
        <v>4478</v>
      </c>
      <c r="B508" s="1">
        <v>45680</v>
      </c>
      <c r="C508" t="s">
        <v>33</v>
      </c>
      <c r="D508" t="s">
        <v>3985</v>
      </c>
      <c r="E508">
        <v>1950</v>
      </c>
      <c r="F508" s="3">
        <v>6</v>
      </c>
      <c r="G508">
        <f t="shared" si="21"/>
        <v>11700</v>
      </c>
      <c r="H508" t="s">
        <v>17</v>
      </c>
      <c r="I508">
        <f t="shared" si="22"/>
        <v>2340</v>
      </c>
      <c r="J508">
        <f t="shared" si="23"/>
        <v>14040</v>
      </c>
    </row>
    <row r="509" spans="1:10" x14ac:dyDescent="0.45">
      <c r="A509" t="s">
        <v>4557</v>
      </c>
      <c r="B509" s="1">
        <v>45680</v>
      </c>
      <c r="C509" t="s">
        <v>3979</v>
      </c>
      <c r="D509" t="s">
        <v>4006</v>
      </c>
      <c r="E509">
        <v>2000</v>
      </c>
      <c r="F509" s="3">
        <v>6</v>
      </c>
      <c r="G509">
        <f t="shared" si="21"/>
        <v>12000</v>
      </c>
      <c r="H509" t="s">
        <v>7</v>
      </c>
      <c r="I509">
        <f t="shared" si="22"/>
        <v>2400</v>
      </c>
      <c r="J509">
        <f t="shared" si="23"/>
        <v>14400</v>
      </c>
    </row>
    <row r="510" spans="1:10" x14ac:dyDescent="0.45">
      <c r="A510" t="s">
        <v>4608</v>
      </c>
      <c r="B510" s="1">
        <v>45680</v>
      </c>
      <c r="C510" t="s">
        <v>3979</v>
      </c>
      <c r="D510" t="s">
        <v>3987</v>
      </c>
      <c r="E510">
        <v>8000</v>
      </c>
      <c r="F510" s="3">
        <v>1</v>
      </c>
      <c r="G510">
        <f t="shared" si="21"/>
        <v>8000</v>
      </c>
      <c r="H510" t="s">
        <v>17</v>
      </c>
      <c r="I510">
        <f t="shared" si="22"/>
        <v>9600</v>
      </c>
      <c r="J510">
        <f t="shared" si="23"/>
        <v>9600</v>
      </c>
    </row>
    <row r="511" spans="1:10" x14ac:dyDescent="0.45">
      <c r="A511" t="s">
        <v>4616</v>
      </c>
      <c r="B511" s="1">
        <v>45680</v>
      </c>
      <c r="C511" t="s">
        <v>5008</v>
      </c>
      <c r="D511" t="s">
        <v>3995</v>
      </c>
      <c r="E511">
        <v>15000</v>
      </c>
      <c r="F511" s="3">
        <v>1</v>
      </c>
      <c r="G511">
        <f t="shared" si="21"/>
        <v>15000</v>
      </c>
      <c r="H511" t="s">
        <v>7</v>
      </c>
      <c r="I511">
        <f t="shared" si="22"/>
        <v>18000</v>
      </c>
      <c r="J511">
        <f t="shared" si="23"/>
        <v>18000</v>
      </c>
    </row>
    <row r="512" spans="1:10" x14ac:dyDescent="0.45">
      <c r="A512" t="s">
        <v>4626</v>
      </c>
      <c r="B512" s="1">
        <v>45680</v>
      </c>
      <c r="C512" t="s">
        <v>4007</v>
      </c>
      <c r="D512" t="s">
        <v>3997</v>
      </c>
      <c r="E512">
        <v>62000</v>
      </c>
      <c r="F512" s="3">
        <v>6</v>
      </c>
      <c r="G512">
        <f t="shared" si="21"/>
        <v>372000</v>
      </c>
      <c r="H512" t="s">
        <v>17</v>
      </c>
      <c r="I512">
        <f t="shared" si="22"/>
        <v>74400</v>
      </c>
      <c r="J512">
        <f t="shared" si="23"/>
        <v>446400</v>
      </c>
    </row>
    <row r="513" spans="1:10" x14ac:dyDescent="0.45">
      <c r="A513" t="s">
        <v>4795</v>
      </c>
      <c r="B513" s="1">
        <v>45680</v>
      </c>
      <c r="C513" t="s">
        <v>3977</v>
      </c>
      <c r="D513" t="s">
        <v>3978</v>
      </c>
      <c r="E513">
        <v>2000</v>
      </c>
      <c r="F513" s="3">
        <v>5</v>
      </c>
      <c r="G513">
        <f t="shared" si="21"/>
        <v>10000</v>
      </c>
      <c r="H513" t="s">
        <v>7</v>
      </c>
      <c r="I513">
        <f t="shared" si="22"/>
        <v>2400</v>
      </c>
      <c r="J513">
        <f t="shared" si="23"/>
        <v>12000</v>
      </c>
    </row>
    <row r="514" spans="1:10" x14ac:dyDescent="0.45">
      <c r="A514" t="s">
        <v>4824</v>
      </c>
      <c r="B514" s="1">
        <v>45680</v>
      </c>
      <c r="C514" t="s">
        <v>5008</v>
      </c>
      <c r="D514" t="s">
        <v>3998</v>
      </c>
      <c r="E514">
        <v>8000</v>
      </c>
      <c r="F514" s="3">
        <v>7</v>
      </c>
      <c r="G514">
        <f t="shared" ref="G514:G577" si="24">E514*F514</f>
        <v>56000</v>
      </c>
      <c r="H514" t="s">
        <v>21</v>
      </c>
      <c r="I514">
        <f t="shared" ref="I514:I577" si="25">E514*1.2</f>
        <v>9600</v>
      </c>
      <c r="J514">
        <f t="shared" ref="J514:J577" si="26">I514*F514</f>
        <v>67200</v>
      </c>
    </row>
    <row r="515" spans="1:10" x14ac:dyDescent="0.45">
      <c r="A515" t="s">
        <v>4862</v>
      </c>
      <c r="B515" s="1">
        <v>45680</v>
      </c>
      <c r="C515" t="s">
        <v>3977</v>
      </c>
      <c r="D515" t="s">
        <v>3993</v>
      </c>
      <c r="E515">
        <v>1000</v>
      </c>
      <c r="F515" s="3">
        <v>5</v>
      </c>
      <c r="G515">
        <f t="shared" si="24"/>
        <v>5000</v>
      </c>
      <c r="H515" t="s">
        <v>7</v>
      </c>
      <c r="I515">
        <f t="shared" si="25"/>
        <v>1200</v>
      </c>
      <c r="J515">
        <f t="shared" si="26"/>
        <v>6000</v>
      </c>
    </row>
    <row r="516" spans="1:10" x14ac:dyDescent="0.45">
      <c r="A516" t="s">
        <v>4867</v>
      </c>
      <c r="B516" s="1">
        <v>45680</v>
      </c>
      <c r="C516" t="s">
        <v>4007</v>
      </c>
      <c r="D516" t="s">
        <v>3988</v>
      </c>
      <c r="E516">
        <v>35000</v>
      </c>
      <c r="F516" s="3">
        <v>9</v>
      </c>
      <c r="G516">
        <f t="shared" si="24"/>
        <v>315000</v>
      </c>
      <c r="H516" t="s">
        <v>21</v>
      </c>
      <c r="I516">
        <f t="shared" si="25"/>
        <v>42000</v>
      </c>
      <c r="J516">
        <f t="shared" si="26"/>
        <v>378000</v>
      </c>
    </row>
    <row r="517" spans="1:10" x14ac:dyDescent="0.45">
      <c r="A517" t="s">
        <v>4989</v>
      </c>
      <c r="B517" s="1">
        <v>45680</v>
      </c>
      <c r="C517" t="s">
        <v>3977</v>
      </c>
      <c r="D517" t="s">
        <v>4002</v>
      </c>
      <c r="E517">
        <v>2500</v>
      </c>
      <c r="F517" s="3">
        <v>4</v>
      </c>
      <c r="G517">
        <f t="shared" si="24"/>
        <v>10000</v>
      </c>
      <c r="H517" t="s">
        <v>7</v>
      </c>
      <c r="I517">
        <f t="shared" si="25"/>
        <v>3000</v>
      </c>
      <c r="J517">
        <f t="shared" si="26"/>
        <v>12000</v>
      </c>
    </row>
    <row r="518" spans="1:10" x14ac:dyDescent="0.45">
      <c r="A518" t="s">
        <v>4991</v>
      </c>
      <c r="B518" s="1">
        <v>45680</v>
      </c>
      <c r="C518" t="s">
        <v>3977</v>
      </c>
      <c r="D518" t="s">
        <v>3991</v>
      </c>
      <c r="E518">
        <v>2000</v>
      </c>
      <c r="F518" s="3">
        <v>7</v>
      </c>
      <c r="G518">
        <f t="shared" si="24"/>
        <v>14000</v>
      </c>
      <c r="H518" t="s">
        <v>21</v>
      </c>
      <c r="I518">
        <f t="shared" si="25"/>
        <v>2400</v>
      </c>
      <c r="J518">
        <f t="shared" si="26"/>
        <v>16800</v>
      </c>
    </row>
    <row r="519" spans="1:10" x14ac:dyDescent="0.45">
      <c r="A519" t="s">
        <v>203</v>
      </c>
      <c r="B519" s="1">
        <v>45681</v>
      </c>
      <c r="C519" t="s">
        <v>4007</v>
      </c>
      <c r="D519" t="s">
        <v>5015</v>
      </c>
      <c r="E519">
        <v>48000</v>
      </c>
      <c r="F519">
        <v>10</v>
      </c>
      <c r="G519">
        <f t="shared" si="24"/>
        <v>480000</v>
      </c>
      <c r="H519" t="s">
        <v>17</v>
      </c>
      <c r="I519">
        <f t="shared" si="25"/>
        <v>57600</v>
      </c>
      <c r="J519">
        <f t="shared" si="26"/>
        <v>576000</v>
      </c>
    </row>
    <row r="520" spans="1:10" x14ac:dyDescent="0.45">
      <c r="A520" t="s">
        <v>204</v>
      </c>
      <c r="B520" s="1">
        <v>45681</v>
      </c>
      <c r="C520" t="s">
        <v>12</v>
      </c>
      <c r="D520" t="s">
        <v>5023</v>
      </c>
      <c r="E520">
        <v>1750</v>
      </c>
      <c r="F520">
        <v>3</v>
      </c>
      <c r="G520">
        <f t="shared" si="24"/>
        <v>5250</v>
      </c>
      <c r="H520" t="s">
        <v>17</v>
      </c>
      <c r="I520">
        <f t="shared" si="25"/>
        <v>2100</v>
      </c>
      <c r="J520">
        <f t="shared" si="26"/>
        <v>6300</v>
      </c>
    </row>
    <row r="521" spans="1:10" x14ac:dyDescent="0.45">
      <c r="A521" t="s">
        <v>205</v>
      </c>
      <c r="B521" s="1">
        <v>45681</v>
      </c>
      <c r="C521" t="s">
        <v>9</v>
      </c>
      <c r="D521" t="s">
        <v>19</v>
      </c>
      <c r="E521">
        <v>3000</v>
      </c>
      <c r="F521">
        <v>1</v>
      </c>
      <c r="G521">
        <f t="shared" si="24"/>
        <v>3000</v>
      </c>
      <c r="H521" t="s">
        <v>7</v>
      </c>
      <c r="I521">
        <f t="shared" si="25"/>
        <v>3600</v>
      </c>
      <c r="J521">
        <f t="shared" si="26"/>
        <v>3600</v>
      </c>
    </row>
    <row r="522" spans="1:10" x14ac:dyDescent="0.45">
      <c r="A522" t="s">
        <v>206</v>
      </c>
      <c r="B522" s="1">
        <v>45681</v>
      </c>
      <c r="C522" t="s">
        <v>33</v>
      </c>
      <c r="D522" t="s">
        <v>34</v>
      </c>
      <c r="E522">
        <v>1700</v>
      </c>
      <c r="F522">
        <v>3</v>
      </c>
      <c r="G522">
        <f t="shared" si="24"/>
        <v>5100</v>
      </c>
      <c r="H522" t="s">
        <v>21</v>
      </c>
      <c r="I522">
        <f t="shared" si="25"/>
        <v>2040</v>
      </c>
      <c r="J522">
        <f t="shared" si="26"/>
        <v>6120</v>
      </c>
    </row>
    <row r="523" spans="1:10" x14ac:dyDescent="0.45">
      <c r="A523" t="s">
        <v>207</v>
      </c>
      <c r="B523" s="1">
        <v>45681</v>
      </c>
      <c r="C523" t="s">
        <v>33</v>
      </c>
      <c r="D523" t="s">
        <v>42</v>
      </c>
      <c r="E523">
        <v>6900</v>
      </c>
      <c r="F523">
        <v>5</v>
      </c>
      <c r="G523">
        <f t="shared" si="24"/>
        <v>34500</v>
      </c>
      <c r="H523" t="s">
        <v>17</v>
      </c>
      <c r="I523">
        <f t="shared" si="25"/>
        <v>8280</v>
      </c>
      <c r="J523">
        <f t="shared" si="26"/>
        <v>41400</v>
      </c>
    </row>
    <row r="524" spans="1:10" x14ac:dyDescent="0.45">
      <c r="A524" t="s">
        <v>208</v>
      </c>
      <c r="B524" s="1">
        <v>45681</v>
      </c>
      <c r="C524" t="s">
        <v>4007</v>
      </c>
      <c r="D524" t="s">
        <v>4005</v>
      </c>
      <c r="E524">
        <v>60000</v>
      </c>
      <c r="F524">
        <v>1</v>
      </c>
      <c r="G524">
        <f t="shared" si="24"/>
        <v>60000</v>
      </c>
      <c r="H524" t="s">
        <v>7</v>
      </c>
      <c r="I524">
        <f t="shared" si="25"/>
        <v>72000</v>
      </c>
      <c r="J524">
        <f t="shared" si="26"/>
        <v>72000</v>
      </c>
    </row>
    <row r="525" spans="1:10" x14ac:dyDescent="0.45">
      <c r="A525" t="s">
        <v>209</v>
      </c>
      <c r="B525" s="1">
        <v>45681</v>
      </c>
      <c r="C525" t="s">
        <v>12</v>
      </c>
      <c r="D525" t="s">
        <v>5022</v>
      </c>
      <c r="E525">
        <v>2880</v>
      </c>
      <c r="F525">
        <v>8</v>
      </c>
      <c r="G525">
        <f t="shared" si="24"/>
        <v>23040</v>
      </c>
      <c r="H525" t="s">
        <v>7</v>
      </c>
      <c r="I525">
        <f t="shared" si="25"/>
        <v>3456</v>
      </c>
      <c r="J525">
        <f t="shared" si="26"/>
        <v>27648</v>
      </c>
    </row>
    <row r="526" spans="1:10" x14ac:dyDescent="0.45">
      <c r="A526" t="s">
        <v>210</v>
      </c>
      <c r="B526" s="1">
        <v>45681</v>
      </c>
      <c r="C526" t="s">
        <v>9</v>
      </c>
      <c r="D526" t="s">
        <v>25</v>
      </c>
      <c r="E526">
        <v>5200</v>
      </c>
      <c r="F526">
        <v>3</v>
      </c>
      <c r="G526">
        <f t="shared" si="24"/>
        <v>15600</v>
      </c>
      <c r="H526" t="s">
        <v>7</v>
      </c>
      <c r="I526">
        <f t="shared" si="25"/>
        <v>6240</v>
      </c>
      <c r="J526">
        <f t="shared" si="26"/>
        <v>18720</v>
      </c>
    </row>
    <row r="527" spans="1:10" x14ac:dyDescent="0.45">
      <c r="A527" t="s">
        <v>211</v>
      </c>
      <c r="B527" s="1">
        <v>45681</v>
      </c>
      <c r="C527" t="s">
        <v>12</v>
      </c>
      <c r="D527" t="s">
        <v>5023</v>
      </c>
      <c r="E527">
        <v>1750</v>
      </c>
      <c r="F527">
        <v>10</v>
      </c>
      <c r="G527">
        <f t="shared" si="24"/>
        <v>17500</v>
      </c>
      <c r="H527" t="s">
        <v>17</v>
      </c>
      <c r="I527">
        <f t="shared" si="25"/>
        <v>2100</v>
      </c>
      <c r="J527">
        <f t="shared" si="26"/>
        <v>21000</v>
      </c>
    </row>
    <row r="528" spans="1:10" x14ac:dyDescent="0.45">
      <c r="A528" t="s">
        <v>212</v>
      </c>
      <c r="B528" s="1">
        <v>45681</v>
      </c>
      <c r="C528" t="s">
        <v>9</v>
      </c>
      <c r="D528" t="s">
        <v>25</v>
      </c>
      <c r="E528">
        <v>5200</v>
      </c>
      <c r="F528">
        <v>5</v>
      </c>
      <c r="G528">
        <f t="shared" si="24"/>
        <v>26000</v>
      </c>
      <c r="H528" t="s">
        <v>21</v>
      </c>
      <c r="I528">
        <f t="shared" si="25"/>
        <v>6240</v>
      </c>
      <c r="J528">
        <f t="shared" si="26"/>
        <v>31200</v>
      </c>
    </row>
    <row r="529" spans="1:10" x14ac:dyDescent="0.45">
      <c r="A529" t="s">
        <v>4076</v>
      </c>
      <c r="B529" s="1">
        <v>45681</v>
      </c>
      <c r="C529" t="s">
        <v>5009</v>
      </c>
      <c r="D529" t="s">
        <v>4004</v>
      </c>
      <c r="E529">
        <v>15000</v>
      </c>
      <c r="F529" s="3">
        <v>10</v>
      </c>
      <c r="G529">
        <f t="shared" si="24"/>
        <v>150000</v>
      </c>
      <c r="H529" t="s">
        <v>17</v>
      </c>
      <c r="I529">
        <f t="shared" si="25"/>
        <v>18000</v>
      </c>
      <c r="J529">
        <f t="shared" si="26"/>
        <v>180000</v>
      </c>
    </row>
    <row r="530" spans="1:10" x14ac:dyDescent="0.45">
      <c r="A530" t="s">
        <v>4298</v>
      </c>
      <c r="B530" s="1">
        <v>45681</v>
      </c>
      <c r="C530" t="s">
        <v>3979</v>
      </c>
      <c r="D530" t="s">
        <v>3980</v>
      </c>
      <c r="E530">
        <v>500</v>
      </c>
      <c r="F530" s="3">
        <v>10</v>
      </c>
      <c r="G530">
        <f t="shared" si="24"/>
        <v>5000</v>
      </c>
      <c r="H530" t="s">
        <v>7</v>
      </c>
      <c r="I530">
        <f t="shared" si="25"/>
        <v>600</v>
      </c>
      <c r="J530">
        <f t="shared" si="26"/>
        <v>6000</v>
      </c>
    </row>
    <row r="531" spans="1:10" x14ac:dyDescent="0.45">
      <c r="A531" t="s">
        <v>4403</v>
      </c>
      <c r="B531" s="1">
        <v>45681</v>
      </c>
      <c r="C531" t="s">
        <v>3977</v>
      </c>
      <c r="D531" t="s">
        <v>3993</v>
      </c>
      <c r="E531">
        <v>1000</v>
      </c>
      <c r="F531" s="3">
        <v>5</v>
      </c>
      <c r="G531">
        <f t="shared" si="24"/>
        <v>5000</v>
      </c>
      <c r="H531" t="s">
        <v>21</v>
      </c>
      <c r="I531">
        <f t="shared" si="25"/>
        <v>1200</v>
      </c>
      <c r="J531">
        <f t="shared" si="26"/>
        <v>6000</v>
      </c>
    </row>
    <row r="532" spans="1:10" x14ac:dyDescent="0.45">
      <c r="A532" t="s">
        <v>4539</v>
      </c>
      <c r="B532" s="1">
        <v>45681</v>
      </c>
      <c r="C532" t="s">
        <v>5008</v>
      </c>
      <c r="D532" t="s">
        <v>4003</v>
      </c>
      <c r="E532">
        <v>10000</v>
      </c>
      <c r="F532" s="3">
        <v>8</v>
      </c>
      <c r="G532">
        <f t="shared" si="24"/>
        <v>80000</v>
      </c>
      <c r="H532" t="s">
        <v>17</v>
      </c>
      <c r="I532">
        <f t="shared" si="25"/>
        <v>12000</v>
      </c>
      <c r="J532">
        <f t="shared" si="26"/>
        <v>96000</v>
      </c>
    </row>
    <row r="533" spans="1:10" x14ac:dyDescent="0.45">
      <c r="A533" t="s">
        <v>4620</v>
      </c>
      <c r="B533" s="1">
        <v>45681</v>
      </c>
      <c r="C533" t="s">
        <v>5008</v>
      </c>
      <c r="D533" t="s">
        <v>3995</v>
      </c>
      <c r="E533">
        <v>15000</v>
      </c>
      <c r="F533" s="3">
        <v>3</v>
      </c>
      <c r="G533">
        <f t="shared" si="24"/>
        <v>45000</v>
      </c>
      <c r="H533" t="s">
        <v>7</v>
      </c>
      <c r="I533">
        <f t="shared" si="25"/>
        <v>18000</v>
      </c>
      <c r="J533">
        <f t="shared" si="26"/>
        <v>54000</v>
      </c>
    </row>
    <row r="534" spans="1:10" x14ac:dyDescent="0.45">
      <c r="A534" t="s">
        <v>4692</v>
      </c>
      <c r="B534" s="1">
        <v>45681</v>
      </c>
      <c r="C534" t="s">
        <v>5009</v>
      </c>
      <c r="D534" t="s">
        <v>3992</v>
      </c>
      <c r="E534">
        <v>400</v>
      </c>
      <c r="F534" s="3">
        <v>6</v>
      </c>
      <c r="G534">
        <f t="shared" si="24"/>
        <v>2400</v>
      </c>
      <c r="H534" t="s">
        <v>17</v>
      </c>
      <c r="I534">
        <f t="shared" si="25"/>
        <v>480</v>
      </c>
      <c r="J534">
        <f t="shared" si="26"/>
        <v>2880</v>
      </c>
    </row>
    <row r="535" spans="1:10" x14ac:dyDescent="0.45">
      <c r="A535" t="s">
        <v>4741</v>
      </c>
      <c r="B535" s="1">
        <v>45681</v>
      </c>
      <c r="C535" t="s">
        <v>3979</v>
      </c>
      <c r="D535" t="s">
        <v>4006</v>
      </c>
      <c r="E535">
        <v>2000</v>
      </c>
      <c r="F535" s="3">
        <v>7</v>
      </c>
      <c r="G535">
        <f t="shared" si="24"/>
        <v>14000</v>
      </c>
      <c r="H535" t="s">
        <v>7</v>
      </c>
      <c r="I535">
        <f t="shared" si="25"/>
        <v>2400</v>
      </c>
      <c r="J535">
        <f t="shared" si="26"/>
        <v>16800</v>
      </c>
    </row>
    <row r="536" spans="1:10" x14ac:dyDescent="0.45">
      <c r="A536" t="s">
        <v>4761</v>
      </c>
      <c r="B536" s="1">
        <v>45681</v>
      </c>
      <c r="C536" t="s">
        <v>33</v>
      </c>
      <c r="D536" t="s">
        <v>3994</v>
      </c>
      <c r="E536">
        <v>2500</v>
      </c>
      <c r="F536" s="3">
        <v>5</v>
      </c>
      <c r="G536">
        <f t="shared" si="24"/>
        <v>12500</v>
      </c>
      <c r="H536" t="s">
        <v>21</v>
      </c>
      <c r="I536">
        <f t="shared" si="25"/>
        <v>3000</v>
      </c>
      <c r="J536">
        <f t="shared" si="26"/>
        <v>15000</v>
      </c>
    </row>
    <row r="537" spans="1:10" x14ac:dyDescent="0.45">
      <c r="A537" t="s">
        <v>4804</v>
      </c>
      <c r="B537" s="1">
        <v>45681</v>
      </c>
      <c r="C537" t="s">
        <v>33</v>
      </c>
      <c r="D537" t="s">
        <v>3994</v>
      </c>
      <c r="E537">
        <v>2500</v>
      </c>
      <c r="F537" s="3">
        <v>1</v>
      </c>
      <c r="G537">
        <f t="shared" si="24"/>
        <v>2500</v>
      </c>
      <c r="H537" t="s">
        <v>21</v>
      </c>
      <c r="I537">
        <f t="shared" si="25"/>
        <v>3000</v>
      </c>
      <c r="J537">
        <f t="shared" si="26"/>
        <v>3000</v>
      </c>
    </row>
    <row r="538" spans="1:10" x14ac:dyDescent="0.45">
      <c r="A538" t="s">
        <v>4822</v>
      </c>
      <c r="B538" s="1">
        <v>45681</v>
      </c>
      <c r="C538" t="s">
        <v>3979</v>
      </c>
      <c r="D538" t="s">
        <v>3984</v>
      </c>
      <c r="E538">
        <v>12000</v>
      </c>
      <c r="F538" s="3">
        <v>8</v>
      </c>
      <c r="G538">
        <f t="shared" si="24"/>
        <v>96000</v>
      </c>
      <c r="H538" t="s">
        <v>17</v>
      </c>
      <c r="I538">
        <f t="shared" si="25"/>
        <v>14400</v>
      </c>
      <c r="J538">
        <f t="shared" si="26"/>
        <v>115200</v>
      </c>
    </row>
    <row r="539" spans="1:10" x14ac:dyDescent="0.45">
      <c r="A539" t="s">
        <v>4838</v>
      </c>
      <c r="B539" s="1">
        <v>45681</v>
      </c>
      <c r="C539" t="s">
        <v>3979</v>
      </c>
      <c r="D539" t="s">
        <v>4006</v>
      </c>
      <c r="E539">
        <v>2000</v>
      </c>
      <c r="F539" s="3">
        <v>8</v>
      </c>
      <c r="G539">
        <f t="shared" si="24"/>
        <v>16000</v>
      </c>
      <c r="H539" t="s">
        <v>17</v>
      </c>
      <c r="I539">
        <f t="shared" si="25"/>
        <v>2400</v>
      </c>
      <c r="J539">
        <f t="shared" si="26"/>
        <v>19200</v>
      </c>
    </row>
    <row r="540" spans="1:10" x14ac:dyDescent="0.45">
      <c r="A540" t="s">
        <v>4943</v>
      </c>
      <c r="B540" s="1">
        <v>45681</v>
      </c>
      <c r="C540" t="s">
        <v>33</v>
      </c>
      <c r="D540" t="s">
        <v>4001</v>
      </c>
      <c r="E540">
        <v>500</v>
      </c>
      <c r="F540" s="3">
        <v>3</v>
      </c>
      <c r="G540">
        <f t="shared" si="24"/>
        <v>1500</v>
      </c>
      <c r="H540" t="s">
        <v>17</v>
      </c>
      <c r="I540">
        <f t="shared" si="25"/>
        <v>600</v>
      </c>
      <c r="J540">
        <f t="shared" si="26"/>
        <v>1800</v>
      </c>
    </row>
    <row r="541" spans="1:10" x14ac:dyDescent="0.45">
      <c r="A541" t="s">
        <v>4999</v>
      </c>
      <c r="B541" s="1">
        <v>45681</v>
      </c>
      <c r="C541" t="s">
        <v>5009</v>
      </c>
      <c r="D541" t="s">
        <v>3982</v>
      </c>
      <c r="E541">
        <v>13000</v>
      </c>
      <c r="F541" s="3">
        <v>10</v>
      </c>
      <c r="G541">
        <f t="shared" si="24"/>
        <v>130000</v>
      </c>
      <c r="H541" t="s">
        <v>17</v>
      </c>
      <c r="I541">
        <f t="shared" si="25"/>
        <v>15600</v>
      </c>
      <c r="J541">
        <f t="shared" si="26"/>
        <v>156000</v>
      </c>
    </row>
    <row r="542" spans="1:10" x14ac:dyDescent="0.45">
      <c r="A542" t="s">
        <v>213</v>
      </c>
      <c r="B542" s="1">
        <v>45682</v>
      </c>
      <c r="C542" t="s">
        <v>33</v>
      </c>
      <c r="D542" t="s">
        <v>34</v>
      </c>
      <c r="E542">
        <v>1700</v>
      </c>
      <c r="F542">
        <v>10</v>
      </c>
      <c r="G542">
        <f t="shared" si="24"/>
        <v>17000</v>
      </c>
      <c r="H542" t="s">
        <v>21</v>
      </c>
      <c r="I542">
        <f t="shared" si="25"/>
        <v>2040</v>
      </c>
      <c r="J542">
        <f t="shared" si="26"/>
        <v>20400</v>
      </c>
    </row>
    <row r="543" spans="1:10" x14ac:dyDescent="0.45">
      <c r="A543" t="s">
        <v>214</v>
      </c>
      <c r="B543" s="1">
        <v>45682</v>
      </c>
      <c r="C543" t="s">
        <v>12</v>
      </c>
      <c r="D543" t="s">
        <v>5021</v>
      </c>
      <c r="E543">
        <v>2880</v>
      </c>
      <c r="F543">
        <v>4</v>
      </c>
      <c r="G543">
        <f t="shared" si="24"/>
        <v>11520</v>
      </c>
      <c r="H543" t="s">
        <v>17</v>
      </c>
      <c r="I543">
        <f t="shared" si="25"/>
        <v>3456</v>
      </c>
      <c r="J543">
        <f t="shared" si="26"/>
        <v>13824</v>
      </c>
    </row>
    <row r="544" spans="1:10" x14ac:dyDescent="0.45">
      <c r="A544" t="s">
        <v>215</v>
      </c>
      <c r="B544" s="1">
        <v>45682</v>
      </c>
      <c r="C544" t="s">
        <v>4007</v>
      </c>
      <c r="D544" t="s">
        <v>28</v>
      </c>
      <c r="E544">
        <v>500</v>
      </c>
      <c r="F544">
        <v>7</v>
      </c>
      <c r="G544">
        <f t="shared" si="24"/>
        <v>3500</v>
      </c>
      <c r="H544" t="s">
        <v>21</v>
      </c>
      <c r="I544">
        <f t="shared" si="25"/>
        <v>600</v>
      </c>
      <c r="J544">
        <f t="shared" si="26"/>
        <v>4200</v>
      </c>
    </row>
    <row r="545" spans="1:10" x14ac:dyDescent="0.45">
      <c r="A545" t="s">
        <v>216</v>
      </c>
      <c r="B545" s="1">
        <v>45682</v>
      </c>
      <c r="C545" t="s">
        <v>12</v>
      </c>
      <c r="D545" t="s">
        <v>5021</v>
      </c>
      <c r="E545">
        <v>2880</v>
      </c>
      <c r="F545">
        <v>3</v>
      </c>
      <c r="G545">
        <f t="shared" si="24"/>
        <v>8640</v>
      </c>
      <c r="H545" t="s">
        <v>21</v>
      </c>
      <c r="I545">
        <f t="shared" si="25"/>
        <v>3456</v>
      </c>
      <c r="J545">
        <f t="shared" si="26"/>
        <v>10368</v>
      </c>
    </row>
    <row r="546" spans="1:10" x14ac:dyDescent="0.45">
      <c r="A546" t="s">
        <v>217</v>
      </c>
      <c r="B546" s="1">
        <v>45682</v>
      </c>
      <c r="C546" t="s">
        <v>33</v>
      </c>
      <c r="D546" t="s">
        <v>42</v>
      </c>
      <c r="E546">
        <v>6900</v>
      </c>
      <c r="F546">
        <v>8</v>
      </c>
      <c r="G546">
        <f t="shared" si="24"/>
        <v>55200</v>
      </c>
      <c r="H546" t="s">
        <v>21</v>
      </c>
      <c r="I546">
        <f t="shared" si="25"/>
        <v>8280</v>
      </c>
      <c r="J546">
        <f t="shared" si="26"/>
        <v>66240</v>
      </c>
    </row>
    <row r="547" spans="1:10" x14ac:dyDescent="0.45">
      <c r="A547" t="s">
        <v>218</v>
      </c>
      <c r="B547" s="1">
        <v>45682</v>
      </c>
      <c r="C547" t="s">
        <v>4007</v>
      </c>
      <c r="D547" t="s">
        <v>4005</v>
      </c>
      <c r="E547">
        <v>60000</v>
      </c>
      <c r="F547">
        <v>8</v>
      </c>
      <c r="G547">
        <f t="shared" si="24"/>
        <v>480000</v>
      </c>
      <c r="H547" t="s">
        <v>21</v>
      </c>
      <c r="I547">
        <f t="shared" si="25"/>
        <v>72000</v>
      </c>
      <c r="J547">
        <f t="shared" si="26"/>
        <v>576000</v>
      </c>
    </row>
    <row r="548" spans="1:10" x14ac:dyDescent="0.45">
      <c r="A548" t="s">
        <v>219</v>
      </c>
      <c r="B548" s="1">
        <v>45682</v>
      </c>
      <c r="C548" t="s">
        <v>33</v>
      </c>
      <c r="D548" t="s">
        <v>42</v>
      </c>
      <c r="E548">
        <v>6900</v>
      </c>
      <c r="F548">
        <v>10</v>
      </c>
      <c r="G548">
        <f t="shared" si="24"/>
        <v>69000</v>
      </c>
      <c r="H548" t="s">
        <v>17</v>
      </c>
      <c r="I548">
        <f t="shared" si="25"/>
        <v>8280</v>
      </c>
      <c r="J548">
        <f t="shared" si="26"/>
        <v>82800</v>
      </c>
    </row>
    <row r="549" spans="1:10" x14ac:dyDescent="0.45">
      <c r="A549" t="s">
        <v>220</v>
      </c>
      <c r="B549" s="1">
        <v>45682</v>
      </c>
      <c r="C549" t="s">
        <v>33</v>
      </c>
      <c r="D549" t="s">
        <v>14</v>
      </c>
      <c r="E549">
        <v>800</v>
      </c>
      <c r="F549">
        <v>8</v>
      </c>
      <c r="G549">
        <f t="shared" si="24"/>
        <v>6400</v>
      </c>
      <c r="H549" t="s">
        <v>7</v>
      </c>
      <c r="I549">
        <f t="shared" si="25"/>
        <v>960</v>
      </c>
      <c r="J549">
        <f t="shared" si="26"/>
        <v>7680</v>
      </c>
    </row>
    <row r="550" spans="1:10" x14ac:dyDescent="0.45">
      <c r="A550" t="s">
        <v>2793</v>
      </c>
      <c r="B550" s="1">
        <v>45682</v>
      </c>
      <c r="C550" t="s">
        <v>4007</v>
      </c>
      <c r="D550" t="s">
        <v>2776</v>
      </c>
      <c r="E550">
        <v>3600</v>
      </c>
      <c r="F550">
        <v>6</v>
      </c>
      <c r="G550">
        <f t="shared" si="24"/>
        <v>21600</v>
      </c>
      <c r="H550" t="s">
        <v>17</v>
      </c>
      <c r="I550">
        <f t="shared" si="25"/>
        <v>4320</v>
      </c>
      <c r="J550">
        <f t="shared" si="26"/>
        <v>25920</v>
      </c>
    </row>
    <row r="551" spans="1:10" x14ac:dyDescent="0.45">
      <c r="A551" t="s">
        <v>3560</v>
      </c>
      <c r="B551" s="1">
        <v>45682</v>
      </c>
      <c r="C551" t="s">
        <v>4007</v>
      </c>
      <c r="D551" t="s">
        <v>5015</v>
      </c>
      <c r="E551">
        <v>48000</v>
      </c>
      <c r="F551">
        <v>1</v>
      </c>
      <c r="G551">
        <f t="shared" si="24"/>
        <v>48000</v>
      </c>
      <c r="H551" t="s">
        <v>17</v>
      </c>
      <c r="I551">
        <f t="shared" si="25"/>
        <v>57600</v>
      </c>
      <c r="J551">
        <f t="shared" si="26"/>
        <v>57600</v>
      </c>
    </row>
    <row r="552" spans="1:10" x14ac:dyDescent="0.45">
      <c r="A552" t="s">
        <v>3645</v>
      </c>
      <c r="B552" s="1">
        <v>45682</v>
      </c>
      <c r="C552" t="s">
        <v>33</v>
      </c>
      <c r="D552" t="s">
        <v>34</v>
      </c>
      <c r="E552">
        <v>1700</v>
      </c>
      <c r="F552">
        <v>6</v>
      </c>
      <c r="G552">
        <f t="shared" si="24"/>
        <v>10200</v>
      </c>
      <c r="H552" t="s">
        <v>21</v>
      </c>
      <c r="I552">
        <f t="shared" si="25"/>
        <v>2040</v>
      </c>
      <c r="J552">
        <f t="shared" si="26"/>
        <v>12240</v>
      </c>
    </row>
    <row r="553" spans="1:10" x14ac:dyDescent="0.45">
      <c r="A553" t="s">
        <v>3929</v>
      </c>
      <c r="B553" s="1">
        <v>45682</v>
      </c>
      <c r="C553" t="s">
        <v>4007</v>
      </c>
      <c r="D553" t="s">
        <v>2773</v>
      </c>
      <c r="E553">
        <v>3300</v>
      </c>
      <c r="F553">
        <v>10</v>
      </c>
      <c r="G553">
        <f t="shared" si="24"/>
        <v>33000</v>
      </c>
      <c r="H553" t="s">
        <v>17</v>
      </c>
      <c r="I553">
        <f t="shared" si="25"/>
        <v>3960</v>
      </c>
      <c r="J553">
        <f t="shared" si="26"/>
        <v>39600</v>
      </c>
    </row>
    <row r="554" spans="1:10" x14ac:dyDescent="0.45">
      <c r="A554" t="s">
        <v>4036</v>
      </c>
      <c r="B554" s="1">
        <v>45682</v>
      </c>
      <c r="C554" t="s">
        <v>4007</v>
      </c>
      <c r="D554" t="s">
        <v>3997</v>
      </c>
      <c r="E554">
        <v>62000</v>
      </c>
      <c r="F554" s="3">
        <v>5</v>
      </c>
      <c r="G554">
        <f t="shared" si="24"/>
        <v>310000</v>
      </c>
      <c r="H554" t="s">
        <v>17</v>
      </c>
      <c r="I554">
        <f t="shared" si="25"/>
        <v>74400</v>
      </c>
      <c r="J554">
        <f t="shared" si="26"/>
        <v>372000</v>
      </c>
    </row>
    <row r="555" spans="1:10" x14ac:dyDescent="0.45">
      <c r="A555" t="s">
        <v>4061</v>
      </c>
      <c r="B555" s="1">
        <v>45682</v>
      </c>
      <c r="C555" t="s">
        <v>5008</v>
      </c>
      <c r="D555" t="s">
        <v>3998</v>
      </c>
      <c r="E555">
        <v>8000</v>
      </c>
      <c r="F555" s="3">
        <v>1</v>
      </c>
      <c r="G555">
        <f t="shared" si="24"/>
        <v>8000</v>
      </c>
      <c r="H555" t="s">
        <v>17</v>
      </c>
      <c r="I555">
        <f t="shared" si="25"/>
        <v>9600</v>
      </c>
      <c r="J555">
        <f t="shared" si="26"/>
        <v>9600</v>
      </c>
    </row>
    <row r="556" spans="1:10" x14ac:dyDescent="0.45">
      <c r="A556" t="s">
        <v>4138</v>
      </c>
      <c r="B556" s="1">
        <v>45682</v>
      </c>
      <c r="C556" t="s">
        <v>5008</v>
      </c>
      <c r="D556" t="s">
        <v>3986</v>
      </c>
      <c r="E556">
        <v>12000</v>
      </c>
      <c r="F556" s="3">
        <v>7</v>
      </c>
      <c r="G556">
        <f t="shared" si="24"/>
        <v>84000</v>
      </c>
      <c r="H556" t="s">
        <v>17</v>
      </c>
      <c r="I556">
        <f t="shared" si="25"/>
        <v>14400</v>
      </c>
      <c r="J556">
        <f t="shared" si="26"/>
        <v>100800</v>
      </c>
    </row>
    <row r="557" spans="1:10" x14ac:dyDescent="0.45">
      <c r="A557" t="s">
        <v>4149</v>
      </c>
      <c r="B557" s="1">
        <v>45682</v>
      </c>
      <c r="C557" t="s">
        <v>3977</v>
      </c>
      <c r="D557" t="s">
        <v>3989</v>
      </c>
      <c r="E557">
        <v>1000</v>
      </c>
      <c r="F557" s="3">
        <v>10</v>
      </c>
      <c r="G557">
        <f t="shared" si="24"/>
        <v>10000</v>
      </c>
      <c r="H557" t="s">
        <v>7</v>
      </c>
      <c r="I557">
        <f t="shared" si="25"/>
        <v>1200</v>
      </c>
      <c r="J557">
        <f t="shared" si="26"/>
        <v>12000</v>
      </c>
    </row>
    <row r="558" spans="1:10" x14ac:dyDescent="0.45">
      <c r="A558" t="s">
        <v>4191</v>
      </c>
      <c r="B558" s="1">
        <v>45682</v>
      </c>
      <c r="C558" t="s">
        <v>3977</v>
      </c>
      <c r="D558" t="s">
        <v>3978</v>
      </c>
      <c r="E558">
        <v>2000</v>
      </c>
      <c r="F558" s="3">
        <v>8</v>
      </c>
      <c r="G558">
        <f t="shared" si="24"/>
        <v>16000</v>
      </c>
      <c r="H558" t="s">
        <v>21</v>
      </c>
      <c r="I558">
        <f t="shared" si="25"/>
        <v>2400</v>
      </c>
      <c r="J558">
        <f t="shared" si="26"/>
        <v>19200</v>
      </c>
    </row>
    <row r="559" spans="1:10" x14ac:dyDescent="0.45">
      <c r="A559" t="s">
        <v>4218</v>
      </c>
      <c r="B559" s="1">
        <v>45682</v>
      </c>
      <c r="C559" t="s">
        <v>3979</v>
      </c>
      <c r="D559" t="s">
        <v>3980</v>
      </c>
      <c r="E559">
        <v>500</v>
      </c>
      <c r="F559" s="3">
        <v>9</v>
      </c>
      <c r="G559">
        <f t="shared" si="24"/>
        <v>4500</v>
      </c>
      <c r="H559" t="s">
        <v>17</v>
      </c>
      <c r="I559">
        <f t="shared" si="25"/>
        <v>600</v>
      </c>
      <c r="J559">
        <f t="shared" si="26"/>
        <v>5400</v>
      </c>
    </row>
    <row r="560" spans="1:10" x14ac:dyDescent="0.45">
      <c r="A560" t="s">
        <v>4296</v>
      </c>
      <c r="B560" s="1">
        <v>45682</v>
      </c>
      <c r="C560" t="s">
        <v>4007</v>
      </c>
      <c r="D560" t="s">
        <v>3999</v>
      </c>
      <c r="E560">
        <v>50000</v>
      </c>
      <c r="F560" s="3">
        <v>7</v>
      </c>
      <c r="G560">
        <f t="shared" si="24"/>
        <v>350000</v>
      </c>
      <c r="H560" t="s">
        <v>17</v>
      </c>
      <c r="I560">
        <f t="shared" si="25"/>
        <v>60000</v>
      </c>
      <c r="J560">
        <f t="shared" si="26"/>
        <v>420000</v>
      </c>
    </row>
    <row r="561" spans="1:10" x14ac:dyDescent="0.45">
      <c r="A561" t="s">
        <v>4306</v>
      </c>
      <c r="B561" s="1">
        <v>45682</v>
      </c>
      <c r="C561" t="s">
        <v>33</v>
      </c>
      <c r="D561" t="s">
        <v>4001</v>
      </c>
      <c r="E561">
        <v>500</v>
      </c>
      <c r="F561" s="3">
        <v>4</v>
      </c>
      <c r="G561">
        <f t="shared" si="24"/>
        <v>2000</v>
      </c>
      <c r="H561" t="s">
        <v>17</v>
      </c>
      <c r="I561">
        <f t="shared" si="25"/>
        <v>600</v>
      </c>
      <c r="J561">
        <f t="shared" si="26"/>
        <v>2400</v>
      </c>
    </row>
    <row r="562" spans="1:10" x14ac:dyDescent="0.45">
      <c r="A562" t="s">
        <v>4336</v>
      </c>
      <c r="B562" s="1">
        <v>45682</v>
      </c>
      <c r="C562" t="s">
        <v>3977</v>
      </c>
      <c r="D562" t="s">
        <v>3978</v>
      </c>
      <c r="E562">
        <v>2000</v>
      </c>
      <c r="F562" s="3">
        <v>4</v>
      </c>
      <c r="G562">
        <f t="shared" si="24"/>
        <v>8000</v>
      </c>
      <c r="H562" t="s">
        <v>21</v>
      </c>
      <c r="I562">
        <f t="shared" si="25"/>
        <v>2400</v>
      </c>
      <c r="J562">
        <f t="shared" si="26"/>
        <v>9600</v>
      </c>
    </row>
    <row r="563" spans="1:10" x14ac:dyDescent="0.45">
      <c r="A563" t="s">
        <v>4379</v>
      </c>
      <c r="B563" s="1">
        <v>45682</v>
      </c>
      <c r="C563" t="s">
        <v>5008</v>
      </c>
      <c r="D563" t="s">
        <v>3996</v>
      </c>
      <c r="E563">
        <v>2000</v>
      </c>
      <c r="F563" s="3">
        <v>2</v>
      </c>
      <c r="G563">
        <f t="shared" si="24"/>
        <v>4000</v>
      </c>
      <c r="H563" t="s">
        <v>7</v>
      </c>
      <c r="I563">
        <f t="shared" si="25"/>
        <v>2400</v>
      </c>
      <c r="J563">
        <f t="shared" si="26"/>
        <v>4800</v>
      </c>
    </row>
    <row r="564" spans="1:10" x14ac:dyDescent="0.45">
      <c r="A564" t="s">
        <v>4419</v>
      </c>
      <c r="B564" s="1">
        <v>45682</v>
      </c>
      <c r="C564" t="s">
        <v>5009</v>
      </c>
      <c r="D564" t="s">
        <v>3982</v>
      </c>
      <c r="E564">
        <v>13000</v>
      </c>
      <c r="F564" s="3">
        <v>2</v>
      </c>
      <c r="G564">
        <f t="shared" si="24"/>
        <v>26000</v>
      </c>
      <c r="H564" t="s">
        <v>21</v>
      </c>
      <c r="I564">
        <f t="shared" si="25"/>
        <v>15600</v>
      </c>
      <c r="J564">
        <f t="shared" si="26"/>
        <v>31200</v>
      </c>
    </row>
    <row r="565" spans="1:10" x14ac:dyDescent="0.45">
      <c r="A565" t="s">
        <v>4423</v>
      </c>
      <c r="B565" s="1">
        <v>45682</v>
      </c>
      <c r="C565" t="s">
        <v>3977</v>
      </c>
      <c r="D565" t="s">
        <v>3978</v>
      </c>
      <c r="E565">
        <v>2000</v>
      </c>
      <c r="F565" s="3">
        <v>1</v>
      </c>
      <c r="G565">
        <f t="shared" si="24"/>
        <v>2000</v>
      </c>
      <c r="H565" t="s">
        <v>17</v>
      </c>
      <c r="I565">
        <f t="shared" si="25"/>
        <v>2400</v>
      </c>
      <c r="J565">
        <f t="shared" si="26"/>
        <v>2400</v>
      </c>
    </row>
    <row r="566" spans="1:10" x14ac:dyDescent="0.45">
      <c r="A566" t="s">
        <v>4479</v>
      </c>
      <c r="B566" s="1">
        <v>45682</v>
      </c>
      <c r="C566" t="s">
        <v>5009</v>
      </c>
      <c r="D566" t="s">
        <v>3990</v>
      </c>
      <c r="E566">
        <v>2800</v>
      </c>
      <c r="F566" s="3">
        <v>4</v>
      </c>
      <c r="G566">
        <f t="shared" si="24"/>
        <v>11200</v>
      </c>
      <c r="H566" t="s">
        <v>7</v>
      </c>
      <c r="I566">
        <f t="shared" si="25"/>
        <v>3360</v>
      </c>
      <c r="J566">
        <f t="shared" si="26"/>
        <v>13440</v>
      </c>
    </row>
    <row r="567" spans="1:10" x14ac:dyDescent="0.45">
      <c r="A567" t="s">
        <v>4636</v>
      </c>
      <c r="B567" s="1">
        <v>45682</v>
      </c>
      <c r="C567" t="s">
        <v>33</v>
      </c>
      <c r="D567" t="s">
        <v>3985</v>
      </c>
      <c r="E567">
        <v>1950</v>
      </c>
      <c r="F567" s="3">
        <v>3</v>
      </c>
      <c r="G567">
        <f t="shared" si="24"/>
        <v>5850</v>
      </c>
      <c r="H567" t="s">
        <v>7</v>
      </c>
      <c r="I567">
        <f t="shared" si="25"/>
        <v>2340</v>
      </c>
      <c r="J567">
        <f t="shared" si="26"/>
        <v>7020</v>
      </c>
    </row>
    <row r="568" spans="1:10" x14ac:dyDescent="0.45">
      <c r="A568" t="s">
        <v>4698</v>
      </c>
      <c r="B568" s="1">
        <v>45682</v>
      </c>
      <c r="C568" t="s">
        <v>5009</v>
      </c>
      <c r="D568" t="s">
        <v>3990</v>
      </c>
      <c r="E568">
        <v>2800</v>
      </c>
      <c r="F568" s="3">
        <v>9</v>
      </c>
      <c r="G568">
        <f t="shared" si="24"/>
        <v>25200</v>
      </c>
      <c r="H568" t="s">
        <v>17</v>
      </c>
      <c r="I568">
        <f t="shared" si="25"/>
        <v>3360</v>
      </c>
      <c r="J568">
        <f t="shared" si="26"/>
        <v>30240</v>
      </c>
    </row>
    <row r="569" spans="1:10" x14ac:dyDescent="0.45">
      <c r="A569" t="s">
        <v>4762</v>
      </c>
      <c r="B569" s="1">
        <v>45682</v>
      </c>
      <c r="C569" t="s">
        <v>5008</v>
      </c>
      <c r="D569" t="s">
        <v>3986</v>
      </c>
      <c r="E569">
        <v>12000</v>
      </c>
      <c r="F569" s="3">
        <v>3</v>
      </c>
      <c r="G569">
        <f t="shared" si="24"/>
        <v>36000</v>
      </c>
      <c r="H569" t="s">
        <v>7</v>
      </c>
      <c r="I569">
        <f t="shared" si="25"/>
        <v>14400</v>
      </c>
      <c r="J569">
        <f t="shared" si="26"/>
        <v>43200</v>
      </c>
    </row>
    <row r="570" spans="1:10" x14ac:dyDescent="0.45">
      <c r="A570" t="s">
        <v>4858</v>
      </c>
      <c r="B570" s="1">
        <v>45682</v>
      </c>
      <c r="C570" t="s">
        <v>5008</v>
      </c>
      <c r="D570" t="s">
        <v>3998</v>
      </c>
      <c r="E570">
        <v>8000</v>
      </c>
      <c r="F570" s="3">
        <v>1</v>
      </c>
      <c r="G570">
        <f t="shared" si="24"/>
        <v>8000</v>
      </c>
      <c r="H570" t="s">
        <v>17</v>
      </c>
      <c r="I570">
        <f t="shared" si="25"/>
        <v>9600</v>
      </c>
      <c r="J570">
        <f t="shared" si="26"/>
        <v>9600</v>
      </c>
    </row>
    <row r="571" spans="1:10" x14ac:dyDescent="0.45">
      <c r="A571" t="s">
        <v>221</v>
      </c>
      <c r="B571" s="1">
        <v>45683</v>
      </c>
      <c r="C571" t="s">
        <v>12</v>
      </c>
      <c r="D571" t="s">
        <v>5023</v>
      </c>
      <c r="E571">
        <v>1750</v>
      </c>
      <c r="F571">
        <v>6</v>
      </c>
      <c r="G571">
        <f t="shared" si="24"/>
        <v>10500</v>
      </c>
      <c r="H571" t="s">
        <v>21</v>
      </c>
      <c r="I571">
        <f t="shared" si="25"/>
        <v>2100</v>
      </c>
      <c r="J571">
        <f t="shared" si="26"/>
        <v>12600</v>
      </c>
    </row>
    <row r="572" spans="1:10" x14ac:dyDescent="0.45">
      <c r="A572" t="s">
        <v>222</v>
      </c>
      <c r="B572" s="1">
        <v>45683</v>
      </c>
      <c r="C572" t="s">
        <v>9</v>
      </c>
      <c r="D572" t="s">
        <v>19</v>
      </c>
      <c r="E572">
        <v>3000</v>
      </c>
      <c r="F572">
        <v>5</v>
      </c>
      <c r="G572">
        <f t="shared" si="24"/>
        <v>15000</v>
      </c>
      <c r="H572" t="s">
        <v>17</v>
      </c>
      <c r="I572">
        <f t="shared" si="25"/>
        <v>3600</v>
      </c>
      <c r="J572">
        <f t="shared" si="26"/>
        <v>18000</v>
      </c>
    </row>
    <row r="573" spans="1:10" x14ac:dyDescent="0.45">
      <c r="A573" t="s">
        <v>223</v>
      </c>
      <c r="B573" s="1">
        <v>45683</v>
      </c>
      <c r="C573" t="s">
        <v>4007</v>
      </c>
      <c r="D573" t="s">
        <v>5015</v>
      </c>
      <c r="E573">
        <v>48000</v>
      </c>
      <c r="F573">
        <v>1</v>
      </c>
      <c r="G573">
        <f t="shared" si="24"/>
        <v>48000</v>
      </c>
      <c r="H573" t="s">
        <v>21</v>
      </c>
      <c r="I573">
        <f t="shared" si="25"/>
        <v>57600</v>
      </c>
      <c r="J573">
        <f t="shared" si="26"/>
        <v>57600</v>
      </c>
    </row>
    <row r="574" spans="1:10" x14ac:dyDescent="0.45">
      <c r="A574" t="s">
        <v>224</v>
      </c>
      <c r="B574" s="1">
        <v>45683</v>
      </c>
      <c r="C574" t="s">
        <v>12</v>
      </c>
      <c r="D574" t="s">
        <v>5023</v>
      </c>
      <c r="E574">
        <v>1750</v>
      </c>
      <c r="F574">
        <v>5</v>
      </c>
      <c r="G574">
        <f t="shared" si="24"/>
        <v>8750</v>
      </c>
      <c r="H574" t="s">
        <v>17</v>
      </c>
      <c r="I574">
        <f t="shared" si="25"/>
        <v>2100</v>
      </c>
      <c r="J574">
        <f t="shared" si="26"/>
        <v>10500</v>
      </c>
    </row>
    <row r="575" spans="1:10" x14ac:dyDescent="0.45">
      <c r="A575" t="s">
        <v>225</v>
      </c>
      <c r="B575" s="1">
        <v>45683</v>
      </c>
      <c r="C575" t="s">
        <v>12</v>
      </c>
      <c r="D575" t="s">
        <v>5021</v>
      </c>
      <c r="E575">
        <v>2880</v>
      </c>
      <c r="F575">
        <v>5</v>
      </c>
      <c r="G575">
        <f t="shared" si="24"/>
        <v>14400</v>
      </c>
      <c r="H575" t="s">
        <v>7</v>
      </c>
      <c r="I575">
        <f t="shared" si="25"/>
        <v>3456</v>
      </c>
      <c r="J575">
        <f t="shared" si="26"/>
        <v>17280</v>
      </c>
    </row>
    <row r="576" spans="1:10" x14ac:dyDescent="0.45">
      <c r="A576" t="s">
        <v>226</v>
      </c>
      <c r="B576" s="1">
        <v>45683</v>
      </c>
      <c r="C576" t="s">
        <v>4007</v>
      </c>
      <c r="D576" t="s">
        <v>5015</v>
      </c>
      <c r="E576">
        <v>48000</v>
      </c>
      <c r="F576">
        <v>1</v>
      </c>
      <c r="G576">
        <f t="shared" si="24"/>
        <v>48000</v>
      </c>
      <c r="H576" t="s">
        <v>7</v>
      </c>
      <c r="I576">
        <f t="shared" si="25"/>
        <v>57600</v>
      </c>
      <c r="J576">
        <f t="shared" si="26"/>
        <v>57600</v>
      </c>
    </row>
    <row r="577" spans="1:10" x14ac:dyDescent="0.45">
      <c r="A577" t="s">
        <v>227</v>
      </c>
      <c r="B577" s="1">
        <v>45683</v>
      </c>
      <c r="C577" t="s">
        <v>9</v>
      </c>
      <c r="D577" t="s">
        <v>25</v>
      </c>
      <c r="E577">
        <v>5200</v>
      </c>
      <c r="F577">
        <v>2</v>
      </c>
      <c r="G577">
        <f t="shared" si="24"/>
        <v>10400</v>
      </c>
      <c r="H577" t="s">
        <v>21</v>
      </c>
      <c r="I577">
        <f t="shared" si="25"/>
        <v>6240</v>
      </c>
      <c r="J577">
        <f t="shared" si="26"/>
        <v>12480</v>
      </c>
    </row>
    <row r="578" spans="1:10" x14ac:dyDescent="0.45">
      <c r="A578" t="s">
        <v>2999</v>
      </c>
      <c r="B578" s="1">
        <v>45683</v>
      </c>
      <c r="C578" t="s">
        <v>4007</v>
      </c>
      <c r="D578" t="s">
        <v>2774</v>
      </c>
      <c r="E578">
        <v>1900</v>
      </c>
      <c r="F578">
        <v>5</v>
      </c>
      <c r="G578">
        <f t="shared" ref="G578:G641" si="27">E578*F578</f>
        <v>9500</v>
      </c>
      <c r="H578" t="s">
        <v>17</v>
      </c>
      <c r="I578">
        <f t="shared" ref="I578:I641" si="28">E578*1.2</f>
        <v>2280</v>
      </c>
      <c r="J578">
        <f t="shared" ref="J578:J641" si="29">I578*F578</f>
        <v>11400</v>
      </c>
    </row>
    <row r="579" spans="1:10" x14ac:dyDescent="0.45">
      <c r="A579" t="s">
        <v>3064</v>
      </c>
      <c r="B579" s="1">
        <v>45683</v>
      </c>
      <c r="C579" t="s">
        <v>33</v>
      </c>
      <c r="D579" t="s">
        <v>34</v>
      </c>
      <c r="E579">
        <v>1700</v>
      </c>
      <c r="F579">
        <v>9</v>
      </c>
      <c r="G579">
        <f t="shared" si="27"/>
        <v>15300</v>
      </c>
      <c r="H579" t="s">
        <v>7</v>
      </c>
      <c r="I579">
        <f t="shared" si="28"/>
        <v>2040</v>
      </c>
      <c r="J579">
        <f t="shared" si="29"/>
        <v>18360</v>
      </c>
    </row>
    <row r="580" spans="1:10" x14ac:dyDescent="0.45">
      <c r="A580" t="s">
        <v>3753</v>
      </c>
      <c r="B580" s="1">
        <v>45683</v>
      </c>
      <c r="C580" t="s">
        <v>4007</v>
      </c>
      <c r="D580" t="s">
        <v>2776</v>
      </c>
      <c r="E580">
        <v>3600</v>
      </c>
      <c r="F580">
        <v>9</v>
      </c>
      <c r="G580">
        <f t="shared" si="27"/>
        <v>32400</v>
      </c>
      <c r="H580" t="s">
        <v>7</v>
      </c>
      <c r="I580">
        <f t="shared" si="28"/>
        <v>4320</v>
      </c>
      <c r="J580">
        <f t="shared" si="29"/>
        <v>38880</v>
      </c>
    </row>
    <row r="581" spans="1:10" x14ac:dyDescent="0.45">
      <c r="A581" t="s">
        <v>4089</v>
      </c>
      <c r="B581" s="1">
        <v>45683</v>
      </c>
      <c r="C581" t="s">
        <v>4007</v>
      </c>
      <c r="D581" t="s">
        <v>4005</v>
      </c>
      <c r="E581">
        <v>60000</v>
      </c>
      <c r="F581" s="3">
        <v>3</v>
      </c>
      <c r="G581">
        <f t="shared" si="27"/>
        <v>180000</v>
      </c>
      <c r="H581" t="s">
        <v>17</v>
      </c>
      <c r="I581">
        <f t="shared" si="28"/>
        <v>72000</v>
      </c>
      <c r="J581">
        <f t="shared" si="29"/>
        <v>216000</v>
      </c>
    </row>
    <row r="582" spans="1:10" x14ac:dyDescent="0.45">
      <c r="A582" t="s">
        <v>4099</v>
      </c>
      <c r="B582" s="1">
        <v>45683</v>
      </c>
      <c r="C582" t="s">
        <v>5009</v>
      </c>
      <c r="D582" t="s">
        <v>3990</v>
      </c>
      <c r="E582">
        <v>2800</v>
      </c>
      <c r="F582" s="3">
        <v>10</v>
      </c>
      <c r="G582">
        <f t="shared" si="27"/>
        <v>28000</v>
      </c>
      <c r="H582" t="s">
        <v>7</v>
      </c>
      <c r="I582">
        <f t="shared" si="28"/>
        <v>3360</v>
      </c>
      <c r="J582">
        <f t="shared" si="29"/>
        <v>33600</v>
      </c>
    </row>
    <row r="583" spans="1:10" x14ac:dyDescent="0.45">
      <c r="A583" t="s">
        <v>4179</v>
      </c>
      <c r="B583" s="1">
        <v>45683</v>
      </c>
      <c r="C583" t="s">
        <v>4007</v>
      </c>
      <c r="D583" t="s">
        <v>5015</v>
      </c>
      <c r="E583">
        <v>48000</v>
      </c>
      <c r="F583" s="3">
        <v>5</v>
      </c>
      <c r="G583">
        <f t="shared" si="27"/>
        <v>240000</v>
      </c>
      <c r="H583" t="s">
        <v>7</v>
      </c>
      <c r="I583">
        <f t="shared" si="28"/>
        <v>57600</v>
      </c>
      <c r="J583">
        <f t="shared" si="29"/>
        <v>288000</v>
      </c>
    </row>
    <row r="584" spans="1:10" x14ac:dyDescent="0.45">
      <c r="A584" t="s">
        <v>4201</v>
      </c>
      <c r="B584" s="1">
        <v>45683</v>
      </c>
      <c r="C584" t="s">
        <v>33</v>
      </c>
      <c r="D584" t="s">
        <v>3994</v>
      </c>
      <c r="E584">
        <v>2500</v>
      </c>
      <c r="F584" s="3">
        <v>4</v>
      </c>
      <c r="G584">
        <f t="shared" si="27"/>
        <v>10000</v>
      </c>
      <c r="H584" t="s">
        <v>7</v>
      </c>
      <c r="I584">
        <f t="shared" si="28"/>
        <v>3000</v>
      </c>
      <c r="J584">
        <f t="shared" si="29"/>
        <v>12000</v>
      </c>
    </row>
    <row r="585" spans="1:10" x14ac:dyDescent="0.45">
      <c r="A585" t="s">
        <v>4234</v>
      </c>
      <c r="B585" s="1">
        <v>45683</v>
      </c>
      <c r="C585" t="s">
        <v>3977</v>
      </c>
      <c r="D585" t="s">
        <v>3991</v>
      </c>
      <c r="E585">
        <v>2000</v>
      </c>
      <c r="F585" s="3">
        <v>9</v>
      </c>
      <c r="G585">
        <f t="shared" si="27"/>
        <v>18000</v>
      </c>
      <c r="H585" t="s">
        <v>17</v>
      </c>
      <c r="I585">
        <f t="shared" si="28"/>
        <v>2400</v>
      </c>
      <c r="J585">
        <f t="shared" si="29"/>
        <v>21600</v>
      </c>
    </row>
    <row r="586" spans="1:10" x14ac:dyDescent="0.45">
      <c r="A586" t="s">
        <v>4238</v>
      </c>
      <c r="B586" s="1">
        <v>45683</v>
      </c>
      <c r="C586" t="s">
        <v>5008</v>
      </c>
      <c r="D586" t="s">
        <v>3996</v>
      </c>
      <c r="E586">
        <v>2000</v>
      </c>
      <c r="F586" s="3">
        <v>2</v>
      </c>
      <c r="G586">
        <f t="shared" si="27"/>
        <v>4000</v>
      </c>
      <c r="H586" t="s">
        <v>17</v>
      </c>
      <c r="I586">
        <f t="shared" si="28"/>
        <v>2400</v>
      </c>
      <c r="J586">
        <f t="shared" si="29"/>
        <v>4800</v>
      </c>
    </row>
    <row r="587" spans="1:10" x14ac:dyDescent="0.45">
      <c r="A587" t="s">
        <v>4359</v>
      </c>
      <c r="B587" s="1">
        <v>45683</v>
      </c>
      <c r="C587" t="s">
        <v>3979</v>
      </c>
      <c r="D587" t="s">
        <v>3980</v>
      </c>
      <c r="E587">
        <v>500</v>
      </c>
      <c r="F587" s="3">
        <v>7</v>
      </c>
      <c r="G587">
        <f t="shared" si="27"/>
        <v>3500</v>
      </c>
      <c r="H587" t="s">
        <v>21</v>
      </c>
      <c r="I587">
        <f t="shared" si="28"/>
        <v>600</v>
      </c>
      <c r="J587">
        <f t="shared" si="29"/>
        <v>4200</v>
      </c>
    </row>
    <row r="588" spans="1:10" x14ac:dyDescent="0.45">
      <c r="A588" t="s">
        <v>4399</v>
      </c>
      <c r="B588" s="1">
        <v>45683</v>
      </c>
      <c r="C588" t="s">
        <v>5008</v>
      </c>
      <c r="D588" t="s">
        <v>3986</v>
      </c>
      <c r="E588">
        <v>12000</v>
      </c>
      <c r="F588" s="3">
        <v>10</v>
      </c>
      <c r="G588">
        <f t="shared" si="27"/>
        <v>120000</v>
      </c>
      <c r="H588" t="s">
        <v>17</v>
      </c>
      <c r="I588">
        <f t="shared" si="28"/>
        <v>14400</v>
      </c>
      <c r="J588">
        <f t="shared" si="29"/>
        <v>144000</v>
      </c>
    </row>
    <row r="589" spans="1:10" x14ac:dyDescent="0.45">
      <c r="A589" t="s">
        <v>4556</v>
      </c>
      <c r="B589" s="1">
        <v>45683</v>
      </c>
      <c r="C589" t="s">
        <v>5009</v>
      </c>
      <c r="D589" t="s">
        <v>4000</v>
      </c>
      <c r="E589">
        <v>3000</v>
      </c>
      <c r="F589" s="3">
        <v>5</v>
      </c>
      <c r="G589">
        <f t="shared" si="27"/>
        <v>15000</v>
      </c>
      <c r="H589" t="s">
        <v>21</v>
      </c>
      <c r="I589">
        <f t="shared" si="28"/>
        <v>3600</v>
      </c>
      <c r="J589">
        <f t="shared" si="29"/>
        <v>18000</v>
      </c>
    </row>
    <row r="590" spans="1:10" x14ac:dyDescent="0.45">
      <c r="A590" t="s">
        <v>4606</v>
      </c>
      <c r="B590" s="1">
        <v>45683</v>
      </c>
      <c r="C590" t="s">
        <v>5008</v>
      </c>
      <c r="D590" t="s">
        <v>4003</v>
      </c>
      <c r="E590">
        <v>10000</v>
      </c>
      <c r="F590" s="3">
        <v>5</v>
      </c>
      <c r="G590">
        <f t="shared" si="27"/>
        <v>50000</v>
      </c>
      <c r="H590" t="s">
        <v>17</v>
      </c>
      <c r="I590">
        <f t="shared" si="28"/>
        <v>12000</v>
      </c>
      <c r="J590">
        <f t="shared" si="29"/>
        <v>60000</v>
      </c>
    </row>
    <row r="591" spans="1:10" x14ac:dyDescent="0.45">
      <c r="A591" t="s">
        <v>4609</v>
      </c>
      <c r="B591" s="1">
        <v>45683</v>
      </c>
      <c r="C591" t="s">
        <v>5008</v>
      </c>
      <c r="D591" t="s">
        <v>3986</v>
      </c>
      <c r="E591">
        <v>12000</v>
      </c>
      <c r="F591" s="3">
        <v>1</v>
      </c>
      <c r="G591">
        <f t="shared" si="27"/>
        <v>12000</v>
      </c>
      <c r="H591" t="s">
        <v>21</v>
      </c>
      <c r="I591">
        <f t="shared" si="28"/>
        <v>14400</v>
      </c>
      <c r="J591">
        <f t="shared" si="29"/>
        <v>14400</v>
      </c>
    </row>
    <row r="592" spans="1:10" x14ac:dyDescent="0.45">
      <c r="A592" t="s">
        <v>4633</v>
      </c>
      <c r="B592" s="1">
        <v>45683</v>
      </c>
      <c r="C592" t="s">
        <v>4007</v>
      </c>
      <c r="D592" t="s">
        <v>3999</v>
      </c>
      <c r="E592">
        <v>50000</v>
      </c>
      <c r="F592" s="3">
        <v>2</v>
      </c>
      <c r="G592">
        <f t="shared" si="27"/>
        <v>100000</v>
      </c>
      <c r="H592" t="s">
        <v>7</v>
      </c>
      <c r="I592">
        <f t="shared" si="28"/>
        <v>60000</v>
      </c>
      <c r="J592">
        <f t="shared" si="29"/>
        <v>120000</v>
      </c>
    </row>
    <row r="593" spans="1:10" x14ac:dyDescent="0.45">
      <c r="A593" t="s">
        <v>4637</v>
      </c>
      <c r="B593" s="1">
        <v>45683</v>
      </c>
      <c r="C593" t="s">
        <v>5008</v>
      </c>
      <c r="D593" t="s">
        <v>3996</v>
      </c>
      <c r="E593">
        <v>2000</v>
      </c>
      <c r="F593" s="3">
        <v>1</v>
      </c>
      <c r="G593">
        <f t="shared" si="27"/>
        <v>2000</v>
      </c>
      <c r="H593" t="s">
        <v>17</v>
      </c>
      <c r="I593">
        <f t="shared" si="28"/>
        <v>2400</v>
      </c>
      <c r="J593">
        <f t="shared" si="29"/>
        <v>2400</v>
      </c>
    </row>
    <row r="594" spans="1:10" x14ac:dyDescent="0.45">
      <c r="A594" t="s">
        <v>4852</v>
      </c>
      <c r="B594" s="1">
        <v>45683</v>
      </c>
      <c r="C594" t="s">
        <v>5008</v>
      </c>
      <c r="D594" t="s">
        <v>4003</v>
      </c>
      <c r="E594">
        <v>10000</v>
      </c>
      <c r="F594" s="3">
        <v>1</v>
      </c>
      <c r="G594">
        <f t="shared" si="27"/>
        <v>10000</v>
      </c>
      <c r="H594" t="s">
        <v>7</v>
      </c>
      <c r="I594">
        <f t="shared" si="28"/>
        <v>12000</v>
      </c>
      <c r="J594">
        <f t="shared" si="29"/>
        <v>12000</v>
      </c>
    </row>
    <row r="595" spans="1:10" x14ac:dyDescent="0.45">
      <c r="A595" t="s">
        <v>4873</v>
      </c>
      <c r="B595" s="1">
        <v>45683</v>
      </c>
      <c r="C595" t="s">
        <v>3977</v>
      </c>
      <c r="D595" t="s">
        <v>3989</v>
      </c>
      <c r="E595">
        <v>1000</v>
      </c>
      <c r="F595" s="3">
        <v>3</v>
      </c>
      <c r="G595">
        <f t="shared" si="27"/>
        <v>3000</v>
      </c>
      <c r="H595" t="s">
        <v>17</v>
      </c>
      <c r="I595">
        <f t="shared" si="28"/>
        <v>1200</v>
      </c>
      <c r="J595">
        <f t="shared" si="29"/>
        <v>3600</v>
      </c>
    </row>
    <row r="596" spans="1:10" x14ac:dyDescent="0.45">
      <c r="A596" t="s">
        <v>4972</v>
      </c>
      <c r="B596" s="1">
        <v>45683</v>
      </c>
      <c r="C596" t="s">
        <v>4007</v>
      </c>
      <c r="D596" t="s">
        <v>3988</v>
      </c>
      <c r="E596">
        <v>35000</v>
      </c>
      <c r="F596" s="3">
        <v>2</v>
      </c>
      <c r="G596">
        <f t="shared" si="27"/>
        <v>70000</v>
      </c>
      <c r="H596" t="s">
        <v>7</v>
      </c>
      <c r="I596">
        <f t="shared" si="28"/>
        <v>42000</v>
      </c>
      <c r="J596">
        <f t="shared" si="29"/>
        <v>84000</v>
      </c>
    </row>
    <row r="597" spans="1:10" x14ac:dyDescent="0.45">
      <c r="A597" t="s">
        <v>4980</v>
      </c>
      <c r="B597" s="1">
        <v>45683</v>
      </c>
      <c r="C597" t="s">
        <v>3979</v>
      </c>
      <c r="D597" t="s">
        <v>3984</v>
      </c>
      <c r="E597">
        <v>12000</v>
      </c>
      <c r="F597" s="3">
        <v>7</v>
      </c>
      <c r="G597">
        <f t="shared" si="27"/>
        <v>84000</v>
      </c>
      <c r="H597" t="s">
        <v>17</v>
      </c>
      <c r="I597">
        <f t="shared" si="28"/>
        <v>14400</v>
      </c>
      <c r="J597">
        <f t="shared" si="29"/>
        <v>100800</v>
      </c>
    </row>
    <row r="598" spans="1:10" x14ac:dyDescent="0.45">
      <c r="A598" t="s">
        <v>228</v>
      </c>
      <c r="B598" s="1">
        <v>45684</v>
      </c>
      <c r="C598" t="s">
        <v>9</v>
      </c>
      <c r="D598" t="s">
        <v>10</v>
      </c>
      <c r="E598">
        <v>400</v>
      </c>
      <c r="F598">
        <v>4</v>
      </c>
      <c r="G598">
        <f t="shared" si="27"/>
        <v>1600</v>
      </c>
      <c r="H598" t="s">
        <v>21</v>
      </c>
      <c r="I598">
        <f t="shared" si="28"/>
        <v>480</v>
      </c>
      <c r="J598">
        <f t="shared" si="29"/>
        <v>1920</v>
      </c>
    </row>
    <row r="599" spans="1:10" x14ac:dyDescent="0.45">
      <c r="A599" t="s">
        <v>229</v>
      </c>
      <c r="B599" s="1">
        <v>45684</v>
      </c>
      <c r="C599" t="s">
        <v>4007</v>
      </c>
      <c r="D599" t="s">
        <v>28</v>
      </c>
      <c r="E599">
        <v>500</v>
      </c>
      <c r="F599">
        <v>5</v>
      </c>
      <c r="G599">
        <f t="shared" si="27"/>
        <v>2500</v>
      </c>
      <c r="H599" t="s">
        <v>17</v>
      </c>
      <c r="I599">
        <f t="shared" si="28"/>
        <v>600</v>
      </c>
      <c r="J599">
        <f t="shared" si="29"/>
        <v>3000</v>
      </c>
    </row>
    <row r="600" spans="1:10" x14ac:dyDescent="0.45">
      <c r="A600" t="s">
        <v>230</v>
      </c>
      <c r="B600" s="1">
        <v>45684</v>
      </c>
      <c r="C600" t="s">
        <v>9</v>
      </c>
      <c r="D600" t="s">
        <v>19</v>
      </c>
      <c r="E600">
        <v>3000</v>
      </c>
      <c r="F600">
        <v>3</v>
      </c>
      <c r="G600">
        <f t="shared" si="27"/>
        <v>9000</v>
      </c>
      <c r="H600" t="s">
        <v>17</v>
      </c>
      <c r="I600">
        <f t="shared" si="28"/>
        <v>3600</v>
      </c>
      <c r="J600">
        <f t="shared" si="29"/>
        <v>10800</v>
      </c>
    </row>
    <row r="601" spans="1:10" x14ac:dyDescent="0.45">
      <c r="A601" t="s">
        <v>231</v>
      </c>
      <c r="B601" s="1">
        <v>45684</v>
      </c>
      <c r="C601" t="s">
        <v>12</v>
      </c>
      <c r="D601" t="s">
        <v>5022</v>
      </c>
      <c r="E601">
        <v>2880</v>
      </c>
      <c r="F601">
        <v>4</v>
      </c>
      <c r="G601">
        <f t="shared" si="27"/>
        <v>11520</v>
      </c>
      <c r="H601" t="s">
        <v>17</v>
      </c>
      <c r="I601">
        <f t="shared" si="28"/>
        <v>3456</v>
      </c>
      <c r="J601">
        <f t="shared" si="29"/>
        <v>13824</v>
      </c>
    </row>
    <row r="602" spans="1:10" x14ac:dyDescent="0.45">
      <c r="A602" t="s">
        <v>232</v>
      </c>
      <c r="B602" s="1">
        <v>45684</v>
      </c>
      <c r="C602" t="s">
        <v>4007</v>
      </c>
      <c r="D602" t="s">
        <v>5015</v>
      </c>
      <c r="E602">
        <v>48000</v>
      </c>
      <c r="F602">
        <v>2</v>
      </c>
      <c r="G602">
        <f t="shared" si="27"/>
        <v>96000</v>
      </c>
      <c r="H602" t="s">
        <v>21</v>
      </c>
      <c r="I602">
        <f t="shared" si="28"/>
        <v>57600</v>
      </c>
      <c r="J602">
        <f t="shared" si="29"/>
        <v>115200</v>
      </c>
    </row>
    <row r="603" spans="1:10" x14ac:dyDescent="0.45">
      <c r="A603" t="s">
        <v>233</v>
      </c>
      <c r="B603" s="1">
        <v>45684</v>
      </c>
      <c r="C603" t="s">
        <v>4007</v>
      </c>
      <c r="D603" t="s">
        <v>39</v>
      </c>
      <c r="E603">
        <v>6000</v>
      </c>
      <c r="F603">
        <v>5</v>
      </c>
      <c r="G603">
        <f t="shared" si="27"/>
        <v>30000</v>
      </c>
      <c r="H603" t="s">
        <v>21</v>
      </c>
      <c r="I603">
        <f t="shared" si="28"/>
        <v>7200</v>
      </c>
      <c r="J603">
        <f t="shared" si="29"/>
        <v>36000</v>
      </c>
    </row>
    <row r="604" spans="1:10" x14ac:dyDescent="0.45">
      <c r="A604" t="s">
        <v>234</v>
      </c>
      <c r="B604" s="1">
        <v>45684</v>
      </c>
      <c r="C604" t="s">
        <v>4007</v>
      </c>
      <c r="D604" t="s">
        <v>39</v>
      </c>
      <c r="E604">
        <v>6000</v>
      </c>
      <c r="F604">
        <v>3</v>
      </c>
      <c r="G604">
        <f t="shared" si="27"/>
        <v>18000</v>
      </c>
      <c r="H604" t="s">
        <v>21</v>
      </c>
      <c r="I604">
        <f t="shared" si="28"/>
        <v>7200</v>
      </c>
      <c r="J604">
        <f t="shared" si="29"/>
        <v>21600</v>
      </c>
    </row>
    <row r="605" spans="1:10" x14ac:dyDescent="0.45">
      <c r="A605" t="s">
        <v>2993</v>
      </c>
      <c r="B605" s="1">
        <v>45684</v>
      </c>
      <c r="C605" t="s">
        <v>33</v>
      </c>
      <c r="D605" t="s">
        <v>14</v>
      </c>
      <c r="E605">
        <v>800</v>
      </c>
      <c r="F605">
        <v>3</v>
      </c>
      <c r="G605">
        <f t="shared" si="27"/>
        <v>2400</v>
      </c>
      <c r="H605" t="s">
        <v>7</v>
      </c>
      <c r="I605">
        <f t="shared" si="28"/>
        <v>960</v>
      </c>
      <c r="J605">
        <f t="shared" si="29"/>
        <v>2880</v>
      </c>
    </row>
    <row r="606" spans="1:10" x14ac:dyDescent="0.45">
      <c r="A606" t="s">
        <v>3079</v>
      </c>
      <c r="B606" s="1">
        <v>45684</v>
      </c>
      <c r="C606" t="s">
        <v>4007</v>
      </c>
      <c r="D606" t="s">
        <v>2774</v>
      </c>
      <c r="E606">
        <v>1900</v>
      </c>
      <c r="F606">
        <v>10</v>
      </c>
      <c r="G606">
        <f t="shared" si="27"/>
        <v>19000</v>
      </c>
      <c r="H606" t="s">
        <v>7</v>
      </c>
      <c r="I606">
        <f t="shared" si="28"/>
        <v>2280</v>
      </c>
      <c r="J606">
        <f t="shared" si="29"/>
        <v>22800</v>
      </c>
    </row>
    <row r="607" spans="1:10" x14ac:dyDescent="0.45">
      <c r="A607" t="s">
        <v>4011</v>
      </c>
      <c r="B607" s="1">
        <v>45684</v>
      </c>
      <c r="C607" t="s">
        <v>3977</v>
      </c>
      <c r="D607" t="s">
        <v>3978</v>
      </c>
      <c r="E607">
        <v>2000</v>
      </c>
      <c r="F607" s="3">
        <v>8</v>
      </c>
      <c r="G607">
        <f t="shared" si="27"/>
        <v>16000</v>
      </c>
      <c r="H607" t="s">
        <v>7</v>
      </c>
      <c r="I607">
        <f t="shared" si="28"/>
        <v>2400</v>
      </c>
      <c r="J607">
        <f t="shared" si="29"/>
        <v>19200</v>
      </c>
    </row>
    <row r="608" spans="1:10" x14ac:dyDescent="0.45">
      <c r="A608" t="s">
        <v>4134</v>
      </c>
      <c r="B608" s="1">
        <v>45684</v>
      </c>
      <c r="C608" t="s">
        <v>5009</v>
      </c>
      <c r="D608" t="s">
        <v>3982</v>
      </c>
      <c r="E608">
        <v>13000</v>
      </c>
      <c r="F608" s="3">
        <v>5</v>
      </c>
      <c r="G608">
        <f t="shared" si="27"/>
        <v>65000</v>
      </c>
      <c r="H608" t="s">
        <v>7</v>
      </c>
      <c r="I608">
        <f t="shared" si="28"/>
        <v>15600</v>
      </c>
      <c r="J608">
        <f t="shared" si="29"/>
        <v>78000</v>
      </c>
    </row>
    <row r="609" spans="1:10" x14ac:dyDescent="0.45">
      <c r="A609" t="s">
        <v>4281</v>
      </c>
      <c r="B609" s="1">
        <v>45684</v>
      </c>
      <c r="C609" t="s">
        <v>33</v>
      </c>
      <c r="D609" t="s">
        <v>42</v>
      </c>
      <c r="E609">
        <v>6900</v>
      </c>
      <c r="F609" s="3">
        <v>2</v>
      </c>
      <c r="G609">
        <f t="shared" si="27"/>
        <v>13800</v>
      </c>
      <c r="H609" t="s">
        <v>21</v>
      </c>
      <c r="I609">
        <f t="shared" si="28"/>
        <v>8280</v>
      </c>
      <c r="J609">
        <f t="shared" si="29"/>
        <v>16560</v>
      </c>
    </row>
    <row r="610" spans="1:10" x14ac:dyDescent="0.45">
      <c r="A610" t="s">
        <v>4376</v>
      </c>
      <c r="B610" s="1">
        <v>45684</v>
      </c>
      <c r="C610" t="s">
        <v>5009</v>
      </c>
      <c r="D610" t="s">
        <v>4000</v>
      </c>
      <c r="E610">
        <v>3000</v>
      </c>
      <c r="F610" s="3">
        <v>10</v>
      </c>
      <c r="G610">
        <f t="shared" si="27"/>
        <v>30000</v>
      </c>
      <c r="H610" t="s">
        <v>21</v>
      </c>
      <c r="I610">
        <f t="shared" si="28"/>
        <v>3600</v>
      </c>
      <c r="J610">
        <f t="shared" si="29"/>
        <v>36000</v>
      </c>
    </row>
    <row r="611" spans="1:10" x14ac:dyDescent="0.45">
      <c r="A611" t="s">
        <v>4396</v>
      </c>
      <c r="B611" s="1">
        <v>45684</v>
      </c>
      <c r="C611" t="s">
        <v>5008</v>
      </c>
      <c r="D611" t="s">
        <v>3995</v>
      </c>
      <c r="E611">
        <v>15000</v>
      </c>
      <c r="F611" s="3">
        <v>9</v>
      </c>
      <c r="G611">
        <f t="shared" si="27"/>
        <v>135000</v>
      </c>
      <c r="H611" t="s">
        <v>17</v>
      </c>
      <c r="I611">
        <f t="shared" si="28"/>
        <v>18000</v>
      </c>
      <c r="J611">
        <f t="shared" si="29"/>
        <v>162000</v>
      </c>
    </row>
    <row r="612" spans="1:10" x14ac:dyDescent="0.45">
      <c r="A612" t="s">
        <v>4466</v>
      </c>
      <c r="B612" s="1">
        <v>45684</v>
      </c>
      <c r="C612" t="s">
        <v>3979</v>
      </c>
      <c r="D612" t="s">
        <v>3980</v>
      </c>
      <c r="E612">
        <v>500</v>
      </c>
      <c r="F612" s="3">
        <v>10</v>
      </c>
      <c r="G612">
        <f t="shared" si="27"/>
        <v>5000</v>
      </c>
      <c r="H612" t="s">
        <v>7</v>
      </c>
      <c r="I612">
        <f t="shared" si="28"/>
        <v>600</v>
      </c>
      <c r="J612">
        <f t="shared" si="29"/>
        <v>6000</v>
      </c>
    </row>
    <row r="613" spans="1:10" x14ac:dyDescent="0.45">
      <c r="A613" t="s">
        <v>4505</v>
      </c>
      <c r="B613" s="1">
        <v>45684</v>
      </c>
      <c r="C613" t="s">
        <v>4007</v>
      </c>
      <c r="D613" t="s">
        <v>3999</v>
      </c>
      <c r="E613">
        <v>50000</v>
      </c>
      <c r="F613" s="3">
        <v>6</v>
      </c>
      <c r="G613">
        <f t="shared" si="27"/>
        <v>300000</v>
      </c>
      <c r="H613" t="s">
        <v>21</v>
      </c>
      <c r="I613">
        <f t="shared" si="28"/>
        <v>60000</v>
      </c>
      <c r="J613">
        <f t="shared" si="29"/>
        <v>360000</v>
      </c>
    </row>
    <row r="614" spans="1:10" x14ac:dyDescent="0.45">
      <c r="A614" t="s">
        <v>4510</v>
      </c>
      <c r="B614" s="1">
        <v>45684</v>
      </c>
      <c r="C614" t="s">
        <v>33</v>
      </c>
      <c r="D614" t="s">
        <v>4001</v>
      </c>
      <c r="E614">
        <v>500</v>
      </c>
      <c r="F614" s="3">
        <v>2</v>
      </c>
      <c r="G614">
        <f t="shared" si="27"/>
        <v>1000</v>
      </c>
      <c r="H614" t="s">
        <v>21</v>
      </c>
      <c r="I614">
        <f t="shared" si="28"/>
        <v>600</v>
      </c>
      <c r="J614">
        <f t="shared" si="29"/>
        <v>1200</v>
      </c>
    </row>
    <row r="615" spans="1:10" x14ac:dyDescent="0.45">
      <c r="A615" t="s">
        <v>4520</v>
      </c>
      <c r="B615" s="1">
        <v>45684</v>
      </c>
      <c r="C615" t="s">
        <v>5008</v>
      </c>
      <c r="D615" t="s">
        <v>3996</v>
      </c>
      <c r="E615">
        <v>2000</v>
      </c>
      <c r="F615" s="3">
        <v>7</v>
      </c>
      <c r="G615">
        <f t="shared" si="27"/>
        <v>14000</v>
      </c>
      <c r="H615" t="s">
        <v>21</v>
      </c>
      <c r="I615">
        <f t="shared" si="28"/>
        <v>2400</v>
      </c>
      <c r="J615">
        <f t="shared" si="29"/>
        <v>16800</v>
      </c>
    </row>
    <row r="616" spans="1:10" x14ac:dyDescent="0.45">
      <c r="A616" t="s">
        <v>4532</v>
      </c>
      <c r="B616" s="1">
        <v>45684</v>
      </c>
      <c r="C616" t="s">
        <v>4007</v>
      </c>
      <c r="D616" t="s">
        <v>3999</v>
      </c>
      <c r="E616">
        <v>50000</v>
      </c>
      <c r="F616" s="3">
        <v>6</v>
      </c>
      <c r="G616">
        <f t="shared" si="27"/>
        <v>300000</v>
      </c>
      <c r="H616" t="s">
        <v>7</v>
      </c>
      <c r="I616">
        <f t="shared" si="28"/>
        <v>60000</v>
      </c>
      <c r="J616">
        <f t="shared" si="29"/>
        <v>360000</v>
      </c>
    </row>
    <row r="617" spans="1:10" x14ac:dyDescent="0.45">
      <c r="A617" t="s">
        <v>4599</v>
      </c>
      <c r="B617" s="1">
        <v>45684</v>
      </c>
      <c r="C617" t="s">
        <v>33</v>
      </c>
      <c r="D617" t="s">
        <v>4001</v>
      </c>
      <c r="E617">
        <v>500</v>
      </c>
      <c r="F617" s="3">
        <v>7</v>
      </c>
      <c r="G617">
        <f t="shared" si="27"/>
        <v>3500</v>
      </c>
      <c r="H617" t="s">
        <v>21</v>
      </c>
      <c r="I617">
        <f t="shared" si="28"/>
        <v>600</v>
      </c>
      <c r="J617">
        <f t="shared" si="29"/>
        <v>4200</v>
      </c>
    </row>
    <row r="618" spans="1:10" x14ac:dyDescent="0.45">
      <c r="A618" t="s">
        <v>4826</v>
      </c>
      <c r="B618" s="1">
        <v>45684</v>
      </c>
      <c r="C618" t="s">
        <v>3977</v>
      </c>
      <c r="D618" t="s">
        <v>4002</v>
      </c>
      <c r="E618">
        <v>2500</v>
      </c>
      <c r="F618" s="3">
        <v>4</v>
      </c>
      <c r="G618">
        <f t="shared" si="27"/>
        <v>10000</v>
      </c>
      <c r="H618" t="s">
        <v>17</v>
      </c>
      <c r="I618">
        <f t="shared" si="28"/>
        <v>3000</v>
      </c>
      <c r="J618">
        <f t="shared" si="29"/>
        <v>12000</v>
      </c>
    </row>
    <row r="619" spans="1:10" x14ac:dyDescent="0.45">
      <c r="A619" t="s">
        <v>4854</v>
      </c>
      <c r="B619" s="1">
        <v>45684</v>
      </c>
      <c r="C619" t="s">
        <v>3979</v>
      </c>
      <c r="D619" t="s">
        <v>4006</v>
      </c>
      <c r="E619">
        <v>2000</v>
      </c>
      <c r="F619" s="3">
        <v>1</v>
      </c>
      <c r="G619">
        <f t="shared" si="27"/>
        <v>2000</v>
      </c>
      <c r="H619" t="s">
        <v>7</v>
      </c>
      <c r="I619">
        <f t="shared" si="28"/>
        <v>2400</v>
      </c>
      <c r="J619">
        <f t="shared" si="29"/>
        <v>2400</v>
      </c>
    </row>
    <row r="620" spans="1:10" x14ac:dyDescent="0.45">
      <c r="A620" t="s">
        <v>4917</v>
      </c>
      <c r="B620" s="1">
        <v>45684</v>
      </c>
      <c r="C620" t="s">
        <v>33</v>
      </c>
      <c r="D620" t="s">
        <v>4001</v>
      </c>
      <c r="E620">
        <v>500</v>
      </c>
      <c r="F620" s="3">
        <v>10</v>
      </c>
      <c r="G620">
        <f t="shared" si="27"/>
        <v>5000</v>
      </c>
      <c r="H620" t="s">
        <v>21</v>
      </c>
      <c r="I620">
        <f t="shared" si="28"/>
        <v>600</v>
      </c>
      <c r="J620">
        <f t="shared" si="29"/>
        <v>6000</v>
      </c>
    </row>
    <row r="621" spans="1:10" x14ac:dyDescent="0.45">
      <c r="A621" t="s">
        <v>235</v>
      </c>
      <c r="B621" s="1">
        <v>45685</v>
      </c>
      <c r="C621" t="s">
        <v>12</v>
      </c>
      <c r="D621" t="s">
        <v>5023</v>
      </c>
      <c r="E621">
        <v>1750</v>
      </c>
      <c r="F621">
        <v>1</v>
      </c>
      <c r="G621">
        <f t="shared" si="27"/>
        <v>1750</v>
      </c>
      <c r="H621" t="s">
        <v>7</v>
      </c>
      <c r="I621">
        <f t="shared" si="28"/>
        <v>2100</v>
      </c>
      <c r="J621">
        <f t="shared" si="29"/>
        <v>2100</v>
      </c>
    </row>
    <row r="622" spans="1:10" x14ac:dyDescent="0.45">
      <c r="A622" t="s">
        <v>236</v>
      </c>
      <c r="B622" s="1">
        <v>45685</v>
      </c>
      <c r="C622" t="s">
        <v>4007</v>
      </c>
      <c r="D622" t="s">
        <v>5015</v>
      </c>
      <c r="E622">
        <v>48000</v>
      </c>
      <c r="F622">
        <v>8</v>
      </c>
      <c r="G622">
        <f t="shared" si="27"/>
        <v>384000</v>
      </c>
      <c r="H622" t="s">
        <v>17</v>
      </c>
      <c r="I622">
        <f t="shared" si="28"/>
        <v>57600</v>
      </c>
      <c r="J622">
        <f t="shared" si="29"/>
        <v>460800</v>
      </c>
    </row>
    <row r="623" spans="1:10" x14ac:dyDescent="0.45">
      <c r="A623" t="s">
        <v>237</v>
      </c>
      <c r="B623" s="1">
        <v>45685</v>
      </c>
      <c r="C623" t="s">
        <v>9</v>
      </c>
      <c r="D623" t="s">
        <v>10</v>
      </c>
      <c r="E623">
        <v>400</v>
      </c>
      <c r="F623">
        <v>4</v>
      </c>
      <c r="G623">
        <f t="shared" si="27"/>
        <v>1600</v>
      </c>
      <c r="H623" t="s">
        <v>7</v>
      </c>
      <c r="I623">
        <f t="shared" si="28"/>
        <v>480</v>
      </c>
      <c r="J623">
        <f t="shared" si="29"/>
        <v>1920</v>
      </c>
    </row>
    <row r="624" spans="1:10" x14ac:dyDescent="0.45">
      <c r="A624" t="s">
        <v>238</v>
      </c>
      <c r="B624" s="1">
        <v>45685</v>
      </c>
      <c r="C624" t="s">
        <v>4007</v>
      </c>
      <c r="D624" t="s">
        <v>4005</v>
      </c>
      <c r="E624">
        <v>60000</v>
      </c>
      <c r="F624">
        <v>1</v>
      </c>
      <c r="G624">
        <f t="shared" si="27"/>
        <v>60000</v>
      </c>
      <c r="H624" t="s">
        <v>7</v>
      </c>
      <c r="I624">
        <f t="shared" si="28"/>
        <v>72000</v>
      </c>
      <c r="J624">
        <f t="shared" si="29"/>
        <v>72000</v>
      </c>
    </row>
    <row r="625" spans="1:10" x14ac:dyDescent="0.45">
      <c r="A625" t="s">
        <v>239</v>
      </c>
      <c r="B625" s="1">
        <v>45685</v>
      </c>
      <c r="C625" t="s">
        <v>33</v>
      </c>
      <c r="D625" t="s">
        <v>14</v>
      </c>
      <c r="E625">
        <v>800</v>
      </c>
      <c r="F625">
        <v>2</v>
      </c>
      <c r="G625">
        <f t="shared" si="27"/>
        <v>1600</v>
      </c>
      <c r="H625" t="s">
        <v>21</v>
      </c>
      <c r="I625">
        <f t="shared" si="28"/>
        <v>960</v>
      </c>
      <c r="J625">
        <f t="shared" si="29"/>
        <v>1920</v>
      </c>
    </row>
    <row r="626" spans="1:10" x14ac:dyDescent="0.45">
      <c r="A626" t="s">
        <v>240</v>
      </c>
      <c r="B626" s="1">
        <v>45685</v>
      </c>
      <c r="C626" t="s">
        <v>4007</v>
      </c>
      <c r="D626" t="s">
        <v>4005</v>
      </c>
      <c r="E626">
        <v>60000</v>
      </c>
      <c r="F626">
        <v>6</v>
      </c>
      <c r="G626">
        <f t="shared" si="27"/>
        <v>360000</v>
      </c>
      <c r="H626" t="s">
        <v>21</v>
      </c>
      <c r="I626">
        <f t="shared" si="28"/>
        <v>72000</v>
      </c>
      <c r="J626">
        <f t="shared" si="29"/>
        <v>432000</v>
      </c>
    </row>
    <row r="627" spans="1:10" x14ac:dyDescent="0.45">
      <c r="A627" t="s">
        <v>241</v>
      </c>
      <c r="B627" s="1">
        <v>45685</v>
      </c>
      <c r="C627" t="s">
        <v>4007</v>
      </c>
      <c r="D627" t="s">
        <v>28</v>
      </c>
      <c r="E627">
        <v>500</v>
      </c>
      <c r="F627">
        <v>1</v>
      </c>
      <c r="G627">
        <f t="shared" si="27"/>
        <v>500</v>
      </c>
      <c r="H627" t="s">
        <v>21</v>
      </c>
      <c r="I627">
        <f t="shared" si="28"/>
        <v>600</v>
      </c>
      <c r="J627">
        <f t="shared" si="29"/>
        <v>600</v>
      </c>
    </row>
    <row r="628" spans="1:10" x14ac:dyDescent="0.45">
      <c r="A628" t="s">
        <v>242</v>
      </c>
      <c r="B628" s="1">
        <v>45685</v>
      </c>
      <c r="C628" t="s">
        <v>33</v>
      </c>
      <c r="D628" t="s">
        <v>42</v>
      </c>
      <c r="E628">
        <v>6900</v>
      </c>
      <c r="F628">
        <v>4</v>
      </c>
      <c r="G628">
        <f t="shared" si="27"/>
        <v>27600</v>
      </c>
      <c r="H628" t="s">
        <v>21</v>
      </c>
      <c r="I628">
        <f t="shared" si="28"/>
        <v>8280</v>
      </c>
      <c r="J628">
        <f t="shared" si="29"/>
        <v>33120</v>
      </c>
    </row>
    <row r="629" spans="1:10" x14ac:dyDescent="0.45">
      <c r="A629" t="s">
        <v>243</v>
      </c>
      <c r="B629" s="1">
        <v>45685</v>
      </c>
      <c r="C629" t="s">
        <v>12</v>
      </c>
      <c r="D629" t="s">
        <v>5020</v>
      </c>
      <c r="E629">
        <v>2880</v>
      </c>
      <c r="F629">
        <v>9</v>
      </c>
      <c r="G629">
        <f t="shared" si="27"/>
        <v>25920</v>
      </c>
      <c r="H629" t="s">
        <v>17</v>
      </c>
      <c r="I629">
        <f t="shared" si="28"/>
        <v>3456</v>
      </c>
      <c r="J629">
        <f t="shared" si="29"/>
        <v>31104</v>
      </c>
    </row>
    <row r="630" spans="1:10" x14ac:dyDescent="0.45">
      <c r="A630" t="s">
        <v>3185</v>
      </c>
      <c r="B630" s="1">
        <v>45685</v>
      </c>
      <c r="C630" t="s">
        <v>2772</v>
      </c>
      <c r="D630" t="s">
        <v>2771</v>
      </c>
      <c r="E630">
        <v>120</v>
      </c>
      <c r="F630">
        <v>10</v>
      </c>
      <c r="G630">
        <f t="shared" si="27"/>
        <v>1200</v>
      </c>
      <c r="H630" t="s">
        <v>7</v>
      </c>
      <c r="I630">
        <f t="shared" si="28"/>
        <v>144</v>
      </c>
      <c r="J630">
        <f t="shared" si="29"/>
        <v>1440</v>
      </c>
    </row>
    <row r="631" spans="1:10" x14ac:dyDescent="0.45">
      <c r="A631" t="s">
        <v>3274</v>
      </c>
      <c r="B631" s="1">
        <v>45685</v>
      </c>
      <c r="C631" t="s">
        <v>33</v>
      </c>
      <c r="D631" t="s">
        <v>34</v>
      </c>
      <c r="E631">
        <v>1700</v>
      </c>
      <c r="F631">
        <v>5</v>
      </c>
      <c r="G631">
        <f t="shared" si="27"/>
        <v>8500</v>
      </c>
      <c r="H631" t="s">
        <v>7</v>
      </c>
      <c r="I631">
        <f t="shared" si="28"/>
        <v>2040</v>
      </c>
      <c r="J631">
        <f t="shared" si="29"/>
        <v>10200</v>
      </c>
    </row>
    <row r="632" spans="1:10" x14ac:dyDescent="0.45">
      <c r="A632" t="s">
        <v>3395</v>
      </c>
      <c r="B632" s="1">
        <v>45685</v>
      </c>
      <c r="C632" t="s">
        <v>4007</v>
      </c>
      <c r="D632" t="s">
        <v>28</v>
      </c>
      <c r="E632">
        <v>500</v>
      </c>
      <c r="F632">
        <v>5</v>
      </c>
      <c r="G632">
        <f t="shared" si="27"/>
        <v>2500</v>
      </c>
      <c r="H632" t="s">
        <v>21</v>
      </c>
      <c r="I632">
        <f t="shared" si="28"/>
        <v>600</v>
      </c>
      <c r="J632">
        <f t="shared" si="29"/>
        <v>3000</v>
      </c>
    </row>
    <row r="633" spans="1:10" x14ac:dyDescent="0.45">
      <c r="A633" t="s">
        <v>3450</v>
      </c>
      <c r="B633" s="1">
        <v>45685</v>
      </c>
      <c r="C633" t="s">
        <v>33</v>
      </c>
      <c r="D633" t="s">
        <v>34</v>
      </c>
      <c r="E633">
        <v>1700</v>
      </c>
      <c r="F633">
        <v>3</v>
      </c>
      <c r="G633">
        <f t="shared" si="27"/>
        <v>5100</v>
      </c>
      <c r="H633" t="s">
        <v>17</v>
      </c>
      <c r="I633">
        <f t="shared" si="28"/>
        <v>2040</v>
      </c>
      <c r="J633">
        <f t="shared" si="29"/>
        <v>6120</v>
      </c>
    </row>
    <row r="634" spans="1:10" x14ac:dyDescent="0.45">
      <c r="A634" t="s">
        <v>3751</v>
      </c>
      <c r="B634" s="1">
        <v>45685</v>
      </c>
      <c r="C634" t="s">
        <v>4007</v>
      </c>
      <c r="D634" t="s">
        <v>2774</v>
      </c>
      <c r="E634">
        <v>1900</v>
      </c>
      <c r="F634">
        <v>8</v>
      </c>
      <c r="G634">
        <f t="shared" si="27"/>
        <v>15200</v>
      </c>
      <c r="H634" t="s">
        <v>7</v>
      </c>
      <c r="I634">
        <f t="shared" si="28"/>
        <v>2280</v>
      </c>
      <c r="J634">
        <f t="shared" si="29"/>
        <v>18240</v>
      </c>
    </row>
    <row r="635" spans="1:10" x14ac:dyDescent="0.45">
      <c r="A635" t="s">
        <v>4039</v>
      </c>
      <c r="B635" s="1">
        <v>45685</v>
      </c>
      <c r="C635" t="s">
        <v>5009</v>
      </c>
      <c r="D635" t="s">
        <v>3990</v>
      </c>
      <c r="E635">
        <v>2800</v>
      </c>
      <c r="F635" s="3">
        <v>9</v>
      </c>
      <c r="G635">
        <f t="shared" si="27"/>
        <v>25200</v>
      </c>
      <c r="H635" t="s">
        <v>17</v>
      </c>
      <c r="I635">
        <f t="shared" si="28"/>
        <v>3360</v>
      </c>
      <c r="J635">
        <f t="shared" si="29"/>
        <v>30240</v>
      </c>
    </row>
    <row r="636" spans="1:10" x14ac:dyDescent="0.45">
      <c r="A636" t="s">
        <v>4162</v>
      </c>
      <c r="B636" s="1">
        <v>45685</v>
      </c>
      <c r="C636" t="s">
        <v>5009</v>
      </c>
      <c r="D636" t="s">
        <v>3982</v>
      </c>
      <c r="E636">
        <v>13000</v>
      </c>
      <c r="F636" s="3">
        <v>8</v>
      </c>
      <c r="G636">
        <f t="shared" si="27"/>
        <v>104000</v>
      </c>
      <c r="H636" t="s">
        <v>17</v>
      </c>
      <c r="I636">
        <f t="shared" si="28"/>
        <v>15600</v>
      </c>
      <c r="J636">
        <f t="shared" si="29"/>
        <v>124800</v>
      </c>
    </row>
    <row r="637" spans="1:10" x14ac:dyDescent="0.45">
      <c r="A637" t="s">
        <v>4187</v>
      </c>
      <c r="B637" s="1">
        <v>45685</v>
      </c>
      <c r="C637" t="s">
        <v>3977</v>
      </c>
      <c r="D637" t="s">
        <v>3993</v>
      </c>
      <c r="E637">
        <v>1000</v>
      </c>
      <c r="F637" s="3">
        <v>3</v>
      </c>
      <c r="G637">
        <f t="shared" si="27"/>
        <v>3000</v>
      </c>
      <c r="H637" t="s">
        <v>17</v>
      </c>
      <c r="I637">
        <f t="shared" si="28"/>
        <v>1200</v>
      </c>
      <c r="J637">
        <f t="shared" si="29"/>
        <v>3600</v>
      </c>
    </row>
    <row r="638" spans="1:10" x14ac:dyDescent="0.45">
      <c r="A638" t="s">
        <v>4197</v>
      </c>
      <c r="B638" s="1">
        <v>45685</v>
      </c>
      <c r="C638" t="s">
        <v>33</v>
      </c>
      <c r="D638" t="s">
        <v>3981</v>
      </c>
      <c r="E638">
        <v>4000</v>
      </c>
      <c r="F638" s="3">
        <v>4</v>
      </c>
      <c r="G638">
        <f t="shared" si="27"/>
        <v>16000</v>
      </c>
      <c r="H638" t="s">
        <v>21</v>
      </c>
      <c r="I638">
        <f t="shared" si="28"/>
        <v>4800</v>
      </c>
      <c r="J638">
        <f t="shared" si="29"/>
        <v>19200</v>
      </c>
    </row>
    <row r="639" spans="1:10" x14ac:dyDescent="0.45">
      <c r="A639" t="s">
        <v>4244</v>
      </c>
      <c r="B639" s="1">
        <v>45685</v>
      </c>
      <c r="C639" t="s">
        <v>3977</v>
      </c>
      <c r="D639" t="s">
        <v>3991</v>
      </c>
      <c r="E639">
        <v>2000</v>
      </c>
      <c r="F639" s="3">
        <v>5</v>
      </c>
      <c r="G639">
        <f t="shared" si="27"/>
        <v>10000</v>
      </c>
      <c r="H639" t="s">
        <v>21</v>
      </c>
      <c r="I639">
        <f t="shared" si="28"/>
        <v>2400</v>
      </c>
      <c r="J639">
        <f t="shared" si="29"/>
        <v>12000</v>
      </c>
    </row>
    <row r="640" spans="1:10" x14ac:dyDescent="0.45">
      <c r="A640" t="s">
        <v>4417</v>
      </c>
      <c r="B640" s="1">
        <v>45685</v>
      </c>
      <c r="C640" t="s">
        <v>5008</v>
      </c>
      <c r="D640" t="s">
        <v>4003</v>
      </c>
      <c r="E640">
        <v>10000</v>
      </c>
      <c r="F640" s="3">
        <v>5</v>
      </c>
      <c r="G640">
        <f t="shared" si="27"/>
        <v>50000</v>
      </c>
      <c r="H640" t="s">
        <v>17</v>
      </c>
      <c r="I640">
        <f t="shared" si="28"/>
        <v>12000</v>
      </c>
      <c r="J640">
        <f t="shared" si="29"/>
        <v>60000</v>
      </c>
    </row>
    <row r="641" spans="1:10" x14ac:dyDescent="0.45">
      <c r="A641" t="s">
        <v>4453</v>
      </c>
      <c r="B641" s="1">
        <v>45685</v>
      </c>
      <c r="C641" t="s">
        <v>3977</v>
      </c>
      <c r="D641" t="s">
        <v>3991</v>
      </c>
      <c r="E641">
        <v>2000</v>
      </c>
      <c r="F641" s="3">
        <v>1</v>
      </c>
      <c r="G641">
        <f t="shared" si="27"/>
        <v>2000</v>
      </c>
      <c r="H641" t="s">
        <v>17</v>
      </c>
      <c r="I641">
        <f t="shared" si="28"/>
        <v>2400</v>
      </c>
      <c r="J641">
        <f t="shared" si="29"/>
        <v>2400</v>
      </c>
    </row>
    <row r="642" spans="1:10" x14ac:dyDescent="0.45">
      <c r="A642" t="s">
        <v>4513</v>
      </c>
      <c r="B642" s="1">
        <v>45685</v>
      </c>
      <c r="C642" t="s">
        <v>3979</v>
      </c>
      <c r="D642" t="s">
        <v>3987</v>
      </c>
      <c r="E642">
        <v>8000</v>
      </c>
      <c r="F642" s="3">
        <v>8</v>
      </c>
      <c r="G642">
        <f t="shared" ref="G642:G705" si="30">E642*F642</f>
        <v>64000</v>
      </c>
      <c r="H642" t="s">
        <v>21</v>
      </c>
      <c r="I642">
        <f t="shared" ref="I642:I705" si="31">E642*1.2</f>
        <v>9600</v>
      </c>
      <c r="J642">
        <f t="shared" ref="J642:J705" si="32">I642*F642</f>
        <v>76800</v>
      </c>
    </row>
    <row r="643" spans="1:10" x14ac:dyDescent="0.45">
      <c r="A643" t="s">
        <v>4551</v>
      </c>
      <c r="B643" s="1">
        <v>45685</v>
      </c>
      <c r="C643" t="s">
        <v>3979</v>
      </c>
      <c r="D643" t="s">
        <v>3984</v>
      </c>
      <c r="E643">
        <v>12000</v>
      </c>
      <c r="F643" s="3">
        <v>6</v>
      </c>
      <c r="G643">
        <f t="shared" si="30"/>
        <v>72000</v>
      </c>
      <c r="H643" t="s">
        <v>17</v>
      </c>
      <c r="I643">
        <f t="shared" si="31"/>
        <v>14400</v>
      </c>
      <c r="J643">
        <f t="shared" si="32"/>
        <v>86400</v>
      </c>
    </row>
    <row r="644" spans="1:10" x14ac:dyDescent="0.45">
      <c r="A644" t="s">
        <v>4834</v>
      </c>
      <c r="B644" s="1">
        <v>45685</v>
      </c>
      <c r="C644" t="s">
        <v>3977</v>
      </c>
      <c r="D644" t="s">
        <v>3993</v>
      </c>
      <c r="E644">
        <v>1000</v>
      </c>
      <c r="F644" s="3">
        <v>9</v>
      </c>
      <c r="G644">
        <f t="shared" si="30"/>
        <v>9000</v>
      </c>
      <c r="H644" t="s">
        <v>7</v>
      </c>
      <c r="I644">
        <f t="shared" si="31"/>
        <v>1200</v>
      </c>
      <c r="J644">
        <f t="shared" si="32"/>
        <v>10800</v>
      </c>
    </row>
    <row r="645" spans="1:10" x14ac:dyDescent="0.45">
      <c r="A645" t="s">
        <v>4880</v>
      </c>
      <c r="B645" s="1">
        <v>45685</v>
      </c>
      <c r="C645" t="s">
        <v>3979</v>
      </c>
      <c r="D645" t="s">
        <v>3987</v>
      </c>
      <c r="E645">
        <v>8000</v>
      </c>
      <c r="F645" s="3">
        <v>10</v>
      </c>
      <c r="G645">
        <f t="shared" si="30"/>
        <v>80000</v>
      </c>
      <c r="H645" t="s">
        <v>7</v>
      </c>
      <c r="I645">
        <f t="shared" si="31"/>
        <v>9600</v>
      </c>
      <c r="J645">
        <f t="shared" si="32"/>
        <v>96000</v>
      </c>
    </row>
    <row r="646" spans="1:10" x14ac:dyDescent="0.45">
      <c r="A646" t="s">
        <v>4903</v>
      </c>
      <c r="B646" s="1">
        <v>45685</v>
      </c>
      <c r="C646" t="s">
        <v>3977</v>
      </c>
      <c r="D646" t="s">
        <v>3993</v>
      </c>
      <c r="E646">
        <v>1000</v>
      </c>
      <c r="F646" s="3">
        <v>8</v>
      </c>
      <c r="G646">
        <f t="shared" si="30"/>
        <v>8000</v>
      </c>
      <c r="H646" t="s">
        <v>21</v>
      </c>
      <c r="I646">
        <f t="shared" si="31"/>
        <v>1200</v>
      </c>
      <c r="J646">
        <f t="shared" si="32"/>
        <v>9600</v>
      </c>
    </row>
    <row r="647" spans="1:10" x14ac:dyDescent="0.45">
      <c r="A647" t="s">
        <v>4911</v>
      </c>
      <c r="B647" s="1">
        <v>45685</v>
      </c>
      <c r="C647" t="s">
        <v>4007</v>
      </c>
      <c r="D647" t="s">
        <v>4005</v>
      </c>
      <c r="E647">
        <v>60000</v>
      </c>
      <c r="F647" s="3">
        <v>7</v>
      </c>
      <c r="G647">
        <f t="shared" si="30"/>
        <v>420000</v>
      </c>
      <c r="H647" t="s">
        <v>17</v>
      </c>
      <c r="I647">
        <f t="shared" si="31"/>
        <v>72000</v>
      </c>
      <c r="J647">
        <f t="shared" si="32"/>
        <v>504000</v>
      </c>
    </row>
    <row r="648" spans="1:10" x14ac:dyDescent="0.45">
      <c r="A648" t="s">
        <v>4997</v>
      </c>
      <c r="B648" s="1">
        <v>45685</v>
      </c>
      <c r="C648" t="s">
        <v>3977</v>
      </c>
      <c r="D648" t="s">
        <v>3991</v>
      </c>
      <c r="E648">
        <v>2000</v>
      </c>
      <c r="F648" s="3">
        <v>8</v>
      </c>
      <c r="G648">
        <f t="shared" si="30"/>
        <v>16000</v>
      </c>
      <c r="H648" t="s">
        <v>17</v>
      </c>
      <c r="I648">
        <f t="shared" si="31"/>
        <v>2400</v>
      </c>
      <c r="J648">
        <f t="shared" si="32"/>
        <v>19200</v>
      </c>
    </row>
    <row r="649" spans="1:10" x14ac:dyDescent="0.45">
      <c r="A649" t="s">
        <v>244</v>
      </c>
      <c r="B649" s="1">
        <v>45686</v>
      </c>
      <c r="C649" t="s">
        <v>4007</v>
      </c>
      <c r="D649" t="s">
        <v>5015</v>
      </c>
      <c r="E649">
        <v>48000</v>
      </c>
      <c r="F649">
        <v>9</v>
      </c>
      <c r="G649">
        <f t="shared" si="30"/>
        <v>432000</v>
      </c>
      <c r="H649" t="s">
        <v>17</v>
      </c>
      <c r="I649">
        <f t="shared" si="31"/>
        <v>57600</v>
      </c>
      <c r="J649">
        <f t="shared" si="32"/>
        <v>518400</v>
      </c>
    </row>
    <row r="650" spans="1:10" x14ac:dyDescent="0.45">
      <c r="A650" t="s">
        <v>245</v>
      </c>
      <c r="B650" s="1">
        <v>45686</v>
      </c>
      <c r="C650" t="s">
        <v>4007</v>
      </c>
      <c r="D650" t="s">
        <v>28</v>
      </c>
      <c r="E650">
        <v>500</v>
      </c>
      <c r="F650">
        <v>9</v>
      </c>
      <c r="G650">
        <f t="shared" si="30"/>
        <v>4500</v>
      </c>
      <c r="H650" t="s">
        <v>7</v>
      </c>
      <c r="I650">
        <f t="shared" si="31"/>
        <v>600</v>
      </c>
      <c r="J650">
        <f t="shared" si="32"/>
        <v>5400</v>
      </c>
    </row>
    <row r="651" spans="1:10" x14ac:dyDescent="0.45">
      <c r="A651" t="s">
        <v>246</v>
      </c>
      <c r="B651" s="1">
        <v>45686</v>
      </c>
      <c r="C651" t="s">
        <v>9</v>
      </c>
      <c r="D651" t="s">
        <v>10</v>
      </c>
      <c r="E651">
        <v>400</v>
      </c>
      <c r="F651">
        <v>10</v>
      </c>
      <c r="G651">
        <f t="shared" si="30"/>
        <v>4000</v>
      </c>
      <c r="H651" t="s">
        <v>21</v>
      </c>
      <c r="I651">
        <f t="shared" si="31"/>
        <v>480</v>
      </c>
      <c r="J651">
        <f t="shared" si="32"/>
        <v>4800</v>
      </c>
    </row>
    <row r="652" spans="1:10" x14ac:dyDescent="0.45">
      <c r="A652" t="s">
        <v>247</v>
      </c>
      <c r="B652" s="1">
        <v>45686</v>
      </c>
      <c r="C652" t="s">
        <v>12</v>
      </c>
      <c r="D652" t="s">
        <v>5020</v>
      </c>
      <c r="E652">
        <v>2880</v>
      </c>
      <c r="F652">
        <v>10</v>
      </c>
      <c r="G652">
        <f t="shared" si="30"/>
        <v>28800</v>
      </c>
      <c r="H652" t="s">
        <v>17</v>
      </c>
      <c r="I652">
        <f t="shared" si="31"/>
        <v>3456</v>
      </c>
      <c r="J652">
        <f t="shared" si="32"/>
        <v>34560</v>
      </c>
    </row>
    <row r="653" spans="1:10" x14ac:dyDescent="0.45">
      <c r="A653" t="s">
        <v>248</v>
      </c>
      <c r="B653" s="1">
        <v>45686</v>
      </c>
      <c r="C653" t="s">
        <v>12</v>
      </c>
      <c r="D653" t="s">
        <v>5020</v>
      </c>
      <c r="E653">
        <v>2880</v>
      </c>
      <c r="F653">
        <v>5</v>
      </c>
      <c r="G653">
        <f t="shared" si="30"/>
        <v>14400</v>
      </c>
      <c r="H653" t="s">
        <v>17</v>
      </c>
      <c r="I653">
        <f t="shared" si="31"/>
        <v>3456</v>
      </c>
      <c r="J653">
        <f t="shared" si="32"/>
        <v>17280</v>
      </c>
    </row>
    <row r="654" spans="1:10" x14ac:dyDescent="0.45">
      <c r="A654" t="s">
        <v>249</v>
      </c>
      <c r="B654" s="1">
        <v>45686</v>
      </c>
      <c r="C654" t="s">
        <v>9</v>
      </c>
      <c r="D654" t="s">
        <v>10</v>
      </c>
      <c r="E654">
        <v>400</v>
      </c>
      <c r="F654">
        <v>2</v>
      </c>
      <c r="G654">
        <f t="shared" si="30"/>
        <v>800</v>
      </c>
      <c r="H654" t="s">
        <v>7</v>
      </c>
      <c r="I654">
        <f t="shared" si="31"/>
        <v>480</v>
      </c>
      <c r="J654">
        <f t="shared" si="32"/>
        <v>960</v>
      </c>
    </row>
    <row r="655" spans="1:10" x14ac:dyDescent="0.45">
      <c r="A655" t="s">
        <v>250</v>
      </c>
      <c r="B655" s="1">
        <v>45686</v>
      </c>
      <c r="C655" t="s">
        <v>9</v>
      </c>
      <c r="D655" t="s">
        <v>19</v>
      </c>
      <c r="E655">
        <v>3000</v>
      </c>
      <c r="F655">
        <v>10</v>
      </c>
      <c r="G655">
        <f t="shared" si="30"/>
        <v>30000</v>
      </c>
      <c r="H655" t="s">
        <v>17</v>
      </c>
      <c r="I655">
        <f t="shared" si="31"/>
        <v>3600</v>
      </c>
      <c r="J655">
        <f t="shared" si="32"/>
        <v>36000</v>
      </c>
    </row>
    <row r="656" spans="1:10" x14ac:dyDescent="0.45">
      <c r="A656" t="s">
        <v>251</v>
      </c>
      <c r="B656" s="1">
        <v>45686</v>
      </c>
      <c r="C656" t="s">
        <v>4007</v>
      </c>
      <c r="D656" t="s">
        <v>39</v>
      </c>
      <c r="E656">
        <v>6000</v>
      </c>
      <c r="F656">
        <v>1</v>
      </c>
      <c r="G656">
        <f t="shared" si="30"/>
        <v>6000</v>
      </c>
      <c r="H656" t="s">
        <v>17</v>
      </c>
      <c r="I656">
        <f t="shared" si="31"/>
        <v>7200</v>
      </c>
      <c r="J656">
        <f t="shared" si="32"/>
        <v>7200</v>
      </c>
    </row>
    <row r="657" spans="1:10" x14ac:dyDescent="0.45">
      <c r="A657" t="s">
        <v>3117</v>
      </c>
      <c r="B657" s="1">
        <v>45686</v>
      </c>
      <c r="C657" t="s">
        <v>2772</v>
      </c>
      <c r="D657" t="s">
        <v>2771</v>
      </c>
      <c r="E657">
        <v>120</v>
      </c>
      <c r="F657">
        <v>4</v>
      </c>
      <c r="G657">
        <f t="shared" si="30"/>
        <v>480</v>
      </c>
      <c r="H657" t="s">
        <v>7</v>
      </c>
      <c r="I657">
        <f t="shared" si="31"/>
        <v>144</v>
      </c>
      <c r="J657">
        <f t="shared" si="32"/>
        <v>576</v>
      </c>
    </row>
    <row r="658" spans="1:10" x14ac:dyDescent="0.45">
      <c r="A658" t="s">
        <v>3195</v>
      </c>
      <c r="B658" s="1">
        <v>45686</v>
      </c>
      <c r="C658" t="s">
        <v>2772</v>
      </c>
      <c r="D658" t="s">
        <v>2771</v>
      </c>
      <c r="E658">
        <v>120</v>
      </c>
      <c r="F658">
        <v>2</v>
      </c>
      <c r="G658">
        <f t="shared" si="30"/>
        <v>240</v>
      </c>
      <c r="H658" t="s">
        <v>17</v>
      </c>
      <c r="I658">
        <f t="shared" si="31"/>
        <v>144</v>
      </c>
      <c r="J658">
        <f t="shared" si="32"/>
        <v>288</v>
      </c>
    </row>
    <row r="659" spans="1:10" x14ac:dyDescent="0.45">
      <c r="A659" t="s">
        <v>3455</v>
      </c>
      <c r="B659" s="1">
        <v>45686</v>
      </c>
      <c r="C659" t="s">
        <v>4007</v>
      </c>
      <c r="D659" t="s">
        <v>2770</v>
      </c>
      <c r="E659">
        <v>600</v>
      </c>
      <c r="F659">
        <v>10</v>
      </c>
      <c r="G659">
        <f t="shared" si="30"/>
        <v>6000</v>
      </c>
      <c r="H659" t="s">
        <v>7</v>
      </c>
      <c r="I659">
        <f t="shared" si="31"/>
        <v>720</v>
      </c>
      <c r="J659">
        <f t="shared" si="32"/>
        <v>7200</v>
      </c>
    </row>
    <row r="660" spans="1:10" x14ac:dyDescent="0.45">
      <c r="A660" t="s">
        <v>3879</v>
      </c>
      <c r="B660" s="1">
        <v>45686</v>
      </c>
      <c r="C660" t="s">
        <v>4007</v>
      </c>
      <c r="D660" t="s">
        <v>28</v>
      </c>
      <c r="E660">
        <v>500</v>
      </c>
      <c r="F660">
        <v>9</v>
      </c>
      <c r="G660">
        <f t="shared" si="30"/>
        <v>4500</v>
      </c>
      <c r="H660" t="s">
        <v>17</v>
      </c>
      <c r="I660">
        <f t="shared" si="31"/>
        <v>600</v>
      </c>
      <c r="J660">
        <f t="shared" si="32"/>
        <v>5400</v>
      </c>
    </row>
    <row r="661" spans="1:10" x14ac:dyDescent="0.45">
      <c r="A661" t="s">
        <v>4160</v>
      </c>
      <c r="B661" s="1">
        <v>45686</v>
      </c>
      <c r="C661" t="s">
        <v>5008</v>
      </c>
      <c r="D661" t="s">
        <v>3986</v>
      </c>
      <c r="E661">
        <v>12000</v>
      </c>
      <c r="F661" s="3">
        <v>9</v>
      </c>
      <c r="G661">
        <f t="shared" si="30"/>
        <v>108000</v>
      </c>
      <c r="H661" t="s">
        <v>7</v>
      </c>
      <c r="I661">
        <f t="shared" si="31"/>
        <v>14400</v>
      </c>
      <c r="J661">
        <f t="shared" si="32"/>
        <v>129600</v>
      </c>
    </row>
    <row r="662" spans="1:10" x14ac:dyDescent="0.45">
      <c r="A662" t="s">
        <v>4208</v>
      </c>
      <c r="B662" s="1">
        <v>45686</v>
      </c>
      <c r="C662" t="s">
        <v>5009</v>
      </c>
      <c r="D662" t="s">
        <v>3990</v>
      </c>
      <c r="E662">
        <v>2800</v>
      </c>
      <c r="F662" s="3">
        <v>6</v>
      </c>
      <c r="G662">
        <f t="shared" si="30"/>
        <v>16800</v>
      </c>
      <c r="H662" t="s">
        <v>21</v>
      </c>
      <c r="I662">
        <f t="shared" si="31"/>
        <v>3360</v>
      </c>
      <c r="J662">
        <f t="shared" si="32"/>
        <v>20160</v>
      </c>
    </row>
    <row r="663" spans="1:10" x14ac:dyDescent="0.45">
      <c r="A663" t="s">
        <v>4263</v>
      </c>
      <c r="B663" s="1">
        <v>45686</v>
      </c>
      <c r="C663" t="s">
        <v>5008</v>
      </c>
      <c r="D663" t="s">
        <v>3986</v>
      </c>
      <c r="E663">
        <v>12000</v>
      </c>
      <c r="F663" s="3">
        <v>4</v>
      </c>
      <c r="G663">
        <f t="shared" si="30"/>
        <v>48000</v>
      </c>
      <c r="H663" t="s">
        <v>21</v>
      </c>
      <c r="I663">
        <f t="shared" si="31"/>
        <v>14400</v>
      </c>
      <c r="J663">
        <f t="shared" si="32"/>
        <v>57600</v>
      </c>
    </row>
    <row r="664" spans="1:10" x14ac:dyDescent="0.45">
      <c r="A664" t="s">
        <v>4381</v>
      </c>
      <c r="B664" s="1">
        <v>45686</v>
      </c>
      <c r="C664" t="s">
        <v>5008</v>
      </c>
      <c r="D664" t="s">
        <v>3998</v>
      </c>
      <c r="E664">
        <v>8000</v>
      </c>
      <c r="F664" s="3">
        <v>6</v>
      </c>
      <c r="G664">
        <f t="shared" si="30"/>
        <v>48000</v>
      </c>
      <c r="H664" t="s">
        <v>7</v>
      </c>
      <c r="I664">
        <f t="shared" si="31"/>
        <v>9600</v>
      </c>
      <c r="J664">
        <f t="shared" si="32"/>
        <v>57600</v>
      </c>
    </row>
    <row r="665" spans="1:10" x14ac:dyDescent="0.45">
      <c r="A665" t="s">
        <v>4487</v>
      </c>
      <c r="B665" s="1">
        <v>45686</v>
      </c>
      <c r="C665" t="s">
        <v>3979</v>
      </c>
      <c r="D665" t="s">
        <v>3987</v>
      </c>
      <c r="E665">
        <v>8000</v>
      </c>
      <c r="F665" s="3">
        <v>1</v>
      </c>
      <c r="G665">
        <f t="shared" si="30"/>
        <v>8000</v>
      </c>
      <c r="H665" t="s">
        <v>17</v>
      </c>
      <c r="I665">
        <f t="shared" si="31"/>
        <v>9600</v>
      </c>
      <c r="J665">
        <f t="shared" si="32"/>
        <v>9600</v>
      </c>
    </row>
    <row r="666" spans="1:10" x14ac:dyDescent="0.45">
      <c r="A666" t="s">
        <v>4515</v>
      </c>
      <c r="B666" s="1">
        <v>45686</v>
      </c>
      <c r="C666" t="s">
        <v>4007</v>
      </c>
      <c r="D666" t="s">
        <v>3997</v>
      </c>
      <c r="E666">
        <v>62000</v>
      </c>
      <c r="F666" s="3">
        <v>6</v>
      </c>
      <c r="G666">
        <f t="shared" si="30"/>
        <v>372000</v>
      </c>
      <c r="H666" t="s">
        <v>17</v>
      </c>
      <c r="I666">
        <f t="shared" si="31"/>
        <v>74400</v>
      </c>
      <c r="J666">
        <f t="shared" si="32"/>
        <v>446400</v>
      </c>
    </row>
    <row r="667" spans="1:10" x14ac:dyDescent="0.45">
      <c r="A667" t="s">
        <v>4579</v>
      </c>
      <c r="B667" s="1">
        <v>45686</v>
      </c>
      <c r="C667" t="s">
        <v>5009</v>
      </c>
      <c r="D667" t="s">
        <v>4004</v>
      </c>
      <c r="E667">
        <v>15000</v>
      </c>
      <c r="F667" s="3">
        <v>10</v>
      </c>
      <c r="G667">
        <f t="shared" si="30"/>
        <v>150000</v>
      </c>
      <c r="H667" t="s">
        <v>7</v>
      </c>
      <c r="I667">
        <f t="shared" si="31"/>
        <v>18000</v>
      </c>
      <c r="J667">
        <f t="shared" si="32"/>
        <v>180000</v>
      </c>
    </row>
    <row r="668" spans="1:10" x14ac:dyDescent="0.45">
      <c r="A668" t="s">
        <v>4666</v>
      </c>
      <c r="B668" s="1">
        <v>45686</v>
      </c>
      <c r="C668" t="s">
        <v>5009</v>
      </c>
      <c r="D668" t="s">
        <v>3982</v>
      </c>
      <c r="E668">
        <v>13000</v>
      </c>
      <c r="F668" s="3">
        <v>5</v>
      </c>
      <c r="G668">
        <f t="shared" si="30"/>
        <v>65000</v>
      </c>
      <c r="H668" t="s">
        <v>7</v>
      </c>
      <c r="I668">
        <f t="shared" si="31"/>
        <v>15600</v>
      </c>
      <c r="J668">
        <f t="shared" si="32"/>
        <v>78000</v>
      </c>
    </row>
    <row r="669" spans="1:10" x14ac:dyDescent="0.45">
      <c r="A669" t="s">
        <v>4703</v>
      </c>
      <c r="B669" s="1">
        <v>45686</v>
      </c>
      <c r="C669" t="s">
        <v>33</v>
      </c>
      <c r="D669" t="s">
        <v>3981</v>
      </c>
      <c r="E669">
        <v>4000</v>
      </c>
      <c r="F669" s="3">
        <v>5</v>
      </c>
      <c r="G669">
        <f t="shared" si="30"/>
        <v>20000</v>
      </c>
      <c r="H669" t="s">
        <v>21</v>
      </c>
      <c r="I669">
        <f t="shared" si="31"/>
        <v>4800</v>
      </c>
      <c r="J669">
        <f t="shared" si="32"/>
        <v>24000</v>
      </c>
    </row>
    <row r="670" spans="1:10" x14ac:dyDescent="0.45">
      <c r="A670" t="s">
        <v>4745</v>
      </c>
      <c r="B670" s="1">
        <v>45686</v>
      </c>
      <c r="C670" t="s">
        <v>3979</v>
      </c>
      <c r="D670" t="s">
        <v>3980</v>
      </c>
      <c r="E670">
        <v>500</v>
      </c>
      <c r="F670" s="3">
        <v>10</v>
      </c>
      <c r="G670">
        <f t="shared" si="30"/>
        <v>5000</v>
      </c>
      <c r="H670" t="s">
        <v>17</v>
      </c>
      <c r="I670">
        <f t="shared" si="31"/>
        <v>600</v>
      </c>
      <c r="J670">
        <f t="shared" si="32"/>
        <v>6000</v>
      </c>
    </row>
    <row r="671" spans="1:10" x14ac:dyDescent="0.45">
      <c r="A671" t="s">
        <v>4833</v>
      </c>
      <c r="B671" s="1">
        <v>45686</v>
      </c>
      <c r="C671" t="s">
        <v>5009</v>
      </c>
      <c r="D671" t="s">
        <v>3990</v>
      </c>
      <c r="E671">
        <v>2800</v>
      </c>
      <c r="F671" s="3">
        <v>4</v>
      </c>
      <c r="G671">
        <f t="shared" si="30"/>
        <v>11200</v>
      </c>
      <c r="H671" t="s">
        <v>17</v>
      </c>
      <c r="I671">
        <f t="shared" si="31"/>
        <v>3360</v>
      </c>
      <c r="J671">
        <f t="shared" si="32"/>
        <v>13440</v>
      </c>
    </row>
    <row r="672" spans="1:10" x14ac:dyDescent="0.45">
      <c r="A672" t="s">
        <v>5003</v>
      </c>
      <c r="B672" s="1">
        <v>45686</v>
      </c>
      <c r="C672" t="s">
        <v>3977</v>
      </c>
      <c r="D672" t="s">
        <v>3991</v>
      </c>
      <c r="E672">
        <v>2000</v>
      </c>
      <c r="F672" s="3">
        <v>1</v>
      </c>
      <c r="G672">
        <f t="shared" si="30"/>
        <v>2000</v>
      </c>
      <c r="H672" t="s">
        <v>21</v>
      </c>
      <c r="I672">
        <f t="shared" si="31"/>
        <v>2400</v>
      </c>
      <c r="J672">
        <f t="shared" si="32"/>
        <v>2400</v>
      </c>
    </row>
    <row r="673" spans="1:10" x14ac:dyDescent="0.45">
      <c r="A673" t="s">
        <v>252</v>
      </c>
      <c r="B673" s="1">
        <v>45687</v>
      </c>
      <c r="C673" t="s">
        <v>33</v>
      </c>
      <c r="D673" t="s">
        <v>16</v>
      </c>
      <c r="E673">
        <v>1200</v>
      </c>
      <c r="F673">
        <v>1</v>
      </c>
      <c r="G673">
        <f t="shared" si="30"/>
        <v>1200</v>
      </c>
      <c r="H673" t="s">
        <v>21</v>
      </c>
      <c r="I673">
        <f t="shared" si="31"/>
        <v>1440</v>
      </c>
      <c r="J673">
        <f t="shared" si="32"/>
        <v>1440</v>
      </c>
    </row>
    <row r="674" spans="1:10" x14ac:dyDescent="0.45">
      <c r="A674" t="s">
        <v>253</v>
      </c>
      <c r="B674" s="1">
        <v>45687</v>
      </c>
      <c r="C674" t="s">
        <v>9</v>
      </c>
      <c r="D674" t="s">
        <v>10</v>
      </c>
      <c r="E674">
        <v>400</v>
      </c>
      <c r="F674">
        <v>8</v>
      </c>
      <c r="G674">
        <f t="shared" si="30"/>
        <v>3200</v>
      </c>
      <c r="H674" t="s">
        <v>7</v>
      </c>
      <c r="I674">
        <f t="shared" si="31"/>
        <v>480</v>
      </c>
      <c r="J674">
        <f t="shared" si="32"/>
        <v>3840</v>
      </c>
    </row>
    <row r="675" spans="1:10" x14ac:dyDescent="0.45">
      <c r="A675" t="s">
        <v>254</v>
      </c>
      <c r="B675" s="1">
        <v>45687</v>
      </c>
      <c r="C675" t="s">
        <v>9</v>
      </c>
      <c r="D675" t="s">
        <v>10</v>
      </c>
      <c r="E675">
        <v>400</v>
      </c>
      <c r="F675">
        <v>4</v>
      </c>
      <c r="G675">
        <f t="shared" si="30"/>
        <v>1600</v>
      </c>
      <c r="H675" t="s">
        <v>21</v>
      </c>
      <c r="I675">
        <f t="shared" si="31"/>
        <v>480</v>
      </c>
      <c r="J675">
        <f t="shared" si="32"/>
        <v>1920</v>
      </c>
    </row>
    <row r="676" spans="1:10" x14ac:dyDescent="0.45">
      <c r="A676" t="s">
        <v>255</v>
      </c>
      <c r="B676" s="1">
        <v>45687</v>
      </c>
      <c r="C676" t="s">
        <v>33</v>
      </c>
      <c r="D676" t="s">
        <v>42</v>
      </c>
      <c r="E676">
        <v>6900</v>
      </c>
      <c r="F676">
        <v>2</v>
      </c>
      <c r="G676">
        <f t="shared" si="30"/>
        <v>13800</v>
      </c>
      <c r="H676" t="s">
        <v>7</v>
      </c>
      <c r="I676">
        <f t="shared" si="31"/>
        <v>8280</v>
      </c>
      <c r="J676">
        <f t="shared" si="32"/>
        <v>16560</v>
      </c>
    </row>
    <row r="677" spans="1:10" x14ac:dyDescent="0.45">
      <c r="A677" t="s">
        <v>256</v>
      </c>
      <c r="B677" s="1">
        <v>45687</v>
      </c>
      <c r="C677" t="s">
        <v>9</v>
      </c>
      <c r="D677" t="s">
        <v>25</v>
      </c>
      <c r="E677">
        <v>5200</v>
      </c>
      <c r="F677">
        <v>6</v>
      </c>
      <c r="G677">
        <f t="shared" si="30"/>
        <v>31200</v>
      </c>
      <c r="H677" t="s">
        <v>21</v>
      </c>
      <c r="I677">
        <f t="shared" si="31"/>
        <v>6240</v>
      </c>
      <c r="J677">
        <f t="shared" si="32"/>
        <v>37440</v>
      </c>
    </row>
    <row r="678" spans="1:10" x14ac:dyDescent="0.45">
      <c r="A678" t="s">
        <v>257</v>
      </c>
      <c r="B678" s="1">
        <v>45687</v>
      </c>
      <c r="C678" t="s">
        <v>33</v>
      </c>
      <c r="D678" t="s">
        <v>42</v>
      </c>
      <c r="E678">
        <v>6900</v>
      </c>
      <c r="F678">
        <v>1</v>
      </c>
      <c r="G678">
        <f t="shared" si="30"/>
        <v>6900</v>
      </c>
      <c r="H678" t="s">
        <v>21</v>
      </c>
      <c r="I678">
        <f t="shared" si="31"/>
        <v>8280</v>
      </c>
      <c r="J678">
        <f t="shared" si="32"/>
        <v>8280</v>
      </c>
    </row>
    <row r="679" spans="1:10" x14ac:dyDescent="0.45">
      <c r="A679" t="s">
        <v>258</v>
      </c>
      <c r="B679" s="1">
        <v>45687</v>
      </c>
      <c r="C679" t="s">
        <v>33</v>
      </c>
      <c r="D679" t="s">
        <v>34</v>
      </c>
      <c r="E679">
        <v>1700</v>
      </c>
      <c r="F679">
        <v>9</v>
      </c>
      <c r="G679">
        <f t="shared" si="30"/>
        <v>15300</v>
      </c>
      <c r="H679" t="s">
        <v>17</v>
      </c>
      <c r="I679">
        <f t="shared" si="31"/>
        <v>2040</v>
      </c>
      <c r="J679">
        <f t="shared" si="32"/>
        <v>18360</v>
      </c>
    </row>
    <row r="680" spans="1:10" x14ac:dyDescent="0.45">
      <c r="A680" t="s">
        <v>259</v>
      </c>
      <c r="B680" s="1">
        <v>45687</v>
      </c>
      <c r="C680" t="s">
        <v>12</v>
      </c>
      <c r="D680" t="s">
        <v>5021</v>
      </c>
      <c r="E680">
        <v>2880</v>
      </c>
      <c r="F680">
        <v>1</v>
      </c>
      <c r="G680">
        <f t="shared" si="30"/>
        <v>2880</v>
      </c>
      <c r="H680" t="s">
        <v>17</v>
      </c>
      <c r="I680">
        <f t="shared" si="31"/>
        <v>3456</v>
      </c>
      <c r="J680">
        <f t="shared" si="32"/>
        <v>3456</v>
      </c>
    </row>
    <row r="681" spans="1:10" x14ac:dyDescent="0.45">
      <c r="A681" t="s">
        <v>260</v>
      </c>
      <c r="B681" s="1">
        <v>45687</v>
      </c>
      <c r="C681" t="s">
        <v>33</v>
      </c>
      <c r="D681" t="s">
        <v>42</v>
      </c>
      <c r="E681">
        <v>6900</v>
      </c>
      <c r="F681">
        <v>7</v>
      </c>
      <c r="G681">
        <f t="shared" si="30"/>
        <v>48300</v>
      </c>
      <c r="H681" t="s">
        <v>17</v>
      </c>
      <c r="I681">
        <f t="shared" si="31"/>
        <v>8280</v>
      </c>
      <c r="J681">
        <f t="shared" si="32"/>
        <v>57960</v>
      </c>
    </row>
    <row r="682" spans="1:10" x14ac:dyDescent="0.45">
      <c r="A682" t="s">
        <v>2779</v>
      </c>
      <c r="B682" s="1">
        <v>45687</v>
      </c>
      <c r="C682" t="s">
        <v>2772</v>
      </c>
      <c r="D682" t="s">
        <v>2771</v>
      </c>
      <c r="E682">
        <v>120</v>
      </c>
      <c r="F682">
        <v>7</v>
      </c>
      <c r="G682">
        <f t="shared" si="30"/>
        <v>840</v>
      </c>
      <c r="H682" t="s">
        <v>7</v>
      </c>
      <c r="I682">
        <f t="shared" si="31"/>
        <v>144</v>
      </c>
      <c r="J682">
        <f t="shared" si="32"/>
        <v>1008</v>
      </c>
    </row>
    <row r="683" spans="1:10" x14ac:dyDescent="0.45">
      <c r="A683" t="s">
        <v>2924</v>
      </c>
      <c r="B683" s="1">
        <v>45687</v>
      </c>
      <c r="C683" t="s">
        <v>2772</v>
      </c>
      <c r="D683" t="s">
        <v>2771</v>
      </c>
      <c r="E683">
        <v>120</v>
      </c>
      <c r="F683">
        <v>7</v>
      </c>
      <c r="G683">
        <f t="shared" si="30"/>
        <v>840</v>
      </c>
      <c r="H683" t="s">
        <v>17</v>
      </c>
      <c r="I683">
        <f t="shared" si="31"/>
        <v>144</v>
      </c>
      <c r="J683">
        <f t="shared" si="32"/>
        <v>1008</v>
      </c>
    </row>
    <row r="684" spans="1:10" x14ac:dyDescent="0.45">
      <c r="A684" t="s">
        <v>3509</v>
      </c>
      <c r="B684" s="1">
        <v>45687</v>
      </c>
      <c r="C684" t="s">
        <v>4007</v>
      </c>
      <c r="D684" t="s">
        <v>2774</v>
      </c>
      <c r="E684">
        <v>1900</v>
      </c>
      <c r="F684">
        <v>6</v>
      </c>
      <c r="G684">
        <f t="shared" si="30"/>
        <v>11400</v>
      </c>
      <c r="H684" t="s">
        <v>17</v>
      </c>
      <c r="I684">
        <f t="shared" si="31"/>
        <v>2280</v>
      </c>
      <c r="J684">
        <f t="shared" si="32"/>
        <v>13680</v>
      </c>
    </row>
    <row r="685" spans="1:10" x14ac:dyDescent="0.45">
      <c r="A685" t="s">
        <v>4171</v>
      </c>
      <c r="B685" s="1">
        <v>45687</v>
      </c>
      <c r="C685" t="s">
        <v>5009</v>
      </c>
      <c r="D685" t="s">
        <v>4000</v>
      </c>
      <c r="E685">
        <v>3000</v>
      </c>
      <c r="F685" s="3">
        <v>2</v>
      </c>
      <c r="G685">
        <f t="shared" si="30"/>
        <v>6000</v>
      </c>
      <c r="H685" t="s">
        <v>7</v>
      </c>
      <c r="I685">
        <f t="shared" si="31"/>
        <v>3600</v>
      </c>
      <c r="J685">
        <f t="shared" si="32"/>
        <v>7200</v>
      </c>
    </row>
    <row r="686" spans="1:10" x14ac:dyDescent="0.45">
      <c r="A686" t="s">
        <v>4351</v>
      </c>
      <c r="B686" s="1">
        <v>45687</v>
      </c>
      <c r="C686" t="s">
        <v>4007</v>
      </c>
      <c r="D686" t="s">
        <v>4005</v>
      </c>
      <c r="E686">
        <v>60000</v>
      </c>
      <c r="F686" s="3">
        <v>5</v>
      </c>
      <c r="G686">
        <f t="shared" si="30"/>
        <v>300000</v>
      </c>
      <c r="H686" t="s">
        <v>21</v>
      </c>
      <c r="I686">
        <f t="shared" si="31"/>
        <v>72000</v>
      </c>
      <c r="J686">
        <f t="shared" si="32"/>
        <v>360000</v>
      </c>
    </row>
    <row r="687" spans="1:10" x14ac:dyDescent="0.45">
      <c r="A687" t="s">
        <v>4387</v>
      </c>
      <c r="B687" s="1">
        <v>45687</v>
      </c>
      <c r="C687" t="s">
        <v>3979</v>
      </c>
      <c r="D687" t="s">
        <v>3980</v>
      </c>
      <c r="E687">
        <v>500</v>
      </c>
      <c r="F687" s="3">
        <v>4</v>
      </c>
      <c r="G687">
        <f t="shared" si="30"/>
        <v>2000</v>
      </c>
      <c r="H687" t="s">
        <v>17</v>
      </c>
      <c r="I687">
        <f t="shared" si="31"/>
        <v>600</v>
      </c>
      <c r="J687">
        <f t="shared" si="32"/>
        <v>2400</v>
      </c>
    </row>
    <row r="688" spans="1:10" x14ac:dyDescent="0.45">
      <c r="A688" t="s">
        <v>4496</v>
      </c>
      <c r="B688" s="1">
        <v>45687</v>
      </c>
      <c r="C688" t="s">
        <v>33</v>
      </c>
      <c r="D688" t="s">
        <v>42</v>
      </c>
      <c r="E688">
        <v>6900</v>
      </c>
      <c r="F688" s="3">
        <v>1</v>
      </c>
      <c r="G688">
        <f t="shared" si="30"/>
        <v>6900</v>
      </c>
      <c r="H688" t="s">
        <v>7</v>
      </c>
      <c r="I688">
        <f t="shared" si="31"/>
        <v>8280</v>
      </c>
      <c r="J688">
        <f t="shared" si="32"/>
        <v>8280</v>
      </c>
    </row>
    <row r="689" spans="1:10" x14ac:dyDescent="0.45">
      <c r="A689" t="s">
        <v>4565</v>
      </c>
      <c r="B689" s="1">
        <v>45687</v>
      </c>
      <c r="C689" t="s">
        <v>4007</v>
      </c>
      <c r="D689" t="s">
        <v>5015</v>
      </c>
      <c r="E689">
        <v>48000</v>
      </c>
      <c r="F689" s="3">
        <v>10</v>
      </c>
      <c r="G689">
        <f t="shared" si="30"/>
        <v>480000</v>
      </c>
      <c r="H689" t="s">
        <v>7</v>
      </c>
      <c r="I689">
        <f t="shared" si="31"/>
        <v>57600</v>
      </c>
      <c r="J689">
        <f t="shared" si="32"/>
        <v>576000</v>
      </c>
    </row>
    <row r="690" spans="1:10" x14ac:dyDescent="0.45">
      <c r="A690" t="s">
        <v>4570</v>
      </c>
      <c r="B690" s="1">
        <v>45687</v>
      </c>
      <c r="C690" t="s">
        <v>3979</v>
      </c>
      <c r="D690" t="s">
        <v>3987</v>
      </c>
      <c r="E690">
        <v>8000</v>
      </c>
      <c r="F690" s="3">
        <v>8</v>
      </c>
      <c r="G690">
        <f t="shared" si="30"/>
        <v>64000</v>
      </c>
      <c r="H690" t="s">
        <v>17</v>
      </c>
      <c r="I690">
        <f t="shared" si="31"/>
        <v>9600</v>
      </c>
      <c r="J690">
        <f t="shared" si="32"/>
        <v>76800</v>
      </c>
    </row>
    <row r="691" spans="1:10" x14ac:dyDescent="0.45">
      <c r="A691" t="s">
        <v>4755</v>
      </c>
      <c r="B691" s="1">
        <v>45687</v>
      </c>
      <c r="C691" t="s">
        <v>33</v>
      </c>
      <c r="D691" t="s">
        <v>3985</v>
      </c>
      <c r="E691">
        <v>1950</v>
      </c>
      <c r="F691" s="3">
        <v>5</v>
      </c>
      <c r="G691">
        <f t="shared" si="30"/>
        <v>9750</v>
      </c>
      <c r="H691" t="s">
        <v>17</v>
      </c>
      <c r="I691">
        <f t="shared" si="31"/>
        <v>2340</v>
      </c>
      <c r="J691">
        <f t="shared" si="32"/>
        <v>11700</v>
      </c>
    </row>
    <row r="692" spans="1:10" x14ac:dyDescent="0.45">
      <c r="A692" t="s">
        <v>4853</v>
      </c>
      <c r="B692" s="1">
        <v>45687</v>
      </c>
      <c r="C692" t="s">
        <v>3979</v>
      </c>
      <c r="D692" t="s">
        <v>3987</v>
      </c>
      <c r="E692">
        <v>8000</v>
      </c>
      <c r="F692" s="3">
        <v>3</v>
      </c>
      <c r="G692">
        <f t="shared" si="30"/>
        <v>24000</v>
      </c>
      <c r="H692" t="s">
        <v>7</v>
      </c>
      <c r="I692">
        <f t="shared" si="31"/>
        <v>9600</v>
      </c>
      <c r="J692">
        <f t="shared" si="32"/>
        <v>28800</v>
      </c>
    </row>
    <row r="693" spans="1:10" x14ac:dyDescent="0.45">
      <c r="A693" t="s">
        <v>4855</v>
      </c>
      <c r="B693" s="1">
        <v>45687</v>
      </c>
      <c r="C693" t="s">
        <v>5009</v>
      </c>
      <c r="D693" t="s">
        <v>3982</v>
      </c>
      <c r="E693">
        <v>13000</v>
      </c>
      <c r="F693" s="3">
        <v>1</v>
      </c>
      <c r="G693">
        <f t="shared" si="30"/>
        <v>13000</v>
      </c>
      <c r="H693" t="s">
        <v>17</v>
      </c>
      <c r="I693">
        <f t="shared" si="31"/>
        <v>15600</v>
      </c>
      <c r="J693">
        <f t="shared" si="32"/>
        <v>15600</v>
      </c>
    </row>
    <row r="694" spans="1:10" x14ac:dyDescent="0.45">
      <c r="A694" t="s">
        <v>261</v>
      </c>
      <c r="B694" s="1">
        <v>45688</v>
      </c>
      <c r="C694" t="s">
        <v>12</v>
      </c>
      <c r="D694" t="s">
        <v>5021</v>
      </c>
      <c r="E694">
        <v>2880</v>
      </c>
      <c r="F694">
        <v>2</v>
      </c>
      <c r="G694">
        <f t="shared" si="30"/>
        <v>5760</v>
      </c>
      <c r="H694" t="s">
        <v>7</v>
      </c>
      <c r="I694">
        <f t="shared" si="31"/>
        <v>3456</v>
      </c>
      <c r="J694">
        <f t="shared" si="32"/>
        <v>6912</v>
      </c>
    </row>
    <row r="695" spans="1:10" x14ac:dyDescent="0.45">
      <c r="A695" t="s">
        <v>262</v>
      </c>
      <c r="B695" s="1">
        <v>45688</v>
      </c>
      <c r="C695" t="s">
        <v>33</v>
      </c>
      <c r="D695" t="s">
        <v>34</v>
      </c>
      <c r="E695">
        <v>1700</v>
      </c>
      <c r="F695">
        <v>8</v>
      </c>
      <c r="G695">
        <f t="shared" si="30"/>
        <v>13600</v>
      </c>
      <c r="H695" t="s">
        <v>17</v>
      </c>
      <c r="I695">
        <f t="shared" si="31"/>
        <v>2040</v>
      </c>
      <c r="J695">
        <f t="shared" si="32"/>
        <v>16320</v>
      </c>
    </row>
    <row r="696" spans="1:10" x14ac:dyDescent="0.45">
      <c r="A696" t="s">
        <v>263</v>
      </c>
      <c r="B696" s="1">
        <v>45688</v>
      </c>
      <c r="C696" t="s">
        <v>9</v>
      </c>
      <c r="D696" t="s">
        <v>10</v>
      </c>
      <c r="E696">
        <v>400</v>
      </c>
      <c r="F696">
        <v>4</v>
      </c>
      <c r="G696">
        <f t="shared" si="30"/>
        <v>1600</v>
      </c>
      <c r="H696" t="s">
        <v>17</v>
      </c>
      <c r="I696">
        <f t="shared" si="31"/>
        <v>480</v>
      </c>
      <c r="J696">
        <f t="shared" si="32"/>
        <v>1920</v>
      </c>
    </row>
    <row r="697" spans="1:10" x14ac:dyDescent="0.45">
      <c r="A697" t="s">
        <v>264</v>
      </c>
      <c r="B697" s="1">
        <v>45688</v>
      </c>
      <c r="C697" t="s">
        <v>9</v>
      </c>
      <c r="D697" t="s">
        <v>25</v>
      </c>
      <c r="E697">
        <v>5200</v>
      </c>
      <c r="F697">
        <v>10</v>
      </c>
      <c r="G697">
        <f t="shared" si="30"/>
        <v>52000</v>
      </c>
      <c r="H697" t="s">
        <v>17</v>
      </c>
      <c r="I697">
        <f t="shared" si="31"/>
        <v>6240</v>
      </c>
      <c r="J697">
        <f t="shared" si="32"/>
        <v>62400</v>
      </c>
    </row>
    <row r="698" spans="1:10" x14ac:dyDescent="0.45">
      <c r="A698" t="s">
        <v>265</v>
      </c>
      <c r="B698" s="1">
        <v>45688</v>
      </c>
      <c r="C698" t="s">
        <v>33</v>
      </c>
      <c r="D698" t="s">
        <v>42</v>
      </c>
      <c r="E698">
        <v>6900</v>
      </c>
      <c r="F698">
        <v>7</v>
      </c>
      <c r="G698">
        <f t="shared" si="30"/>
        <v>48300</v>
      </c>
      <c r="H698" t="s">
        <v>7</v>
      </c>
      <c r="I698">
        <f t="shared" si="31"/>
        <v>8280</v>
      </c>
      <c r="J698">
        <f t="shared" si="32"/>
        <v>57960</v>
      </c>
    </row>
    <row r="699" spans="1:10" x14ac:dyDescent="0.45">
      <c r="A699" t="s">
        <v>266</v>
      </c>
      <c r="B699" s="1">
        <v>45688</v>
      </c>
      <c r="C699" t="s">
        <v>4007</v>
      </c>
      <c r="D699" t="s">
        <v>39</v>
      </c>
      <c r="E699">
        <v>6000</v>
      </c>
      <c r="F699">
        <v>2</v>
      </c>
      <c r="G699">
        <f t="shared" si="30"/>
        <v>12000</v>
      </c>
      <c r="H699" t="s">
        <v>7</v>
      </c>
      <c r="I699">
        <f t="shared" si="31"/>
        <v>7200</v>
      </c>
      <c r="J699">
        <f t="shared" si="32"/>
        <v>14400</v>
      </c>
    </row>
    <row r="700" spans="1:10" x14ac:dyDescent="0.45">
      <c r="A700" t="s">
        <v>267</v>
      </c>
      <c r="B700" s="1">
        <v>45688</v>
      </c>
      <c r="C700" t="s">
        <v>12</v>
      </c>
      <c r="D700" t="s">
        <v>5023</v>
      </c>
      <c r="E700">
        <v>1750</v>
      </c>
      <c r="F700">
        <v>8</v>
      </c>
      <c r="G700">
        <f t="shared" si="30"/>
        <v>14000</v>
      </c>
      <c r="H700" t="s">
        <v>21</v>
      </c>
      <c r="I700">
        <f t="shared" si="31"/>
        <v>2100</v>
      </c>
      <c r="J700">
        <f t="shared" si="32"/>
        <v>16800</v>
      </c>
    </row>
    <row r="701" spans="1:10" x14ac:dyDescent="0.45">
      <c r="A701" t="s">
        <v>3459</v>
      </c>
      <c r="B701" s="1">
        <v>45688</v>
      </c>
      <c r="C701" t="s">
        <v>4007</v>
      </c>
      <c r="D701" t="s">
        <v>2774</v>
      </c>
      <c r="E701">
        <v>1900</v>
      </c>
      <c r="F701">
        <v>3</v>
      </c>
      <c r="G701">
        <f t="shared" si="30"/>
        <v>5700</v>
      </c>
      <c r="H701" t="s">
        <v>17</v>
      </c>
      <c r="I701">
        <f t="shared" si="31"/>
        <v>2280</v>
      </c>
      <c r="J701">
        <f t="shared" si="32"/>
        <v>6840</v>
      </c>
    </row>
    <row r="702" spans="1:10" x14ac:dyDescent="0.45">
      <c r="A702" t="s">
        <v>4228</v>
      </c>
      <c r="B702" s="1">
        <v>45688</v>
      </c>
      <c r="C702" t="s">
        <v>3979</v>
      </c>
      <c r="D702" t="s">
        <v>3980</v>
      </c>
      <c r="E702">
        <v>500</v>
      </c>
      <c r="F702" s="3">
        <v>6</v>
      </c>
      <c r="G702">
        <f t="shared" si="30"/>
        <v>3000</v>
      </c>
      <c r="H702" t="s">
        <v>17</v>
      </c>
      <c r="I702">
        <f t="shared" si="31"/>
        <v>600</v>
      </c>
      <c r="J702">
        <f t="shared" si="32"/>
        <v>3600</v>
      </c>
    </row>
    <row r="703" spans="1:10" x14ac:dyDescent="0.45">
      <c r="A703" t="s">
        <v>4235</v>
      </c>
      <c r="B703" s="1">
        <v>45688</v>
      </c>
      <c r="C703" t="s">
        <v>3979</v>
      </c>
      <c r="D703" t="s">
        <v>3987</v>
      </c>
      <c r="E703">
        <v>8000</v>
      </c>
      <c r="F703" s="3">
        <v>4</v>
      </c>
      <c r="G703">
        <f t="shared" si="30"/>
        <v>32000</v>
      </c>
      <c r="H703" t="s">
        <v>17</v>
      </c>
      <c r="I703">
        <f t="shared" si="31"/>
        <v>9600</v>
      </c>
      <c r="J703">
        <f t="shared" si="32"/>
        <v>38400</v>
      </c>
    </row>
    <row r="704" spans="1:10" x14ac:dyDescent="0.45">
      <c r="A704" t="s">
        <v>4264</v>
      </c>
      <c r="B704" s="1">
        <v>45688</v>
      </c>
      <c r="C704" t="s">
        <v>3979</v>
      </c>
      <c r="D704" t="s">
        <v>3980</v>
      </c>
      <c r="E704">
        <v>500</v>
      </c>
      <c r="F704" s="3">
        <v>1</v>
      </c>
      <c r="G704">
        <f t="shared" si="30"/>
        <v>500</v>
      </c>
      <c r="H704" t="s">
        <v>21</v>
      </c>
      <c r="I704">
        <f t="shared" si="31"/>
        <v>600</v>
      </c>
      <c r="J704">
        <f t="shared" si="32"/>
        <v>600</v>
      </c>
    </row>
    <row r="705" spans="1:10" x14ac:dyDescent="0.45">
      <c r="A705" t="s">
        <v>4295</v>
      </c>
      <c r="B705" s="1">
        <v>45688</v>
      </c>
      <c r="C705" t="s">
        <v>5009</v>
      </c>
      <c r="D705" t="s">
        <v>3982</v>
      </c>
      <c r="E705">
        <v>13000</v>
      </c>
      <c r="F705" s="3">
        <v>9</v>
      </c>
      <c r="G705">
        <f t="shared" si="30"/>
        <v>117000</v>
      </c>
      <c r="H705" t="s">
        <v>17</v>
      </c>
      <c r="I705">
        <f t="shared" si="31"/>
        <v>15600</v>
      </c>
      <c r="J705">
        <f t="shared" si="32"/>
        <v>140400</v>
      </c>
    </row>
    <row r="706" spans="1:10" x14ac:dyDescent="0.45">
      <c r="A706" t="s">
        <v>4318</v>
      </c>
      <c r="B706" s="1">
        <v>45688</v>
      </c>
      <c r="C706" t="s">
        <v>5009</v>
      </c>
      <c r="D706" t="s">
        <v>4000</v>
      </c>
      <c r="E706">
        <v>3000</v>
      </c>
      <c r="F706" s="3">
        <v>6</v>
      </c>
      <c r="G706">
        <f t="shared" ref="G706:G769" si="33">E706*F706</f>
        <v>18000</v>
      </c>
      <c r="H706" t="s">
        <v>21</v>
      </c>
      <c r="I706">
        <f t="shared" ref="I706:I769" si="34">E706*1.2</f>
        <v>3600</v>
      </c>
      <c r="J706">
        <f t="shared" ref="J706:J769" si="35">I706*F706</f>
        <v>21600</v>
      </c>
    </row>
    <row r="707" spans="1:10" x14ac:dyDescent="0.45">
      <c r="A707" t="s">
        <v>4393</v>
      </c>
      <c r="B707" s="1">
        <v>45688</v>
      </c>
      <c r="C707" t="s">
        <v>5009</v>
      </c>
      <c r="D707" t="s">
        <v>4004</v>
      </c>
      <c r="E707">
        <v>15000</v>
      </c>
      <c r="F707" s="3">
        <v>1</v>
      </c>
      <c r="G707">
        <f t="shared" si="33"/>
        <v>15000</v>
      </c>
      <c r="H707" t="s">
        <v>17</v>
      </c>
      <c r="I707">
        <f t="shared" si="34"/>
        <v>18000</v>
      </c>
      <c r="J707">
        <f t="shared" si="35"/>
        <v>18000</v>
      </c>
    </row>
    <row r="708" spans="1:10" x14ac:dyDescent="0.45">
      <c r="A708" t="s">
        <v>4438</v>
      </c>
      <c r="B708" s="1">
        <v>45688</v>
      </c>
      <c r="C708" t="s">
        <v>5008</v>
      </c>
      <c r="D708" t="s">
        <v>3996</v>
      </c>
      <c r="E708">
        <v>2000</v>
      </c>
      <c r="F708" s="3">
        <v>2</v>
      </c>
      <c r="G708">
        <f t="shared" si="33"/>
        <v>4000</v>
      </c>
      <c r="H708" t="s">
        <v>7</v>
      </c>
      <c r="I708">
        <f t="shared" si="34"/>
        <v>2400</v>
      </c>
      <c r="J708">
        <f t="shared" si="35"/>
        <v>4800</v>
      </c>
    </row>
    <row r="709" spans="1:10" x14ac:dyDescent="0.45">
      <c r="A709" t="s">
        <v>4462</v>
      </c>
      <c r="B709" s="1">
        <v>45688</v>
      </c>
      <c r="C709" t="s">
        <v>3979</v>
      </c>
      <c r="D709" t="s">
        <v>3984</v>
      </c>
      <c r="E709">
        <v>12000</v>
      </c>
      <c r="F709" s="3">
        <v>4</v>
      </c>
      <c r="G709">
        <f t="shared" si="33"/>
        <v>48000</v>
      </c>
      <c r="H709" t="s">
        <v>21</v>
      </c>
      <c r="I709">
        <f t="shared" si="34"/>
        <v>14400</v>
      </c>
      <c r="J709">
        <f t="shared" si="35"/>
        <v>57600</v>
      </c>
    </row>
    <row r="710" spans="1:10" x14ac:dyDescent="0.45">
      <c r="A710" t="s">
        <v>4714</v>
      </c>
      <c r="B710" s="1">
        <v>45688</v>
      </c>
      <c r="C710" t="s">
        <v>3979</v>
      </c>
      <c r="D710" t="s">
        <v>4006</v>
      </c>
      <c r="E710">
        <v>2000</v>
      </c>
      <c r="F710" s="3">
        <v>4</v>
      </c>
      <c r="G710">
        <f t="shared" si="33"/>
        <v>8000</v>
      </c>
      <c r="H710" t="s">
        <v>7</v>
      </c>
      <c r="I710">
        <f t="shared" si="34"/>
        <v>2400</v>
      </c>
      <c r="J710">
        <f t="shared" si="35"/>
        <v>9600</v>
      </c>
    </row>
    <row r="711" spans="1:10" x14ac:dyDescent="0.45">
      <c r="A711" t="s">
        <v>4722</v>
      </c>
      <c r="B711" s="1">
        <v>45688</v>
      </c>
      <c r="C711" t="s">
        <v>5008</v>
      </c>
      <c r="D711" t="s">
        <v>4003</v>
      </c>
      <c r="E711">
        <v>10000</v>
      </c>
      <c r="F711" s="3">
        <v>8</v>
      </c>
      <c r="G711">
        <f t="shared" si="33"/>
        <v>80000</v>
      </c>
      <c r="H711" t="s">
        <v>7</v>
      </c>
      <c r="I711">
        <f t="shared" si="34"/>
        <v>12000</v>
      </c>
      <c r="J711">
        <f t="shared" si="35"/>
        <v>96000</v>
      </c>
    </row>
    <row r="712" spans="1:10" x14ac:dyDescent="0.45">
      <c r="A712" t="s">
        <v>4769</v>
      </c>
      <c r="B712" s="1">
        <v>45688</v>
      </c>
      <c r="C712" t="s">
        <v>3979</v>
      </c>
      <c r="D712" t="s">
        <v>3984</v>
      </c>
      <c r="E712">
        <v>12000</v>
      </c>
      <c r="F712" s="3">
        <v>10</v>
      </c>
      <c r="G712">
        <f t="shared" si="33"/>
        <v>120000</v>
      </c>
      <c r="H712" t="s">
        <v>17</v>
      </c>
      <c r="I712">
        <f t="shared" si="34"/>
        <v>14400</v>
      </c>
      <c r="J712">
        <f t="shared" si="35"/>
        <v>144000</v>
      </c>
    </row>
    <row r="713" spans="1:10" x14ac:dyDescent="0.45">
      <c r="A713" t="s">
        <v>4787</v>
      </c>
      <c r="B713" s="1">
        <v>45688</v>
      </c>
      <c r="C713" t="s">
        <v>3979</v>
      </c>
      <c r="D713" t="s">
        <v>3983</v>
      </c>
      <c r="E713">
        <v>1000</v>
      </c>
      <c r="F713" s="3">
        <v>9</v>
      </c>
      <c r="G713">
        <f t="shared" si="33"/>
        <v>9000</v>
      </c>
      <c r="H713" t="s">
        <v>21</v>
      </c>
      <c r="I713">
        <f t="shared" si="34"/>
        <v>1200</v>
      </c>
      <c r="J713">
        <f t="shared" si="35"/>
        <v>10800</v>
      </c>
    </row>
    <row r="714" spans="1:10" x14ac:dyDescent="0.45">
      <c r="A714" t="s">
        <v>4817</v>
      </c>
      <c r="B714" s="1">
        <v>45688</v>
      </c>
      <c r="C714" t="s">
        <v>5008</v>
      </c>
      <c r="D714" t="s">
        <v>4003</v>
      </c>
      <c r="E714">
        <v>10000</v>
      </c>
      <c r="F714" s="3">
        <v>10</v>
      </c>
      <c r="G714">
        <f t="shared" si="33"/>
        <v>100000</v>
      </c>
      <c r="H714" t="s">
        <v>21</v>
      </c>
      <c r="I714">
        <f t="shared" si="34"/>
        <v>12000</v>
      </c>
      <c r="J714">
        <f t="shared" si="35"/>
        <v>120000</v>
      </c>
    </row>
    <row r="715" spans="1:10" x14ac:dyDescent="0.45">
      <c r="A715" t="s">
        <v>4921</v>
      </c>
      <c r="B715" s="1">
        <v>45688</v>
      </c>
      <c r="C715" t="s">
        <v>5008</v>
      </c>
      <c r="D715" t="s">
        <v>3998</v>
      </c>
      <c r="E715">
        <v>8000</v>
      </c>
      <c r="F715" s="3">
        <v>8</v>
      </c>
      <c r="G715">
        <f t="shared" si="33"/>
        <v>64000</v>
      </c>
      <c r="H715" t="s">
        <v>7</v>
      </c>
      <c r="I715">
        <f t="shared" si="34"/>
        <v>9600</v>
      </c>
      <c r="J715">
        <f t="shared" si="35"/>
        <v>76800</v>
      </c>
    </row>
    <row r="716" spans="1:10" x14ac:dyDescent="0.45">
      <c r="A716" t="s">
        <v>268</v>
      </c>
      <c r="B716" s="1">
        <v>45689</v>
      </c>
      <c r="C716" t="s">
        <v>4007</v>
      </c>
      <c r="D716" t="s">
        <v>28</v>
      </c>
      <c r="E716">
        <v>500</v>
      </c>
      <c r="F716">
        <v>2</v>
      </c>
      <c r="G716">
        <f t="shared" si="33"/>
        <v>1000</v>
      </c>
      <c r="H716" t="s">
        <v>7</v>
      </c>
      <c r="I716">
        <f t="shared" si="34"/>
        <v>600</v>
      </c>
      <c r="J716">
        <f t="shared" si="35"/>
        <v>1200</v>
      </c>
    </row>
    <row r="717" spans="1:10" x14ac:dyDescent="0.45">
      <c r="A717" t="s">
        <v>269</v>
      </c>
      <c r="B717" s="1">
        <v>45689</v>
      </c>
      <c r="C717" t="s">
        <v>12</v>
      </c>
      <c r="D717" t="s">
        <v>5020</v>
      </c>
      <c r="E717">
        <v>2880</v>
      </c>
      <c r="F717">
        <v>7</v>
      </c>
      <c r="G717">
        <f t="shared" si="33"/>
        <v>20160</v>
      </c>
      <c r="H717" t="s">
        <v>17</v>
      </c>
      <c r="I717">
        <f t="shared" si="34"/>
        <v>3456</v>
      </c>
      <c r="J717">
        <f t="shared" si="35"/>
        <v>24192</v>
      </c>
    </row>
    <row r="718" spans="1:10" x14ac:dyDescent="0.45">
      <c r="A718" t="s">
        <v>270</v>
      </c>
      <c r="B718" s="1">
        <v>45689</v>
      </c>
      <c r="C718" t="s">
        <v>33</v>
      </c>
      <c r="D718" t="s">
        <v>42</v>
      </c>
      <c r="E718">
        <v>6900</v>
      </c>
      <c r="F718">
        <v>3</v>
      </c>
      <c r="G718">
        <f t="shared" si="33"/>
        <v>20700</v>
      </c>
      <c r="H718" t="s">
        <v>7</v>
      </c>
      <c r="I718">
        <f t="shared" si="34"/>
        <v>8280</v>
      </c>
      <c r="J718">
        <f t="shared" si="35"/>
        <v>24840</v>
      </c>
    </row>
    <row r="719" spans="1:10" x14ac:dyDescent="0.45">
      <c r="A719" t="s">
        <v>271</v>
      </c>
      <c r="B719" s="1">
        <v>45689</v>
      </c>
      <c r="C719" t="s">
        <v>12</v>
      </c>
      <c r="D719" t="s">
        <v>5022</v>
      </c>
      <c r="E719">
        <v>2880</v>
      </c>
      <c r="F719">
        <v>2</v>
      </c>
      <c r="G719">
        <f t="shared" si="33"/>
        <v>5760</v>
      </c>
      <c r="H719" t="s">
        <v>7</v>
      </c>
      <c r="I719">
        <f t="shared" si="34"/>
        <v>3456</v>
      </c>
      <c r="J719">
        <f t="shared" si="35"/>
        <v>6912</v>
      </c>
    </row>
    <row r="720" spans="1:10" x14ac:dyDescent="0.45">
      <c r="A720" t="s">
        <v>272</v>
      </c>
      <c r="B720" s="1">
        <v>45689</v>
      </c>
      <c r="C720" t="s">
        <v>33</v>
      </c>
      <c r="D720" t="s">
        <v>16</v>
      </c>
      <c r="E720">
        <v>1200</v>
      </c>
      <c r="F720">
        <v>6</v>
      </c>
      <c r="G720">
        <f t="shared" si="33"/>
        <v>7200</v>
      </c>
      <c r="H720" t="s">
        <v>21</v>
      </c>
      <c r="I720">
        <f t="shared" si="34"/>
        <v>1440</v>
      </c>
      <c r="J720">
        <f t="shared" si="35"/>
        <v>8640</v>
      </c>
    </row>
    <row r="721" spans="1:10" x14ac:dyDescent="0.45">
      <c r="A721" t="s">
        <v>273</v>
      </c>
      <c r="B721" s="1">
        <v>45689</v>
      </c>
      <c r="C721" t="s">
        <v>33</v>
      </c>
      <c r="D721" t="s">
        <v>16</v>
      </c>
      <c r="E721">
        <v>1200</v>
      </c>
      <c r="F721">
        <v>1</v>
      </c>
      <c r="G721">
        <f t="shared" si="33"/>
        <v>1200</v>
      </c>
      <c r="H721" t="s">
        <v>7</v>
      </c>
      <c r="I721">
        <f t="shared" si="34"/>
        <v>1440</v>
      </c>
      <c r="J721">
        <f t="shared" si="35"/>
        <v>1440</v>
      </c>
    </row>
    <row r="722" spans="1:10" x14ac:dyDescent="0.45">
      <c r="A722" t="s">
        <v>2929</v>
      </c>
      <c r="B722" s="1">
        <v>45689</v>
      </c>
      <c r="C722" t="s">
        <v>2772</v>
      </c>
      <c r="D722" t="s">
        <v>2775</v>
      </c>
      <c r="E722">
        <v>9100</v>
      </c>
      <c r="F722">
        <v>1</v>
      </c>
      <c r="G722">
        <f t="shared" si="33"/>
        <v>9100</v>
      </c>
      <c r="H722" t="s">
        <v>7</v>
      </c>
      <c r="I722">
        <f t="shared" si="34"/>
        <v>10920</v>
      </c>
      <c r="J722">
        <f t="shared" si="35"/>
        <v>10920</v>
      </c>
    </row>
    <row r="723" spans="1:10" x14ac:dyDescent="0.45">
      <c r="A723" t="s">
        <v>3945</v>
      </c>
      <c r="B723" s="1">
        <v>45689</v>
      </c>
      <c r="C723" t="s">
        <v>33</v>
      </c>
      <c r="D723" t="s">
        <v>14</v>
      </c>
      <c r="E723">
        <v>800</v>
      </c>
      <c r="F723">
        <v>2</v>
      </c>
      <c r="G723">
        <f t="shared" si="33"/>
        <v>1600</v>
      </c>
      <c r="H723" t="s">
        <v>7</v>
      </c>
      <c r="I723">
        <f t="shared" si="34"/>
        <v>960</v>
      </c>
      <c r="J723">
        <f t="shared" si="35"/>
        <v>1920</v>
      </c>
    </row>
    <row r="724" spans="1:10" x14ac:dyDescent="0.45">
      <c r="A724" t="s">
        <v>4110</v>
      </c>
      <c r="B724" s="1">
        <v>45689</v>
      </c>
      <c r="C724" t="s">
        <v>3979</v>
      </c>
      <c r="D724" t="s">
        <v>3983</v>
      </c>
      <c r="E724">
        <v>1000</v>
      </c>
      <c r="F724" s="3">
        <v>9</v>
      </c>
      <c r="G724">
        <f t="shared" si="33"/>
        <v>9000</v>
      </c>
      <c r="H724" t="s">
        <v>7</v>
      </c>
      <c r="I724">
        <f t="shared" si="34"/>
        <v>1200</v>
      </c>
      <c r="J724">
        <f t="shared" si="35"/>
        <v>10800</v>
      </c>
    </row>
    <row r="725" spans="1:10" x14ac:dyDescent="0.45">
      <c r="A725" t="s">
        <v>4122</v>
      </c>
      <c r="B725" s="1">
        <v>45689</v>
      </c>
      <c r="C725" t="s">
        <v>33</v>
      </c>
      <c r="D725" t="s">
        <v>3981</v>
      </c>
      <c r="E725">
        <v>4000</v>
      </c>
      <c r="F725" s="3">
        <v>9</v>
      </c>
      <c r="G725">
        <f t="shared" si="33"/>
        <v>36000</v>
      </c>
      <c r="H725" t="s">
        <v>17</v>
      </c>
      <c r="I725">
        <f t="shared" si="34"/>
        <v>4800</v>
      </c>
      <c r="J725">
        <f t="shared" si="35"/>
        <v>43200</v>
      </c>
    </row>
    <row r="726" spans="1:10" x14ac:dyDescent="0.45">
      <c r="A726" t="s">
        <v>4177</v>
      </c>
      <c r="B726" s="1">
        <v>45689</v>
      </c>
      <c r="C726" t="s">
        <v>5009</v>
      </c>
      <c r="D726" t="s">
        <v>4000</v>
      </c>
      <c r="E726">
        <v>3000</v>
      </c>
      <c r="F726" s="3">
        <v>7</v>
      </c>
      <c r="G726">
        <f t="shared" si="33"/>
        <v>21000</v>
      </c>
      <c r="H726" t="s">
        <v>17</v>
      </c>
      <c r="I726">
        <f t="shared" si="34"/>
        <v>3600</v>
      </c>
      <c r="J726">
        <f t="shared" si="35"/>
        <v>25200</v>
      </c>
    </row>
    <row r="727" spans="1:10" x14ac:dyDescent="0.45">
      <c r="A727" t="s">
        <v>4320</v>
      </c>
      <c r="B727" s="1">
        <v>45689</v>
      </c>
      <c r="C727" t="s">
        <v>4007</v>
      </c>
      <c r="D727" t="s">
        <v>3997</v>
      </c>
      <c r="E727">
        <v>62000</v>
      </c>
      <c r="F727" s="3">
        <v>5</v>
      </c>
      <c r="G727">
        <f t="shared" si="33"/>
        <v>310000</v>
      </c>
      <c r="H727" t="s">
        <v>7</v>
      </c>
      <c r="I727">
        <f t="shared" si="34"/>
        <v>74400</v>
      </c>
      <c r="J727">
        <f t="shared" si="35"/>
        <v>372000</v>
      </c>
    </row>
    <row r="728" spans="1:10" x14ac:dyDescent="0.45">
      <c r="A728" t="s">
        <v>4547</v>
      </c>
      <c r="B728" s="1">
        <v>45689</v>
      </c>
      <c r="C728" t="s">
        <v>4007</v>
      </c>
      <c r="D728" t="s">
        <v>3988</v>
      </c>
      <c r="E728">
        <v>35000</v>
      </c>
      <c r="F728" s="3">
        <v>6</v>
      </c>
      <c r="G728">
        <f t="shared" si="33"/>
        <v>210000</v>
      </c>
      <c r="H728" t="s">
        <v>7</v>
      </c>
      <c r="I728">
        <f t="shared" si="34"/>
        <v>42000</v>
      </c>
      <c r="J728">
        <f t="shared" si="35"/>
        <v>252000</v>
      </c>
    </row>
    <row r="729" spans="1:10" x14ac:dyDescent="0.45">
      <c r="A729" t="s">
        <v>4589</v>
      </c>
      <c r="B729" s="1">
        <v>45689</v>
      </c>
      <c r="C729" t="s">
        <v>3977</v>
      </c>
      <c r="D729" t="s">
        <v>3991</v>
      </c>
      <c r="E729">
        <v>2000</v>
      </c>
      <c r="F729" s="3">
        <v>4</v>
      </c>
      <c r="G729">
        <f t="shared" si="33"/>
        <v>8000</v>
      </c>
      <c r="H729" t="s">
        <v>21</v>
      </c>
      <c r="I729">
        <f t="shared" si="34"/>
        <v>2400</v>
      </c>
      <c r="J729">
        <f t="shared" si="35"/>
        <v>9600</v>
      </c>
    </row>
    <row r="730" spans="1:10" x14ac:dyDescent="0.45">
      <c r="A730" t="s">
        <v>274</v>
      </c>
      <c r="B730" s="1">
        <v>45690</v>
      </c>
      <c r="C730" t="s">
        <v>12</v>
      </c>
      <c r="D730" t="s">
        <v>5023</v>
      </c>
      <c r="E730">
        <v>1750</v>
      </c>
      <c r="F730">
        <v>10</v>
      </c>
      <c r="G730">
        <f t="shared" si="33"/>
        <v>17500</v>
      </c>
      <c r="H730" t="s">
        <v>21</v>
      </c>
      <c r="I730">
        <f t="shared" si="34"/>
        <v>2100</v>
      </c>
      <c r="J730">
        <f t="shared" si="35"/>
        <v>21000</v>
      </c>
    </row>
    <row r="731" spans="1:10" x14ac:dyDescent="0.45">
      <c r="A731" t="s">
        <v>275</v>
      </c>
      <c r="B731" s="1">
        <v>45690</v>
      </c>
      <c r="C731" t="s">
        <v>4007</v>
      </c>
      <c r="D731" t="s">
        <v>5015</v>
      </c>
      <c r="E731">
        <v>48000</v>
      </c>
      <c r="F731">
        <v>5</v>
      </c>
      <c r="G731">
        <f t="shared" si="33"/>
        <v>240000</v>
      </c>
      <c r="H731" t="s">
        <v>17</v>
      </c>
      <c r="I731">
        <f t="shared" si="34"/>
        <v>57600</v>
      </c>
      <c r="J731">
        <f t="shared" si="35"/>
        <v>288000</v>
      </c>
    </row>
    <row r="732" spans="1:10" x14ac:dyDescent="0.45">
      <c r="A732" t="s">
        <v>276</v>
      </c>
      <c r="B732" s="1">
        <v>45690</v>
      </c>
      <c r="C732" t="s">
        <v>4007</v>
      </c>
      <c r="D732" t="s">
        <v>5015</v>
      </c>
      <c r="E732">
        <v>48000</v>
      </c>
      <c r="F732">
        <v>5</v>
      </c>
      <c r="G732">
        <f t="shared" si="33"/>
        <v>240000</v>
      </c>
      <c r="H732" t="s">
        <v>17</v>
      </c>
      <c r="I732">
        <f t="shared" si="34"/>
        <v>57600</v>
      </c>
      <c r="J732">
        <f t="shared" si="35"/>
        <v>288000</v>
      </c>
    </row>
    <row r="733" spans="1:10" x14ac:dyDescent="0.45">
      <c r="A733" t="s">
        <v>277</v>
      </c>
      <c r="B733" s="1">
        <v>45690</v>
      </c>
      <c r="C733" t="s">
        <v>9</v>
      </c>
      <c r="D733" t="s">
        <v>10</v>
      </c>
      <c r="E733">
        <v>400</v>
      </c>
      <c r="F733">
        <v>9</v>
      </c>
      <c r="G733">
        <f t="shared" si="33"/>
        <v>3600</v>
      </c>
      <c r="H733" t="s">
        <v>7</v>
      </c>
      <c r="I733">
        <f t="shared" si="34"/>
        <v>480</v>
      </c>
      <c r="J733">
        <f t="shared" si="35"/>
        <v>4320</v>
      </c>
    </row>
    <row r="734" spans="1:10" x14ac:dyDescent="0.45">
      <c r="A734" t="s">
        <v>278</v>
      </c>
      <c r="B734" s="1">
        <v>45690</v>
      </c>
      <c r="C734" t="s">
        <v>9</v>
      </c>
      <c r="D734" t="s">
        <v>19</v>
      </c>
      <c r="E734">
        <v>3000</v>
      </c>
      <c r="F734">
        <v>9</v>
      </c>
      <c r="G734">
        <f t="shared" si="33"/>
        <v>27000</v>
      </c>
      <c r="H734" t="s">
        <v>7</v>
      </c>
      <c r="I734">
        <f t="shared" si="34"/>
        <v>3600</v>
      </c>
      <c r="J734">
        <f t="shared" si="35"/>
        <v>32400</v>
      </c>
    </row>
    <row r="735" spans="1:10" x14ac:dyDescent="0.45">
      <c r="A735" t="s">
        <v>279</v>
      </c>
      <c r="B735" s="1">
        <v>45690</v>
      </c>
      <c r="C735" t="s">
        <v>9</v>
      </c>
      <c r="D735" t="s">
        <v>25</v>
      </c>
      <c r="E735">
        <v>5200</v>
      </c>
      <c r="F735">
        <v>5</v>
      </c>
      <c r="G735">
        <f t="shared" si="33"/>
        <v>26000</v>
      </c>
      <c r="H735" t="s">
        <v>7</v>
      </c>
      <c r="I735">
        <f t="shared" si="34"/>
        <v>6240</v>
      </c>
      <c r="J735">
        <f t="shared" si="35"/>
        <v>31200</v>
      </c>
    </row>
    <row r="736" spans="1:10" x14ac:dyDescent="0.45">
      <c r="A736" t="s">
        <v>280</v>
      </c>
      <c r="B736" s="1">
        <v>45690</v>
      </c>
      <c r="C736" t="s">
        <v>33</v>
      </c>
      <c r="D736" t="s">
        <v>14</v>
      </c>
      <c r="E736">
        <v>800</v>
      </c>
      <c r="F736">
        <v>7</v>
      </c>
      <c r="G736">
        <f t="shared" si="33"/>
        <v>5600</v>
      </c>
      <c r="H736" t="s">
        <v>17</v>
      </c>
      <c r="I736">
        <f t="shared" si="34"/>
        <v>960</v>
      </c>
      <c r="J736">
        <f t="shared" si="35"/>
        <v>6720</v>
      </c>
    </row>
    <row r="737" spans="1:10" x14ac:dyDescent="0.45">
      <c r="A737" t="s">
        <v>281</v>
      </c>
      <c r="B737" s="1">
        <v>45690</v>
      </c>
      <c r="C737" t="s">
        <v>4007</v>
      </c>
      <c r="D737" t="s">
        <v>5015</v>
      </c>
      <c r="E737">
        <v>48000</v>
      </c>
      <c r="F737">
        <v>5</v>
      </c>
      <c r="G737">
        <f t="shared" si="33"/>
        <v>240000</v>
      </c>
      <c r="H737" t="s">
        <v>7</v>
      </c>
      <c r="I737">
        <f t="shared" si="34"/>
        <v>57600</v>
      </c>
      <c r="J737">
        <f t="shared" si="35"/>
        <v>288000</v>
      </c>
    </row>
    <row r="738" spans="1:10" x14ac:dyDescent="0.45">
      <c r="A738" t="s">
        <v>282</v>
      </c>
      <c r="B738" s="1">
        <v>45690</v>
      </c>
      <c r="C738" t="s">
        <v>9</v>
      </c>
      <c r="D738" t="s">
        <v>25</v>
      </c>
      <c r="E738">
        <v>5200</v>
      </c>
      <c r="F738">
        <v>3</v>
      </c>
      <c r="G738">
        <f t="shared" si="33"/>
        <v>15600</v>
      </c>
      <c r="H738" t="s">
        <v>17</v>
      </c>
      <c r="I738">
        <f t="shared" si="34"/>
        <v>6240</v>
      </c>
      <c r="J738">
        <f t="shared" si="35"/>
        <v>18720</v>
      </c>
    </row>
    <row r="739" spans="1:10" x14ac:dyDescent="0.45">
      <c r="A739" t="s">
        <v>3186</v>
      </c>
      <c r="B739" s="1">
        <v>45690</v>
      </c>
      <c r="C739" t="s">
        <v>2772</v>
      </c>
      <c r="D739" t="s">
        <v>2775</v>
      </c>
      <c r="E739">
        <v>9100</v>
      </c>
      <c r="F739">
        <v>7</v>
      </c>
      <c r="G739">
        <f t="shared" si="33"/>
        <v>63700</v>
      </c>
      <c r="H739" t="s">
        <v>21</v>
      </c>
      <c r="I739">
        <f t="shared" si="34"/>
        <v>10920</v>
      </c>
      <c r="J739">
        <f t="shared" si="35"/>
        <v>76440</v>
      </c>
    </row>
    <row r="740" spans="1:10" x14ac:dyDescent="0.45">
      <c r="A740" t="s">
        <v>3225</v>
      </c>
      <c r="B740" s="1">
        <v>45690</v>
      </c>
      <c r="C740" t="s">
        <v>4007</v>
      </c>
      <c r="D740" t="s">
        <v>28</v>
      </c>
      <c r="E740">
        <v>500</v>
      </c>
      <c r="F740">
        <v>8</v>
      </c>
      <c r="G740">
        <f t="shared" si="33"/>
        <v>4000</v>
      </c>
      <c r="H740" t="s">
        <v>7</v>
      </c>
      <c r="I740">
        <f t="shared" si="34"/>
        <v>600</v>
      </c>
      <c r="J740">
        <f t="shared" si="35"/>
        <v>4800</v>
      </c>
    </row>
    <row r="741" spans="1:10" x14ac:dyDescent="0.45">
      <c r="A741" t="s">
        <v>3642</v>
      </c>
      <c r="B741" s="1">
        <v>45690</v>
      </c>
      <c r="C741" t="s">
        <v>33</v>
      </c>
      <c r="D741" t="s">
        <v>34</v>
      </c>
      <c r="E741">
        <v>1700</v>
      </c>
      <c r="F741">
        <v>8</v>
      </c>
      <c r="G741">
        <f t="shared" si="33"/>
        <v>13600</v>
      </c>
      <c r="H741" t="s">
        <v>17</v>
      </c>
      <c r="I741">
        <f t="shared" si="34"/>
        <v>2040</v>
      </c>
      <c r="J741">
        <f t="shared" si="35"/>
        <v>16320</v>
      </c>
    </row>
    <row r="742" spans="1:10" x14ac:dyDescent="0.45">
      <c r="A742" t="s">
        <v>3757</v>
      </c>
      <c r="B742" s="1">
        <v>45690</v>
      </c>
      <c r="C742" t="s">
        <v>4007</v>
      </c>
      <c r="D742" t="s">
        <v>28</v>
      </c>
      <c r="E742">
        <v>500</v>
      </c>
      <c r="F742">
        <v>1</v>
      </c>
      <c r="G742">
        <f t="shared" si="33"/>
        <v>500</v>
      </c>
      <c r="H742" t="s">
        <v>7</v>
      </c>
      <c r="I742">
        <f t="shared" si="34"/>
        <v>600</v>
      </c>
      <c r="J742">
        <f t="shared" si="35"/>
        <v>600</v>
      </c>
    </row>
    <row r="743" spans="1:10" x14ac:dyDescent="0.45">
      <c r="A743" t="s">
        <v>4049</v>
      </c>
      <c r="B743" s="1">
        <v>45690</v>
      </c>
      <c r="C743" t="s">
        <v>33</v>
      </c>
      <c r="D743" t="s">
        <v>3985</v>
      </c>
      <c r="E743">
        <v>1950</v>
      </c>
      <c r="F743" s="3">
        <v>2</v>
      </c>
      <c r="G743">
        <f t="shared" si="33"/>
        <v>3900</v>
      </c>
      <c r="H743" t="s">
        <v>17</v>
      </c>
      <c r="I743">
        <f t="shared" si="34"/>
        <v>2340</v>
      </c>
      <c r="J743">
        <f t="shared" si="35"/>
        <v>4680</v>
      </c>
    </row>
    <row r="744" spans="1:10" x14ac:dyDescent="0.45">
      <c r="A744" t="s">
        <v>4077</v>
      </c>
      <c r="B744" s="1">
        <v>45690</v>
      </c>
      <c r="C744" t="s">
        <v>3977</v>
      </c>
      <c r="D744" t="s">
        <v>3991</v>
      </c>
      <c r="E744">
        <v>2000</v>
      </c>
      <c r="F744" s="3">
        <v>1</v>
      </c>
      <c r="G744">
        <f t="shared" si="33"/>
        <v>2000</v>
      </c>
      <c r="H744" t="s">
        <v>17</v>
      </c>
      <c r="I744">
        <f t="shared" si="34"/>
        <v>2400</v>
      </c>
      <c r="J744">
        <f t="shared" si="35"/>
        <v>2400</v>
      </c>
    </row>
    <row r="745" spans="1:10" x14ac:dyDescent="0.45">
      <c r="A745" t="s">
        <v>4126</v>
      </c>
      <c r="B745" s="1">
        <v>45690</v>
      </c>
      <c r="C745" t="s">
        <v>4007</v>
      </c>
      <c r="D745" t="s">
        <v>3997</v>
      </c>
      <c r="E745">
        <v>62000</v>
      </c>
      <c r="F745" s="3">
        <v>10</v>
      </c>
      <c r="G745">
        <f t="shared" si="33"/>
        <v>620000</v>
      </c>
      <c r="H745" t="s">
        <v>7</v>
      </c>
      <c r="I745">
        <f t="shared" si="34"/>
        <v>74400</v>
      </c>
      <c r="J745">
        <f t="shared" si="35"/>
        <v>744000</v>
      </c>
    </row>
    <row r="746" spans="1:10" x14ac:dyDescent="0.45">
      <c r="A746" t="s">
        <v>4252</v>
      </c>
      <c r="B746" s="1">
        <v>45690</v>
      </c>
      <c r="C746" t="s">
        <v>33</v>
      </c>
      <c r="D746" t="s">
        <v>4001</v>
      </c>
      <c r="E746">
        <v>500</v>
      </c>
      <c r="F746" s="3">
        <v>8</v>
      </c>
      <c r="G746">
        <f t="shared" si="33"/>
        <v>4000</v>
      </c>
      <c r="H746" t="s">
        <v>17</v>
      </c>
      <c r="I746">
        <f t="shared" si="34"/>
        <v>600</v>
      </c>
      <c r="J746">
        <f t="shared" si="35"/>
        <v>4800</v>
      </c>
    </row>
    <row r="747" spans="1:10" x14ac:dyDescent="0.45">
      <c r="A747" t="s">
        <v>4258</v>
      </c>
      <c r="B747" s="1">
        <v>45690</v>
      </c>
      <c r="C747" t="s">
        <v>4007</v>
      </c>
      <c r="D747" t="s">
        <v>3997</v>
      </c>
      <c r="E747">
        <v>62000</v>
      </c>
      <c r="F747" s="3">
        <v>9</v>
      </c>
      <c r="G747">
        <f t="shared" si="33"/>
        <v>558000</v>
      </c>
      <c r="H747" t="s">
        <v>21</v>
      </c>
      <c r="I747">
        <f t="shared" si="34"/>
        <v>74400</v>
      </c>
      <c r="J747">
        <f t="shared" si="35"/>
        <v>669600</v>
      </c>
    </row>
    <row r="748" spans="1:10" x14ac:dyDescent="0.45">
      <c r="A748" t="s">
        <v>4285</v>
      </c>
      <c r="B748" s="1">
        <v>45690</v>
      </c>
      <c r="C748" t="s">
        <v>5008</v>
      </c>
      <c r="D748" t="s">
        <v>3998</v>
      </c>
      <c r="E748">
        <v>8000</v>
      </c>
      <c r="F748" s="3">
        <v>4</v>
      </c>
      <c r="G748">
        <f t="shared" si="33"/>
        <v>32000</v>
      </c>
      <c r="H748" t="s">
        <v>21</v>
      </c>
      <c r="I748">
        <f t="shared" si="34"/>
        <v>9600</v>
      </c>
      <c r="J748">
        <f t="shared" si="35"/>
        <v>38400</v>
      </c>
    </row>
    <row r="749" spans="1:10" x14ac:dyDescent="0.45">
      <c r="A749" t="s">
        <v>4378</v>
      </c>
      <c r="B749" s="1">
        <v>45690</v>
      </c>
      <c r="C749" t="s">
        <v>3979</v>
      </c>
      <c r="D749" t="s">
        <v>3983</v>
      </c>
      <c r="E749">
        <v>1000</v>
      </c>
      <c r="F749" s="3">
        <v>7</v>
      </c>
      <c r="G749">
        <f t="shared" si="33"/>
        <v>7000</v>
      </c>
      <c r="H749" t="s">
        <v>7</v>
      </c>
      <c r="I749">
        <f t="shared" si="34"/>
        <v>1200</v>
      </c>
      <c r="J749">
        <f t="shared" si="35"/>
        <v>8400</v>
      </c>
    </row>
    <row r="750" spans="1:10" x14ac:dyDescent="0.45">
      <c r="A750" t="s">
        <v>4480</v>
      </c>
      <c r="B750" s="1">
        <v>45690</v>
      </c>
      <c r="C750" t="s">
        <v>5008</v>
      </c>
      <c r="D750" t="s">
        <v>3995</v>
      </c>
      <c r="E750">
        <v>15000</v>
      </c>
      <c r="F750" s="3">
        <v>10</v>
      </c>
      <c r="G750">
        <f t="shared" si="33"/>
        <v>150000</v>
      </c>
      <c r="H750" t="s">
        <v>7</v>
      </c>
      <c r="I750">
        <f t="shared" si="34"/>
        <v>18000</v>
      </c>
      <c r="J750">
        <f t="shared" si="35"/>
        <v>180000</v>
      </c>
    </row>
    <row r="751" spans="1:10" x14ac:dyDescent="0.45">
      <c r="A751" t="s">
        <v>4488</v>
      </c>
      <c r="B751" s="1">
        <v>45690</v>
      </c>
      <c r="C751" t="s">
        <v>4007</v>
      </c>
      <c r="D751" t="s">
        <v>3997</v>
      </c>
      <c r="E751">
        <v>62000</v>
      </c>
      <c r="F751" s="3">
        <v>8</v>
      </c>
      <c r="G751">
        <f t="shared" si="33"/>
        <v>496000</v>
      </c>
      <c r="H751" t="s">
        <v>21</v>
      </c>
      <c r="I751">
        <f t="shared" si="34"/>
        <v>74400</v>
      </c>
      <c r="J751">
        <f t="shared" si="35"/>
        <v>595200</v>
      </c>
    </row>
    <row r="752" spans="1:10" x14ac:dyDescent="0.45">
      <c r="A752" t="s">
        <v>4507</v>
      </c>
      <c r="B752" s="1">
        <v>45690</v>
      </c>
      <c r="C752" t="s">
        <v>5009</v>
      </c>
      <c r="D752" t="s">
        <v>3992</v>
      </c>
      <c r="E752">
        <v>400</v>
      </c>
      <c r="F752" s="3">
        <v>8</v>
      </c>
      <c r="G752">
        <f t="shared" si="33"/>
        <v>3200</v>
      </c>
      <c r="H752" t="s">
        <v>21</v>
      </c>
      <c r="I752">
        <f t="shared" si="34"/>
        <v>480</v>
      </c>
      <c r="J752">
        <f t="shared" si="35"/>
        <v>3840</v>
      </c>
    </row>
    <row r="753" spans="1:10" x14ac:dyDescent="0.45">
      <c r="A753" t="s">
        <v>4728</v>
      </c>
      <c r="B753" s="1">
        <v>45690</v>
      </c>
      <c r="C753" t="s">
        <v>5008</v>
      </c>
      <c r="D753" t="s">
        <v>4003</v>
      </c>
      <c r="E753">
        <v>10000</v>
      </c>
      <c r="F753" s="3">
        <v>7</v>
      </c>
      <c r="G753">
        <f t="shared" si="33"/>
        <v>70000</v>
      </c>
      <c r="H753" t="s">
        <v>7</v>
      </c>
      <c r="I753">
        <f t="shared" si="34"/>
        <v>12000</v>
      </c>
      <c r="J753">
        <f t="shared" si="35"/>
        <v>84000</v>
      </c>
    </row>
    <row r="754" spans="1:10" x14ac:dyDescent="0.45">
      <c r="A754" t="s">
        <v>4753</v>
      </c>
      <c r="B754" s="1">
        <v>45690</v>
      </c>
      <c r="C754" t="s">
        <v>4007</v>
      </c>
      <c r="D754" t="s">
        <v>4005</v>
      </c>
      <c r="E754">
        <v>60000</v>
      </c>
      <c r="F754" s="3">
        <v>1</v>
      </c>
      <c r="G754">
        <f t="shared" si="33"/>
        <v>60000</v>
      </c>
      <c r="H754" t="s">
        <v>7</v>
      </c>
      <c r="I754">
        <f t="shared" si="34"/>
        <v>72000</v>
      </c>
      <c r="J754">
        <f t="shared" si="35"/>
        <v>72000</v>
      </c>
    </row>
    <row r="755" spans="1:10" x14ac:dyDescent="0.45">
      <c r="A755" t="s">
        <v>4923</v>
      </c>
      <c r="B755" s="1">
        <v>45690</v>
      </c>
      <c r="C755" t="s">
        <v>3979</v>
      </c>
      <c r="D755" t="s">
        <v>3983</v>
      </c>
      <c r="E755">
        <v>1000</v>
      </c>
      <c r="F755" s="3">
        <v>6</v>
      </c>
      <c r="G755">
        <f t="shared" si="33"/>
        <v>6000</v>
      </c>
      <c r="H755" t="s">
        <v>17</v>
      </c>
      <c r="I755">
        <f t="shared" si="34"/>
        <v>1200</v>
      </c>
      <c r="J755">
        <f t="shared" si="35"/>
        <v>7200</v>
      </c>
    </row>
    <row r="756" spans="1:10" x14ac:dyDescent="0.45">
      <c r="A756" t="s">
        <v>4939</v>
      </c>
      <c r="B756" s="1">
        <v>45690</v>
      </c>
      <c r="C756" t="s">
        <v>5008</v>
      </c>
      <c r="D756" t="s">
        <v>3998</v>
      </c>
      <c r="E756">
        <v>8000</v>
      </c>
      <c r="F756" s="3">
        <v>2</v>
      </c>
      <c r="G756">
        <f t="shared" si="33"/>
        <v>16000</v>
      </c>
      <c r="H756" t="s">
        <v>7</v>
      </c>
      <c r="I756">
        <f t="shared" si="34"/>
        <v>9600</v>
      </c>
      <c r="J756">
        <f t="shared" si="35"/>
        <v>19200</v>
      </c>
    </row>
    <row r="757" spans="1:10" x14ac:dyDescent="0.45">
      <c r="A757" t="s">
        <v>283</v>
      </c>
      <c r="B757" s="1">
        <v>45691</v>
      </c>
      <c r="C757" t="s">
        <v>9</v>
      </c>
      <c r="D757" t="s">
        <v>25</v>
      </c>
      <c r="E757">
        <v>5200</v>
      </c>
      <c r="F757">
        <v>9</v>
      </c>
      <c r="G757">
        <f t="shared" si="33"/>
        <v>46800</v>
      </c>
      <c r="H757" t="s">
        <v>17</v>
      </c>
      <c r="I757">
        <f t="shared" si="34"/>
        <v>6240</v>
      </c>
      <c r="J757">
        <f t="shared" si="35"/>
        <v>56160</v>
      </c>
    </row>
    <row r="758" spans="1:10" x14ac:dyDescent="0.45">
      <c r="A758" t="s">
        <v>284</v>
      </c>
      <c r="B758" s="1">
        <v>45691</v>
      </c>
      <c r="C758" t="s">
        <v>33</v>
      </c>
      <c r="D758" t="s">
        <v>42</v>
      </c>
      <c r="E758">
        <v>6900</v>
      </c>
      <c r="F758">
        <v>8</v>
      </c>
      <c r="G758">
        <f t="shared" si="33"/>
        <v>55200</v>
      </c>
      <c r="H758" t="s">
        <v>21</v>
      </c>
      <c r="I758">
        <f t="shared" si="34"/>
        <v>8280</v>
      </c>
      <c r="J758">
        <f t="shared" si="35"/>
        <v>66240</v>
      </c>
    </row>
    <row r="759" spans="1:10" x14ac:dyDescent="0.45">
      <c r="A759" t="s">
        <v>285</v>
      </c>
      <c r="B759" s="1">
        <v>45691</v>
      </c>
      <c r="C759" t="s">
        <v>9</v>
      </c>
      <c r="D759" t="s">
        <v>10</v>
      </c>
      <c r="E759">
        <v>400</v>
      </c>
      <c r="F759">
        <v>5</v>
      </c>
      <c r="G759">
        <f t="shared" si="33"/>
        <v>2000</v>
      </c>
      <c r="H759" t="s">
        <v>7</v>
      </c>
      <c r="I759">
        <f t="shared" si="34"/>
        <v>480</v>
      </c>
      <c r="J759">
        <f t="shared" si="35"/>
        <v>2400</v>
      </c>
    </row>
    <row r="760" spans="1:10" x14ac:dyDescent="0.45">
      <c r="A760" t="s">
        <v>286</v>
      </c>
      <c r="B760" s="1">
        <v>45691</v>
      </c>
      <c r="C760" t="s">
        <v>33</v>
      </c>
      <c r="D760" t="s">
        <v>42</v>
      </c>
      <c r="E760">
        <v>6900</v>
      </c>
      <c r="F760">
        <v>7</v>
      </c>
      <c r="G760">
        <f t="shared" si="33"/>
        <v>48300</v>
      </c>
      <c r="H760" t="s">
        <v>17</v>
      </c>
      <c r="I760">
        <f t="shared" si="34"/>
        <v>8280</v>
      </c>
      <c r="J760">
        <f t="shared" si="35"/>
        <v>57960</v>
      </c>
    </row>
    <row r="761" spans="1:10" x14ac:dyDescent="0.45">
      <c r="A761" t="s">
        <v>287</v>
      </c>
      <c r="B761" s="1">
        <v>45691</v>
      </c>
      <c r="C761" t="s">
        <v>33</v>
      </c>
      <c r="D761" t="s">
        <v>34</v>
      </c>
      <c r="E761">
        <v>1700</v>
      </c>
      <c r="F761">
        <v>1</v>
      </c>
      <c r="G761">
        <f t="shared" si="33"/>
        <v>1700</v>
      </c>
      <c r="H761" t="s">
        <v>21</v>
      </c>
      <c r="I761">
        <f t="shared" si="34"/>
        <v>2040</v>
      </c>
      <c r="J761">
        <f t="shared" si="35"/>
        <v>2040</v>
      </c>
    </row>
    <row r="762" spans="1:10" x14ac:dyDescent="0.45">
      <c r="A762" t="s">
        <v>2958</v>
      </c>
      <c r="B762" s="1">
        <v>45691</v>
      </c>
      <c r="C762" t="s">
        <v>4007</v>
      </c>
      <c r="D762" t="s">
        <v>28</v>
      </c>
      <c r="E762">
        <v>500</v>
      </c>
      <c r="F762">
        <v>8</v>
      </c>
      <c r="G762">
        <f t="shared" si="33"/>
        <v>4000</v>
      </c>
      <c r="H762" t="s">
        <v>7</v>
      </c>
      <c r="I762">
        <f t="shared" si="34"/>
        <v>600</v>
      </c>
      <c r="J762">
        <f t="shared" si="35"/>
        <v>4800</v>
      </c>
    </row>
    <row r="763" spans="1:10" x14ac:dyDescent="0.45">
      <c r="A763" t="s">
        <v>3123</v>
      </c>
      <c r="B763" s="1">
        <v>45691</v>
      </c>
      <c r="C763" t="s">
        <v>4007</v>
      </c>
      <c r="D763" t="s">
        <v>2773</v>
      </c>
      <c r="E763">
        <v>3300</v>
      </c>
      <c r="F763">
        <v>8</v>
      </c>
      <c r="G763">
        <f t="shared" si="33"/>
        <v>26400</v>
      </c>
      <c r="H763" t="s">
        <v>21</v>
      </c>
      <c r="I763">
        <f t="shared" si="34"/>
        <v>3960</v>
      </c>
      <c r="J763">
        <f t="shared" si="35"/>
        <v>31680</v>
      </c>
    </row>
    <row r="764" spans="1:10" x14ac:dyDescent="0.45">
      <c r="A764" t="s">
        <v>4058</v>
      </c>
      <c r="B764" s="1">
        <v>45691</v>
      </c>
      <c r="C764" t="s">
        <v>4007</v>
      </c>
      <c r="D764" t="s">
        <v>5015</v>
      </c>
      <c r="E764">
        <v>48000</v>
      </c>
      <c r="F764" s="3">
        <v>7</v>
      </c>
      <c r="G764">
        <f t="shared" si="33"/>
        <v>336000</v>
      </c>
      <c r="H764" t="s">
        <v>21</v>
      </c>
      <c r="I764">
        <f t="shared" si="34"/>
        <v>57600</v>
      </c>
      <c r="J764">
        <f t="shared" si="35"/>
        <v>403200</v>
      </c>
    </row>
    <row r="765" spans="1:10" x14ac:dyDescent="0.45">
      <c r="A765" t="s">
        <v>4070</v>
      </c>
      <c r="B765" s="1">
        <v>45691</v>
      </c>
      <c r="C765" t="s">
        <v>5009</v>
      </c>
      <c r="D765" t="s">
        <v>3990</v>
      </c>
      <c r="E765">
        <v>2800</v>
      </c>
      <c r="F765" s="3">
        <v>9</v>
      </c>
      <c r="G765">
        <f t="shared" si="33"/>
        <v>25200</v>
      </c>
      <c r="H765" t="s">
        <v>17</v>
      </c>
      <c r="I765">
        <f t="shared" si="34"/>
        <v>3360</v>
      </c>
      <c r="J765">
        <f t="shared" si="35"/>
        <v>30240</v>
      </c>
    </row>
    <row r="766" spans="1:10" x14ac:dyDescent="0.45">
      <c r="A766" t="s">
        <v>4297</v>
      </c>
      <c r="B766" s="1">
        <v>45691</v>
      </c>
      <c r="C766" t="s">
        <v>33</v>
      </c>
      <c r="D766" t="s">
        <v>42</v>
      </c>
      <c r="E766">
        <v>6900</v>
      </c>
      <c r="F766" s="3">
        <v>7</v>
      </c>
      <c r="G766">
        <f t="shared" si="33"/>
        <v>48300</v>
      </c>
      <c r="H766" t="s">
        <v>21</v>
      </c>
      <c r="I766">
        <f t="shared" si="34"/>
        <v>8280</v>
      </c>
      <c r="J766">
        <f t="shared" si="35"/>
        <v>57960</v>
      </c>
    </row>
    <row r="767" spans="1:10" x14ac:dyDescent="0.45">
      <c r="A767" t="s">
        <v>4340</v>
      </c>
      <c r="B767" s="1">
        <v>45691</v>
      </c>
      <c r="C767" t="s">
        <v>5008</v>
      </c>
      <c r="D767" t="s">
        <v>4003</v>
      </c>
      <c r="E767">
        <v>10000</v>
      </c>
      <c r="F767" s="3">
        <v>5</v>
      </c>
      <c r="G767">
        <f t="shared" si="33"/>
        <v>50000</v>
      </c>
      <c r="H767" t="s">
        <v>21</v>
      </c>
      <c r="I767">
        <f t="shared" si="34"/>
        <v>12000</v>
      </c>
      <c r="J767">
        <f t="shared" si="35"/>
        <v>60000</v>
      </c>
    </row>
    <row r="768" spans="1:10" x14ac:dyDescent="0.45">
      <c r="A768" t="s">
        <v>4468</v>
      </c>
      <c r="B768" s="1">
        <v>45691</v>
      </c>
      <c r="C768" t="s">
        <v>4007</v>
      </c>
      <c r="D768" t="s">
        <v>3999</v>
      </c>
      <c r="E768">
        <v>50000</v>
      </c>
      <c r="F768" s="3">
        <v>5</v>
      </c>
      <c r="G768">
        <f t="shared" si="33"/>
        <v>250000</v>
      </c>
      <c r="H768" t="s">
        <v>21</v>
      </c>
      <c r="I768">
        <f t="shared" si="34"/>
        <v>60000</v>
      </c>
      <c r="J768">
        <f t="shared" si="35"/>
        <v>300000</v>
      </c>
    </row>
    <row r="769" spans="1:10" x14ac:dyDescent="0.45">
      <c r="A769" t="s">
        <v>4470</v>
      </c>
      <c r="B769" s="1">
        <v>45691</v>
      </c>
      <c r="C769" t="s">
        <v>5009</v>
      </c>
      <c r="D769" t="s">
        <v>3990</v>
      </c>
      <c r="E769">
        <v>2800</v>
      </c>
      <c r="F769" s="3">
        <v>4</v>
      </c>
      <c r="G769">
        <f t="shared" si="33"/>
        <v>11200</v>
      </c>
      <c r="H769" t="s">
        <v>7</v>
      </c>
      <c r="I769">
        <f t="shared" si="34"/>
        <v>3360</v>
      </c>
      <c r="J769">
        <f t="shared" si="35"/>
        <v>13440</v>
      </c>
    </row>
    <row r="770" spans="1:10" x14ac:dyDescent="0.45">
      <c r="A770" t="s">
        <v>4508</v>
      </c>
      <c r="B770" s="1">
        <v>45691</v>
      </c>
      <c r="C770" t="s">
        <v>5009</v>
      </c>
      <c r="D770" t="s">
        <v>4000</v>
      </c>
      <c r="E770">
        <v>3000</v>
      </c>
      <c r="F770" s="3">
        <v>1</v>
      </c>
      <c r="G770">
        <f t="shared" ref="G770:G833" si="36">E770*F770</f>
        <v>3000</v>
      </c>
      <c r="H770" t="s">
        <v>7</v>
      </c>
      <c r="I770">
        <f t="shared" ref="I770:I833" si="37">E770*1.2</f>
        <v>3600</v>
      </c>
      <c r="J770">
        <f t="shared" ref="J770:J833" si="38">I770*F770</f>
        <v>3600</v>
      </c>
    </row>
    <row r="771" spans="1:10" x14ac:dyDescent="0.45">
      <c r="A771" t="s">
        <v>4574</v>
      </c>
      <c r="B771" s="1">
        <v>45691</v>
      </c>
      <c r="C771" t="s">
        <v>5009</v>
      </c>
      <c r="D771" t="s">
        <v>3992</v>
      </c>
      <c r="E771">
        <v>400</v>
      </c>
      <c r="F771" s="3">
        <v>10</v>
      </c>
      <c r="G771">
        <f t="shared" si="36"/>
        <v>4000</v>
      </c>
      <c r="H771" t="s">
        <v>7</v>
      </c>
      <c r="I771">
        <f t="shared" si="37"/>
        <v>480</v>
      </c>
      <c r="J771">
        <f t="shared" si="38"/>
        <v>4800</v>
      </c>
    </row>
    <row r="772" spans="1:10" x14ac:dyDescent="0.45">
      <c r="A772" t="s">
        <v>4622</v>
      </c>
      <c r="B772" s="1">
        <v>45691</v>
      </c>
      <c r="C772" t="s">
        <v>4007</v>
      </c>
      <c r="D772" t="s">
        <v>3997</v>
      </c>
      <c r="E772">
        <v>62000</v>
      </c>
      <c r="F772" s="3">
        <v>10</v>
      </c>
      <c r="G772">
        <f t="shared" si="36"/>
        <v>620000</v>
      </c>
      <c r="H772" t="s">
        <v>7</v>
      </c>
      <c r="I772">
        <f t="shared" si="37"/>
        <v>74400</v>
      </c>
      <c r="J772">
        <f t="shared" si="38"/>
        <v>744000</v>
      </c>
    </row>
    <row r="773" spans="1:10" x14ac:dyDescent="0.45">
      <c r="A773" t="s">
        <v>4660</v>
      </c>
      <c r="B773" s="1">
        <v>45691</v>
      </c>
      <c r="C773" t="s">
        <v>33</v>
      </c>
      <c r="D773" t="s">
        <v>4001</v>
      </c>
      <c r="E773">
        <v>500</v>
      </c>
      <c r="F773" s="3">
        <v>10</v>
      </c>
      <c r="G773">
        <f t="shared" si="36"/>
        <v>5000</v>
      </c>
      <c r="H773" t="s">
        <v>17</v>
      </c>
      <c r="I773">
        <f t="shared" si="37"/>
        <v>600</v>
      </c>
      <c r="J773">
        <f t="shared" si="38"/>
        <v>6000</v>
      </c>
    </row>
    <row r="774" spans="1:10" x14ac:dyDescent="0.45">
      <c r="A774" t="s">
        <v>4668</v>
      </c>
      <c r="B774" s="1">
        <v>45691</v>
      </c>
      <c r="C774" t="s">
        <v>5009</v>
      </c>
      <c r="D774" t="s">
        <v>3992</v>
      </c>
      <c r="E774">
        <v>400</v>
      </c>
      <c r="F774" s="3">
        <v>3</v>
      </c>
      <c r="G774">
        <f t="shared" si="36"/>
        <v>1200</v>
      </c>
      <c r="H774" t="s">
        <v>7</v>
      </c>
      <c r="I774">
        <f t="shared" si="37"/>
        <v>480</v>
      </c>
      <c r="J774">
        <f t="shared" si="38"/>
        <v>1440</v>
      </c>
    </row>
    <row r="775" spans="1:10" x14ac:dyDescent="0.45">
      <c r="A775" t="s">
        <v>4759</v>
      </c>
      <c r="B775" s="1">
        <v>45691</v>
      </c>
      <c r="C775" t="s">
        <v>4007</v>
      </c>
      <c r="D775" t="s">
        <v>5015</v>
      </c>
      <c r="E775">
        <v>48000</v>
      </c>
      <c r="F775" s="3">
        <v>5</v>
      </c>
      <c r="G775">
        <f t="shared" si="36"/>
        <v>240000</v>
      </c>
      <c r="H775" t="s">
        <v>7</v>
      </c>
      <c r="I775">
        <f t="shared" si="37"/>
        <v>57600</v>
      </c>
      <c r="J775">
        <f t="shared" si="38"/>
        <v>288000</v>
      </c>
    </row>
    <row r="776" spans="1:10" x14ac:dyDescent="0.45">
      <c r="A776" t="s">
        <v>4827</v>
      </c>
      <c r="B776" s="1">
        <v>45691</v>
      </c>
      <c r="C776" t="s">
        <v>4007</v>
      </c>
      <c r="D776" t="s">
        <v>5015</v>
      </c>
      <c r="E776">
        <v>48000</v>
      </c>
      <c r="F776" s="3">
        <v>5</v>
      </c>
      <c r="G776">
        <f t="shared" si="36"/>
        <v>240000</v>
      </c>
      <c r="H776" t="s">
        <v>17</v>
      </c>
      <c r="I776">
        <f t="shared" si="37"/>
        <v>57600</v>
      </c>
      <c r="J776">
        <f t="shared" si="38"/>
        <v>288000</v>
      </c>
    </row>
    <row r="777" spans="1:10" x14ac:dyDescent="0.45">
      <c r="A777" t="s">
        <v>4955</v>
      </c>
      <c r="B777" s="1">
        <v>45691</v>
      </c>
      <c r="C777" t="s">
        <v>5008</v>
      </c>
      <c r="D777" t="s">
        <v>3996</v>
      </c>
      <c r="E777">
        <v>2000</v>
      </c>
      <c r="F777" s="3">
        <v>1</v>
      </c>
      <c r="G777">
        <f t="shared" si="36"/>
        <v>2000</v>
      </c>
      <c r="H777" t="s">
        <v>7</v>
      </c>
      <c r="I777">
        <f t="shared" si="37"/>
        <v>2400</v>
      </c>
      <c r="J777">
        <f t="shared" si="38"/>
        <v>2400</v>
      </c>
    </row>
    <row r="778" spans="1:10" x14ac:dyDescent="0.45">
      <c r="A778" t="s">
        <v>288</v>
      </c>
      <c r="B778" s="1">
        <v>45692</v>
      </c>
      <c r="C778" t="s">
        <v>12</v>
      </c>
      <c r="D778" t="s">
        <v>5020</v>
      </c>
      <c r="E778">
        <v>2880</v>
      </c>
      <c r="F778">
        <v>4</v>
      </c>
      <c r="G778">
        <f t="shared" si="36"/>
        <v>11520</v>
      </c>
      <c r="H778" t="s">
        <v>7</v>
      </c>
      <c r="I778">
        <f t="shared" si="37"/>
        <v>3456</v>
      </c>
      <c r="J778">
        <f t="shared" si="38"/>
        <v>13824</v>
      </c>
    </row>
    <row r="779" spans="1:10" x14ac:dyDescent="0.45">
      <c r="A779" t="s">
        <v>289</v>
      </c>
      <c r="B779" s="1">
        <v>45692</v>
      </c>
      <c r="C779" t="s">
        <v>12</v>
      </c>
      <c r="D779" t="s">
        <v>5020</v>
      </c>
      <c r="E779">
        <v>2880</v>
      </c>
      <c r="F779">
        <v>10</v>
      </c>
      <c r="G779">
        <f t="shared" si="36"/>
        <v>28800</v>
      </c>
      <c r="H779" t="s">
        <v>7</v>
      </c>
      <c r="I779">
        <f t="shared" si="37"/>
        <v>3456</v>
      </c>
      <c r="J779">
        <f t="shared" si="38"/>
        <v>34560</v>
      </c>
    </row>
    <row r="780" spans="1:10" x14ac:dyDescent="0.45">
      <c r="A780" t="s">
        <v>290</v>
      </c>
      <c r="B780" s="1">
        <v>45692</v>
      </c>
      <c r="C780" t="s">
        <v>4007</v>
      </c>
      <c r="D780" t="s">
        <v>5015</v>
      </c>
      <c r="E780">
        <v>48000</v>
      </c>
      <c r="F780">
        <v>3</v>
      </c>
      <c r="G780">
        <f t="shared" si="36"/>
        <v>144000</v>
      </c>
      <c r="H780" t="s">
        <v>17</v>
      </c>
      <c r="I780">
        <f t="shared" si="37"/>
        <v>57600</v>
      </c>
      <c r="J780">
        <f t="shared" si="38"/>
        <v>172800</v>
      </c>
    </row>
    <row r="781" spans="1:10" x14ac:dyDescent="0.45">
      <c r="A781" t="s">
        <v>291</v>
      </c>
      <c r="B781" s="1">
        <v>45692</v>
      </c>
      <c r="C781" t="s">
        <v>12</v>
      </c>
      <c r="D781" t="s">
        <v>5022</v>
      </c>
      <c r="E781">
        <v>2880</v>
      </c>
      <c r="F781">
        <v>2</v>
      </c>
      <c r="G781">
        <f t="shared" si="36"/>
        <v>5760</v>
      </c>
      <c r="H781" t="s">
        <v>17</v>
      </c>
      <c r="I781">
        <f t="shared" si="37"/>
        <v>3456</v>
      </c>
      <c r="J781">
        <f t="shared" si="38"/>
        <v>6912</v>
      </c>
    </row>
    <row r="782" spans="1:10" x14ac:dyDescent="0.45">
      <c r="A782" t="s">
        <v>292</v>
      </c>
      <c r="B782" s="1">
        <v>45692</v>
      </c>
      <c r="C782" t="s">
        <v>4007</v>
      </c>
      <c r="D782" t="s">
        <v>5015</v>
      </c>
      <c r="E782">
        <v>48000</v>
      </c>
      <c r="F782">
        <v>5</v>
      </c>
      <c r="G782">
        <f t="shared" si="36"/>
        <v>240000</v>
      </c>
      <c r="H782" t="s">
        <v>17</v>
      </c>
      <c r="I782">
        <f t="shared" si="37"/>
        <v>57600</v>
      </c>
      <c r="J782">
        <f t="shared" si="38"/>
        <v>288000</v>
      </c>
    </row>
    <row r="783" spans="1:10" x14ac:dyDescent="0.45">
      <c r="A783" t="s">
        <v>293</v>
      </c>
      <c r="B783" s="1">
        <v>45692</v>
      </c>
      <c r="C783" t="s">
        <v>9</v>
      </c>
      <c r="D783" t="s">
        <v>19</v>
      </c>
      <c r="E783">
        <v>3000</v>
      </c>
      <c r="F783">
        <v>3</v>
      </c>
      <c r="G783">
        <f t="shared" si="36"/>
        <v>9000</v>
      </c>
      <c r="H783" t="s">
        <v>17</v>
      </c>
      <c r="I783">
        <f t="shared" si="37"/>
        <v>3600</v>
      </c>
      <c r="J783">
        <f t="shared" si="38"/>
        <v>10800</v>
      </c>
    </row>
    <row r="784" spans="1:10" x14ac:dyDescent="0.45">
      <c r="A784" t="s">
        <v>294</v>
      </c>
      <c r="B784" s="1">
        <v>45692</v>
      </c>
      <c r="C784" t="s">
        <v>4007</v>
      </c>
      <c r="D784" t="s">
        <v>4005</v>
      </c>
      <c r="E784">
        <v>60000</v>
      </c>
      <c r="F784">
        <v>2</v>
      </c>
      <c r="G784">
        <f t="shared" si="36"/>
        <v>120000</v>
      </c>
      <c r="H784" t="s">
        <v>17</v>
      </c>
      <c r="I784">
        <f t="shared" si="37"/>
        <v>72000</v>
      </c>
      <c r="J784">
        <f t="shared" si="38"/>
        <v>144000</v>
      </c>
    </row>
    <row r="785" spans="1:10" x14ac:dyDescent="0.45">
      <c r="A785" t="s">
        <v>3098</v>
      </c>
      <c r="B785" s="1">
        <v>45692</v>
      </c>
      <c r="C785" t="s">
        <v>4007</v>
      </c>
      <c r="D785" t="s">
        <v>2770</v>
      </c>
      <c r="E785">
        <v>600</v>
      </c>
      <c r="F785">
        <v>5</v>
      </c>
      <c r="G785">
        <f t="shared" si="36"/>
        <v>3000</v>
      </c>
      <c r="H785" t="s">
        <v>17</v>
      </c>
      <c r="I785">
        <f t="shared" si="37"/>
        <v>720</v>
      </c>
      <c r="J785">
        <f t="shared" si="38"/>
        <v>3600</v>
      </c>
    </row>
    <row r="786" spans="1:10" x14ac:dyDescent="0.45">
      <c r="A786" t="s">
        <v>3661</v>
      </c>
      <c r="B786" s="1">
        <v>45692</v>
      </c>
      <c r="C786" t="s">
        <v>33</v>
      </c>
      <c r="D786" t="s">
        <v>14</v>
      </c>
      <c r="E786">
        <v>800</v>
      </c>
      <c r="F786">
        <v>3</v>
      </c>
      <c r="G786">
        <f t="shared" si="36"/>
        <v>2400</v>
      </c>
      <c r="H786" t="s">
        <v>7</v>
      </c>
      <c r="I786">
        <f t="shared" si="37"/>
        <v>960</v>
      </c>
      <c r="J786">
        <f t="shared" si="38"/>
        <v>2880</v>
      </c>
    </row>
    <row r="787" spans="1:10" x14ac:dyDescent="0.45">
      <c r="A787" t="s">
        <v>4354</v>
      </c>
      <c r="B787" s="1">
        <v>45692</v>
      </c>
      <c r="C787" t="s">
        <v>3979</v>
      </c>
      <c r="D787" t="s">
        <v>3987</v>
      </c>
      <c r="E787">
        <v>8000</v>
      </c>
      <c r="F787" s="3">
        <v>1</v>
      </c>
      <c r="G787">
        <f t="shared" si="36"/>
        <v>8000</v>
      </c>
      <c r="H787" t="s">
        <v>21</v>
      </c>
      <c r="I787">
        <f t="shared" si="37"/>
        <v>9600</v>
      </c>
      <c r="J787">
        <f t="shared" si="38"/>
        <v>9600</v>
      </c>
    </row>
    <row r="788" spans="1:10" x14ac:dyDescent="0.45">
      <c r="A788" t="s">
        <v>4410</v>
      </c>
      <c r="B788" s="1">
        <v>45692</v>
      </c>
      <c r="C788" t="s">
        <v>33</v>
      </c>
      <c r="D788" t="s">
        <v>42</v>
      </c>
      <c r="E788">
        <v>6900</v>
      </c>
      <c r="F788" s="3">
        <v>1</v>
      </c>
      <c r="G788">
        <f t="shared" si="36"/>
        <v>6900</v>
      </c>
      <c r="H788" t="s">
        <v>7</v>
      </c>
      <c r="I788">
        <f t="shared" si="37"/>
        <v>8280</v>
      </c>
      <c r="J788">
        <f t="shared" si="38"/>
        <v>8280</v>
      </c>
    </row>
    <row r="789" spans="1:10" x14ac:dyDescent="0.45">
      <c r="A789" t="s">
        <v>4427</v>
      </c>
      <c r="B789" s="1">
        <v>45692</v>
      </c>
      <c r="C789" t="s">
        <v>3979</v>
      </c>
      <c r="D789" t="s">
        <v>3987</v>
      </c>
      <c r="E789">
        <v>8000</v>
      </c>
      <c r="F789" s="3">
        <v>7</v>
      </c>
      <c r="G789">
        <f t="shared" si="36"/>
        <v>56000</v>
      </c>
      <c r="H789" t="s">
        <v>17</v>
      </c>
      <c r="I789">
        <f t="shared" si="37"/>
        <v>9600</v>
      </c>
      <c r="J789">
        <f t="shared" si="38"/>
        <v>67200</v>
      </c>
    </row>
    <row r="790" spans="1:10" x14ac:dyDescent="0.45">
      <c r="A790" t="s">
        <v>4497</v>
      </c>
      <c r="B790" s="1">
        <v>45692</v>
      </c>
      <c r="C790" t="s">
        <v>33</v>
      </c>
      <c r="D790" t="s">
        <v>3981</v>
      </c>
      <c r="E790">
        <v>4000</v>
      </c>
      <c r="F790" s="3">
        <v>9</v>
      </c>
      <c r="G790">
        <f t="shared" si="36"/>
        <v>36000</v>
      </c>
      <c r="H790" t="s">
        <v>21</v>
      </c>
      <c r="I790">
        <f t="shared" si="37"/>
        <v>4800</v>
      </c>
      <c r="J790">
        <f t="shared" si="38"/>
        <v>43200</v>
      </c>
    </row>
    <row r="791" spans="1:10" x14ac:dyDescent="0.45">
      <c r="A791" t="s">
        <v>4564</v>
      </c>
      <c r="B791" s="1">
        <v>45692</v>
      </c>
      <c r="C791" t="s">
        <v>5008</v>
      </c>
      <c r="D791" t="s">
        <v>3998</v>
      </c>
      <c r="E791">
        <v>8000</v>
      </c>
      <c r="F791" s="3">
        <v>2</v>
      </c>
      <c r="G791">
        <f t="shared" si="36"/>
        <v>16000</v>
      </c>
      <c r="H791" t="s">
        <v>21</v>
      </c>
      <c r="I791">
        <f t="shared" si="37"/>
        <v>9600</v>
      </c>
      <c r="J791">
        <f t="shared" si="38"/>
        <v>19200</v>
      </c>
    </row>
    <row r="792" spans="1:10" x14ac:dyDescent="0.45">
      <c r="A792" t="s">
        <v>4595</v>
      </c>
      <c r="B792" s="1">
        <v>45692</v>
      </c>
      <c r="C792" t="s">
        <v>5009</v>
      </c>
      <c r="D792" t="s">
        <v>3992</v>
      </c>
      <c r="E792">
        <v>400</v>
      </c>
      <c r="F792" s="3">
        <v>5</v>
      </c>
      <c r="G792">
        <f t="shared" si="36"/>
        <v>2000</v>
      </c>
      <c r="H792" t="s">
        <v>7</v>
      </c>
      <c r="I792">
        <f t="shared" si="37"/>
        <v>480</v>
      </c>
      <c r="J792">
        <f t="shared" si="38"/>
        <v>2400</v>
      </c>
    </row>
    <row r="793" spans="1:10" x14ac:dyDescent="0.45">
      <c r="A793" t="s">
        <v>4673</v>
      </c>
      <c r="B793" s="1">
        <v>45692</v>
      </c>
      <c r="C793" t="s">
        <v>5008</v>
      </c>
      <c r="D793" t="s">
        <v>3996</v>
      </c>
      <c r="E793">
        <v>2000</v>
      </c>
      <c r="F793" s="3">
        <v>4</v>
      </c>
      <c r="G793">
        <f t="shared" si="36"/>
        <v>8000</v>
      </c>
      <c r="H793" t="s">
        <v>17</v>
      </c>
      <c r="I793">
        <f t="shared" si="37"/>
        <v>2400</v>
      </c>
      <c r="J793">
        <f t="shared" si="38"/>
        <v>9600</v>
      </c>
    </row>
    <row r="794" spans="1:10" x14ac:dyDescent="0.45">
      <c r="A794" t="s">
        <v>4721</v>
      </c>
      <c r="B794" s="1">
        <v>45692</v>
      </c>
      <c r="C794" t="s">
        <v>3977</v>
      </c>
      <c r="D794" t="s">
        <v>4002</v>
      </c>
      <c r="E794">
        <v>2500</v>
      </c>
      <c r="F794" s="3">
        <v>9</v>
      </c>
      <c r="G794">
        <f t="shared" si="36"/>
        <v>22500</v>
      </c>
      <c r="H794" t="s">
        <v>17</v>
      </c>
      <c r="I794">
        <f t="shared" si="37"/>
        <v>3000</v>
      </c>
      <c r="J794">
        <f t="shared" si="38"/>
        <v>27000</v>
      </c>
    </row>
    <row r="795" spans="1:10" x14ac:dyDescent="0.45">
      <c r="A795" t="s">
        <v>4732</v>
      </c>
      <c r="B795" s="1">
        <v>45692</v>
      </c>
      <c r="C795" t="s">
        <v>4007</v>
      </c>
      <c r="D795" t="s">
        <v>3988</v>
      </c>
      <c r="E795">
        <v>35000</v>
      </c>
      <c r="F795" s="3">
        <v>4</v>
      </c>
      <c r="G795">
        <f t="shared" si="36"/>
        <v>140000</v>
      </c>
      <c r="H795" t="s">
        <v>7</v>
      </c>
      <c r="I795">
        <f t="shared" si="37"/>
        <v>42000</v>
      </c>
      <c r="J795">
        <f t="shared" si="38"/>
        <v>168000</v>
      </c>
    </row>
    <row r="796" spans="1:10" x14ac:dyDescent="0.45">
      <c r="A796" t="s">
        <v>4793</v>
      </c>
      <c r="B796" s="1">
        <v>45692</v>
      </c>
      <c r="C796" t="s">
        <v>3979</v>
      </c>
      <c r="D796" t="s">
        <v>3983</v>
      </c>
      <c r="E796">
        <v>1000</v>
      </c>
      <c r="F796" s="3">
        <v>7</v>
      </c>
      <c r="G796">
        <f t="shared" si="36"/>
        <v>7000</v>
      </c>
      <c r="H796" t="s">
        <v>7</v>
      </c>
      <c r="I796">
        <f t="shared" si="37"/>
        <v>1200</v>
      </c>
      <c r="J796">
        <f t="shared" si="38"/>
        <v>8400</v>
      </c>
    </row>
    <row r="797" spans="1:10" x14ac:dyDescent="0.45">
      <c r="A797" t="s">
        <v>4987</v>
      </c>
      <c r="B797" s="1">
        <v>45692</v>
      </c>
      <c r="C797" t="s">
        <v>4007</v>
      </c>
      <c r="D797" t="s">
        <v>3997</v>
      </c>
      <c r="E797">
        <v>62000</v>
      </c>
      <c r="F797" s="3">
        <v>1</v>
      </c>
      <c r="G797">
        <f t="shared" si="36"/>
        <v>62000</v>
      </c>
      <c r="H797" t="s">
        <v>21</v>
      </c>
      <c r="I797">
        <f t="shared" si="37"/>
        <v>74400</v>
      </c>
      <c r="J797">
        <f t="shared" si="38"/>
        <v>74400</v>
      </c>
    </row>
    <row r="798" spans="1:10" x14ac:dyDescent="0.45">
      <c r="A798" t="s">
        <v>295</v>
      </c>
      <c r="B798" s="1">
        <v>45693</v>
      </c>
      <c r="C798" t="s">
        <v>12</v>
      </c>
      <c r="D798" t="s">
        <v>5021</v>
      </c>
      <c r="E798">
        <v>2880</v>
      </c>
      <c r="F798">
        <v>8</v>
      </c>
      <c r="G798">
        <f t="shared" si="36"/>
        <v>23040</v>
      </c>
      <c r="H798" t="s">
        <v>21</v>
      </c>
      <c r="I798">
        <f t="shared" si="37"/>
        <v>3456</v>
      </c>
      <c r="J798">
        <f t="shared" si="38"/>
        <v>27648</v>
      </c>
    </row>
    <row r="799" spans="1:10" x14ac:dyDescent="0.45">
      <c r="A799" t="s">
        <v>296</v>
      </c>
      <c r="B799" s="1">
        <v>45693</v>
      </c>
      <c r="C799" t="s">
        <v>4007</v>
      </c>
      <c r="D799" t="s">
        <v>28</v>
      </c>
      <c r="E799">
        <v>500</v>
      </c>
      <c r="F799">
        <v>2</v>
      </c>
      <c r="G799">
        <f t="shared" si="36"/>
        <v>1000</v>
      </c>
      <c r="H799" t="s">
        <v>21</v>
      </c>
      <c r="I799">
        <f t="shared" si="37"/>
        <v>600</v>
      </c>
      <c r="J799">
        <f t="shared" si="38"/>
        <v>1200</v>
      </c>
    </row>
    <row r="800" spans="1:10" x14ac:dyDescent="0.45">
      <c r="A800" t="s">
        <v>297</v>
      </c>
      <c r="B800" s="1">
        <v>45693</v>
      </c>
      <c r="C800" t="s">
        <v>33</v>
      </c>
      <c r="D800" t="s">
        <v>34</v>
      </c>
      <c r="E800">
        <v>1700</v>
      </c>
      <c r="F800">
        <v>8</v>
      </c>
      <c r="G800">
        <f t="shared" si="36"/>
        <v>13600</v>
      </c>
      <c r="H800" t="s">
        <v>17</v>
      </c>
      <c r="I800">
        <f t="shared" si="37"/>
        <v>2040</v>
      </c>
      <c r="J800">
        <f t="shared" si="38"/>
        <v>16320</v>
      </c>
    </row>
    <row r="801" spans="1:10" x14ac:dyDescent="0.45">
      <c r="A801" t="s">
        <v>298</v>
      </c>
      <c r="B801" s="1">
        <v>45693</v>
      </c>
      <c r="C801" t="s">
        <v>4007</v>
      </c>
      <c r="D801" t="s">
        <v>39</v>
      </c>
      <c r="E801">
        <v>6000</v>
      </c>
      <c r="F801">
        <v>3</v>
      </c>
      <c r="G801">
        <f t="shared" si="36"/>
        <v>18000</v>
      </c>
      <c r="H801" t="s">
        <v>7</v>
      </c>
      <c r="I801">
        <f t="shared" si="37"/>
        <v>7200</v>
      </c>
      <c r="J801">
        <f t="shared" si="38"/>
        <v>21600</v>
      </c>
    </row>
    <row r="802" spans="1:10" x14ac:dyDescent="0.45">
      <c r="A802" t="s">
        <v>299</v>
      </c>
      <c r="B802" s="1">
        <v>45693</v>
      </c>
      <c r="C802" t="s">
        <v>12</v>
      </c>
      <c r="D802" t="s">
        <v>5021</v>
      </c>
      <c r="E802">
        <v>2880</v>
      </c>
      <c r="F802">
        <v>6</v>
      </c>
      <c r="G802">
        <f t="shared" si="36"/>
        <v>17280</v>
      </c>
      <c r="H802" t="s">
        <v>21</v>
      </c>
      <c r="I802">
        <f t="shared" si="37"/>
        <v>3456</v>
      </c>
      <c r="J802">
        <f t="shared" si="38"/>
        <v>20736</v>
      </c>
    </row>
    <row r="803" spans="1:10" x14ac:dyDescent="0.45">
      <c r="A803" t="s">
        <v>300</v>
      </c>
      <c r="B803" s="1">
        <v>45693</v>
      </c>
      <c r="C803" t="s">
        <v>12</v>
      </c>
      <c r="D803" t="s">
        <v>5022</v>
      </c>
      <c r="E803">
        <v>2880</v>
      </c>
      <c r="F803">
        <v>9</v>
      </c>
      <c r="G803">
        <f t="shared" si="36"/>
        <v>25920</v>
      </c>
      <c r="H803" t="s">
        <v>21</v>
      </c>
      <c r="I803">
        <f t="shared" si="37"/>
        <v>3456</v>
      </c>
      <c r="J803">
        <f t="shared" si="38"/>
        <v>31104</v>
      </c>
    </row>
    <row r="804" spans="1:10" x14ac:dyDescent="0.45">
      <c r="A804" t="s">
        <v>301</v>
      </c>
      <c r="B804" s="1">
        <v>45693</v>
      </c>
      <c r="C804" t="s">
        <v>4007</v>
      </c>
      <c r="D804" t="s">
        <v>5015</v>
      </c>
      <c r="E804">
        <v>48000</v>
      </c>
      <c r="F804">
        <v>7</v>
      </c>
      <c r="G804">
        <f t="shared" si="36"/>
        <v>336000</v>
      </c>
      <c r="H804" t="s">
        <v>17</v>
      </c>
      <c r="I804">
        <f t="shared" si="37"/>
        <v>57600</v>
      </c>
      <c r="J804">
        <f t="shared" si="38"/>
        <v>403200</v>
      </c>
    </row>
    <row r="805" spans="1:10" x14ac:dyDescent="0.45">
      <c r="A805" t="s">
        <v>2927</v>
      </c>
      <c r="B805" s="1">
        <v>45693</v>
      </c>
      <c r="C805" t="s">
        <v>4007</v>
      </c>
      <c r="D805" t="s">
        <v>2770</v>
      </c>
      <c r="E805">
        <v>600</v>
      </c>
      <c r="F805">
        <v>9</v>
      </c>
      <c r="G805">
        <f t="shared" si="36"/>
        <v>5400</v>
      </c>
      <c r="H805" t="s">
        <v>17</v>
      </c>
      <c r="I805">
        <f t="shared" si="37"/>
        <v>720</v>
      </c>
      <c r="J805">
        <f t="shared" si="38"/>
        <v>6480</v>
      </c>
    </row>
    <row r="806" spans="1:10" x14ac:dyDescent="0.45">
      <c r="A806" t="s">
        <v>3092</v>
      </c>
      <c r="B806" s="1">
        <v>45693</v>
      </c>
      <c r="C806" t="s">
        <v>4007</v>
      </c>
      <c r="D806" t="s">
        <v>28</v>
      </c>
      <c r="E806">
        <v>500</v>
      </c>
      <c r="F806">
        <v>8</v>
      </c>
      <c r="G806">
        <f t="shared" si="36"/>
        <v>4000</v>
      </c>
      <c r="H806" t="s">
        <v>21</v>
      </c>
      <c r="I806">
        <f t="shared" si="37"/>
        <v>600</v>
      </c>
      <c r="J806">
        <f t="shared" si="38"/>
        <v>4800</v>
      </c>
    </row>
    <row r="807" spans="1:10" x14ac:dyDescent="0.45">
      <c r="A807" t="s">
        <v>3270</v>
      </c>
      <c r="B807" s="1">
        <v>45693</v>
      </c>
      <c r="C807" t="s">
        <v>4007</v>
      </c>
      <c r="D807" t="s">
        <v>5015</v>
      </c>
      <c r="E807">
        <v>48000</v>
      </c>
      <c r="F807">
        <v>9</v>
      </c>
      <c r="G807">
        <f t="shared" si="36"/>
        <v>432000</v>
      </c>
      <c r="H807" t="s">
        <v>21</v>
      </c>
      <c r="I807">
        <f t="shared" si="37"/>
        <v>57600</v>
      </c>
      <c r="J807">
        <f t="shared" si="38"/>
        <v>518400</v>
      </c>
    </row>
    <row r="808" spans="1:10" x14ac:dyDescent="0.45">
      <c r="A808" t="s">
        <v>3342</v>
      </c>
      <c r="B808" s="1">
        <v>45693</v>
      </c>
      <c r="C808" t="s">
        <v>4007</v>
      </c>
      <c r="D808" t="s">
        <v>2776</v>
      </c>
      <c r="E808">
        <v>3600</v>
      </c>
      <c r="F808">
        <v>7</v>
      </c>
      <c r="G808">
        <f t="shared" si="36"/>
        <v>25200</v>
      </c>
      <c r="H808" t="s">
        <v>7</v>
      </c>
      <c r="I808">
        <f t="shared" si="37"/>
        <v>4320</v>
      </c>
      <c r="J808">
        <f t="shared" si="38"/>
        <v>30240</v>
      </c>
    </row>
    <row r="809" spans="1:10" x14ac:dyDescent="0.45">
      <c r="A809" t="s">
        <v>3418</v>
      </c>
      <c r="B809" s="1">
        <v>45693</v>
      </c>
      <c r="C809" t="s">
        <v>4007</v>
      </c>
      <c r="D809" t="s">
        <v>2776</v>
      </c>
      <c r="E809">
        <v>3600</v>
      </c>
      <c r="F809">
        <v>1</v>
      </c>
      <c r="G809">
        <f t="shared" si="36"/>
        <v>3600</v>
      </c>
      <c r="H809" t="s">
        <v>21</v>
      </c>
      <c r="I809">
        <f t="shared" si="37"/>
        <v>4320</v>
      </c>
      <c r="J809">
        <f t="shared" si="38"/>
        <v>4320</v>
      </c>
    </row>
    <row r="810" spans="1:10" x14ac:dyDescent="0.45">
      <c r="A810" t="s">
        <v>3949</v>
      </c>
      <c r="B810" s="1">
        <v>45693</v>
      </c>
      <c r="C810" t="s">
        <v>4007</v>
      </c>
      <c r="D810" t="s">
        <v>2774</v>
      </c>
      <c r="E810">
        <v>1900</v>
      </c>
      <c r="F810">
        <v>8</v>
      </c>
      <c r="G810">
        <f t="shared" si="36"/>
        <v>15200</v>
      </c>
      <c r="H810" t="s">
        <v>21</v>
      </c>
      <c r="I810">
        <f t="shared" si="37"/>
        <v>2280</v>
      </c>
      <c r="J810">
        <f t="shared" si="38"/>
        <v>18240</v>
      </c>
    </row>
    <row r="811" spans="1:10" x14ac:dyDescent="0.45">
      <c r="A811" t="s">
        <v>4118</v>
      </c>
      <c r="B811" s="1">
        <v>45693</v>
      </c>
      <c r="C811" t="s">
        <v>5009</v>
      </c>
      <c r="D811" t="s">
        <v>3990</v>
      </c>
      <c r="E811">
        <v>2800</v>
      </c>
      <c r="F811" s="3">
        <v>2</v>
      </c>
      <c r="G811">
        <f t="shared" si="36"/>
        <v>5600</v>
      </c>
      <c r="H811" t="s">
        <v>17</v>
      </c>
      <c r="I811">
        <f t="shared" si="37"/>
        <v>3360</v>
      </c>
      <c r="J811">
        <f t="shared" si="38"/>
        <v>6720</v>
      </c>
    </row>
    <row r="812" spans="1:10" x14ac:dyDescent="0.45">
      <c r="A812" t="s">
        <v>4119</v>
      </c>
      <c r="B812" s="1">
        <v>45693</v>
      </c>
      <c r="C812" t="s">
        <v>3977</v>
      </c>
      <c r="D812" t="s">
        <v>3989</v>
      </c>
      <c r="E812">
        <v>1000</v>
      </c>
      <c r="F812" s="3">
        <v>3</v>
      </c>
      <c r="G812">
        <f t="shared" si="36"/>
        <v>3000</v>
      </c>
      <c r="H812" t="s">
        <v>7</v>
      </c>
      <c r="I812">
        <f t="shared" si="37"/>
        <v>1200</v>
      </c>
      <c r="J812">
        <f t="shared" si="38"/>
        <v>3600</v>
      </c>
    </row>
    <row r="813" spans="1:10" x14ac:dyDescent="0.45">
      <c r="A813" t="s">
        <v>4150</v>
      </c>
      <c r="B813" s="1">
        <v>45693</v>
      </c>
      <c r="C813" t="s">
        <v>3977</v>
      </c>
      <c r="D813" t="s">
        <v>3989</v>
      </c>
      <c r="E813">
        <v>1000</v>
      </c>
      <c r="F813" s="3">
        <v>10</v>
      </c>
      <c r="G813">
        <f t="shared" si="36"/>
        <v>10000</v>
      </c>
      <c r="H813" t="s">
        <v>7</v>
      </c>
      <c r="I813">
        <f t="shared" si="37"/>
        <v>1200</v>
      </c>
      <c r="J813">
        <f t="shared" si="38"/>
        <v>12000</v>
      </c>
    </row>
    <row r="814" spans="1:10" x14ac:dyDescent="0.45">
      <c r="A814" t="s">
        <v>4265</v>
      </c>
      <c r="B814" s="1">
        <v>45693</v>
      </c>
      <c r="C814" t="s">
        <v>33</v>
      </c>
      <c r="D814" t="s">
        <v>3981</v>
      </c>
      <c r="E814">
        <v>4000</v>
      </c>
      <c r="F814" s="3">
        <v>6</v>
      </c>
      <c r="G814">
        <f t="shared" si="36"/>
        <v>24000</v>
      </c>
      <c r="H814" t="s">
        <v>17</v>
      </c>
      <c r="I814">
        <f t="shared" si="37"/>
        <v>4800</v>
      </c>
      <c r="J814">
        <f t="shared" si="38"/>
        <v>28800</v>
      </c>
    </row>
    <row r="815" spans="1:10" x14ac:dyDescent="0.45">
      <c r="A815" t="s">
        <v>4319</v>
      </c>
      <c r="B815" s="1">
        <v>45693</v>
      </c>
      <c r="C815" t="s">
        <v>5008</v>
      </c>
      <c r="D815" t="s">
        <v>3996</v>
      </c>
      <c r="E815">
        <v>2000</v>
      </c>
      <c r="F815" s="3">
        <v>2</v>
      </c>
      <c r="G815">
        <f t="shared" si="36"/>
        <v>4000</v>
      </c>
      <c r="H815" t="s">
        <v>21</v>
      </c>
      <c r="I815">
        <f t="shared" si="37"/>
        <v>2400</v>
      </c>
      <c r="J815">
        <f t="shared" si="38"/>
        <v>4800</v>
      </c>
    </row>
    <row r="816" spans="1:10" x14ac:dyDescent="0.45">
      <c r="A816" t="s">
        <v>4347</v>
      </c>
      <c r="B816" s="1">
        <v>45693</v>
      </c>
      <c r="C816" t="s">
        <v>4007</v>
      </c>
      <c r="D816" t="s">
        <v>5015</v>
      </c>
      <c r="E816">
        <v>48000</v>
      </c>
      <c r="F816" s="3">
        <v>9</v>
      </c>
      <c r="G816">
        <f t="shared" si="36"/>
        <v>432000</v>
      </c>
      <c r="H816" t="s">
        <v>17</v>
      </c>
      <c r="I816">
        <f t="shared" si="37"/>
        <v>57600</v>
      </c>
      <c r="J816">
        <f t="shared" si="38"/>
        <v>518400</v>
      </c>
    </row>
    <row r="817" spans="1:10" x14ac:dyDescent="0.45">
      <c r="A817" t="s">
        <v>4560</v>
      </c>
      <c r="B817" s="1">
        <v>45693</v>
      </c>
      <c r="C817" t="s">
        <v>3977</v>
      </c>
      <c r="D817" t="s">
        <v>3993</v>
      </c>
      <c r="E817">
        <v>1000</v>
      </c>
      <c r="F817" s="3">
        <v>9</v>
      </c>
      <c r="G817">
        <f t="shared" si="36"/>
        <v>9000</v>
      </c>
      <c r="H817" t="s">
        <v>17</v>
      </c>
      <c r="I817">
        <f t="shared" si="37"/>
        <v>1200</v>
      </c>
      <c r="J817">
        <f t="shared" si="38"/>
        <v>10800</v>
      </c>
    </row>
    <row r="818" spans="1:10" x14ac:dyDescent="0.45">
      <c r="A818" t="s">
        <v>4601</v>
      </c>
      <c r="B818" s="1">
        <v>45693</v>
      </c>
      <c r="C818" t="s">
        <v>5009</v>
      </c>
      <c r="D818" t="s">
        <v>4000</v>
      </c>
      <c r="E818">
        <v>3000</v>
      </c>
      <c r="F818" s="3">
        <v>3</v>
      </c>
      <c r="G818">
        <f t="shared" si="36"/>
        <v>9000</v>
      </c>
      <c r="H818" t="s">
        <v>21</v>
      </c>
      <c r="I818">
        <f t="shared" si="37"/>
        <v>3600</v>
      </c>
      <c r="J818">
        <f t="shared" si="38"/>
        <v>10800</v>
      </c>
    </row>
    <row r="819" spans="1:10" x14ac:dyDescent="0.45">
      <c r="A819" t="s">
        <v>4790</v>
      </c>
      <c r="B819" s="1">
        <v>45693</v>
      </c>
      <c r="C819" t="s">
        <v>5008</v>
      </c>
      <c r="D819" t="s">
        <v>3995</v>
      </c>
      <c r="E819">
        <v>15000</v>
      </c>
      <c r="F819" s="3">
        <v>1</v>
      </c>
      <c r="G819">
        <f t="shared" si="36"/>
        <v>15000</v>
      </c>
      <c r="H819" t="s">
        <v>7</v>
      </c>
      <c r="I819">
        <f t="shared" si="37"/>
        <v>18000</v>
      </c>
      <c r="J819">
        <f t="shared" si="38"/>
        <v>18000</v>
      </c>
    </row>
    <row r="820" spans="1:10" x14ac:dyDescent="0.45">
      <c r="A820" t="s">
        <v>4894</v>
      </c>
      <c r="B820" s="1">
        <v>45693</v>
      </c>
      <c r="C820" t="s">
        <v>4007</v>
      </c>
      <c r="D820" t="s">
        <v>4005</v>
      </c>
      <c r="E820">
        <v>60000</v>
      </c>
      <c r="F820" s="3">
        <v>1</v>
      </c>
      <c r="G820">
        <f t="shared" si="36"/>
        <v>60000</v>
      </c>
      <c r="H820" t="s">
        <v>17</v>
      </c>
      <c r="I820">
        <f t="shared" si="37"/>
        <v>72000</v>
      </c>
      <c r="J820">
        <f t="shared" si="38"/>
        <v>72000</v>
      </c>
    </row>
    <row r="821" spans="1:10" x14ac:dyDescent="0.45">
      <c r="A821" t="s">
        <v>4905</v>
      </c>
      <c r="B821" s="1">
        <v>45693</v>
      </c>
      <c r="C821" t="s">
        <v>4007</v>
      </c>
      <c r="D821" t="s">
        <v>5015</v>
      </c>
      <c r="E821">
        <v>48000</v>
      </c>
      <c r="F821" s="3">
        <v>6</v>
      </c>
      <c r="G821">
        <f t="shared" si="36"/>
        <v>288000</v>
      </c>
      <c r="H821" t="s">
        <v>7</v>
      </c>
      <c r="I821">
        <f t="shared" si="37"/>
        <v>57600</v>
      </c>
      <c r="J821">
        <f t="shared" si="38"/>
        <v>345600</v>
      </c>
    </row>
    <row r="822" spans="1:10" x14ac:dyDescent="0.45">
      <c r="A822" t="s">
        <v>4969</v>
      </c>
      <c r="B822" s="1">
        <v>45693</v>
      </c>
      <c r="C822" t="s">
        <v>3979</v>
      </c>
      <c r="D822" t="s">
        <v>3987</v>
      </c>
      <c r="E822">
        <v>8000</v>
      </c>
      <c r="F822" s="3">
        <v>2</v>
      </c>
      <c r="G822">
        <f t="shared" si="36"/>
        <v>16000</v>
      </c>
      <c r="H822" t="s">
        <v>7</v>
      </c>
      <c r="I822">
        <f t="shared" si="37"/>
        <v>9600</v>
      </c>
      <c r="J822">
        <f t="shared" si="38"/>
        <v>19200</v>
      </c>
    </row>
    <row r="823" spans="1:10" x14ac:dyDescent="0.45">
      <c r="A823" t="s">
        <v>302</v>
      </c>
      <c r="B823" s="1">
        <v>45694</v>
      </c>
      <c r="C823" t="s">
        <v>12</v>
      </c>
      <c r="D823" t="s">
        <v>5021</v>
      </c>
      <c r="E823">
        <v>2880</v>
      </c>
      <c r="F823">
        <v>7</v>
      </c>
      <c r="G823">
        <f t="shared" si="36"/>
        <v>20160</v>
      </c>
      <c r="H823" t="s">
        <v>7</v>
      </c>
      <c r="I823">
        <f t="shared" si="37"/>
        <v>3456</v>
      </c>
      <c r="J823">
        <f t="shared" si="38"/>
        <v>24192</v>
      </c>
    </row>
    <row r="824" spans="1:10" x14ac:dyDescent="0.45">
      <c r="A824" t="s">
        <v>303</v>
      </c>
      <c r="B824" s="1">
        <v>45694</v>
      </c>
      <c r="C824" t="s">
        <v>4007</v>
      </c>
      <c r="D824" t="s">
        <v>4005</v>
      </c>
      <c r="E824">
        <v>60000</v>
      </c>
      <c r="F824">
        <v>1</v>
      </c>
      <c r="G824">
        <f t="shared" si="36"/>
        <v>60000</v>
      </c>
      <c r="H824" t="s">
        <v>17</v>
      </c>
      <c r="I824">
        <f t="shared" si="37"/>
        <v>72000</v>
      </c>
      <c r="J824">
        <f t="shared" si="38"/>
        <v>72000</v>
      </c>
    </row>
    <row r="825" spans="1:10" x14ac:dyDescent="0.45">
      <c r="A825" t="s">
        <v>304</v>
      </c>
      <c r="B825" s="1">
        <v>45694</v>
      </c>
      <c r="C825" t="s">
        <v>4007</v>
      </c>
      <c r="D825" t="s">
        <v>4005</v>
      </c>
      <c r="E825">
        <v>60000</v>
      </c>
      <c r="F825">
        <v>2</v>
      </c>
      <c r="G825">
        <f t="shared" si="36"/>
        <v>120000</v>
      </c>
      <c r="H825" t="s">
        <v>21</v>
      </c>
      <c r="I825">
        <f t="shared" si="37"/>
        <v>72000</v>
      </c>
      <c r="J825">
        <f t="shared" si="38"/>
        <v>144000</v>
      </c>
    </row>
    <row r="826" spans="1:10" x14ac:dyDescent="0.45">
      <c r="A826" t="s">
        <v>305</v>
      </c>
      <c r="B826" s="1">
        <v>45694</v>
      </c>
      <c r="C826" t="s">
        <v>12</v>
      </c>
      <c r="D826" t="s">
        <v>5022</v>
      </c>
      <c r="E826">
        <v>2880</v>
      </c>
      <c r="F826">
        <v>6</v>
      </c>
      <c r="G826">
        <f t="shared" si="36"/>
        <v>17280</v>
      </c>
      <c r="H826" t="s">
        <v>7</v>
      </c>
      <c r="I826">
        <f t="shared" si="37"/>
        <v>3456</v>
      </c>
      <c r="J826">
        <f t="shared" si="38"/>
        <v>20736</v>
      </c>
    </row>
    <row r="827" spans="1:10" x14ac:dyDescent="0.45">
      <c r="A827" t="s">
        <v>306</v>
      </c>
      <c r="B827" s="1">
        <v>45694</v>
      </c>
      <c r="C827" t="s">
        <v>12</v>
      </c>
      <c r="D827" t="s">
        <v>5022</v>
      </c>
      <c r="E827">
        <v>2880</v>
      </c>
      <c r="F827">
        <v>4</v>
      </c>
      <c r="G827">
        <f t="shared" si="36"/>
        <v>11520</v>
      </c>
      <c r="H827" t="s">
        <v>21</v>
      </c>
      <c r="I827">
        <f t="shared" si="37"/>
        <v>3456</v>
      </c>
      <c r="J827">
        <f t="shared" si="38"/>
        <v>13824</v>
      </c>
    </row>
    <row r="828" spans="1:10" x14ac:dyDescent="0.45">
      <c r="A828" t="s">
        <v>307</v>
      </c>
      <c r="B828" s="1">
        <v>45694</v>
      </c>
      <c r="C828" t="s">
        <v>4007</v>
      </c>
      <c r="D828" t="s">
        <v>5015</v>
      </c>
      <c r="E828">
        <v>48000</v>
      </c>
      <c r="F828">
        <v>6</v>
      </c>
      <c r="G828">
        <f t="shared" si="36"/>
        <v>288000</v>
      </c>
      <c r="H828" t="s">
        <v>21</v>
      </c>
      <c r="I828">
        <f t="shared" si="37"/>
        <v>57600</v>
      </c>
      <c r="J828">
        <f t="shared" si="38"/>
        <v>345600</v>
      </c>
    </row>
    <row r="829" spans="1:10" x14ac:dyDescent="0.45">
      <c r="A829" t="s">
        <v>308</v>
      </c>
      <c r="B829" s="1">
        <v>45694</v>
      </c>
      <c r="C829" t="s">
        <v>12</v>
      </c>
      <c r="D829" t="s">
        <v>5023</v>
      </c>
      <c r="E829">
        <v>1750</v>
      </c>
      <c r="F829">
        <v>10</v>
      </c>
      <c r="G829">
        <f t="shared" si="36"/>
        <v>17500</v>
      </c>
      <c r="H829" t="s">
        <v>7</v>
      </c>
      <c r="I829">
        <f t="shared" si="37"/>
        <v>2100</v>
      </c>
      <c r="J829">
        <f t="shared" si="38"/>
        <v>21000</v>
      </c>
    </row>
    <row r="830" spans="1:10" x14ac:dyDescent="0.45">
      <c r="A830" t="s">
        <v>309</v>
      </c>
      <c r="B830" s="1">
        <v>45694</v>
      </c>
      <c r="C830" t="s">
        <v>33</v>
      </c>
      <c r="D830" t="s">
        <v>42</v>
      </c>
      <c r="E830">
        <v>6900</v>
      </c>
      <c r="F830">
        <v>5</v>
      </c>
      <c r="G830">
        <f t="shared" si="36"/>
        <v>34500</v>
      </c>
      <c r="H830" t="s">
        <v>21</v>
      </c>
      <c r="I830">
        <f t="shared" si="37"/>
        <v>8280</v>
      </c>
      <c r="J830">
        <f t="shared" si="38"/>
        <v>41400</v>
      </c>
    </row>
    <row r="831" spans="1:10" x14ac:dyDescent="0.45">
      <c r="A831" t="s">
        <v>310</v>
      </c>
      <c r="B831" s="1">
        <v>45694</v>
      </c>
      <c r="C831" t="s">
        <v>4007</v>
      </c>
      <c r="D831" t="s">
        <v>5015</v>
      </c>
      <c r="E831">
        <v>48000</v>
      </c>
      <c r="F831">
        <v>5</v>
      </c>
      <c r="G831">
        <f t="shared" si="36"/>
        <v>240000</v>
      </c>
      <c r="H831" t="s">
        <v>7</v>
      </c>
      <c r="I831">
        <f t="shared" si="37"/>
        <v>57600</v>
      </c>
      <c r="J831">
        <f t="shared" si="38"/>
        <v>288000</v>
      </c>
    </row>
    <row r="832" spans="1:10" x14ac:dyDescent="0.45">
      <c r="A832" t="s">
        <v>4018</v>
      </c>
      <c r="B832" s="1">
        <v>45694</v>
      </c>
      <c r="C832" t="s">
        <v>5008</v>
      </c>
      <c r="D832" t="s">
        <v>3986</v>
      </c>
      <c r="E832">
        <v>12000</v>
      </c>
      <c r="F832" s="3">
        <v>4</v>
      </c>
      <c r="G832">
        <f t="shared" si="36"/>
        <v>48000</v>
      </c>
      <c r="H832" t="s">
        <v>17</v>
      </c>
      <c r="I832">
        <f t="shared" si="37"/>
        <v>14400</v>
      </c>
      <c r="J832">
        <f t="shared" si="38"/>
        <v>57600</v>
      </c>
    </row>
    <row r="833" spans="1:10" x14ac:dyDescent="0.45">
      <c r="A833" t="s">
        <v>4042</v>
      </c>
      <c r="B833" s="1">
        <v>45694</v>
      </c>
      <c r="C833" t="s">
        <v>4007</v>
      </c>
      <c r="D833" t="s">
        <v>3999</v>
      </c>
      <c r="E833">
        <v>50000</v>
      </c>
      <c r="F833" s="3">
        <v>4</v>
      </c>
      <c r="G833">
        <f t="shared" si="36"/>
        <v>200000</v>
      </c>
      <c r="H833" t="s">
        <v>21</v>
      </c>
      <c r="I833">
        <f t="shared" si="37"/>
        <v>60000</v>
      </c>
      <c r="J833">
        <f t="shared" si="38"/>
        <v>240000</v>
      </c>
    </row>
    <row r="834" spans="1:10" x14ac:dyDescent="0.45">
      <c r="A834" t="s">
        <v>4055</v>
      </c>
      <c r="B834" s="1">
        <v>45694</v>
      </c>
      <c r="C834" t="s">
        <v>4007</v>
      </c>
      <c r="D834" t="s">
        <v>3997</v>
      </c>
      <c r="E834">
        <v>62000</v>
      </c>
      <c r="F834" s="3">
        <v>9</v>
      </c>
      <c r="G834">
        <f t="shared" ref="G834:G897" si="39">E834*F834</f>
        <v>558000</v>
      </c>
      <c r="H834" t="s">
        <v>17</v>
      </c>
      <c r="I834">
        <f t="shared" ref="I834:I897" si="40">E834*1.2</f>
        <v>74400</v>
      </c>
      <c r="J834">
        <f t="shared" ref="J834:J897" si="41">I834*F834</f>
        <v>669600</v>
      </c>
    </row>
    <row r="835" spans="1:10" x14ac:dyDescent="0.45">
      <c r="A835" t="s">
        <v>4102</v>
      </c>
      <c r="B835" s="1">
        <v>45694</v>
      </c>
      <c r="C835" t="s">
        <v>3977</v>
      </c>
      <c r="D835" t="s">
        <v>3978</v>
      </c>
      <c r="E835">
        <v>2000</v>
      </c>
      <c r="F835" s="3">
        <v>1</v>
      </c>
      <c r="G835">
        <f t="shared" si="39"/>
        <v>2000</v>
      </c>
      <c r="H835" t="s">
        <v>21</v>
      </c>
      <c r="I835">
        <f t="shared" si="40"/>
        <v>2400</v>
      </c>
      <c r="J835">
        <f t="shared" si="41"/>
        <v>2400</v>
      </c>
    </row>
    <row r="836" spans="1:10" x14ac:dyDescent="0.45">
      <c r="A836" t="s">
        <v>4211</v>
      </c>
      <c r="B836" s="1">
        <v>45694</v>
      </c>
      <c r="C836" t="s">
        <v>3977</v>
      </c>
      <c r="D836" t="s">
        <v>4002</v>
      </c>
      <c r="E836">
        <v>2500</v>
      </c>
      <c r="F836" s="3">
        <v>10</v>
      </c>
      <c r="G836">
        <f t="shared" si="39"/>
        <v>25000</v>
      </c>
      <c r="H836" t="s">
        <v>21</v>
      </c>
      <c r="I836">
        <f t="shared" si="40"/>
        <v>3000</v>
      </c>
      <c r="J836">
        <f t="shared" si="41"/>
        <v>30000</v>
      </c>
    </row>
    <row r="837" spans="1:10" x14ac:dyDescent="0.45">
      <c r="A837" t="s">
        <v>4386</v>
      </c>
      <c r="B837" s="1">
        <v>45694</v>
      </c>
      <c r="C837" t="s">
        <v>5008</v>
      </c>
      <c r="D837" t="s">
        <v>3995</v>
      </c>
      <c r="E837">
        <v>15000</v>
      </c>
      <c r="F837" s="3">
        <v>4</v>
      </c>
      <c r="G837">
        <f t="shared" si="39"/>
        <v>60000</v>
      </c>
      <c r="H837" t="s">
        <v>21</v>
      </c>
      <c r="I837">
        <f t="shared" si="40"/>
        <v>18000</v>
      </c>
      <c r="J837">
        <f t="shared" si="41"/>
        <v>72000</v>
      </c>
    </row>
    <row r="838" spans="1:10" x14ac:dyDescent="0.45">
      <c r="A838" t="s">
        <v>4530</v>
      </c>
      <c r="B838" s="1">
        <v>45694</v>
      </c>
      <c r="C838" t="s">
        <v>33</v>
      </c>
      <c r="D838" t="s">
        <v>3994</v>
      </c>
      <c r="E838">
        <v>2500</v>
      </c>
      <c r="F838" s="3">
        <v>6</v>
      </c>
      <c r="G838">
        <f t="shared" si="39"/>
        <v>15000</v>
      </c>
      <c r="H838" t="s">
        <v>21</v>
      </c>
      <c r="I838">
        <f t="shared" si="40"/>
        <v>3000</v>
      </c>
      <c r="J838">
        <f t="shared" si="41"/>
        <v>18000</v>
      </c>
    </row>
    <row r="839" spans="1:10" x14ac:dyDescent="0.45">
      <c r="A839" t="s">
        <v>4540</v>
      </c>
      <c r="B839" s="1">
        <v>45694</v>
      </c>
      <c r="C839" t="s">
        <v>3979</v>
      </c>
      <c r="D839" t="s">
        <v>4006</v>
      </c>
      <c r="E839">
        <v>2000</v>
      </c>
      <c r="F839" s="3">
        <v>10</v>
      </c>
      <c r="G839">
        <f t="shared" si="39"/>
        <v>20000</v>
      </c>
      <c r="H839" t="s">
        <v>21</v>
      </c>
      <c r="I839">
        <f t="shared" si="40"/>
        <v>2400</v>
      </c>
      <c r="J839">
        <f t="shared" si="41"/>
        <v>24000</v>
      </c>
    </row>
    <row r="840" spans="1:10" x14ac:dyDescent="0.45">
      <c r="A840" t="s">
        <v>4723</v>
      </c>
      <c r="B840" s="1">
        <v>45694</v>
      </c>
      <c r="C840" t="s">
        <v>3977</v>
      </c>
      <c r="D840" t="s">
        <v>3978</v>
      </c>
      <c r="E840">
        <v>2000</v>
      </c>
      <c r="F840" s="3">
        <v>5</v>
      </c>
      <c r="G840">
        <f t="shared" si="39"/>
        <v>10000</v>
      </c>
      <c r="H840" t="s">
        <v>21</v>
      </c>
      <c r="I840">
        <f t="shared" si="40"/>
        <v>2400</v>
      </c>
      <c r="J840">
        <f t="shared" si="41"/>
        <v>12000</v>
      </c>
    </row>
    <row r="841" spans="1:10" x14ac:dyDescent="0.45">
      <c r="A841" t="s">
        <v>4733</v>
      </c>
      <c r="B841" s="1">
        <v>45694</v>
      </c>
      <c r="C841" t="s">
        <v>3977</v>
      </c>
      <c r="D841" t="s">
        <v>3978</v>
      </c>
      <c r="E841">
        <v>2000</v>
      </c>
      <c r="F841" s="3">
        <v>8</v>
      </c>
      <c r="G841">
        <f t="shared" si="39"/>
        <v>16000</v>
      </c>
      <c r="H841" t="s">
        <v>21</v>
      </c>
      <c r="I841">
        <f t="shared" si="40"/>
        <v>2400</v>
      </c>
      <c r="J841">
        <f t="shared" si="41"/>
        <v>19200</v>
      </c>
    </row>
    <row r="842" spans="1:10" x14ac:dyDescent="0.45">
      <c r="A842" t="s">
        <v>4781</v>
      </c>
      <c r="B842" s="1">
        <v>45694</v>
      </c>
      <c r="C842" t="s">
        <v>4007</v>
      </c>
      <c r="D842" t="s">
        <v>3997</v>
      </c>
      <c r="E842">
        <v>62000</v>
      </c>
      <c r="F842" s="3">
        <v>1</v>
      </c>
      <c r="G842">
        <f t="shared" si="39"/>
        <v>62000</v>
      </c>
      <c r="H842" t="s">
        <v>7</v>
      </c>
      <c r="I842">
        <f t="shared" si="40"/>
        <v>74400</v>
      </c>
      <c r="J842">
        <f t="shared" si="41"/>
        <v>74400</v>
      </c>
    </row>
    <row r="843" spans="1:10" x14ac:dyDescent="0.45">
      <c r="A843" t="s">
        <v>4902</v>
      </c>
      <c r="B843" s="1">
        <v>45694</v>
      </c>
      <c r="C843" t="s">
        <v>3979</v>
      </c>
      <c r="D843" t="s">
        <v>4006</v>
      </c>
      <c r="E843">
        <v>2000</v>
      </c>
      <c r="F843" s="3">
        <v>6</v>
      </c>
      <c r="G843">
        <f t="shared" si="39"/>
        <v>12000</v>
      </c>
      <c r="H843" t="s">
        <v>17</v>
      </c>
      <c r="I843">
        <f t="shared" si="40"/>
        <v>2400</v>
      </c>
      <c r="J843">
        <f t="shared" si="41"/>
        <v>14400</v>
      </c>
    </row>
    <row r="844" spans="1:10" x14ac:dyDescent="0.45">
      <c r="A844" t="s">
        <v>4956</v>
      </c>
      <c r="B844" s="1">
        <v>45694</v>
      </c>
      <c r="C844" t="s">
        <v>33</v>
      </c>
      <c r="D844" t="s">
        <v>3994</v>
      </c>
      <c r="E844">
        <v>2500</v>
      </c>
      <c r="F844" s="3">
        <v>5</v>
      </c>
      <c r="G844">
        <f t="shared" si="39"/>
        <v>12500</v>
      </c>
      <c r="H844" t="s">
        <v>7</v>
      </c>
      <c r="I844">
        <f t="shared" si="40"/>
        <v>3000</v>
      </c>
      <c r="J844">
        <f t="shared" si="41"/>
        <v>15000</v>
      </c>
    </row>
    <row r="845" spans="1:10" x14ac:dyDescent="0.45">
      <c r="A845" t="s">
        <v>311</v>
      </c>
      <c r="B845" s="1">
        <v>45695</v>
      </c>
      <c r="C845" t="s">
        <v>4007</v>
      </c>
      <c r="D845" t="s">
        <v>39</v>
      </c>
      <c r="E845">
        <v>6000</v>
      </c>
      <c r="F845">
        <v>8</v>
      </c>
      <c r="G845">
        <f t="shared" si="39"/>
        <v>48000</v>
      </c>
      <c r="H845" t="s">
        <v>7</v>
      </c>
      <c r="I845">
        <f t="shared" si="40"/>
        <v>7200</v>
      </c>
      <c r="J845">
        <f t="shared" si="41"/>
        <v>57600</v>
      </c>
    </row>
    <row r="846" spans="1:10" x14ac:dyDescent="0.45">
      <c r="A846" t="s">
        <v>312</v>
      </c>
      <c r="B846" s="1">
        <v>45695</v>
      </c>
      <c r="C846" t="s">
        <v>9</v>
      </c>
      <c r="D846" t="s">
        <v>25</v>
      </c>
      <c r="E846">
        <v>5200</v>
      </c>
      <c r="F846">
        <v>4</v>
      </c>
      <c r="G846">
        <f t="shared" si="39"/>
        <v>20800</v>
      </c>
      <c r="H846" t="s">
        <v>7</v>
      </c>
      <c r="I846">
        <f t="shared" si="40"/>
        <v>6240</v>
      </c>
      <c r="J846">
        <f t="shared" si="41"/>
        <v>24960</v>
      </c>
    </row>
    <row r="847" spans="1:10" x14ac:dyDescent="0.45">
      <c r="A847" t="s">
        <v>313</v>
      </c>
      <c r="B847" s="1">
        <v>45695</v>
      </c>
      <c r="C847" t="s">
        <v>9</v>
      </c>
      <c r="D847" t="s">
        <v>10</v>
      </c>
      <c r="E847">
        <v>400</v>
      </c>
      <c r="F847">
        <v>9</v>
      </c>
      <c r="G847">
        <f t="shared" si="39"/>
        <v>3600</v>
      </c>
      <c r="H847" t="s">
        <v>7</v>
      </c>
      <c r="I847">
        <f t="shared" si="40"/>
        <v>480</v>
      </c>
      <c r="J847">
        <f t="shared" si="41"/>
        <v>4320</v>
      </c>
    </row>
    <row r="848" spans="1:10" x14ac:dyDescent="0.45">
      <c r="A848" t="s">
        <v>314</v>
      </c>
      <c r="B848" s="1">
        <v>45695</v>
      </c>
      <c r="C848" t="s">
        <v>4007</v>
      </c>
      <c r="D848" t="s">
        <v>4005</v>
      </c>
      <c r="E848">
        <v>60000</v>
      </c>
      <c r="F848">
        <v>8</v>
      </c>
      <c r="G848">
        <f t="shared" si="39"/>
        <v>480000</v>
      </c>
      <c r="H848" t="s">
        <v>21</v>
      </c>
      <c r="I848">
        <f t="shared" si="40"/>
        <v>72000</v>
      </c>
      <c r="J848">
        <f t="shared" si="41"/>
        <v>576000</v>
      </c>
    </row>
    <row r="849" spans="1:10" x14ac:dyDescent="0.45">
      <c r="A849" t="s">
        <v>315</v>
      </c>
      <c r="B849" s="1">
        <v>45695</v>
      </c>
      <c r="C849" t="s">
        <v>33</v>
      </c>
      <c r="D849" t="s">
        <v>16</v>
      </c>
      <c r="E849">
        <v>1200</v>
      </c>
      <c r="F849">
        <v>8</v>
      </c>
      <c r="G849">
        <f t="shared" si="39"/>
        <v>9600</v>
      </c>
      <c r="H849" t="s">
        <v>7</v>
      </c>
      <c r="I849">
        <f t="shared" si="40"/>
        <v>1440</v>
      </c>
      <c r="J849">
        <f t="shared" si="41"/>
        <v>11520</v>
      </c>
    </row>
    <row r="850" spans="1:10" x14ac:dyDescent="0.45">
      <c r="A850" t="s">
        <v>316</v>
      </c>
      <c r="B850" s="1">
        <v>45695</v>
      </c>
      <c r="C850" t="s">
        <v>9</v>
      </c>
      <c r="D850" t="s">
        <v>10</v>
      </c>
      <c r="E850">
        <v>400</v>
      </c>
      <c r="F850">
        <v>1</v>
      </c>
      <c r="G850">
        <f t="shared" si="39"/>
        <v>400</v>
      </c>
      <c r="H850" t="s">
        <v>21</v>
      </c>
      <c r="I850">
        <f t="shared" si="40"/>
        <v>480</v>
      </c>
      <c r="J850">
        <f t="shared" si="41"/>
        <v>480</v>
      </c>
    </row>
    <row r="851" spans="1:10" x14ac:dyDescent="0.45">
      <c r="A851" t="s">
        <v>317</v>
      </c>
      <c r="B851" s="1">
        <v>45695</v>
      </c>
      <c r="C851" t="s">
        <v>33</v>
      </c>
      <c r="D851" t="s">
        <v>14</v>
      </c>
      <c r="E851">
        <v>800</v>
      </c>
      <c r="F851">
        <v>9</v>
      </c>
      <c r="G851">
        <f t="shared" si="39"/>
        <v>7200</v>
      </c>
      <c r="H851" t="s">
        <v>7</v>
      </c>
      <c r="I851">
        <f t="shared" si="40"/>
        <v>960</v>
      </c>
      <c r="J851">
        <f t="shared" si="41"/>
        <v>8640</v>
      </c>
    </row>
    <row r="852" spans="1:10" x14ac:dyDescent="0.45">
      <c r="A852" t="s">
        <v>318</v>
      </c>
      <c r="B852" s="1">
        <v>45695</v>
      </c>
      <c r="C852" t="s">
        <v>9</v>
      </c>
      <c r="D852" t="s">
        <v>25</v>
      </c>
      <c r="E852">
        <v>5200</v>
      </c>
      <c r="F852">
        <v>7</v>
      </c>
      <c r="G852">
        <f t="shared" si="39"/>
        <v>36400</v>
      </c>
      <c r="H852" t="s">
        <v>7</v>
      </c>
      <c r="I852">
        <f t="shared" si="40"/>
        <v>6240</v>
      </c>
      <c r="J852">
        <f t="shared" si="41"/>
        <v>43680</v>
      </c>
    </row>
    <row r="853" spans="1:10" x14ac:dyDescent="0.45">
      <c r="A853" t="s">
        <v>319</v>
      </c>
      <c r="B853" s="1">
        <v>45695</v>
      </c>
      <c r="C853" t="s">
        <v>4007</v>
      </c>
      <c r="D853" t="s">
        <v>39</v>
      </c>
      <c r="E853">
        <v>6000</v>
      </c>
      <c r="F853">
        <v>5</v>
      </c>
      <c r="G853">
        <f t="shared" si="39"/>
        <v>30000</v>
      </c>
      <c r="H853" t="s">
        <v>21</v>
      </c>
      <c r="I853">
        <f t="shared" si="40"/>
        <v>7200</v>
      </c>
      <c r="J853">
        <f t="shared" si="41"/>
        <v>36000</v>
      </c>
    </row>
    <row r="854" spans="1:10" x14ac:dyDescent="0.45">
      <c r="A854" t="s">
        <v>320</v>
      </c>
      <c r="B854" s="1">
        <v>45695</v>
      </c>
      <c r="C854" t="s">
        <v>9</v>
      </c>
      <c r="D854" t="s">
        <v>25</v>
      </c>
      <c r="E854">
        <v>5200</v>
      </c>
      <c r="F854">
        <v>1</v>
      </c>
      <c r="G854">
        <f t="shared" si="39"/>
        <v>5200</v>
      </c>
      <c r="H854" t="s">
        <v>17</v>
      </c>
      <c r="I854">
        <f t="shared" si="40"/>
        <v>6240</v>
      </c>
      <c r="J854">
        <f t="shared" si="41"/>
        <v>6240</v>
      </c>
    </row>
    <row r="855" spans="1:10" x14ac:dyDescent="0.45">
      <c r="A855" t="s">
        <v>3141</v>
      </c>
      <c r="B855" s="1">
        <v>45695</v>
      </c>
      <c r="C855" t="s">
        <v>2772</v>
      </c>
      <c r="D855" t="s">
        <v>2771</v>
      </c>
      <c r="E855">
        <v>120</v>
      </c>
      <c r="F855">
        <v>8</v>
      </c>
      <c r="G855">
        <f t="shared" si="39"/>
        <v>960</v>
      </c>
      <c r="H855" t="s">
        <v>17</v>
      </c>
      <c r="I855">
        <f t="shared" si="40"/>
        <v>144</v>
      </c>
      <c r="J855">
        <f t="shared" si="41"/>
        <v>1152</v>
      </c>
    </row>
    <row r="856" spans="1:10" x14ac:dyDescent="0.45">
      <c r="A856" t="s">
        <v>3208</v>
      </c>
      <c r="B856" s="1">
        <v>45695</v>
      </c>
      <c r="C856" t="s">
        <v>4007</v>
      </c>
      <c r="D856" t="s">
        <v>28</v>
      </c>
      <c r="E856">
        <v>500</v>
      </c>
      <c r="F856">
        <v>7</v>
      </c>
      <c r="G856">
        <f t="shared" si="39"/>
        <v>3500</v>
      </c>
      <c r="H856" t="s">
        <v>7</v>
      </c>
      <c r="I856">
        <f t="shared" si="40"/>
        <v>600</v>
      </c>
      <c r="J856">
        <f t="shared" si="41"/>
        <v>4200</v>
      </c>
    </row>
    <row r="857" spans="1:10" x14ac:dyDescent="0.45">
      <c r="A857" t="s">
        <v>4021</v>
      </c>
      <c r="B857" s="1">
        <v>45695</v>
      </c>
      <c r="C857" t="s">
        <v>4007</v>
      </c>
      <c r="D857" t="s">
        <v>3988</v>
      </c>
      <c r="E857">
        <v>35000</v>
      </c>
      <c r="F857" s="3">
        <v>10</v>
      </c>
      <c r="G857">
        <f t="shared" si="39"/>
        <v>350000</v>
      </c>
      <c r="H857" t="s">
        <v>7</v>
      </c>
      <c r="I857">
        <f t="shared" si="40"/>
        <v>42000</v>
      </c>
      <c r="J857">
        <f t="shared" si="41"/>
        <v>420000</v>
      </c>
    </row>
    <row r="858" spans="1:10" x14ac:dyDescent="0.45">
      <c r="A858" t="s">
        <v>4065</v>
      </c>
      <c r="B858" s="1">
        <v>45695</v>
      </c>
      <c r="C858" t="s">
        <v>3977</v>
      </c>
      <c r="D858" t="s">
        <v>3978</v>
      </c>
      <c r="E858">
        <v>2000</v>
      </c>
      <c r="F858" s="3">
        <v>8</v>
      </c>
      <c r="G858">
        <f t="shared" si="39"/>
        <v>16000</v>
      </c>
      <c r="H858" t="s">
        <v>21</v>
      </c>
      <c r="I858">
        <f t="shared" si="40"/>
        <v>2400</v>
      </c>
      <c r="J858">
        <f t="shared" si="41"/>
        <v>19200</v>
      </c>
    </row>
    <row r="859" spans="1:10" x14ac:dyDescent="0.45">
      <c r="A859" t="s">
        <v>4161</v>
      </c>
      <c r="B859" s="1">
        <v>45695</v>
      </c>
      <c r="C859" t="s">
        <v>4007</v>
      </c>
      <c r="D859" t="s">
        <v>5015</v>
      </c>
      <c r="E859">
        <v>48000</v>
      </c>
      <c r="F859" s="3">
        <v>6</v>
      </c>
      <c r="G859">
        <f t="shared" si="39"/>
        <v>288000</v>
      </c>
      <c r="H859" t="s">
        <v>17</v>
      </c>
      <c r="I859">
        <f t="shared" si="40"/>
        <v>57600</v>
      </c>
      <c r="J859">
        <f t="shared" si="41"/>
        <v>345600</v>
      </c>
    </row>
    <row r="860" spans="1:10" x14ac:dyDescent="0.45">
      <c r="A860" t="s">
        <v>4267</v>
      </c>
      <c r="B860" s="1">
        <v>45695</v>
      </c>
      <c r="C860" t="s">
        <v>3979</v>
      </c>
      <c r="D860" t="s">
        <v>4006</v>
      </c>
      <c r="E860">
        <v>2000</v>
      </c>
      <c r="F860" s="3">
        <v>4</v>
      </c>
      <c r="G860">
        <f t="shared" si="39"/>
        <v>8000</v>
      </c>
      <c r="H860" t="s">
        <v>21</v>
      </c>
      <c r="I860">
        <f t="shared" si="40"/>
        <v>2400</v>
      </c>
      <c r="J860">
        <f t="shared" si="41"/>
        <v>9600</v>
      </c>
    </row>
    <row r="861" spans="1:10" x14ac:dyDescent="0.45">
      <c r="A861" t="s">
        <v>4338</v>
      </c>
      <c r="B861" s="1">
        <v>45695</v>
      </c>
      <c r="C861" t="s">
        <v>33</v>
      </c>
      <c r="D861" t="s">
        <v>42</v>
      </c>
      <c r="E861">
        <v>6900</v>
      </c>
      <c r="F861" s="3">
        <v>9</v>
      </c>
      <c r="G861">
        <f t="shared" si="39"/>
        <v>62100</v>
      </c>
      <c r="H861" t="s">
        <v>21</v>
      </c>
      <c r="I861">
        <f t="shared" si="40"/>
        <v>8280</v>
      </c>
      <c r="J861">
        <f t="shared" si="41"/>
        <v>74520</v>
      </c>
    </row>
    <row r="862" spans="1:10" x14ac:dyDescent="0.45">
      <c r="A862" t="s">
        <v>4447</v>
      </c>
      <c r="B862" s="1">
        <v>45695</v>
      </c>
      <c r="C862" t="s">
        <v>3979</v>
      </c>
      <c r="D862" t="s">
        <v>3980</v>
      </c>
      <c r="E862">
        <v>500</v>
      </c>
      <c r="F862" s="3">
        <v>8</v>
      </c>
      <c r="G862">
        <f t="shared" si="39"/>
        <v>4000</v>
      </c>
      <c r="H862" t="s">
        <v>17</v>
      </c>
      <c r="I862">
        <f t="shared" si="40"/>
        <v>600</v>
      </c>
      <c r="J862">
        <f t="shared" si="41"/>
        <v>4800</v>
      </c>
    </row>
    <row r="863" spans="1:10" x14ac:dyDescent="0.45">
      <c r="A863" t="s">
        <v>4465</v>
      </c>
      <c r="B863" s="1">
        <v>45695</v>
      </c>
      <c r="C863" t="s">
        <v>3979</v>
      </c>
      <c r="D863" t="s">
        <v>3984</v>
      </c>
      <c r="E863">
        <v>12000</v>
      </c>
      <c r="F863" s="3">
        <v>10</v>
      </c>
      <c r="G863">
        <f t="shared" si="39"/>
        <v>120000</v>
      </c>
      <c r="H863" t="s">
        <v>17</v>
      </c>
      <c r="I863">
        <f t="shared" si="40"/>
        <v>14400</v>
      </c>
      <c r="J863">
        <f t="shared" si="41"/>
        <v>144000</v>
      </c>
    </row>
    <row r="864" spans="1:10" x14ac:dyDescent="0.45">
      <c r="A864" t="s">
        <v>4536</v>
      </c>
      <c r="B864" s="1">
        <v>45695</v>
      </c>
      <c r="C864" t="s">
        <v>4007</v>
      </c>
      <c r="D864" t="s">
        <v>5015</v>
      </c>
      <c r="E864">
        <v>48000</v>
      </c>
      <c r="F864" s="3">
        <v>10</v>
      </c>
      <c r="G864">
        <f t="shared" si="39"/>
        <v>480000</v>
      </c>
      <c r="H864" t="s">
        <v>7</v>
      </c>
      <c r="I864">
        <f t="shared" si="40"/>
        <v>57600</v>
      </c>
      <c r="J864">
        <f t="shared" si="41"/>
        <v>576000</v>
      </c>
    </row>
    <row r="865" spans="1:10" x14ac:dyDescent="0.45">
      <c r="A865" t="s">
        <v>4543</v>
      </c>
      <c r="B865" s="1">
        <v>45695</v>
      </c>
      <c r="C865" t="s">
        <v>33</v>
      </c>
      <c r="D865" t="s">
        <v>4001</v>
      </c>
      <c r="E865">
        <v>500</v>
      </c>
      <c r="F865" s="3">
        <v>7</v>
      </c>
      <c r="G865">
        <f t="shared" si="39"/>
        <v>3500</v>
      </c>
      <c r="H865" t="s">
        <v>21</v>
      </c>
      <c r="I865">
        <f t="shared" si="40"/>
        <v>600</v>
      </c>
      <c r="J865">
        <f t="shared" si="41"/>
        <v>4200</v>
      </c>
    </row>
    <row r="866" spans="1:10" x14ac:dyDescent="0.45">
      <c r="A866" t="s">
        <v>4600</v>
      </c>
      <c r="B866" s="1">
        <v>45695</v>
      </c>
      <c r="C866" t="s">
        <v>5009</v>
      </c>
      <c r="D866" t="s">
        <v>3992</v>
      </c>
      <c r="E866">
        <v>400</v>
      </c>
      <c r="F866" s="3">
        <v>1</v>
      </c>
      <c r="G866">
        <f t="shared" si="39"/>
        <v>400</v>
      </c>
      <c r="H866" t="s">
        <v>21</v>
      </c>
      <c r="I866">
        <f t="shared" si="40"/>
        <v>480</v>
      </c>
      <c r="J866">
        <f t="shared" si="41"/>
        <v>480</v>
      </c>
    </row>
    <row r="867" spans="1:10" x14ac:dyDescent="0.45">
      <c r="A867" t="s">
        <v>4618</v>
      </c>
      <c r="B867" s="1">
        <v>45695</v>
      </c>
      <c r="C867" t="s">
        <v>3979</v>
      </c>
      <c r="D867" t="s">
        <v>4006</v>
      </c>
      <c r="E867">
        <v>2000</v>
      </c>
      <c r="F867" s="3">
        <v>1</v>
      </c>
      <c r="G867">
        <f t="shared" si="39"/>
        <v>2000</v>
      </c>
      <c r="H867" t="s">
        <v>17</v>
      </c>
      <c r="I867">
        <f t="shared" si="40"/>
        <v>2400</v>
      </c>
      <c r="J867">
        <f t="shared" si="41"/>
        <v>2400</v>
      </c>
    </row>
    <row r="868" spans="1:10" x14ac:dyDescent="0.45">
      <c r="A868" t="s">
        <v>4627</v>
      </c>
      <c r="B868" s="1">
        <v>45695</v>
      </c>
      <c r="C868" t="s">
        <v>5008</v>
      </c>
      <c r="D868" t="s">
        <v>3995</v>
      </c>
      <c r="E868">
        <v>15000</v>
      </c>
      <c r="F868" s="3">
        <v>6</v>
      </c>
      <c r="G868">
        <f t="shared" si="39"/>
        <v>90000</v>
      </c>
      <c r="H868" t="s">
        <v>21</v>
      </c>
      <c r="I868">
        <f t="shared" si="40"/>
        <v>18000</v>
      </c>
      <c r="J868">
        <f t="shared" si="41"/>
        <v>108000</v>
      </c>
    </row>
    <row r="869" spans="1:10" x14ac:dyDescent="0.45">
      <c r="A869" t="s">
        <v>4686</v>
      </c>
      <c r="B869" s="1">
        <v>45695</v>
      </c>
      <c r="C869" t="s">
        <v>3977</v>
      </c>
      <c r="D869" t="s">
        <v>3993</v>
      </c>
      <c r="E869">
        <v>1000</v>
      </c>
      <c r="F869" s="3">
        <v>10</v>
      </c>
      <c r="G869">
        <f t="shared" si="39"/>
        <v>10000</v>
      </c>
      <c r="H869" t="s">
        <v>17</v>
      </c>
      <c r="I869">
        <f t="shared" si="40"/>
        <v>1200</v>
      </c>
      <c r="J869">
        <f t="shared" si="41"/>
        <v>12000</v>
      </c>
    </row>
    <row r="870" spans="1:10" x14ac:dyDescent="0.45">
      <c r="A870" t="s">
        <v>4708</v>
      </c>
      <c r="B870" s="1">
        <v>45695</v>
      </c>
      <c r="C870" t="s">
        <v>5008</v>
      </c>
      <c r="D870" t="s">
        <v>4003</v>
      </c>
      <c r="E870">
        <v>10000</v>
      </c>
      <c r="F870" s="3">
        <v>8</v>
      </c>
      <c r="G870">
        <f t="shared" si="39"/>
        <v>80000</v>
      </c>
      <c r="H870" t="s">
        <v>21</v>
      </c>
      <c r="I870">
        <f t="shared" si="40"/>
        <v>12000</v>
      </c>
      <c r="J870">
        <f t="shared" si="41"/>
        <v>96000</v>
      </c>
    </row>
    <row r="871" spans="1:10" x14ac:dyDescent="0.45">
      <c r="A871" t="s">
        <v>4830</v>
      </c>
      <c r="B871" s="1">
        <v>45695</v>
      </c>
      <c r="C871" t="s">
        <v>5009</v>
      </c>
      <c r="D871" t="s">
        <v>3992</v>
      </c>
      <c r="E871">
        <v>400</v>
      </c>
      <c r="F871" s="3">
        <v>1</v>
      </c>
      <c r="G871">
        <f t="shared" si="39"/>
        <v>400</v>
      </c>
      <c r="H871" t="s">
        <v>21</v>
      </c>
      <c r="I871">
        <f t="shared" si="40"/>
        <v>480</v>
      </c>
      <c r="J871">
        <f t="shared" si="41"/>
        <v>480</v>
      </c>
    </row>
    <row r="872" spans="1:10" x14ac:dyDescent="0.45">
      <c r="A872" t="s">
        <v>4899</v>
      </c>
      <c r="B872" s="1">
        <v>45695</v>
      </c>
      <c r="C872" t="s">
        <v>3979</v>
      </c>
      <c r="D872" t="s">
        <v>3984</v>
      </c>
      <c r="E872">
        <v>12000</v>
      </c>
      <c r="F872" s="3">
        <v>8</v>
      </c>
      <c r="G872">
        <f t="shared" si="39"/>
        <v>96000</v>
      </c>
      <c r="H872" t="s">
        <v>17</v>
      </c>
      <c r="I872">
        <f t="shared" si="40"/>
        <v>14400</v>
      </c>
      <c r="J872">
        <f t="shared" si="41"/>
        <v>115200</v>
      </c>
    </row>
    <row r="873" spans="1:10" x14ac:dyDescent="0.45">
      <c r="A873" t="s">
        <v>4920</v>
      </c>
      <c r="B873" s="1">
        <v>45695</v>
      </c>
      <c r="C873" t="s">
        <v>33</v>
      </c>
      <c r="D873" t="s">
        <v>4001</v>
      </c>
      <c r="E873">
        <v>500</v>
      </c>
      <c r="F873" s="3">
        <v>8</v>
      </c>
      <c r="G873">
        <f t="shared" si="39"/>
        <v>4000</v>
      </c>
      <c r="H873" t="s">
        <v>7</v>
      </c>
      <c r="I873">
        <f t="shared" si="40"/>
        <v>600</v>
      </c>
      <c r="J873">
        <f t="shared" si="41"/>
        <v>4800</v>
      </c>
    </row>
    <row r="874" spans="1:10" x14ac:dyDescent="0.45">
      <c r="A874" t="s">
        <v>4965</v>
      </c>
      <c r="B874" s="1">
        <v>45695</v>
      </c>
      <c r="C874" t="s">
        <v>3979</v>
      </c>
      <c r="D874" t="s">
        <v>3980</v>
      </c>
      <c r="E874">
        <v>500</v>
      </c>
      <c r="F874" s="3">
        <v>6</v>
      </c>
      <c r="G874">
        <f t="shared" si="39"/>
        <v>3000</v>
      </c>
      <c r="H874" t="s">
        <v>17</v>
      </c>
      <c r="I874">
        <f t="shared" si="40"/>
        <v>600</v>
      </c>
      <c r="J874">
        <f t="shared" si="41"/>
        <v>3600</v>
      </c>
    </row>
    <row r="875" spans="1:10" x14ac:dyDescent="0.45">
      <c r="A875" t="s">
        <v>4982</v>
      </c>
      <c r="B875" s="1">
        <v>45695</v>
      </c>
      <c r="C875" t="s">
        <v>5008</v>
      </c>
      <c r="D875" t="s">
        <v>3986</v>
      </c>
      <c r="E875">
        <v>12000</v>
      </c>
      <c r="F875" s="3">
        <v>2</v>
      </c>
      <c r="G875">
        <f t="shared" si="39"/>
        <v>24000</v>
      </c>
      <c r="H875" t="s">
        <v>17</v>
      </c>
      <c r="I875">
        <f t="shared" si="40"/>
        <v>14400</v>
      </c>
      <c r="J875">
        <f t="shared" si="41"/>
        <v>28800</v>
      </c>
    </row>
    <row r="876" spans="1:10" x14ac:dyDescent="0.45">
      <c r="A876" t="s">
        <v>4993</v>
      </c>
      <c r="B876" s="1">
        <v>45695</v>
      </c>
      <c r="C876" t="s">
        <v>5008</v>
      </c>
      <c r="D876" t="s">
        <v>3986</v>
      </c>
      <c r="E876">
        <v>12000</v>
      </c>
      <c r="F876" s="3">
        <v>5</v>
      </c>
      <c r="G876">
        <f t="shared" si="39"/>
        <v>60000</v>
      </c>
      <c r="H876" t="s">
        <v>17</v>
      </c>
      <c r="I876">
        <f t="shared" si="40"/>
        <v>14400</v>
      </c>
      <c r="J876">
        <f t="shared" si="41"/>
        <v>72000</v>
      </c>
    </row>
    <row r="877" spans="1:10" x14ac:dyDescent="0.45">
      <c r="A877" t="s">
        <v>321</v>
      </c>
      <c r="B877" s="1">
        <v>45696</v>
      </c>
      <c r="C877" t="s">
        <v>12</v>
      </c>
      <c r="D877" t="s">
        <v>5022</v>
      </c>
      <c r="E877">
        <v>2880</v>
      </c>
      <c r="F877">
        <v>3</v>
      </c>
      <c r="G877">
        <f t="shared" si="39"/>
        <v>8640</v>
      </c>
      <c r="H877" t="s">
        <v>7</v>
      </c>
      <c r="I877">
        <f t="shared" si="40"/>
        <v>3456</v>
      </c>
      <c r="J877">
        <f t="shared" si="41"/>
        <v>10368</v>
      </c>
    </row>
    <row r="878" spans="1:10" x14ac:dyDescent="0.45">
      <c r="A878" t="s">
        <v>322</v>
      </c>
      <c r="B878" s="1">
        <v>45696</v>
      </c>
      <c r="C878" t="s">
        <v>12</v>
      </c>
      <c r="D878" t="s">
        <v>5021</v>
      </c>
      <c r="E878">
        <v>2880</v>
      </c>
      <c r="F878">
        <v>2</v>
      </c>
      <c r="G878">
        <f t="shared" si="39"/>
        <v>5760</v>
      </c>
      <c r="H878" t="s">
        <v>17</v>
      </c>
      <c r="I878">
        <f t="shared" si="40"/>
        <v>3456</v>
      </c>
      <c r="J878">
        <f t="shared" si="41"/>
        <v>6912</v>
      </c>
    </row>
    <row r="879" spans="1:10" x14ac:dyDescent="0.45">
      <c r="A879" t="s">
        <v>323</v>
      </c>
      <c r="B879" s="1">
        <v>45696</v>
      </c>
      <c r="C879" t="s">
        <v>4007</v>
      </c>
      <c r="D879" t="s">
        <v>5015</v>
      </c>
      <c r="E879">
        <v>48000</v>
      </c>
      <c r="F879">
        <v>3</v>
      </c>
      <c r="G879">
        <f t="shared" si="39"/>
        <v>144000</v>
      </c>
      <c r="H879" t="s">
        <v>7</v>
      </c>
      <c r="I879">
        <f t="shared" si="40"/>
        <v>57600</v>
      </c>
      <c r="J879">
        <f t="shared" si="41"/>
        <v>172800</v>
      </c>
    </row>
    <row r="880" spans="1:10" x14ac:dyDescent="0.45">
      <c r="A880" t="s">
        <v>324</v>
      </c>
      <c r="B880" s="1">
        <v>45696</v>
      </c>
      <c r="C880" t="s">
        <v>4007</v>
      </c>
      <c r="D880" t="s">
        <v>28</v>
      </c>
      <c r="E880">
        <v>500</v>
      </c>
      <c r="F880">
        <v>3</v>
      </c>
      <c r="G880">
        <f t="shared" si="39"/>
        <v>1500</v>
      </c>
      <c r="H880" t="s">
        <v>21</v>
      </c>
      <c r="I880">
        <f t="shared" si="40"/>
        <v>600</v>
      </c>
      <c r="J880">
        <f t="shared" si="41"/>
        <v>1800</v>
      </c>
    </row>
    <row r="881" spans="1:10" x14ac:dyDescent="0.45">
      <c r="A881" t="s">
        <v>325</v>
      </c>
      <c r="B881" s="1">
        <v>45696</v>
      </c>
      <c r="C881" t="s">
        <v>12</v>
      </c>
      <c r="D881" t="s">
        <v>5021</v>
      </c>
      <c r="E881">
        <v>2880</v>
      </c>
      <c r="F881">
        <v>7</v>
      </c>
      <c r="G881">
        <f t="shared" si="39"/>
        <v>20160</v>
      </c>
      <c r="H881" t="s">
        <v>7</v>
      </c>
      <c r="I881">
        <f t="shared" si="40"/>
        <v>3456</v>
      </c>
      <c r="J881">
        <f t="shared" si="41"/>
        <v>24192</v>
      </c>
    </row>
    <row r="882" spans="1:10" x14ac:dyDescent="0.45">
      <c r="A882" t="s">
        <v>326</v>
      </c>
      <c r="B882" s="1">
        <v>45696</v>
      </c>
      <c r="C882" t="s">
        <v>9</v>
      </c>
      <c r="D882" t="s">
        <v>25</v>
      </c>
      <c r="E882">
        <v>5200</v>
      </c>
      <c r="F882">
        <v>4</v>
      </c>
      <c r="G882">
        <f t="shared" si="39"/>
        <v>20800</v>
      </c>
      <c r="H882" t="s">
        <v>21</v>
      </c>
      <c r="I882">
        <f t="shared" si="40"/>
        <v>6240</v>
      </c>
      <c r="J882">
        <f t="shared" si="41"/>
        <v>24960</v>
      </c>
    </row>
    <row r="883" spans="1:10" x14ac:dyDescent="0.45">
      <c r="A883" t="s">
        <v>327</v>
      </c>
      <c r="B883" s="1">
        <v>45696</v>
      </c>
      <c r="C883" t="s">
        <v>4007</v>
      </c>
      <c r="D883" t="s">
        <v>5015</v>
      </c>
      <c r="E883">
        <v>48000</v>
      </c>
      <c r="F883">
        <v>6</v>
      </c>
      <c r="G883">
        <f t="shared" si="39"/>
        <v>288000</v>
      </c>
      <c r="H883" t="s">
        <v>7</v>
      </c>
      <c r="I883">
        <f t="shared" si="40"/>
        <v>57600</v>
      </c>
      <c r="J883">
        <f t="shared" si="41"/>
        <v>345600</v>
      </c>
    </row>
    <row r="884" spans="1:10" x14ac:dyDescent="0.45">
      <c r="A884" t="s">
        <v>2904</v>
      </c>
      <c r="B884" s="1">
        <v>45696</v>
      </c>
      <c r="C884" t="s">
        <v>4007</v>
      </c>
      <c r="D884" t="s">
        <v>2776</v>
      </c>
      <c r="E884">
        <v>3600</v>
      </c>
      <c r="F884">
        <v>1</v>
      </c>
      <c r="G884">
        <f t="shared" si="39"/>
        <v>3600</v>
      </c>
      <c r="H884" t="s">
        <v>17</v>
      </c>
      <c r="I884">
        <f t="shared" si="40"/>
        <v>4320</v>
      </c>
      <c r="J884">
        <f t="shared" si="41"/>
        <v>4320</v>
      </c>
    </row>
    <row r="885" spans="1:10" x14ac:dyDescent="0.45">
      <c r="A885" t="s">
        <v>2926</v>
      </c>
      <c r="B885" s="1">
        <v>45696</v>
      </c>
      <c r="C885" t="s">
        <v>4007</v>
      </c>
      <c r="D885" t="s">
        <v>2773</v>
      </c>
      <c r="E885">
        <v>3300</v>
      </c>
      <c r="F885">
        <v>3</v>
      </c>
      <c r="G885">
        <f t="shared" si="39"/>
        <v>9900</v>
      </c>
      <c r="H885" t="s">
        <v>21</v>
      </c>
      <c r="I885">
        <f t="shared" si="40"/>
        <v>3960</v>
      </c>
      <c r="J885">
        <f t="shared" si="41"/>
        <v>11880</v>
      </c>
    </row>
    <row r="886" spans="1:10" x14ac:dyDescent="0.45">
      <c r="A886" t="s">
        <v>3073</v>
      </c>
      <c r="B886" s="1">
        <v>45696</v>
      </c>
      <c r="C886" t="s">
        <v>33</v>
      </c>
      <c r="D886" t="s">
        <v>34</v>
      </c>
      <c r="E886">
        <v>1700</v>
      </c>
      <c r="F886">
        <v>5</v>
      </c>
      <c r="G886">
        <f t="shared" si="39"/>
        <v>8500</v>
      </c>
      <c r="H886" t="s">
        <v>7</v>
      </c>
      <c r="I886">
        <f t="shared" si="40"/>
        <v>2040</v>
      </c>
      <c r="J886">
        <f t="shared" si="41"/>
        <v>10200</v>
      </c>
    </row>
    <row r="887" spans="1:10" x14ac:dyDescent="0.45">
      <c r="A887" t="s">
        <v>3686</v>
      </c>
      <c r="B887" s="1">
        <v>45696</v>
      </c>
      <c r="C887" t="s">
        <v>2772</v>
      </c>
      <c r="D887" t="s">
        <v>2775</v>
      </c>
      <c r="E887">
        <v>9100</v>
      </c>
      <c r="F887">
        <v>4</v>
      </c>
      <c r="G887">
        <f t="shared" si="39"/>
        <v>36400</v>
      </c>
      <c r="H887" t="s">
        <v>17</v>
      </c>
      <c r="I887">
        <f t="shared" si="40"/>
        <v>10920</v>
      </c>
      <c r="J887">
        <f t="shared" si="41"/>
        <v>43680</v>
      </c>
    </row>
    <row r="888" spans="1:10" x14ac:dyDescent="0.45">
      <c r="A888" t="s">
        <v>3696</v>
      </c>
      <c r="B888" s="1">
        <v>45696</v>
      </c>
      <c r="C888" t="s">
        <v>4007</v>
      </c>
      <c r="D888" t="s">
        <v>2774</v>
      </c>
      <c r="E888">
        <v>1900</v>
      </c>
      <c r="F888">
        <v>9</v>
      </c>
      <c r="G888">
        <f t="shared" si="39"/>
        <v>17100</v>
      </c>
      <c r="H888" t="s">
        <v>7</v>
      </c>
      <c r="I888">
        <f t="shared" si="40"/>
        <v>2280</v>
      </c>
      <c r="J888">
        <f t="shared" si="41"/>
        <v>20520</v>
      </c>
    </row>
    <row r="889" spans="1:10" x14ac:dyDescent="0.45">
      <c r="A889" t="s">
        <v>3758</v>
      </c>
      <c r="B889" s="1">
        <v>45696</v>
      </c>
      <c r="C889" t="s">
        <v>4007</v>
      </c>
      <c r="D889" t="s">
        <v>2776</v>
      </c>
      <c r="E889">
        <v>3600</v>
      </c>
      <c r="F889">
        <v>3</v>
      </c>
      <c r="G889">
        <f t="shared" si="39"/>
        <v>10800</v>
      </c>
      <c r="H889" t="s">
        <v>21</v>
      </c>
      <c r="I889">
        <f t="shared" si="40"/>
        <v>4320</v>
      </c>
      <c r="J889">
        <f t="shared" si="41"/>
        <v>12960</v>
      </c>
    </row>
    <row r="890" spans="1:10" x14ac:dyDescent="0.45">
      <c r="A890" t="s">
        <v>4012</v>
      </c>
      <c r="B890" s="1">
        <v>45696</v>
      </c>
      <c r="C890" t="s">
        <v>5009</v>
      </c>
      <c r="D890" t="s">
        <v>3982</v>
      </c>
      <c r="E890">
        <v>13000</v>
      </c>
      <c r="F890" s="3">
        <v>7</v>
      </c>
      <c r="G890">
        <f t="shared" si="39"/>
        <v>91000</v>
      </c>
      <c r="H890" t="s">
        <v>7</v>
      </c>
      <c r="I890">
        <f t="shared" si="40"/>
        <v>15600</v>
      </c>
      <c r="J890">
        <f t="shared" si="41"/>
        <v>109200</v>
      </c>
    </row>
    <row r="891" spans="1:10" x14ac:dyDescent="0.45">
      <c r="A891" t="s">
        <v>4034</v>
      </c>
      <c r="B891" s="1">
        <v>45696</v>
      </c>
      <c r="C891" t="s">
        <v>5008</v>
      </c>
      <c r="D891" t="s">
        <v>3995</v>
      </c>
      <c r="E891">
        <v>15000</v>
      </c>
      <c r="F891" s="3">
        <v>1</v>
      </c>
      <c r="G891">
        <f t="shared" si="39"/>
        <v>15000</v>
      </c>
      <c r="H891" t="s">
        <v>17</v>
      </c>
      <c r="I891">
        <f t="shared" si="40"/>
        <v>18000</v>
      </c>
      <c r="J891">
        <f t="shared" si="41"/>
        <v>18000</v>
      </c>
    </row>
    <row r="892" spans="1:10" x14ac:dyDescent="0.45">
      <c r="A892" t="s">
        <v>4050</v>
      </c>
      <c r="B892" s="1">
        <v>45696</v>
      </c>
      <c r="C892" t="s">
        <v>5009</v>
      </c>
      <c r="D892" t="s">
        <v>3982</v>
      </c>
      <c r="E892">
        <v>13000</v>
      </c>
      <c r="F892" s="3">
        <v>6</v>
      </c>
      <c r="G892">
        <f t="shared" si="39"/>
        <v>78000</v>
      </c>
      <c r="H892" t="s">
        <v>7</v>
      </c>
      <c r="I892">
        <f t="shared" si="40"/>
        <v>15600</v>
      </c>
      <c r="J892">
        <f t="shared" si="41"/>
        <v>93600</v>
      </c>
    </row>
    <row r="893" spans="1:10" x14ac:dyDescent="0.45">
      <c r="A893" t="s">
        <v>4137</v>
      </c>
      <c r="B893" s="1">
        <v>45696</v>
      </c>
      <c r="C893" t="s">
        <v>5009</v>
      </c>
      <c r="D893" t="s">
        <v>4000</v>
      </c>
      <c r="E893">
        <v>3000</v>
      </c>
      <c r="F893" s="3">
        <v>9</v>
      </c>
      <c r="G893">
        <f t="shared" si="39"/>
        <v>27000</v>
      </c>
      <c r="H893" t="s">
        <v>21</v>
      </c>
      <c r="I893">
        <f t="shared" si="40"/>
        <v>3600</v>
      </c>
      <c r="J893">
        <f t="shared" si="41"/>
        <v>32400</v>
      </c>
    </row>
    <row r="894" spans="1:10" x14ac:dyDescent="0.45">
      <c r="A894" t="s">
        <v>4175</v>
      </c>
      <c r="B894" s="1">
        <v>45696</v>
      </c>
      <c r="C894" t="s">
        <v>5008</v>
      </c>
      <c r="D894" t="s">
        <v>3995</v>
      </c>
      <c r="E894">
        <v>15000</v>
      </c>
      <c r="F894" s="3">
        <v>10</v>
      </c>
      <c r="G894">
        <f t="shared" si="39"/>
        <v>150000</v>
      </c>
      <c r="H894" t="s">
        <v>21</v>
      </c>
      <c r="I894">
        <f t="shared" si="40"/>
        <v>18000</v>
      </c>
      <c r="J894">
        <f t="shared" si="41"/>
        <v>180000</v>
      </c>
    </row>
    <row r="895" spans="1:10" x14ac:dyDescent="0.45">
      <c r="A895" t="s">
        <v>4195</v>
      </c>
      <c r="B895" s="1">
        <v>45696</v>
      </c>
      <c r="C895" t="s">
        <v>33</v>
      </c>
      <c r="D895" t="s">
        <v>3994</v>
      </c>
      <c r="E895">
        <v>2500</v>
      </c>
      <c r="F895" s="3">
        <v>4</v>
      </c>
      <c r="G895">
        <f t="shared" si="39"/>
        <v>10000</v>
      </c>
      <c r="H895" t="s">
        <v>17</v>
      </c>
      <c r="I895">
        <f t="shared" si="40"/>
        <v>3000</v>
      </c>
      <c r="J895">
        <f t="shared" si="41"/>
        <v>12000</v>
      </c>
    </row>
    <row r="896" spans="1:10" x14ac:dyDescent="0.45">
      <c r="A896" t="s">
        <v>4430</v>
      </c>
      <c r="B896" s="1">
        <v>45696</v>
      </c>
      <c r="C896" t="s">
        <v>5008</v>
      </c>
      <c r="D896" t="s">
        <v>3998</v>
      </c>
      <c r="E896">
        <v>8000</v>
      </c>
      <c r="F896" s="3">
        <v>10</v>
      </c>
      <c r="G896">
        <f t="shared" si="39"/>
        <v>80000</v>
      </c>
      <c r="H896" t="s">
        <v>7</v>
      </c>
      <c r="I896">
        <f t="shared" si="40"/>
        <v>9600</v>
      </c>
      <c r="J896">
        <f t="shared" si="41"/>
        <v>96000</v>
      </c>
    </row>
    <row r="897" spans="1:10" x14ac:dyDescent="0.45">
      <c r="A897" t="s">
        <v>4474</v>
      </c>
      <c r="B897" s="1">
        <v>45696</v>
      </c>
      <c r="C897" t="s">
        <v>3977</v>
      </c>
      <c r="D897" t="s">
        <v>4002</v>
      </c>
      <c r="E897">
        <v>2500</v>
      </c>
      <c r="F897" s="3">
        <v>7</v>
      </c>
      <c r="G897">
        <f t="shared" si="39"/>
        <v>17500</v>
      </c>
      <c r="H897" t="s">
        <v>17</v>
      </c>
      <c r="I897">
        <f t="shared" si="40"/>
        <v>3000</v>
      </c>
      <c r="J897">
        <f t="shared" si="41"/>
        <v>21000</v>
      </c>
    </row>
    <row r="898" spans="1:10" x14ac:dyDescent="0.45">
      <c r="A898" t="s">
        <v>4613</v>
      </c>
      <c r="B898" s="1">
        <v>45696</v>
      </c>
      <c r="C898" t="s">
        <v>33</v>
      </c>
      <c r="D898" t="s">
        <v>3994</v>
      </c>
      <c r="E898">
        <v>2500</v>
      </c>
      <c r="F898" s="3">
        <v>4</v>
      </c>
      <c r="G898">
        <f t="shared" ref="G898:G961" si="42">E898*F898</f>
        <v>10000</v>
      </c>
      <c r="H898" t="s">
        <v>17</v>
      </c>
      <c r="I898">
        <f t="shared" ref="I898:I961" si="43">E898*1.2</f>
        <v>3000</v>
      </c>
      <c r="J898">
        <f t="shared" ref="J898:J961" si="44">I898*F898</f>
        <v>12000</v>
      </c>
    </row>
    <row r="899" spans="1:10" x14ac:dyDescent="0.45">
      <c r="A899" t="s">
        <v>4740</v>
      </c>
      <c r="B899" s="1">
        <v>45696</v>
      </c>
      <c r="C899" t="s">
        <v>5008</v>
      </c>
      <c r="D899" t="s">
        <v>3998</v>
      </c>
      <c r="E899">
        <v>8000</v>
      </c>
      <c r="F899" s="3">
        <v>1</v>
      </c>
      <c r="G899">
        <f t="shared" si="42"/>
        <v>8000</v>
      </c>
      <c r="H899" t="s">
        <v>7</v>
      </c>
      <c r="I899">
        <f t="shared" si="43"/>
        <v>9600</v>
      </c>
      <c r="J899">
        <f t="shared" si="44"/>
        <v>9600</v>
      </c>
    </row>
    <row r="900" spans="1:10" x14ac:dyDescent="0.45">
      <c r="A900" t="s">
        <v>4820</v>
      </c>
      <c r="B900" s="1">
        <v>45696</v>
      </c>
      <c r="C900" t="s">
        <v>5009</v>
      </c>
      <c r="D900" t="s">
        <v>3992</v>
      </c>
      <c r="E900">
        <v>400</v>
      </c>
      <c r="F900" s="3">
        <v>5</v>
      </c>
      <c r="G900">
        <f t="shared" si="42"/>
        <v>2000</v>
      </c>
      <c r="H900" t="s">
        <v>17</v>
      </c>
      <c r="I900">
        <f t="shared" si="43"/>
        <v>480</v>
      </c>
      <c r="J900">
        <f t="shared" si="44"/>
        <v>2400</v>
      </c>
    </row>
    <row r="901" spans="1:10" x14ac:dyDescent="0.45">
      <c r="A901" t="s">
        <v>4929</v>
      </c>
      <c r="B901" s="1">
        <v>45696</v>
      </c>
      <c r="C901" t="s">
        <v>33</v>
      </c>
      <c r="D901" t="s">
        <v>3981</v>
      </c>
      <c r="E901">
        <v>4000</v>
      </c>
      <c r="F901" s="3">
        <v>6</v>
      </c>
      <c r="G901">
        <f t="shared" si="42"/>
        <v>24000</v>
      </c>
      <c r="H901" t="s">
        <v>7</v>
      </c>
      <c r="I901">
        <f t="shared" si="43"/>
        <v>4800</v>
      </c>
      <c r="J901">
        <f t="shared" si="44"/>
        <v>28800</v>
      </c>
    </row>
    <row r="902" spans="1:10" x14ac:dyDescent="0.45">
      <c r="A902" t="s">
        <v>328</v>
      </c>
      <c r="B902" s="1">
        <v>45697</v>
      </c>
      <c r="C902" t="s">
        <v>33</v>
      </c>
      <c r="D902" t="s">
        <v>42</v>
      </c>
      <c r="E902">
        <v>6900</v>
      </c>
      <c r="F902">
        <v>3</v>
      </c>
      <c r="G902">
        <f t="shared" si="42"/>
        <v>20700</v>
      </c>
      <c r="H902" t="s">
        <v>21</v>
      </c>
      <c r="I902">
        <f t="shared" si="43"/>
        <v>8280</v>
      </c>
      <c r="J902">
        <f t="shared" si="44"/>
        <v>24840</v>
      </c>
    </row>
    <row r="903" spans="1:10" x14ac:dyDescent="0.45">
      <c r="A903" t="s">
        <v>329</v>
      </c>
      <c r="B903" s="1">
        <v>45697</v>
      </c>
      <c r="C903" t="s">
        <v>9</v>
      </c>
      <c r="D903" t="s">
        <v>19</v>
      </c>
      <c r="E903">
        <v>3000</v>
      </c>
      <c r="F903">
        <v>3</v>
      </c>
      <c r="G903">
        <f t="shared" si="42"/>
        <v>9000</v>
      </c>
      <c r="H903" t="s">
        <v>21</v>
      </c>
      <c r="I903">
        <f t="shared" si="43"/>
        <v>3600</v>
      </c>
      <c r="J903">
        <f t="shared" si="44"/>
        <v>10800</v>
      </c>
    </row>
    <row r="904" spans="1:10" x14ac:dyDescent="0.45">
      <c r="A904" t="s">
        <v>330</v>
      </c>
      <c r="B904" s="1">
        <v>45697</v>
      </c>
      <c r="C904" t="s">
        <v>33</v>
      </c>
      <c r="D904" t="s">
        <v>42</v>
      </c>
      <c r="E904">
        <v>6900</v>
      </c>
      <c r="F904">
        <v>5</v>
      </c>
      <c r="G904">
        <f t="shared" si="42"/>
        <v>34500</v>
      </c>
      <c r="H904" t="s">
        <v>7</v>
      </c>
      <c r="I904">
        <f t="shared" si="43"/>
        <v>8280</v>
      </c>
      <c r="J904">
        <f t="shared" si="44"/>
        <v>41400</v>
      </c>
    </row>
    <row r="905" spans="1:10" x14ac:dyDescent="0.45">
      <c r="A905" t="s">
        <v>331</v>
      </c>
      <c r="B905" s="1">
        <v>45697</v>
      </c>
      <c r="C905" t="s">
        <v>33</v>
      </c>
      <c r="D905" t="s">
        <v>14</v>
      </c>
      <c r="E905">
        <v>800</v>
      </c>
      <c r="F905">
        <v>7</v>
      </c>
      <c r="G905">
        <f t="shared" si="42"/>
        <v>5600</v>
      </c>
      <c r="H905" t="s">
        <v>17</v>
      </c>
      <c r="I905">
        <f t="shared" si="43"/>
        <v>960</v>
      </c>
      <c r="J905">
        <f t="shared" si="44"/>
        <v>6720</v>
      </c>
    </row>
    <row r="906" spans="1:10" x14ac:dyDescent="0.45">
      <c r="A906" t="s">
        <v>332</v>
      </c>
      <c r="B906" s="1">
        <v>45697</v>
      </c>
      <c r="C906" t="s">
        <v>9</v>
      </c>
      <c r="D906" t="s">
        <v>10</v>
      </c>
      <c r="E906">
        <v>400</v>
      </c>
      <c r="F906">
        <v>8</v>
      </c>
      <c r="G906">
        <f t="shared" si="42"/>
        <v>3200</v>
      </c>
      <c r="H906" t="s">
        <v>7</v>
      </c>
      <c r="I906">
        <f t="shared" si="43"/>
        <v>480</v>
      </c>
      <c r="J906">
        <f t="shared" si="44"/>
        <v>3840</v>
      </c>
    </row>
    <row r="907" spans="1:10" x14ac:dyDescent="0.45">
      <c r="A907" t="s">
        <v>333</v>
      </c>
      <c r="B907" s="1">
        <v>45697</v>
      </c>
      <c r="C907" t="s">
        <v>33</v>
      </c>
      <c r="D907" t="s">
        <v>16</v>
      </c>
      <c r="E907">
        <v>1200</v>
      </c>
      <c r="F907">
        <v>7</v>
      </c>
      <c r="G907">
        <f t="shared" si="42"/>
        <v>8400</v>
      </c>
      <c r="H907" t="s">
        <v>21</v>
      </c>
      <c r="I907">
        <f t="shared" si="43"/>
        <v>1440</v>
      </c>
      <c r="J907">
        <f t="shared" si="44"/>
        <v>10080</v>
      </c>
    </row>
    <row r="908" spans="1:10" x14ac:dyDescent="0.45">
      <c r="A908" t="s">
        <v>334</v>
      </c>
      <c r="B908" s="1">
        <v>45697</v>
      </c>
      <c r="C908" t="s">
        <v>9</v>
      </c>
      <c r="D908" t="s">
        <v>10</v>
      </c>
      <c r="E908">
        <v>400</v>
      </c>
      <c r="F908">
        <v>5</v>
      </c>
      <c r="G908">
        <f t="shared" si="42"/>
        <v>2000</v>
      </c>
      <c r="H908" t="s">
        <v>17</v>
      </c>
      <c r="I908">
        <f t="shared" si="43"/>
        <v>480</v>
      </c>
      <c r="J908">
        <f t="shared" si="44"/>
        <v>2400</v>
      </c>
    </row>
    <row r="909" spans="1:10" x14ac:dyDescent="0.45">
      <c r="A909" t="s">
        <v>335</v>
      </c>
      <c r="B909" s="1">
        <v>45697</v>
      </c>
      <c r="C909" t="s">
        <v>33</v>
      </c>
      <c r="D909" t="s">
        <v>16</v>
      </c>
      <c r="E909">
        <v>1200</v>
      </c>
      <c r="F909">
        <v>1</v>
      </c>
      <c r="G909">
        <f t="shared" si="42"/>
        <v>1200</v>
      </c>
      <c r="H909" t="s">
        <v>17</v>
      </c>
      <c r="I909">
        <f t="shared" si="43"/>
        <v>1440</v>
      </c>
      <c r="J909">
        <f t="shared" si="44"/>
        <v>1440</v>
      </c>
    </row>
    <row r="910" spans="1:10" x14ac:dyDescent="0.45">
      <c r="A910" t="s">
        <v>336</v>
      </c>
      <c r="B910" s="1">
        <v>45697</v>
      </c>
      <c r="C910" t="s">
        <v>12</v>
      </c>
      <c r="D910" t="s">
        <v>5021</v>
      </c>
      <c r="E910">
        <v>2880</v>
      </c>
      <c r="F910">
        <v>2</v>
      </c>
      <c r="G910">
        <f t="shared" si="42"/>
        <v>5760</v>
      </c>
      <c r="H910" t="s">
        <v>21</v>
      </c>
      <c r="I910">
        <f t="shared" si="43"/>
        <v>3456</v>
      </c>
      <c r="J910">
        <f t="shared" si="44"/>
        <v>6912</v>
      </c>
    </row>
    <row r="911" spans="1:10" x14ac:dyDescent="0.45">
      <c r="A911" t="s">
        <v>337</v>
      </c>
      <c r="B911" s="1">
        <v>45697</v>
      </c>
      <c r="C911" t="s">
        <v>9</v>
      </c>
      <c r="D911" t="s">
        <v>19</v>
      </c>
      <c r="E911">
        <v>3000</v>
      </c>
      <c r="F911">
        <v>1</v>
      </c>
      <c r="G911">
        <f t="shared" si="42"/>
        <v>3000</v>
      </c>
      <c r="H911" t="s">
        <v>17</v>
      </c>
      <c r="I911">
        <f t="shared" si="43"/>
        <v>3600</v>
      </c>
      <c r="J911">
        <f t="shared" si="44"/>
        <v>3600</v>
      </c>
    </row>
    <row r="912" spans="1:10" x14ac:dyDescent="0.45">
      <c r="A912" t="s">
        <v>2885</v>
      </c>
      <c r="B912" s="1">
        <v>45697</v>
      </c>
      <c r="C912" t="s">
        <v>4007</v>
      </c>
      <c r="D912" t="s">
        <v>28</v>
      </c>
      <c r="E912">
        <v>500</v>
      </c>
      <c r="F912">
        <v>6</v>
      </c>
      <c r="G912">
        <f t="shared" si="42"/>
        <v>3000</v>
      </c>
      <c r="H912" t="s">
        <v>7</v>
      </c>
      <c r="I912">
        <f t="shared" si="43"/>
        <v>600</v>
      </c>
      <c r="J912">
        <f t="shared" si="44"/>
        <v>3600</v>
      </c>
    </row>
    <row r="913" spans="1:10" x14ac:dyDescent="0.45">
      <c r="A913" t="s">
        <v>2971</v>
      </c>
      <c r="B913" s="1">
        <v>45697</v>
      </c>
      <c r="C913" t="s">
        <v>2772</v>
      </c>
      <c r="D913" t="s">
        <v>2775</v>
      </c>
      <c r="E913">
        <v>9100</v>
      </c>
      <c r="F913">
        <v>6</v>
      </c>
      <c r="G913">
        <f t="shared" si="42"/>
        <v>54600</v>
      </c>
      <c r="H913" t="s">
        <v>21</v>
      </c>
      <c r="I913">
        <f t="shared" si="43"/>
        <v>10920</v>
      </c>
      <c r="J913">
        <f t="shared" si="44"/>
        <v>65520</v>
      </c>
    </row>
    <row r="914" spans="1:10" x14ac:dyDescent="0.45">
      <c r="A914" t="s">
        <v>4105</v>
      </c>
      <c r="B914" s="1">
        <v>45697</v>
      </c>
      <c r="C914" t="s">
        <v>3979</v>
      </c>
      <c r="D914" t="s">
        <v>4006</v>
      </c>
      <c r="E914">
        <v>2000</v>
      </c>
      <c r="F914" s="3">
        <v>6</v>
      </c>
      <c r="G914">
        <f t="shared" si="42"/>
        <v>12000</v>
      </c>
      <c r="H914" t="s">
        <v>17</v>
      </c>
      <c r="I914">
        <f t="shared" si="43"/>
        <v>2400</v>
      </c>
      <c r="J914">
        <f t="shared" si="44"/>
        <v>14400</v>
      </c>
    </row>
    <row r="915" spans="1:10" x14ac:dyDescent="0.45">
      <c r="A915" t="s">
        <v>4188</v>
      </c>
      <c r="B915" s="1">
        <v>45697</v>
      </c>
      <c r="C915" t="s">
        <v>5008</v>
      </c>
      <c r="D915" t="s">
        <v>3986</v>
      </c>
      <c r="E915">
        <v>12000</v>
      </c>
      <c r="F915" s="3">
        <v>7</v>
      </c>
      <c r="G915">
        <f t="shared" si="42"/>
        <v>84000</v>
      </c>
      <c r="H915" t="s">
        <v>21</v>
      </c>
      <c r="I915">
        <f t="shared" si="43"/>
        <v>14400</v>
      </c>
      <c r="J915">
        <f t="shared" si="44"/>
        <v>100800</v>
      </c>
    </row>
    <row r="916" spans="1:10" x14ac:dyDescent="0.45">
      <c r="A916" t="s">
        <v>4254</v>
      </c>
      <c r="B916" s="1">
        <v>45697</v>
      </c>
      <c r="C916" t="s">
        <v>3979</v>
      </c>
      <c r="D916" t="s">
        <v>3984</v>
      </c>
      <c r="E916">
        <v>12000</v>
      </c>
      <c r="F916" s="3">
        <v>3</v>
      </c>
      <c r="G916">
        <f t="shared" si="42"/>
        <v>36000</v>
      </c>
      <c r="H916" t="s">
        <v>21</v>
      </c>
      <c r="I916">
        <f t="shared" si="43"/>
        <v>14400</v>
      </c>
      <c r="J916">
        <f t="shared" si="44"/>
        <v>43200</v>
      </c>
    </row>
    <row r="917" spans="1:10" x14ac:dyDescent="0.45">
      <c r="A917" t="s">
        <v>4271</v>
      </c>
      <c r="B917" s="1">
        <v>45697</v>
      </c>
      <c r="C917" t="s">
        <v>5009</v>
      </c>
      <c r="D917" t="s">
        <v>4000</v>
      </c>
      <c r="E917">
        <v>3000</v>
      </c>
      <c r="F917" s="3">
        <v>10</v>
      </c>
      <c r="G917">
        <f t="shared" si="42"/>
        <v>30000</v>
      </c>
      <c r="H917" t="s">
        <v>7</v>
      </c>
      <c r="I917">
        <f t="shared" si="43"/>
        <v>3600</v>
      </c>
      <c r="J917">
        <f t="shared" si="44"/>
        <v>36000</v>
      </c>
    </row>
    <row r="918" spans="1:10" x14ac:dyDescent="0.45">
      <c r="A918" t="s">
        <v>4324</v>
      </c>
      <c r="B918" s="1">
        <v>45697</v>
      </c>
      <c r="C918" t="s">
        <v>4007</v>
      </c>
      <c r="D918" t="s">
        <v>3997</v>
      </c>
      <c r="E918">
        <v>62000</v>
      </c>
      <c r="F918" s="3">
        <v>3</v>
      </c>
      <c r="G918">
        <f t="shared" si="42"/>
        <v>186000</v>
      </c>
      <c r="H918" t="s">
        <v>17</v>
      </c>
      <c r="I918">
        <f t="shared" si="43"/>
        <v>74400</v>
      </c>
      <c r="J918">
        <f t="shared" si="44"/>
        <v>223200</v>
      </c>
    </row>
    <row r="919" spans="1:10" x14ac:dyDescent="0.45">
      <c r="A919" t="s">
        <v>4476</v>
      </c>
      <c r="B919" s="1">
        <v>45697</v>
      </c>
      <c r="C919" t="s">
        <v>4007</v>
      </c>
      <c r="D919" t="s">
        <v>3999</v>
      </c>
      <c r="E919">
        <v>50000</v>
      </c>
      <c r="F919" s="3">
        <v>1</v>
      </c>
      <c r="G919">
        <f t="shared" si="42"/>
        <v>50000</v>
      </c>
      <c r="H919" t="s">
        <v>7</v>
      </c>
      <c r="I919">
        <f t="shared" si="43"/>
        <v>60000</v>
      </c>
      <c r="J919">
        <f t="shared" si="44"/>
        <v>60000</v>
      </c>
    </row>
    <row r="920" spans="1:10" x14ac:dyDescent="0.45">
      <c r="A920" t="s">
        <v>4517</v>
      </c>
      <c r="B920" s="1">
        <v>45697</v>
      </c>
      <c r="C920" t="s">
        <v>33</v>
      </c>
      <c r="D920" t="s">
        <v>3985</v>
      </c>
      <c r="E920">
        <v>1950</v>
      </c>
      <c r="F920" s="3">
        <v>6</v>
      </c>
      <c r="G920">
        <f t="shared" si="42"/>
        <v>11700</v>
      </c>
      <c r="H920" t="s">
        <v>7</v>
      </c>
      <c r="I920">
        <f t="shared" si="43"/>
        <v>2340</v>
      </c>
      <c r="J920">
        <f t="shared" si="44"/>
        <v>14040</v>
      </c>
    </row>
    <row r="921" spans="1:10" x14ac:dyDescent="0.45">
      <c r="A921" t="s">
        <v>4558</v>
      </c>
      <c r="B921" s="1">
        <v>45697</v>
      </c>
      <c r="C921" t="s">
        <v>5008</v>
      </c>
      <c r="D921" t="s">
        <v>4003</v>
      </c>
      <c r="E921">
        <v>10000</v>
      </c>
      <c r="F921" s="3">
        <v>3</v>
      </c>
      <c r="G921">
        <f t="shared" si="42"/>
        <v>30000</v>
      </c>
      <c r="H921" t="s">
        <v>21</v>
      </c>
      <c r="I921">
        <f t="shared" si="43"/>
        <v>12000</v>
      </c>
      <c r="J921">
        <f t="shared" si="44"/>
        <v>36000</v>
      </c>
    </row>
    <row r="922" spans="1:10" x14ac:dyDescent="0.45">
      <c r="A922" t="s">
        <v>4907</v>
      </c>
      <c r="B922" s="1">
        <v>45697</v>
      </c>
      <c r="C922" t="s">
        <v>4007</v>
      </c>
      <c r="D922" t="s">
        <v>3997</v>
      </c>
      <c r="E922">
        <v>62000</v>
      </c>
      <c r="F922" s="3">
        <v>9</v>
      </c>
      <c r="G922">
        <f t="shared" si="42"/>
        <v>558000</v>
      </c>
      <c r="H922" t="s">
        <v>21</v>
      </c>
      <c r="I922">
        <f t="shared" si="43"/>
        <v>74400</v>
      </c>
      <c r="J922">
        <f t="shared" si="44"/>
        <v>669600</v>
      </c>
    </row>
    <row r="923" spans="1:10" x14ac:dyDescent="0.45">
      <c r="A923" t="s">
        <v>4909</v>
      </c>
      <c r="B923" s="1">
        <v>45697</v>
      </c>
      <c r="C923" t="s">
        <v>33</v>
      </c>
      <c r="D923" t="s">
        <v>3985</v>
      </c>
      <c r="E923">
        <v>1950</v>
      </c>
      <c r="F923" s="3">
        <v>4</v>
      </c>
      <c r="G923">
        <f t="shared" si="42"/>
        <v>7800</v>
      </c>
      <c r="H923" t="s">
        <v>21</v>
      </c>
      <c r="I923">
        <f t="shared" si="43"/>
        <v>2340</v>
      </c>
      <c r="J923">
        <f t="shared" si="44"/>
        <v>9360</v>
      </c>
    </row>
    <row r="924" spans="1:10" x14ac:dyDescent="0.45">
      <c r="A924" t="s">
        <v>4914</v>
      </c>
      <c r="B924" s="1">
        <v>45697</v>
      </c>
      <c r="C924" t="s">
        <v>3977</v>
      </c>
      <c r="D924" t="s">
        <v>3991</v>
      </c>
      <c r="E924">
        <v>2000</v>
      </c>
      <c r="F924" s="3">
        <v>10</v>
      </c>
      <c r="G924">
        <f t="shared" si="42"/>
        <v>20000</v>
      </c>
      <c r="H924" t="s">
        <v>21</v>
      </c>
      <c r="I924">
        <f t="shared" si="43"/>
        <v>2400</v>
      </c>
      <c r="J924">
        <f t="shared" si="44"/>
        <v>24000</v>
      </c>
    </row>
    <row r="925" spans="1:10" x14ac:dyDescent="0.45">
      <c r="A925" t="s">
        <v>4962</v>
      </c>
      <c r="B925" s="1">
        <v>45697</v>
      </c>
      <c r="C925" t="s">
        <v>33</v>
      </c>
      <c r="D925" t="s">
        <v>3981</v>
      </c>
      <c r="E925">
        <v>4000</v>
      </c>
      <c r="F925" s="3">
        <v>6</v>
      </c>
      <c r="G925">
        <f t="shared" si="42"/>
        <v>24000</v>
      </c>
      <c r="H925" t="s">
        <v>21</v>
      </c>
      <c r="I925">
        <f t="shared" si="43"/>
        <v>4800</v>
      </c>
      <c r="J925">
        <f t="shared" si="44"/>
        <v>28800</v>
      </c>
    </row>
    <row r="926" spans="1:10" x14ac:dyDescent="0.45">
      <c r="A926" t="s">
        <v>5005</v>
      </c>
      <c r="B926" s="1">
        <v>45697</v>
      </c>
      <c r="C926" t="s">
        <v>4007</v>
      </c>
      <c r="D926" t="s">
        <v>3999</v>
      </c>
      <c r="E926">
        <v>50000</v>
      </c>
      <c r="F926" s="3">
        <v>1</v>
      </c>
      <c r="G926">
        <f t="shared" si="42"/>
        <v>50000</v>
      </c>
      <c r="H926" t="s">
        <v>21</v>
      </c>
      <c r="I926">
        <f t="shared" si="43"/>
        <v>60000</v>
      </c>
      <c r="J926">
        <f t="shared" si="44"/>
        <v>60000</v>
      </c>
    </row>
    <row r="927" spans="1:10" x14ac:dyDescent="0.45">
      <c r="A927" t="s">
        <v>338</v>
      </c>
      <c r="B927" s="1">
        <v>45698</v>
      </c>
      <c r="C927" t="s">
        <v>4007</v>
      </c>
      <c r="D927" t="s">
        <v>39</v>
      </c>
      <c r="E927">
        <v>6000</v>
      </c>
      <c r="F927">
        <v>9</v>
      </c>
      <c r="G927">
        <f t="shared" si="42"/>
        <v>54000</v>
      </c>
      <c r="H927" t="s">
        <v>21</v>
      </c>
      <c r="I927">
        <f t="shared" si="43"/>
        <v>7200</v>
      </c>
      <c r="J927">
        <f t="shared" si="44"/>
        <v>64800</v>
      </c>
    </row>
    <row r="928" spans="1:10" x14ac:dyDescent="0.45">
      <c r="A928" t="s">
        <v>339</v>
      </c>
      <c r="B928" s="1">
        <v>45698</v>
      </c>
      <c r="C928" t="s">
        <v>12</v>
      </c>
      <c r="D928" t="s">
        <v>5020</v>
      </c>
      <c r="E928">
        <v>2880</v>
      </c>
      <c r="F928">
        <v>3</v>
      </c>
      <c r="G928">
        <f t="shared" si="42"/>
        <v>8640</v>
      </c>
      <c r="H928" t="s">
        <v>21</v>
      </c>
      <c r="I928">
        <f t="shared" si="43"/>
        <v>3456</v>
      </c>
      <c r="J928">
        <f t="shared" si="44"/>
        <v>10368</v>
      </c>
    </row>
    <row r="929" spans="1:10" x14ac:dyDescent="0.45">
      <c r="A929" t="s">
        <v>340</v>
      </c>
      <c r="B929" s="1">
        <v>45698</v>
      </c>
      <c r="C929" t="s">
        <v>12</v>
      </c>
      <c r="D929" t="s">
        <v>5021</v>
      </c>
      <c r="E929">
        <v>2880</v>
      </c>
      <c r="F929">
        <v>7</v>
      </c>
      <c r="G929">
        <f t="shared" si="42"/>
        <v>20160</v>
      </c>
      <c r="H929" t="s">
        <v>7</v>
      </c>
      <c r="I929">
        <f t="shared" si="43"/>
        <v>3456</v>
      </c>
      <c r="J929">
        <f t="shared" si="44"/>
        <v>24192</v>
      </c>
    </row>
    <row r="930" spans="1:10" x14ac:dyDescent="0.45">
      <c r="A930" t="s">
        <v>341</v>
      </c>
      <c r="B930" s="1">
        <v>45698</v>
      </c>
      <c r="C930" t="s">
        <v>12</v>
      </c>
      <c r="D930" t="s">
        <v>5023</v>
      </c>
      <c r="E930">
        <v>1750</v>
      </c>
      <c r="F930">
        <v>9</v>
      </c>
      <c r="G930">
        <f t="shared" si="42"/>
        <v>15750</v>
      </c>
      <c r="H930" t="s">
        <v>7</v>
      </c>
      <c r="I930">
        <f t="shared" si="43"/>
        <v>2100</v>
      </c>
      <c r="J930">
        <f t="shared" si="44"/>
        <v>18900</v>
      </c>
    </row>
    <row r="931" spans="1:10" x14ac:dyDescent="0.45">
      <c r="A931" t="s">
        <v>342</v>
      </c>
      <c r="B931" s="1">
        <v>45698</v>
      </c>
      <c r="C931" t="s">
        <v>12</v>
      </c>
      <c r="D931" t="s">
        <v>5020</v>
      </c>
      <c r="E931">
        <v>2880</v>
      </c>
      <c r="F931">
        <v>1</v>
      </c>
      <c r="G931">
        <f t="shared" si="42"/>
        <v>2880</v>
      </c>
      <c r="H931" t="s">
        <v>17</v>
      </c>
      <c r="I931">
        <f t="shared" si="43"/>
        <v>3456</v>
      </c>
      <c r="J931">
        <f t="shared" si="44"/>
        <v>3456</v>
      </c>
    </row>
    <row r="932" spans="1:10" x14ac:dyDescent="0.45">
      <c r="A932" t="s">
        <v>3718</v>
      </c>
      <c r="B932" s="1">
        <v>45698</v>
      </c>
      <c r="C932" t="s">
        <v>2772</v>
      </c>
      <c r="D932" t="s">
        <v>2771</v>
      </c>
      <c r="E932">
        <v>120</v>
      </c>
      <c r="F932">
        <v>9</v>
      </c>
      <c r="G932">
        <f t="shared" si="42"/>
        <v>1080</v>
      </c>
      <c r="H932" t="s">
        <v>17</v>
      </c>
      <c r="I932">
        <f t="shared" si="43"/>
        <v>144</v>
      </c>
      <c r="J932">
        <f t="shared" si="44"/>
        <v>1296</v>
      </c>
    </row>
    <row r="933" spans="1:10" x14ac:dyDescent="0.45">
      <c r="A933" t="s">
        <v>4056</v>
      </c>
      <c r="B933" s="1">
        <v>45698</v>
      </c>
      <c r="C933" t="s">
        <v>3979</v>
      </c>
      <c r="D933" t="s">
        <v>3984</v>
      </c>
      <c r="E933">
        <v>12000</v>
      </c>
      <c r="F933" s="3">
        <v>6</v>
      </c>
      <c r="G933">
        <f t="shared" si="42"/>
        <v>72000</v>
      </c>
      <c r="H933" t="s">
        <v>21</v>
      </c>
      <c r="I933">
        <f t="shared" si="43"/>
        <v>14400</v>
      </c>
      <c r="J933">
        <f t="shared" si="44"/>
        <v>86400</v>
      </c>
    </row>
    <row r="934" spans="1:10" x14ac:dyDescent="0.45">
      <c r="A934" t="s">
        <v>4059</v>
      </c>
      <c r="B934" s="1">
        <v>45698</v>
      </c>
      <c r="C934" t="s">
        <v>4007</v>
      </c>
      <c r="D934" t="s">
        <v>5015</v>
      </c>
      <c r="E934">
        <v>48000</v>
      </c>
      <c r="F934" s="3">
        <v>5</v>
      </c>
      <c r="G934">
        <f t="shared" si="42"/>
        <v>240000</v>
      </c>
      <c r="H934" t="s">
        <v>21</v>
      </c>
      <c r="I934">
        <f t="shared" si="43"/>
        <v>57600</v>
      </c>
      <c r="J934">
        <f t="shared" si="44"/>
        <v>288000</v>
      </c>
    </row>
    <row r="935" spans="1:10" x14ac:dyDescent="0.45">
      <c r="A935" t="s">
        <v>4074</v>
      </c>
      <c r="B935" s="1">
        <v>45698</v>
      </c>
      <c r="C935" t="s">
        <v>3977</v>
      </c>
      <c r="D935" t="s">
        <v>3978</v>
      </c>
      <c r="E935">
        <v>2000</v>
      </c>
      <c r="F935" s="3">
        <v>2</v>
      </c>
      <c r="G935">
        <f t="shared" si="42"/>
        <v>4000</v>
      </c>
      <c r="H935" t="s">
        <v>21</v>
      </c>
      <c r="I935">
        <f t="shared" si="43"/>
        <v>2400</v>
      </c>
      <c r="J935">
        <f t="shared" si="44"/>
        <v>4800</v>
      </c>
    </row>
    <row r="936" spans="1:10" x14ac:dyDescent="0.45">
      <c r="A936" t="s">
        <v>4140</v>
      </c>
      <c r="B936" s="1">
        <v>45698</v>
      </c>
      <c r="C936" t="s">
        <v>5009</v>
      </c>
      <c r="D936" t="s">
        <v>3992</v>
      </c>
      <c r="E936">
        <v>400</v>
      </c>
      <c r="F936" s="3">
        <v>4</v>
      </c>
      <c r="G936">
        <f t="shared" si="42"/>
        <v>1600</v>
      </c>
      <c r="H936" t="s">
        <v>7</v>
      </c>
      <c r="I936">
        <f t="shared" si="43"/>
        <v>480</v>
      </c>
      <c r="J936">
        <f t="shared" si="44"/>
        <v>1920</v>
      </c>
    </row>
    <row r="937" spans="1:10" x14ac:dyDescent="0.45">
      <c r="A937" t="s">
        <v>4154</v>
      </c>
      <c r="B937" s="1">
        <v>45698</v>
      </c>
      <c r="C937" t="s">
        <v>5008</v>
      </c>
      <c r="D937" t="s">
        <v>3995</v>
      </c>
      <c r="E937">
        <v>15000</v>
      </c>
      <c r="F937" s="3">
        <v>10</v>
      </c>
      <c r="G937">
        <f t="shared" si="42"/>
        <v>150000</v>
      </c>
      <c r="H937" t="s">
        <v>17</v>
      </c>
      <c r="I937">
        <f t="shared" si="43"/>
        <v>18000</v>
      </c>
      <c r="J937">
        <f t="shared" si="44"/>
        <v>180000</v>
      </c>
    </row>
    <row r="938" spans="1:10" x14ac:dyDescent="0.45">
      <c r="A938" t="s">
        <v>4196</v>
      </c>
      <c r="B938" s="1">
        <v>45698</v>
      </c>
      <c r="C938" t="s">
        <v>33</v>
      </c>
      <c r="D938" t="s">
        <v>3981</v>
      </c>
      <c r="E938">
        <v>4000</v>
      </c>
      <c r="F938" s="3">
        <v>1</v>
      </c>
      <c r="G938">
        <f t="shared" si="42"/>
        <v>4000</v>
      </c>
      <c r="H938" t="s">
        <v>21</v>
      </c>
      <c r="I938">
        <f t="shared" si="43"/>
        <v>4800</v>
      </c>
      <c r="J938">
        <f t="shared" si="44"/>
        <v>4800</v>
      </c>
    </row>
    <row r="939" spans="1:10" x14ac:dyDescent="0.45">
      <c r="A939" t="s">
        <v>4322</v>
      </c>
      <c r="B939" s="1">
        <v>45698</v>
      </c>
      <c r="C939" t="s">
        <v>3979</v>
      </c>
      <c r="D939" t="s">
        <v>3983</v>
      </c>
      <c r="E939">
        <v>1000</v>
      </c>
      <c r="F939" s="3">
        <v>10</v>
      </c>
      <c r="G939">
        <f t="shared" si="42"/>
        <v>10000</v>
      </c>
      <c r="H939" t="s">
        <v>21</v>
      </c>
      <c r="I939">
        <f t="shared" si="43"/>
        <v>1200</v>
      </c>
      <c r="J939">
        <f t="shared" si="44"/>
        <v>12000</v>
      </c>
    </row>
    <row r="940" spans="1:10" x14ac:dyDescent="0.45">
      <c r="A940" t="s">
        <v>4348</v>
      </c>
      <c r="B940" s="1">
        <v>45698</v>
      </c>
      <c r="C940" t="s">
        <v>3979</v>
      </c>
      <c r="D940" t="s">
        <v>3980</v>
      </c>
      <c r="E940">
        <v>500</v>
      </c>
      <c r="F940" s="3">
        <v>3</v>
      </c>
      <c r="G940">
        <f t="shared" si="42"/>
        <v>1500</v>
      </c>
      <c r="H940" t="s">
        <v>7</v>
      </c>
      <c r="I940">
        <f t="shared" si="43"/>
        <v>600</v>
      </c>
      <c r="J940">
        <f t="shared" si="44"/>
        <v>1800</v>
      </c>
    </row>
    <row r="941" spans="1:10" x14ac:dyDescent="0.45">
      <c r="A941" t="s">
        <v>4614</v>
      </c>
      <c r="B941" s="1">
        <v>45698</v>
      </c>
      <c r="C941" t="s">
        <v>5008</v>
      </c>
      <c r="D941" t="s">
        <v>4003</v>
      </c>
      <c r="E941">
        <v>10000</v>
      </c>
      <c r="F941" s="3">
        <v>7</v>
      </c>
      <c r="G941">
        <f t="shared" si="42"/>
        <v>70000</v>
      </c>
      <c r="H941" t="s">
        <v>21</v>
      </c>
      <c r="I941">
        <f t="shared" si="43"/>
        <v>12000</v>
      </c>
      <c r="J941">
        <f t="shared" si="44"/>
        <v>84000</v>
      </c>
    </row>
    <row r="942" spans="1:10" x14ac:dyDescent="0.45">
      <c r="A942" t="s">
        <v>4701</v>
      </c>
      <c r="B942" s="1">
        <v>45698</v>
      </c>
      <c r="C942" t="s">
        <v>5008</v>
      </c>
      <c r="D942" t="s">
        <v>3995</v>
      </c>
      <c r="E942">
        <v>15000</v>
      </c>
      <c r="F942" s="3">
        <v>7</v>
      </c>
      <c r="G942">
        <f t="shared" si="42"/>
        <v>105000</v>
      </c>
      <c r="H942" t="s">
        <v>21</v>
      </c>
      <c r="I942">
        <f t="shared" si="43"/>
        <v>18000</v>
      </c>
      <c r="J942">
        <f t="shared" si="44"/>
        <v>126000</v>
      </c>
    </row>
    <row r="943" spans="1:10" x14ac:dyDescent="0.45">
      <c r="A943" t="s">
        <v>4979</v>
      </c>
      <c r="B943" s="1">
        <v>45698</v>
      </c>
      <c r="C943" t="s">
        <v>33</v>
      </c>
      <c r="D943" t="s">
        <v>42</v>
      </c>
      <c r="E943">
        <v>6900</v>
      </c>
      <c r="F943" s="3">
        <v>7</v>
      </c>
      <c r="G943">
        <f t="shared" si="42"/>
        <v>48300</v>
      </c>
      <c r="H943" t="s">
        <v>17</v>
      </c>
      <c r="I943">
        <f t="shared" si="43"/>
        <v>8280</v>
      </c>
      <c r="J943">
        <f t="shared" si="44"/>
        <v>57960</v>
      </c>
    </row>
    <row r="944" spans="1:10" x14ac:dyDescent="0.45">
      <c r="A944" t="s">
        <v>343</v>
      </c>
      <c r="B944" s="1">
        <v>45699</v>
      </c>
      <c r="C944" t="s">
        <v>4007</v>
      </c>
      <c r="D944" t="s">
        <v>5015</v>
      </c>
      <c r="E944">
        <v>48000</v>
      </c>
      <c r="F944">
        <v>5</v>
      </c>
      <c r="G944">
        <f t="shared" si="42"/>
        <v>240000</v>
      </c>
      <c r="H944" t="s">
        <v>21</v>
      </c>
      <c r="I944">
        <f t="shared" si="43"/>
        <v>57600</v>
      </c>
      <c r="J944">
        <f t="shared" si="44"/>
        <v>288000</v>
      </c>
    </row>
    <row r="945" spans="1:10" x14ac:dyDescent="0.45">
      <c r="A945" t="s">
        <v>344</v>
      </c>
      <c r="B945" s="1">
        <v>45699</v>
      </c>
      <c r="C945" t="s">
        <v>12</v>
      </c>
      <c r="D945" t="s">
        <v>5022</v>
      </c>
      <c r="E945">
        <v>2880</v>
      </c>
      <c r="F945">
        <v>3</v>
      </c>
      <c r="G945">
        <f t="shared" si="42"/>
        <v>8640</v>
      </c>
      <c r="H945" t="s">
        <v>17</v>
      </c>
      <c r="I945">
        <f t="shared" si="43"/>
        <v>3456</v>
      </c>
      <c r="J945">
        <f t="shared" si="44"/>
        <v>10368</v>
      </c>
    </row>
    <row r="946" spans="1:10" x14ac:dyDescent="0.45">
      <c r="A946" t="s">
        <v>345</v>
      </c>
      <c r="B946" s="1">
        <v>45699</v>
      </c>
      <c r="C946" t="s">
        <v>9</v>
      </c>
      <c r="D946" t="s">
        <v>25</v>
      </c>
      <c r="E946">
        <v>5200</v>
      </c>
      <c r="F946">
        <v>4</v>
      </c>
      <c r="G946">
        <f t="shared" si="42"/>
        <v>20800</v>
      </c>
      <c r="H946" t="s">
        <v>7</v>
      </c>
      <c r="I946">
        <f t="shared" si="43"/>
        <v>6240</v>
      </c>
      <c r="J946">
        <f t="shared" si="44"/>
        <v>24960</v>
      </c>
    </row>
    <row r="947" spans="1:10" x14ac:dyDescent="0.45">
      <c r="A947" t="s">
        <v>346</v>
      </c>
      <c r="B947" s="1">
        <v>45699</v>
      </c>
      <c r="C947" t="s">
        <v>9</v>
      </c>
      <c r="D947" t="s">
        <v>19</v>
      </c>
      <c r="E947">
        <v>3000</v>
      </c>
      <c r="F947">
        <v>10</v>
      </c>
      <c r="G947">
        <f t="shared" si="42"/>
        <v>30000</v>
      </c>
      <c r="H947" t="s">
        <v>17</v>
      </c>
      <c r="I947">
        <f t="shared" si="43"/>
        <v>3600</v>
      </c>
      <c r="J947">
        <f t="shared" si="44"/>
        <v>36000</v>
      </c>
    </row>
    <row r="948" spans="1:10" x14ac:dyDescent="0.45">
      <c r="A948" t="s">
        <v>347</v>
      </c>
      <c r="B948" s="1">
        <v>45699</v>
      </c>
      <c r="C948" t="s">
        <v>4007</v>
      </c>
      <c r="D948" t="s">
        <v>4005</v>
      </c>
      <c r="E948">
        <v>60000</v>
      </c>
      <c r="F948">
        <v>7</v>
      </c>
      <c r="G948">
        <f t="shared" si="42"/>
        <v>420000</v>
      </c>
      <c r="H948" t="s">
        <v>17</v>
      </c>
      <c r="I948">
        <f t="shared" si="43"/>
        <v>72000</v>
      </c>
      <c r="J948">
        <f t="shared" si="44"/>
        <v>504000</v>
      </c>
    </row>
    <row r="949" spans="1:10" x14ac:dyDescent="0.45">
      <c r="A949" t="s">
        <v>348</v>
      </c>
      <c r="B949" s="1">
        <v>45699</v>
      </c>
      <c r="C949" t="s">
        <v>12</v>
      </c>
      <c r="D949" t="s">
        <v>5023</v>
      </c>
      <c r="E949">
        <v>1750</v>
      </c>
      <c r="F949">
        <v>4</v>
      </c>
      <c r="G949">
        <f t="shared" si="42"/>
        <v>7000</v>
      </c>
      <c r="H949" t="s">
        <v>21</v>
      </c>
      <c r="I949">
        <f t="shared" si="43"/>
        <v>2100</v>
      </c>
      <c r="J949">
        <f t="shared" si="44"/>
        <v>8400</v>
      </c>
    </row>
    <row r="950" spans="1:10" x14ac:dyDescent="0.45">
      <c r="A950" t="s">
        <v>349</v>
      </c>
      <c r="B950" s="1">
        <v>45699</v>
      </c>
      <c r="C950" t="s">
        <v>33</v>
      </c>
      <c r="D950" t="s">
        <v>42</v>
      </c>
      <c r="E950">
        <v>6900</v>
      </c>
      <c r="F950">
        <v>6</v>
      </c>
      <c r="G950">
        <f t="shared" si="42"/>
        <v>41400</v>
      </c>
      <c r="H950" t="s">
        <v>21</v>
      </c>
      <c r="I950">
        <f t="shared" si="43"/>
        <v>8280</v>
      </c>
      <c r="J950">
        <f t="shared" si="44"/>
        <v>49680</v>
      </c>
    </row>
    <row r="951" spans="1:10" x14ac:dyDescent="0.45">
      <c r="A951" t="s">
        <v>350</v>
      </c>
      <c r="B951" s="1">
        <v>45699</v>
      </c>
      <c r="C951" t="s">
        <v>33</v>
      </c>
      <c r="D951" t="s">
        <v>42</v>
      </c>
      <c r="E951">
        <v>6900</v>
      </c>
      <c r="F951">
        <v>4</v>
      </c>
      <c r="G951">
        <f t="shared" si="42"/>
        <v>27600</v>
      </c>
      <c r="H951" t="s">
        <v>21</v>
      </c>
      <c r="I951">
        <f t="shared" si="43"/>
        <v>8280</v>
      </c>
      <c r="J951">
        <f t="shared" si="44"/>
        <v>33120</v>
      </c>
    </row>
    <row r="952" spans="1:10" x14ac:dyDescent="0.45">
      <c r="A952" t="s">
        <v>4079</v>
      </c>
      <c r="B952" s="1">
        <v>45699</v>
      </c>
      <c r="C952" t="s">
        <v>5008</v>
      </c>
      <c r="D952" t="s">
        <v>3996</v>
      </c>
      <c r="E952">
        <v>2000</v>
      </c>
      <c r="F952" s="3">
        <v>10</v>
      </c>
      <c r="G952">
        <f t="shared" si="42"/>
        <v>20000</v>
      </c>
      <c r="H952" t="s">
        <v>7</v>
      </c>
      <c r="I952">
        <f t="shared" si="43"/>
        <v>2400</v>
      </c>
      <c r="J952">
        <f t="shared" si="44"/>
        <v>24000</v>
      </c>
    </row>
    <row r="953" spans="1:10" x14ac:dyDescent="0.45">
      <c r="A953" t="s">
        <v>4198</v>
      </c>
      <c r="B953" s="1">
        <v>45699</v>
      </c>
      <c r="C953" t="s">
        <v>33</v>
      </c>
      <c r="D953" t="s">
        <v>3985</v>
      </c>
      <c r="E953">
        <v>1950</v>
      </c>
      <c r="F953" s="3">
        <v>3</v>
      </c>
      <c r="G953">
        <f t="shared" si="42"/>
        <v>5850</v>
      </c>
      <c r="H953" t="s">
        <v>17</v>
      </c>
      <c r="I953">
        <f t="shared" si="43"/>
        <v>2340</v>
      </c>
      <c r="J953">
        <f t="shared" si="44"/>
        <v>7020</v>
      </c>
    </row>
    <row r="954" spans="1:10" x14ac:dyDescent="0.45">
      <c r="A954" t="s">
        <v>4240</v>
      </c>
      <c r="B954" s="1">
        <v>45699</v>
      </c>
      <c r="C954" t="s">
        <v>3977</v>
      </c>
      <c r="D954" t="s">
        <v>4002</v>
      </c>
      <c r="E954">
        <v>2500</v>
      </c>
      <c r="F954" s="3">
        <v>9</v>
      </c>
      <c r="G954">
        <f t="shared" si="42"/>
        <v>22500</v>
      </c>
      <c r="H954" t="s">
        <v>7</v>
      </c>
      <c r="I954">
        <f t="shared" si="43"/>
        <v>3000</v>
      </c>
      <c r="J954">
        <f t="shared" si="44"/>
        <v>27000</v>
      </c>
    </row>
    <row r="955" spans="1:10" x14ac:dyDescent="0.45">
      <c r="A955" t="s">
        <v>4569</v>
      </c>
      <c r="B955" s="1">
        <v>45699</v>
      </c>
      <c r="C955" t="s">
        <v>4007</v>
      </c>
      <c r="D955" t="s">
        <v>3988</v>
      </c>
      <c r="E955">
        <v>35000</v>
      </c>
      <c r="F955" s="3">
        <v>10</v>
      </c>
      <c r="G955">
        <f t="shared" si="42"/>
        <v>350000</v>
      </c>
      <c r="H955" t="s">
        <v>17</v>
      </c>
      <c r="I955">
        <f t="shared" si="43"/>
        <v>42000</v>
      </c>
      <c r="J955">
        <f t="shared" si="44"/>
        <v>420000</v>
      </c>
    </row>
    <row r="956" spans="1:10" x14ac:dyDescent="0.45">
      <c r="A956" t="s">
        <v>4768</v>
      </c>
      <c r="B956" s="1">
        <v>45699</v>
      </c>
      <c r="C956" t="s">
        <v>4007</v>
      </c>
      <c r="D956" t="s">
        <v>3999</v>
      </c>
      <c r="E956">
        <v>50000</v>
      </c>
      <c r="F956" s="3">
        <v>10</v>
      </c>
      <c r="G956">
        <f t="shared" si="42"/>
        <v>500000</v>
      </c>
      <c r="H956" t="s">
        <v>17</v>
      </c>
      <c r="I956">
        <f t="shared" si="43"/>
        <v>60000</v>
      </c>
      <c r="J956">
        <f t="shared" si="44"/>
        <v>600000</v>
      </c>
    </row>
    <row r="957" spans="1:10" x14ac:dyDescent="0.45">
      <c r="A957" t="s">
        <v>4789</v>
      </c>
      <c r="B957" s="1">
        <v>45699</v>
      </c>
      <c r="C957" t="s">
        <v>5009</v>
      </c>
      <c r="D957" t="s">
        <v>3990</v>
      </c>
      <c r="E957">
        <v>2800</v>
      </c>
      <c r="F957" s="3">
        <v>4</v>
      </c>
      <c r="G957">
        <f t="shared" si="42"/>
        <v>11200</v>
      </c>
      <c r="H957" t="s">
        <v>7</v>
      </c>
      <c r="I957">
        <f t="shared" si="43"/>
        <v>3360</v>
      </c>
      <c r="J957">
        <f t="shared" si="44"/>
        <v>13440</v>
      </c>
    </row>
    <row r="958" spans="1:10" x14ac:dyDescent="0.45">
      <c r="A958" t="s">
        <v>4807</v>
      </c>
      <c r="B958" s="1">
        <v>45699</v>
      </c>
      <c r="C958" t="s">
        <v>33</v>
      </c>
      <c r="D958" t="s">
        <v>3981</v>
      </c>
      <c r="E958">
        <v>4000</v>
      </c>
      <c r="F958" s="3">
        <v>5</v>
      </c>
      <c r="G958">
        <f t="shared" si="42"/>
        <v>20000</v>
      </c>
      <c r="H958" t="s">
        <v>7</v>
      </c>
      <c r="I958">
        <f t="shared" si="43"/>
        <v>4800</v>
      </c>
      <c r="J958">
        <f t="shared" si="44"/>
        <v>24000</v>
      </c>
    </row>
    <row r="959" spans="1:10" x14ac:dyDescent="0.45">
      <c r="A959" t="s">
        <v>4981</v>
      </c>
      <c r="B959" s="1">
        <v>45699</v>
      </c>
      <c r="C959" t="s">
        <v>33</v>
      </c>
      <c r="D959" t="s">
        <v>3981</v>
      </c>
      <c r="E959">
        <v>4000</v>
      </c>
      <c r="F959" s="3">
        <v>3</v>
      </c>
      <c r="G959">
        <f t="shared" si="42"/>
        <v>12000</v>
      </c>
      <c r="H959" t="s">
        <v>17</v>
      </c>
      <c r="I959">
        <f t="shared" si="43"/>
        <v>4800</v>
      </c>
      <c r="J959">
        <f t="shared" si="44"/>
        <v>14400</v>
      </c>
    </row>
    <row r="960" spans="1:10" x14ac:dyDescent="0.45">
      <c r="A960" t="s">
        <v>351</v>
      </c>
      <c r="B960" s="1">
        <v>45700</v>
      </c>
      <c r="C960" t="s">
        <v>4007</v>
      </c>
      <c r="D960" t="s">
        <v>4005</v>
      </c>
      <c r="E960">
        <v>60000</v>
      </c>
      <c r="F960">
        <v>2</v>
      </c>
      <c r="G960">
        <f t="shared" si="42"/>
        <v>120000</v>
      </c>
      <c r="H960" t="s">
        <v>7</v>
      </c>
      <c r="I960">
        <f t="shared" si="43"/>
        <v>72000</v>
      </c>
      <c r="J960">
        <f t="shared" si="44"/>
        <v>144000</v>
      </c>
    </row>
    <row r="961" spans="1:10" x14ac:dyDescent="0.45">
      <c r="A961" t="s">
        <v>352</v>
      </c>
      <c r="B961" s="1">
        <v>45700</v>
      </c>
      <c r="C961" t="s">
        <v>9</v>
      </c>
      <c r="D961" t="s">
        <v>25</v>
      </c>
      <c r="E961">
        <v>5200</v>
      </c>
      <c r="F961">
        <v>5</v>
      </c>
      <c r="G961">
        <f t="shared" si="42"/>
        <v>26000</v>
      </c>
      <c r="H961" t="s">
        <v>21</v>
      </c>
      <c r="I961">
        <f t="shared" si="43"/>
        <v>6240</v>
      </c>
      <c r="J961">
        <f t="shared" si="44"/>
        <v>31200</v>
      </c>
    </row>
    <row r="962" spans="1:10" x14ac:dyDescent="0.45">
      <c r="A962" t="s">
        <v>353</v>
      </c>
      <c r="B962" s="1">
        <v>45700</v>
      </c>
      <c r="C962" t="s">
        <v>4007</v>
      </c>
      <c r="D962" t="s">
        <v>28</v>
      </c>
      <c r="E962">
        <v>500</v>
      </c>
      <c r="F962">
        <v>7</v>
      </c>
      <c r="G962">
        <f t="shared" ref="G962:G1025" si="45">E962*F962</f>
        <v>3500</v>
      </c>
      <c r="H962" t="s">
        <v>17</v>
      </c>
      <c r="I962">
        <f t="shared" ref="I962:I1025" si="46">E962*1.2</f>
        <v>600</v>
      </c>
      <c r="J962">
        <f t="shared" ref="J962:J1025" si="47">I962*F962</f>
        <v>4200</v>
      </c>
    </row>
    <row r="963" spans="1:10" x14ac:dyDescent="0.45">
      <c r="A963" t="s">
        <v>354</v>
      </c>
      <c r="B963" s="1">
        <v>45700</v>
      </c>
      <c r="C963" t="s">
        <v>9</v>
      </c>
      <c r="D963" t="s">
        <v>25</v>
      </c>
      <c r="E963">
        <v>5200</v>
      </c>
      <c r="F963">
        <v>5</v>
      </c>
      <c r="G963">
        <f t="shared" si="45"/>
        <v>26000</v>
      </c>
      <c r="H963" t="s">
        <v>21</v>
      </c>
      <c r="I963">
        <f t="shared" si="46"/>
        <v>6240</v>
      </c>
      <c r="J963">
        <f t="shared" si="47"/>
        <v>31200</v>
      </c>
    </row>
    <row r="964" spans="1:10" x14ac:dyDescent="0.45">
      <c r="A964" t="s">
        <v>355</v>
      </c>
      <c r="B964" s="1">
        <v>45700</v>
      </c>
      <c r="C964" t="s">
        <v>12</v>
      </c>
      <c r="D964" t="s">
        <v>5023</v>
      </c>
      <c r="E964">
        <v>1750</v>
      </c>
      <c r="F964">
        <v>3</v>
      </c>
      <c r="G964">
        <f t="shared" si="45"/>
        <v>5250</v>
      </c>
      <c r="H964" t="s">
        <v>17</v>
      </c>
      <c r="I964">
        <f t="shared" si="46"/>
        <v>2100</v>
      </c>
      <c r="J964">
        <f t="shared" si="47"/>
        <v>6300</v>
      </c>
    </row>
    <row r="965" spans="1:10" x14ac:dyDescent="0.45">
      <c r="A965" t="s">
        <v>3408</v>
      </c>
      <c r="B965" s="1">
        <v>45700</v>
      </c>
      <c r="C965" t="s">
        <v>2772</v>
      </c>
      <c r="D965" t="s">
        <v>2775</v>
      </c>
      <c r="E965">
        <v>9100</v>
      </c>
      <c r="F965">
        <v>1</v>
      </c>
      <c r="G965">
        <f t="shared" si="45"/>
        <v>9100</v>
      </c>
      <c r="H965" t="s">
        <v>21</v>
      </c>
      <c r="I965">
        <f t="shared" si="46"/>
        <v>10920</v>
      </c>
      <c r="J965">
        <f t="shared" si="47"/>
        <v>10920</v>
      </c>
    </row>
    <row r="966" spans="1:10" x14ac:dyDescent="0.45">
      <c r="A966" t="s">
        <v>3502</v>
      </c>
      <c r="B966" s="1">
        <v>45700</v>
      </c>
      <c r="C966" t="s">
        <v>4007</v>
      </c>
      <c r="D966" t="s">
        <v>5015</v>
      </c>
      <c r="E966">
        <v>48000</v>
      </c>
      <c r="F966">
        <v>7</v>
      </c>
      <c r="G966">
        <f t="shared" si="45"/>
        <v>336000</v>
      </c>
      <c r="H966" t="s">
        <v>7</v>
      </c>
      <c r="I966">
        <f t="shared" si="46"/>
        <v>57600</v>
      </c>
      <c r="J966">
        <f t="shared" si="47"/>
        <v>403200</v>
      </c>
    </row>
    <row r="967" spans="1:10" x14ac:dyDescent="0.45">
      <c r="A967" t="s">
        <v>3755</v>
      </c>
      <c r="B967" s="1">
        <v>45700</v>
      </c>
      <c r="C967" t="s">
        <v>4007</v>
      </c>
      <c r="D967" t="s">
        <v>2773</v>
      </c>
      <c r="E967">
        <v>3300</v>
      </c>
      <c r="F967">
        <v>10</v>
      </c>
      <c r="G967">
        <f t="shared" si="45"/>
        <v>33000</v>
      </c>
      <c r="H967" t="s">
        <v>21</v>
      </c>
      <c r="I967">
        <f t="shared" si="46"/>
        <v>3960</v>
      </c>
      <c r="J967">
        <f t="shared" si="47"/>
        <v>39600</v>
      </c>
    </row>
    <row r="968" spans="1:10" x14ac:dyDescent="0.45">
      <c r="A968" t="s">
        <v>4020</v>
      </c>
      <c r="B968" s="1">
        <v>45700</v>
      </c>
      <c r="C968" t="s">
        <v>3979</v>
      </c>
      <c r="D968" t="s">
        <v>3987</v>
      </c>
      <c r="E968">
        <v>8000</v>
      </c>
      <c r="F968" s="3">
        <v>5</v>
      </c>
      <c r="G968">
        <f t="shared" si="45"/>
        <v>40000</v>
      </c>
      <c r="H968" t="s">
        <v>17</v>
      </c>
      <c r="I968">
        <f t="shared" si="46"/>
        <v>9600</v>
      </c>
      <c r="J968">
        <f t="shared" si="47"/>
        <v>48000</v>
      </c>
    </row>
    <row r="969" spans="1:10" x14ac:dyDescent="0.45">
      <c r="A969" t="s">
        <v>4226</v>
      </c>
      <c r="B969" s="1">
        <v>45700</v>
      </c>
      <c r="C969" t="s">
        <v>5008</v>
      </c>
      <c r="D969" t="s">
        <v>4003</v>
      </c>
      <c r="E969">
        <v>10000</v>
      </c>
      <c r="F969" s="3">
        <v>8</v>
      </c>
      <c r="G969">
        <f t="shared" si="45"/>
        <v>80000</v>
      </c>
      <c r="H969" t="s">
        <v>7</v>
      </c>
      <c r="I969">
        <f t="shared" si="46"/>
        <v>12000</v>
      </c>
      <c r="J969">
        <f t="shared" si="47"/>
        <v>96000</v>
      </c>
    </row>
    <row r="970" spans="1:10" x14ac:dyDescent="0.45">
      <c r="A970" t="s">
        <v>4491</v>
      </c>
      <c r="B970" s="1">
        <v>45700</v>
      </c>
      <c r="C970" t="s">
        <v>33</v>
      </c>
      <c r="D970" t="s">
        <v>3994</v>
      </c>
      <c r="E970">
        <v>2500</v>
      </c>
      <c r="F970" s="3">
        <v>10</v>
      </c>
      <c r="G970">
        <f t="shared" si="45"/>
        <v>25000</v>
      </c>
      <c r="H970" t="s">
        <v>7</v>
      </c>
      <c r="I970">
        <f t="shared" si="46"/>
        <v>3000</v>
      </c>
      <c r="J970">
        <f t="shared" si="47"/>
        <v>30000</v>
      </c>
    </row>
    <row r="971" spans="1:10" x14ac:dyDescent="0.45">
      <c r="A971" t="s">
        <v>4538</v>
      </c>
      <c r="B971" s="1">
        <v>45700</v>
      </c>
      <c r="C971" t="s">
        <v>3977</v>
      </c>
      <c r="D971" t="s">
        <v>4002</v>
      </c>
      <c r="E971">
        <v>2500</v>
      </c>
      <c r="F971" s="3">
        <v>6</v>
      </c>
      <c r="G971">
        <f t="shared" si="45"/>
        <v>15000</v>
      </c>
      <c r="H971" t="s">
        <v>21</v>
      </c>
      <c r="I971">
        <f t="shared" si="46"/>
        <v>3000</v>
      </c>
      <c r="J971">
        <f t="shared" si="47"/>
        <v>18000</v>
      </c>
    </row>
    <row r="972" spans="1:10" x14ac:dyDescent="0.45">
      <c r="A972" t="s">
        <v>4671</v>
      </c>
      <c r="B972" s="1">
        <v>45700</v>
      </c>
      <c r="C972" t="s">
        <v>4007</v>
      </c>
      <c r="D972" t="s">
        <v>3997</v>
      </c>
      <c r="E972">
        <v>62000</v>
      </c>
      <c r="F972" s="3">
        <v>10</v>
      </c>
      <c r="G972">
        <f t="shared" si="45"/>
        <v>620000</v>
      </c>
      <c r="H972" t="s">
        <v>21</v>
      </c>
      <c r="I972">
        <f t="shared" si="46"/>
        <v>74400</v>
      </c>
      <c r="J972">
        <f t="shared" si="47"/>
        <v>744000</v>
      </c>
    </row>
    <row r="973" spans="1:10" x14ac:dyDescent="0.45">
      <c r="A973" t="s">
        <v>4688</v>
      </c>
      <c r="B973" s="1">
        <v>45700</v>
      </c>
      <c r="C973" t="s">
        <v>3979</v>
      </c>
      <c r="D973" t="s">
        <v>3984</v>
      </c>
      <c r="E973">
        <v>12000</v>
      </c>
      <c r="F973" s="3">
        <v>1</v>
      </c>
      <c r="G973">
        <f t="shared" si="45"/>
        <v>12000</v>
      </c>
      <c r="H973" t="s">
        <v>17</v>
      </c>
      <c r="I973">
        <f t="shared" si="46"/>
        <v>14400</v>
      </c>
      <c r="J973">
        <f t="shared" si="47"/>
        <v>14400</v>
      </c>
    </row>
    <row r="974" spans="1:10" x14ac:dyDescent="0.45">
      <c r="A974" t="s">
        <v>4750</v>
      </c>
      <c r="B974" s="1">
        <v>45700</v>
      </c>
      <c r="C974" t="s">
        <v>5009</v>
      </c>
      <c r="D974" t="s">
        <v>4004</v>
      </c>
      <c r="E974">
        <v>15000</v>
      </c>
      <c r="F974" s="3">
        <v>2</v>
      </c>
      <c r="G974">
        <f t="shared" si="45"/>
        <v>30000</v>
      </c>
      <c r="H974" t="s">
        <v>17</v>
      </c>
      <c r="I974">
        <f t="shared" si="46"/>
        <v>18000</v>
      </c>
      <c r="J974">
        <f t="shared" si="47"/>
        <v>36000</v>
      </c>
    </row>
    <row r="975" spans="1:10" x14ac:dyDescent="0.45">
      <c r="A975" t="s">
        <v>4884</v>
      </c>
      <c r="B975" s="1">
        <v>45700</v>
      </c>
      <c r="C975" t="s">
        <v>5008</v>
      </c>
      <c r="D975" t="s">
        <v>3998</v>
      </c>
      <c r="E975">
        <v>8000</v>
      </c>
      <c r="F975" s="3">
        <v>1</v>
      </c>
      <c r="G975">
        <f t="shared" si="45"/>
        <v>8000</v>
      </c>
      <c r="H975" t="s">
        <v>17</v>
      </c>
      <c r="I975">
        <f t="shared" si="46"/>
        <v>9600</v>
      </c>
      <c r="J975">
        <f t="shared" si="47"/>
        <v>9600</v>
      </c>
    </row>
    <row r="976" spans="1:10" x14ac:dyDescent="0.45">
      <c r="A976" t="s">
        <v>356</v>
      </c>
      <c r="B976" s="1">
        <v>45701</v>
      </c>
      <c r="C976" t="s">
        <v>12</v>
      </c>
      <c r="D976" t="s">
        <v>5021</v>
      </c>
      <c r="E976">
        <v>2880</v>
      </c>
      <c r="F976">
        <v>10</v>
      </c>
      <c r="G976">
        <f t="shared" si="45"/>
        <v>28800</v>
      </c>
      <c r="H976" t="s">
        <v>21</v>
      </c>
      <c r="I976">
        <f t="shared" si="46"/>
        <v>3456</v>
      </c>
      <c r="J976">
        <f t="shared" si="47"/>
        <v>34560</v>
      </c>
    </row>
    <row r="977" spans="1:10" x14ac:dyDescent="0.45">
      <c r="A977" t="s">
        <v>357</v>
      </c>
      <c r="B977" s="1">
        <v>45701</v>
      </c>
      <c r="C977" t="s">
        <v>4007</v>
      </c>
      <c r="D977" t="s">
        <v>5015</v>
      </c>
      <c r="E977">
        <v>48000</v>
      </c>
      <c r="F977">
        <v>1</v>
      </c>
      <c r="G977">
        <f t="shared" si="45"/>
        <v>48000</v>
      </c>
      <c r="H977" t="s">
        <v>7</v>
      </c>
      <c r="I977">
        <f t="shared" si="46"/>
        <v>57600</v>
      </c>
      <c r="J977">
        <f t="shared" si="47"/>
        <v>57600</v>
      </c>
    </row>
    <row r="978" spans="1:10" x14ac:dyDescent="0.45">
      <c r="A978" t="s">
        <v>358</v>
      </c>
      <c r="B978" s="1">
        <v>45701</v>
      </c>
      <c r="C978" t="s">
        <v>33</v>
      </c>
      <c r="D978" t="s">
        <v>16</v>
      </c>
      <c r="E978">
        <v>1200</v>
      </c>
      <c r="F978">
        <v>7</v>
      </c>
      <c r="G978">
        <f t="shared" si="45"/>
        <v>8400</v>
      </c>
      <c r="H978" t="s">
        <v>21</v>
      </c>
      <c r="I978">
        <f t="shared" si="46"/>
        <v>1440</v>
      </c>
      <c r="J978">
        <f t="shared" si="47"/>
        <v>10080</v>
      </c>
    </row>
    <row r="979" spans="1:10" x14ac:dyDescent="0.45">
      <c r="A979" t="s">
        <v>359</v>
      </c>
      <c r="B979" s="1">
        <v>45701</v>
      </c>
      <c r="C979" t="s">
        <v>12</v>
      </c>
      <c r="D979" t="s">
        <v>5020</v>
      </c>
      <c r="E979">
        <v>2880</v>
      </c>
      <c r="F979">
        <v>1</v>
      </c>
      <c r="G979">
        <f t="shared" si="45"/>
        <v>2880</v>
      </c>
      <c r="H979" t="s">
        <v>17</v>
      </c>
      <c r="I979">
        <f t="shared" si="46"/>
        <v>3456</v>
      </c>
      <c r="J979">
        <f t="shared" si="47"/>
        <v>3456</v>
      </c>
    </row>
    <row r="980" spans="1:10" x14ac:dyDescent="0.45">
      <c r="A980" t="s">
        <v>360</v>
      </c>
      <c r="B980" s="1">
        <v>45701</v>
      </c>
      <c r="C980" t="s">
        <v>4007</v>
      </c>
      <c r="D980" t="s">
        <v>39</v>
      </c>
      <c r="E980">
        <v>6000</v>
      </c>
      <c r="F980">
        <v>2</v>
      </c>
      <c r="G980">
        <f t="shared" si="45"/>
        <v>12000</v>
      </c>
      <c r="H980" t="s">
        <v>17</v>
      </c>
      <c r="I980">
        <f t="shared" si="46"/>
        <v>7200</v>
      </c>
      <c r="J980">
        <f t="shared" si="47"/>
        <v>14400</v>
      </c>
    </row>
    <row r="981" spans="1:10" x14ac:dyDescent="0.45">
      <c r="A981" t="s">
        <v>361</v>
      </c>
      <c r="B981" s="1">
        <v>45701</v>
      </c>
      <c r="C981" t="s">
        <v>4007</v>
      </c>
      <c r="D981" t="s">
        <v>5015</v>
      </c>
      <c r="E981">
        <v>48000</v>
      </c>
      <c r="F981">
        <v>9</v>
      </c>
      <c r="G981">
        <f t="shared" si="45"/>
        <v>432000</v>
      </c>
      <c r="H981" t="s">
        <v>7</v>
      </c>
      <c r="I981">
        <f t="shared" si="46"/>
        <v>57600</v>
      </c>
      <c r="J981">
        <f t="shared" si="47"/>
        <v>518400</v>
      </c>
    </row>
    <row r="982" spans="1:10" x14ac:dyDescent="0.45">
      <c r="A982" t="s">
        <v>3164</v>
      </c>
      <c r="B982" s="1">
        <v>45701</v>
      </c>
      <c r="C982" t="s">
        <v>33</v>
      </c>
      <c r="D982" t="s">
        <v>34</v>
      </c>
      <c r="E982">
        <v>1700</v>
      </c>
      <c r="F982">
        <v>5</v>
      </c>
      <c r="G982">
        <f t="shared" si="45"/>
        <v>8500</v>
      </c>
      <c r="H982" t="s">
        <v>17</v>
      </c>
      <c r="I982">
        <f t="shared" si="46"/>
        <v>2040</v>
      </c>
      <c r="J982">
        <f t="shared" si="47"/>
        <v>10200</v>
      </c>
    </row>
    <row r="983" spans="1:10" x14ac:dyDescent="0.45">
      <c r="A983" t="s">
        <v>3510</v>
      </c>
      <c r="B983" s="1">
        <v>45701</v>
      </c>
      <c r="C983" t="s">
        <v>2772</v>
      </c>
      <c r="D983" t="s">
        <v>2771</v>
      </c>
      <c r="E983">
        <v>120</v>
      </c>
      <c r="F983">
        <v>9</v>
      </c>
      <c r="G983">
        <f t="shared" si="45"/>
        <v>1080</v>
      </c>
      <c r="H983" t="s">
        <v>17</v>
      </c>
      <c r="I983">
        <f t="shared" si="46"/>
        <v>144</v>
      </c>
      <c r="J983">
        <f t="shared" si="47"/>
        <v>1296</v>
      </c>
    </row>
    <row r="984" spans="1:10" x14ac:dyDescent="0.45">
      <c r="A984" t="s">
        <v>3749</v>
      </c>
      <c r="B984" s="1">
        <v>45701</v>
      </c>
      <c r="C984" t="s">
        <v>33</v>
      </c>
      <c r="D984" t="s">
        <v>34</v>
      </c>
      <c r="E984">
        <v>1700</v>
      </c>
      <c r="F984">
        <v>3</v>
      </c>
      <c r="G984">
        <f t="shared" si="45"/>
        <v>5100</v>
      </c>
      <c r="H984" t="s">
        <v>17</v>
      </c>
      <c r="I984">
        <f t="shared" si="46"/>
        <v>2040</v>
      </c>
      <c r="J984">
        <f t="shared" si="47"/>
        <v>6120</v>
      </c>
    </row>
    <row r="985" spans="1:10" x14ac:dyDescent="0.45">
      <c r="A985" t="s">
        <v>3836</v>
      </c>
      <c r="B985" s="1">
        <v>45701</v>
      </c>
      <c r="C985" t="s">
        <v>2772</v>
      </c>
      <c r="D985" t="s">
        <v>2775</v>
      </c>
      <c r="E985">
        <v>9100</v>
      </c>
      <c r="F985">
        <v>9</v>
      </c>
      <c r="G985">
        <f t="shared" si="45"/>
        <v>81900</v>
      </c>
      <c r="H985" t="s">
        <v>7</v>
      </c>
      <c r="I985">
        <f t="shared" si="46"/>
        <v>10920</v>
      </c>
      <c r="J985">
        <f t="shared" si="47"/>
        <v>98280</v>
      </c>
    </row>
    <row r="986" spans="1:10" x14ac:dyDescent="0.45">
      <c r="A986" t="s">
        <v>4185</v>
      </c>
      <c r="B986" s="1">
        <v>45701</v>
      </c>
      <c r="C986" t="s">
        <v>5008</v>
      </c>
      <c r="D986" t="s">
        <v>3986</v>
      </c>
      <c r="E986">
        <v>12000</v>
      </c>
      <c r="F986" s="3">
        <v>7</v>
      </c>
      <c r="G986">
        <f t="shared" si="45"/>
        <v>84000</v>
      </c>
      <c r="H986" t="s">
        <v>17</v>
      </c>
      <c r="I986">
        <f t="shared" si="46"/>
        <v>14400</v>
      </c>
      <c r="J986">
        <f t="shared" si="47"/>
        <v>100800</v>
      </c>
    </row>
    <row r="987" spans="1:10" x14ac:dyDescent="0.45">
      <c r="A987" t="s">
        <v>4266</v>
      </c>
      <c r="B987" s="1">
        <v>45701</v>
      </c>
      <c r="C987" t="s">
        <v>3979</v>
      </c>
      <c r="D987" t="s">
        <v>3987</v>
      </c>
      <c r="E987">
        <v>8000</v>
      </c>
      <c r="F987" s="3">
        <v>4</v>
      </c>
      <c r="G987">
        <f t="shared" si="45"/>
        <v>32000</v>
      </c>
      <c r="H987" t="s">
        <v>21</v>
      </c>
      <c r="I987">
        <f t="shared" si="46"/>
        <v>9600</v>
      </c>
      <c r="J987">
        <f t="shared" si="47"/>
        <v>38400</v>
      </c>
    </row>
    <row r="988" spans="1:10" x14ac:dyDescent="0.45">
      <c r="A988" t="s">
        <v>4400</v>
      </c>
      <c r="B988" s="1">
        <v>45701</v>
      </c>
      <c r="C988" t="s">
        <v>3979</v>
      </c>
      <c r="D988" t="s">
        <v>3983</v>
      </c>
      <c r="E988">
        <v>1000</v>
      </c>
      <c r="F988" s="3">
        <v>1</v>
      </c>
      <c r="G988">
        <f t="shared" si="45"/>
        <v>1000</v>
      </c>
      <c r="H988" t="s">
        <v>7</v>
      </c>
      <c r="I988">
        <f t="shared" si="46"/>
        <v>1200</v>
      </c>
      <c r="J988">
        <f t="shared" si="47"/>
        <v>1200</v>
      </c>
    </row>
    <row r="989" spans="1:10" x14ac:dyDescent="0.45">
      <c r="A989" t="s">
        <v>4463</v>
      </c>
      <c r="B989" s="1">
        <v>45701</v>
      </c>
      <c r="C989" t="s">
        <v>5008</v>
      </c>
      <c r="D989" t="s">
        <v>3996</v>
      </c>
      <c r="E989">
        <v>2000</v>
      </c>
      <c r="F989" s="3">
        <v>5</v>
      </c>
      <c r="G989">
        <f t="shared" si="45"/>
        <v>10000</v>
      </c>
      <c r="H989" t="s">
        <v>7</v>
      </c>
      <c r="I989">
        <f t="shared" si="46"/>
        <v>2400</v>
      </c>
      <c r="J989">
        <f t="shared" si="47"/>
        <v>12000</v>
      </c>
    </row>
    <row r="990" spans="1:10" x14ac:dyDescent="0.45">
      <c r="A990" t="s">
        <v>4550</v>
      </c>
      <c r="B990" s="1">
        <v>45701</v>
      </c>
      <c r="C990" t="s">
        <v>5009</v>
      </c>
      <c r="D990" t="s">
        <v>4000</v>
      </c>
      <c r="E990">
        <v>3000</v>
      </c>
      <c r="F990" s="3">
        <v>4</v>
      </c>
      <c r="G990">
        <f t="shared" si="45"/>
        <v>12000</v>
      </c>
      <c r="H990" t="s">
        <v>21</v>
      </c>
      <c r="I990">
        <f t="shared" si="46"/>
        <v>3600</v>
      </c>
      <c r="J990">
        <f t="shared" si="47"/>
        <v>14400</v>
      </c>
    </row>
    <row r="991" spans="1:10" x14ac:dyDescent="0.45">
      <c r="A991" t="s">
        <v>4590</v>
      </c>
      <c r="B991" s="1">
        <v>45701</v>
      </c>
      <c r="C991" t="s">
        <v>5008</v>
      </c>
      <c r="D991" t="s">
        <v>4003</v>
      </c>
      <c r="E991">
        <v>10000</v>
      </c>
      <c r="F991" s="3">
        <v>2</v>
      </c>
      <c r="G991">
        <f t="shared" si="45"/>
        <v>20000</v>
      </c>
      <c r="H991" t="s">
        <v>7</v>
      </c>
      <c r="I991">
        <f t="shared" si="46"/>
        <v>12000</v>
      </c>
      <c r="J991">
        <f t="shared" si="47"/>
        <v>24000</v>
      </c>
    </row>
    <row r="992" spans="1:10" x14ac:dyDescent="0.45">
      <c r="A992" t="s">
        <v>4775</v>
      </c>
      <c r="B992" s="1">
        <v>45701</v>
      </c>
      <c r="C992" t="s">
        <v>5009</v>
      </c>
      <c r="D992" t="s">
        <v>3990</v>
      </c>
      <c r="E992">
        <v>2800</v>
      </c>
      <c r="F992" s="3">
        <v>6</v>
      </c>
      <c r="G992">
        <f t="shared" si="45"/>
        <v>16800</v>
      </c>
      <c r="H992" t="s">
        <v>21</v>
      </c>
      <c r="I992">
        <f t="shared" si="46"/>
        <v>3360</v>
      </c>
      <c r="J992">
        <f t="shared" si="47"/>
        <v>20160</v>
      </c>
    </row>
    <row r="993" spans="1:10" x14ac:dyDescent="0.45">
      <c r="A993" t="s">
        <v>4851</v>
      </c>
      <c r="B993" s="1">
        <v>45701</v>
      </c>
      <c r="C993" t="s">
        <v>4007</v>
      </c>
      <c r="D993" t="s">
        <v>3999</v>
      </c>
      <c r="E993">
        <v>50000</v>
      </c>
      <c r="F993" s="3">
        <v>2</v>
      </c>
      <c r="G993">
        <f t="shared" si="45"/>
        <v>100000</v>
      </c>
      <c r="H993" t="s">
        <v>7</v>
      </c>
      <c r="I993">
        <f t="shared" si="46"/>
        <v>60000</v>
      </c>
      <c r="J993">
        <f t="shared" si="47"/>
        <v>120000</v>
      </c>
    </row>
    <row r="994" spans="1:10" x14ac:dyDescent="0.45">
      <c r="A994" t="s">
        <v>362</v>
      </c>
      <c r="B994" s="1">
        <v>45702</v>
      </c>
      <c r="C994" t="s">
        <v>33</v>
      </c>
      <c r="D994" t="s">
        <v>16</v>
      </c>
      <c r="E994">
        <v>1200</v>
      </c>
      <c r="F994">
        <v>1</v>
      </c>
      <c r="G994">
        <f t="shared" si="45"/>
        <v>1200</v>
      </c>
      <c r="H994" t="s">
        <v>17</v>
      </c>
      <c r="I994">
        <f t="shared" si="46"/>
        <v>1440</v>
      </c>
      <c r="J994">
        <f t="shared" si="47"/>
        <v>1440</v>
      </c>
    </row>
    <row r="995" spans="1:10" x14ac:dyDescent="0.45">
      <c r="A995" t="s">
        <v>363</v>
      </c>
      <c r="B995" s="1">
        <v>45702</v>
      </c>
      <c r="C995" t="s">
        <v>12</v>
      </c>
      <c r="D995" t="s">
        <v>5023</v>
      </c>
      <c r="E995">
        <v>1750</v>
      </c>
      <c r="F995">
        <v>7</v>
      </c>
      <c r="G995">
        <f t="shared" si="45"/>
        <v>12250</v>
      </c>
      <c r="H995" t="s">
        <v>17</v>
      </c>
      <c r="I995">
        <f t="shared" si="46"/>
        <v>2100</v>
      </c>
      <c r="J995">
        <f t="shared" si="47"/>
        <v>14700</v>
      </c>
    </row>
    <row r="996" spans="1:10" x14ac:dyDescent="0.45">
      <c r="A996" t="s">
        <v>364</v>
      </c>
      <c r="B996" s="1">
        <v>45702</v>
      </c>
      <c r="C996" t="s">
        <v>9</v>
      </c>
      <c r="D996" t="s">
        <v>19</v>
      </c>
      <c r="E996">
        <v>3000</v>
      </c>
      <c r="F996">
        <v>1</v>
      </c>
      <c r="G996">
        <f t="shared" si="45"/>
        <v>3000</v>
      </c>
      <c r="H996" t="s">
        <v>17</v>
      </c>
      <c r="I996">
        <f t="shared" si="46"/>
        <v>3600</v>
      </c>
      <c r="J996">
        <f t="shared" si="47"/>
        <v>3600</v>
      </c>
    </row>
    <row r="997" spans="1:10" x14ac:dyDescent="0.45">
      <c r="A997" t="s">
        <v>365</v>
      </c>
      <c r="B997" s="1">
        <v>45702</v>
      </c>
      <c r="C997" t="s">
        <v>9</v>
      </c>
      <c r="D997" t="s">
        <v>10</v>
      </c>
      <c r="E997">
        <v>400</v>
      </c>
      <c r="F997">
        <v>3</v>
      </c>
      <c r="G997">
        <f t="shared" si="45"/>
        <v>1200</v>
      </c>
      <c r="H997" t="s">
        <v>7</v>
      </c>
      <c r="I997">
        <f t="shared" si="46"/>
        <v>480</v>
      </c>
      <c r="J997">
        <f t="shared" si="47"/>
        <v>1440</v>
      </c>
    </row>
    <row r="998" spans="1:10" x14ac:dyDescent="0.45">
      <c r="A998" t="s">
        <v>366</v>
      </c>
      <c r="B998" s="1">
        <v>45702</v>
      </c>
      <c r="C998" t="s">
        <v>4007</v>
      </c>
      <c r="D998" t="s">
        <v>4005</v>
      </c>
      <c r="E998">
        <v>60000</v>
      </c>
      <c r="F998">
        <v>10</v>
      </c>
      <c r="G998">
        <f t="shared" si="45"/>
        <v>600000</v>
      </c>
      <c r="H998" t="s">
        <v>17</v>
      </c>
      <c r="I998">
        <f t="shared" si="46"/>
        <v>72000</v>
      </c>
      <c r="J998">
        <f t="shared" si="47"/>
        <v>720000</v>
      </c>
    </row>
    <row r="999" spans="1:10" x14ac:dyDescent="0.45">
      <c r="A999" t="s">
        <v>3189</v>
      </c>
      <c r="B999" s="1">
        <v>45702</v>
      </c>
      <c r="C999" t="s">
        <v>4007</v>
      </c>
      <c r="D999" t="s">
        <v>2776</v>
      </c>
      <c r="E999">
        <v>3600</v>
      </c>
      <c r="F999">
        <v>7</v>
      </c>
      <c r="G999">
        <f t="shared" si="45"/>
        <v>25200</v>
      </c>
      <c r="H999" t="s">
        <v>17</v>
      </c>
      <c r="I999">
        <f t="shared" si="46"/>
        <v>4320</v>
      </c>
      <c r="J999">
        <f t="shared" si="47"/>
        <v>30240</v>
      </c>
    </row>
    <row r="1000" spans="1:10" x14ac:dyDescent="0.45">
      <c r="A1000" t="s">
        <v>3214</v>
      </c>
      <c r="B1000" s="1">
        <v>45702</v>
      </c>
      <c r="C1000" t="s">
        <v>4007</v>
      </c>
      <c r="D1000" t="s">
        <v>28</v>
      </c>
      <c r="E1000">
        <v>500</v>
      </c>
      <c r="F1000">
        <v>1</v>
      </c>
      <c r="G1000">
        <f t="shared" si="45"/>
        <v>500</v>
      </c>
      <c r="H1000" t="s">
        <v>21</v>
      </c>
      <c r="I1000">
        <f t="shared" si="46"/>
        <v>600</v>
      </c>
      <c r="J1000">
        <f t="shared" si="47"/>
        <v>600</v>
      </c>
    </row>
    <row r="1001" spans="1:10" x14ac:dyDescent="0.45">
      <c r="A1001" t="s">
        <v>4072</v>
      </c>
      <c r="B1001" s="1">
        <v>45702</v>
      </c>
      <c r="C1001" t="s">
        <v>3977</v>
      </c>
      <c r="D1001" t="s">
        <v>4002</v>
      </c>
      <c r="E1001">
        <v>2500</v>
      </c>
      <c r="F1001" s="3">
        <v>4</v>
      </c>
      <c r="G1001">
        <f t="shared" si="45"/>
        <v>10000</v>
      </c>
      <c r="H1001" t="s">
        <v>7</v>
      </c>
      <c r="I1001">
        <f t="shared" si="46"/>
        <v>3000</v>
      </c>
      <c r="J1001">
        <f t="shared" si="47"/>
        <v>12000</v>
      </c>
    </row>
    <row r="1002" spans="1:10" x14ac:dyDescent="0.45">
      <c r="A1002" t="s">
        <v>4128</v>
      </c>
      <c r="B1002" s="1">
        <v>45702</v>
      </c>
      <c r="C1002" t="s">
        <v>3979</v>
      </c>
      <c r="D1002" t="s">
        <v>3980</v>
      </c>
      <c r="E1002">
        <v>500</v>
      </c>
      <c r="F1002" s="3">
        <v>8</v>
      </c>
      <c r="G1002">
        <f t="shared" si="45"/>
        <v>4000</v>
      </c>
      <c r="H1002" t="s">
        <v>7</v>
      </c>
      <c r="I1002">
        <f t="shared" si="46"/>
        <v>600</v>
      </c>
      <c r="J1002">
        <f t="shared" si="47"/>
        <v>4800</v>
      </c>
    </row>
    <row r="1003" spans="1:10" x14ac:dyDescent="0.45">
      <c r="A1003" t="s">
        <v>4323</v>
      </c>
      <c r="B1003" s="1">
        <v>45702</v>
      </c>
      <c r="C1003" t="s">
        <v>4007</v>
      </c>
      <c r="D1003" t="s">
        <v>3999</v>
      </c>
      <c r="E1003">
        <v>50000</v>
      </c>
      <c r="F1003" s="3">
        <v>2</v>
      </c>
      <c r="G1003">
        <f t="shared" si="45"/>
        <v>100000</v>
      </c>
      <c r="H1003" t="s">
        <v>21</v>
      </c>
      <c r="I1003">
        <f t="shared" si="46"/>
        <v>60000</v>
      </c>
      <c r="J1003">
        <f t="shared" si="47"/>
        <v>120000</v>
      </c>
    </row>
    <row r="1004" spans="1:10" x14ac:dyDescent="0.45">
      <c r="A1004" t="s">
        <v>4352</v>
      </c>
      <c r="B1004" s="1">
        <v>45702</v>
      </c>
      <c r="C1004" t="s">
        <v>5009</v>
      </c>
      <c r="D1004" t="s">
        <v>3982</v>
      </c>
      <c r="E1004">
        <v>13000</v>
      </c>
      <c r="F1004" s="3">
        <v>3</v>
      </c>
      <c r="G1004">
        <f t="shared" si="45"/>
        <v>39000</v>
      </c>
      <c r="H1004" t="s">
        <v>21</v>
      </c>
      <c r="I1004">
        <f t="shared" si="46"/>
        <v>15600</v>
      </c>
      <c r="J1004">
        <f t="shared" si="47"/>
        <v>46800</v>
      </c>
    </row>
    <row r="1005" spans="1:10" x14ac:dyDescent="0.45">
      <c r="A1005" t="s">
        <v>4454</v>
      </c>
      <c r="B1005" s="1">
        <v>45702</v>
      </c>
      <c r="C1005" t="s">
        <v>4007</v>
      </c>
      <c r="D1005" t="s">
        <v>3999</v>
      </c>
      <c r="E1005">
        <v>50000</v>
      </c>
      <c r="F1005" s="3">
        <v>10</v>
      </c>
      <c r="G1005">
        <f t="shared" si="45"/>
        <v>500000</v>
      </c>
      <c r="H1005" t="s">
        <v>21</v>
      </c>
      <c r="I1005">
        <f t="shared" si="46"/>
        <v>60000</v>
      </c>
      <c r="J1005">
        <f t="shared" si="47"/>
        <v>600000</v>
      </c>
    </row>
    <row r="1006" spans="1:10" x14ac:dyDescent="0.45">
      <c r="A1006" t="s">
        <v>4832</v>
      </c>
      <c r="B1006" s="1">
        <v>45702</v>
      </c>
      <c r="C1006" t="s">
        <v>5009</v>
      </c>
      <c r="D1006" t="s">
        <v>3992</v>
      </c>
      <c r="E1006">
        <v>400</v>
      </c>
      <c r="F1006" s="3">
        <v>7</v>
      </c>
      <c r="G1006">
        <f t="shared" si="45"/>
        <v>2800</v>
      </c>
      <c r="H1006" t="s">
        <v>17</v>
      </c>
      <c r="I1006">
        <f t="shared" si="46"/>
        <v>480</v>
      </c>
      <c r="J1006">
        <f t="shared" si="47"/>
        <v>3360</v>
      </c>
    </row>
    <row r="1007" spans="1:10" x14ac:dyDescent="0.45">
      <c r="A1007" t="s">
        <v>4841</v>
      </c>
      <c r="B1007" s="1">
        <v>45702</v>
      </c>
      <c r="C1007" t="s">
        <v>3977</v>
      </c>
      <c r="D1007" t="s">
        <v>3991</v>
      </c>
      <c r="E1007">
        <v>2000</v>
      </c>
      <c r="F1007" s="3">
        <v>1</v>
      </c>
      <c r="G1007">
        <f t="shared" si="45"/>
        <v>2000</v>
      </c>
      <c r="H1007" t="s">
        <v>17</v>
      </c>
      <c r="I1007">
        <f t="shared" si="46"/>
        <v>2400</v>
      </c>
      <c r="J1007">
        <f t="shared" si="47"/>
        <v>2400</v>
      </c>
    </row>
    <row r="1008" spans="1:10" x14ac:dyDescent="0.45">
      <c r="A1008" t="s">
        <v>4912</v>
      </c>
      <c r="B1008" s="1">
        <v>45702</v>
      </c>
      <c r="C1008" t="s">
        <v>3977</v>
      </c>
      <c r="D1008" t="s">
        <v>3991</v>
      </c>
      <c r="E1008">
        <v>2000</v>
      </c>
      <c r="F1008" s="3">
        <v>2</v>
      </c>
      <c r="G1008">
        <f t="shared" si="45"/>
        <v>4000</v>
      </c>
      <c r="H1008" t="s">
        <v>7</v>
      </c>
      <c r="I1008">
        <f t="shared" si="46"/>
        <v>2400</v>
      </c>
      <c r="J1008">
        <f t="shared" si="47"/>
        <v>4800</v>
      </c>
    </row>
    <row r="1009" spans="1:10" x14ac:dyDescent="0.45">
      <c r="A1009" t="s">
        <v>367</v>
      </c>
      <c r="B1009" s="1">
        <v>45703</v>
      </c>
      <c r="C1009" t="s">
        <v>9</v>
      </c>
      <c r="D1009" t="s">
        <v>25</v>
      </c>
      <c r="E1009">
        <v>5200</v>
      </c>
      <c r="F1009">
        <v>2</v>
      </c>
      <c r="G1009">
        <f t="shared" si="45"/>
        <v>10400</v>
      </c>
      <c r="H1009" t="s">
        <v>21</v>
      </c>
      <c r="I1009">
        <f t="shared" si="46"/>
        <v>6240</v>
      </c>
      <c r="J1009">
        <f t="shared" si="47"/>
        <v>12480</v>
      </c>
    </row>
    <row r="1010" spans="1:10" x14ac:dyDescent="0.45">
      <c r="A1010" t="s">
        <v>368</v>
      </c>
      <c r="B1010" s="1">
        <v>45703</v>
      </c>
      <c r="C1010" t="s">
        <v>12</v>
      </c>
      <c r="D1010" t="s">
        <v>5022</v>
      </c>
      <c r="E1010">
        <v>2880</v>
      </c>
      <c r="F1010">
        <v>3</v>
      </c>
      <c r="G1010">
        <f t="shared" si="45"/>
        <v>8640</v>
      </c>
      <c r="H1010" t="s">
        <v>7</v>
      </c>
      <c r="I1010">
        <f t="shared" si="46"/>
        <v>3456</v>
      </c>
      <c r="J1010">
        <f t="shared" si="47"/>
        <v>10368</v>
      </c>
    </row>
    <row r="1011" spans="1:10" x14ac:dyDescent="0.45">
      <c r="A1011" t="s">
        <v>369</v>
      </c>
      <c r="B1011" s="1">
        <v>45703</v>
      </c>
      <c r="C1011" t="s">
        <v>9</v>
      </c>
      <c r="D1011" t="s">
        <v>10</v>
      </c>
      <c r="E1011">
        <v>400</v>
      </c>
      <c r="F1011">
        <v>2</v>
      </c>
      <c r="G1011">
        <f t="shared" si="45"/>
        <v>800</v>
      </c>
      <c r="H1011" t="s">
        <v>21</v>
      </c>
      <c r="I1011">
        <f t="shared" si="46"/>
        <v>480</v>
      </c>
      <c r="J1011">
        <f t="shared" si="47"/>
        <v>960</v>
      </c>
    </row>
    <row r="1012" spans="1:10" x14ac:dyDescent="0.45">
      <c r="A1012" t="s">
        <v>370</v>
      </c>
      <c r="B1012" s="1">
        <v>45703</v>
      </c>
      <c r="C1012" t="s">
        <v>9</v>
      </c>
      <c r="D1012" t="s">
        <v>25</v>
      </c>
      <c r="E1012">
        <v>5200</v>
      </c>
      <c r="F1012">
        <v>4</v>
      </c>
      <c r="G1012">
        <f t="shared" si="45"/>
        <v>20800</v>
      </c>
      <c r="H1012" t="s">
        <v>7</v>
      </c>
      <c r="I1012">
        <f t="shared" si="46"/>
        <v>6240</v>
      </c>
      <c r="J1012">
        <f t="shared" si="47"/>
        <v>24960</v>
      </c>
    </row>
    <row r="1013" spans="1:10" x14ac:dyDescent="0.45">
      <c r="A1013" t="s">
        <v>371</v>
      </c>
      <c r="B1013" s="1">
        <v>45703</v>
      </c>
      <c r="C1013" t="s">
        <v>33</v>
      </c>
      <c r="D1013" t="s">
        <v>42</v>
      </c>
      <c r="E1013">
        <v>6900</v>
      </c>
      <c r="F1013">
        <v>9</v>
      </c>
      <c r="G1013">
        <f t="shared" si="45"/>
        <v>62100</v>
      </c>
      <c r="H1013" t="s">
        <v>7</v>
      </c>
      <c r="I1013">
        <f t="shared" si="46"/>
        <v>8280</v>
      </c>
      <c r="J1013">
        <f t="shared" si="47"/>
        <v>74520</v>
      </c>
    </row>
    <row r="1014" spans="1:10" x14ac:dyDescent="0.45">
      <c r="A1014" t="s">
        <v>372</v>
      </c>
      <c r="B1014" s="1">
        <v>45703</v>
      </c>
      <c r="C1014" t="s">
        <v>4007</v>
      </c>
      <c r="D1014" t="s">
        <v>39</v>
      </c>
      <c r="E1014">
        <v>6000</v>
      </c>
      <c r="F1014">
        <v>8</v>
      </c>
      <c r="G1014">
        <f t="shared" si="45"/>
        <v>48000</v>
      </c>
      <c r="H1014" t="s">
        <v>17</v>
      </c>
      <c r="I1014">
        <f t="shared" si="46"/>
        <v>7200</v>
      </c>
      <c r="J1014">
        <f t="shared" si="47"/>
        <v>57600</v>
      </c>
    </row>
    <row r="1015" spans="1:10" x14ac:dyDescent="0.45">
      <c r="A1015" t="s">
        <v>373</v>
      </c>
      <c r="B1015" s="1">
        <v>45703</v>
      </c>
      <c r="C1015" t="s">
        <v>4007</v>
      </c>
      <c r="D1015" t="s">
        <v>5015</v>
      </c>
      <c r="E1015">
        <v>48000</v>
      </c>
      <c r="F1015">
        <v>10</v>
      </c>
      <c r="G1015">
        <f t="shared" si="45"/>
        <v>480000</v>
      </c>
      <c r="H1015" t="s">
        <v>21</v>
      </c>
      <c r="I1015">
        <f t="shared" si="46"/>
        <v>57600</v>
      </c>
      <c r="J1015">
        <f t="shared" si="47"/>
        <v>576000</v>
      </c>
    </row>
    <row r="1016" spans="1:10" x14ac:dyDescent="0.45">
      <c r="A1016" t="s">
        <v>374</v>
      </c>
      <c r="B1016" s="1">
        <v>45703</v>
      </c>
      <c r="C1016" t="s">
        <v>4007</v>
      </c>
      <c r="D1016" t="s">
        <v>39</v>
      </c>
      <c r="E1016">
        <v>6000</v>
      </c>
      <c r="F1016">
        <v>7</v>
      </c>
      <c r="G1016">
        <f t="shared" si="45"/>
        <v>42000</v>
      </c>
      <c r="H1016" t="s">
        <v>7</v>
      </c>
      <c r="I1016">
        <f t="shared" si="46"/>
        <v>7200</v>
      </c>
      <c r="J1016">
        <f t="shared" si="47"/>
        <v>50400</v>
      </c>
    </row>
    <row r="1017" spans="1:10" x14ac:dyDescent="0.45">
      <c r="A1017" t="s">
        <v>375</v>
      </c>
      <c r="B1017" s="1">
        <v>45703</v>
      </c>
      <c r="C1017" t="s">
        <v>9</v>
      </c>
      <c r="D1017" t="s">
        <v>10</v>
      </c>
      <c r="E1017">
        <v>400</v>
      </c>
      <c r="F1017">
        <v>9</v>
      </c>
      <c r="G1017">
        <f t="shared" si="45"/>
        <v>3600</v>
      </c>
      <c r="H1017" t="s">
        <v>7</v>
      </c>
      <c r="I1017">
        <f t="shared" si="46"/>
        <v>480</v>
      </c>
      <c r="J1017">
        <f t="shared" si="47"/>
        <v>4320</v>
      </c>
    </row>
    <row r="1018" spans="1:10" x14ac:dyDescent="0.45">
      <c r="A1018" t="s">
        <v>376</v>
      </c>
      <c r="B1018" s="1">
        <v>45703</v>
      </c>
      <c r="C1018" t="s">
        <v>9</v>
      </c>
      <c r="D1018" t="s">
        <v>10</v>
      </c>
      <c r="E1018">
        <v>400</v>
      </c>
      <c r="F1018">
        <v>1</v>
      </c>
      <c r="G1018">
        <f t="shared" si="45"/>
        <v>400</v>
      </c>
      <c r="H1018" t="s">
        <v>17</v>
      </c>
      <c r="I1018">
        <f t="shared" si="46"/>
        <v>480</v>
      </c>
      <c r="J1018">
        <f t="shared" si="47"/>
        <v>480</v>
      </c>
    </row>
    <row r="1019" spans="1:10" x14ac:dyDescent="0.45">
      <c r="A1019" t="s">
        <v>2942</v>
      </c>
      <c r="B1019" s="1">
        <v>45703</v>
      </c>
      <c r="C1019" t="s">
        <v>2772</v>
      </c>
      <c r="D1019" t="s">
        <v>2775</v>
      </c>
      <c r="E1019">
        <v>9100</v>
      </c>
      <c r="F1019">
        <v>9</v>
      </c>
      <c r="G1019">
        <f t="shared" si="45"/>
        <v>81900</v>
      </c>
      <c r="H1019" t="s">
        <v>17</v>
      </c>
      <c r="I1019">
        <f t="shared" si="46"/>
        <v>10920</v>
      </c>
      <c r="J1019">
        <f t="shared" si="47"/>
        <v>98280</v>
      </c>
    </row>
    <row r="1020" spans="1:10" x14ac:dyDescent="0.45">
      <c r="A1020" t="s">
        <v>2954</v>
      </c>
      <c r="B1020" s="1">
        <v>45703</v>
      </c>
      <c r="C1020" t="s">
        <v>4007</v>
      </c>
      <c r="D1020" t="s">
        <v>2770</v>
      </c>
      <c r="E1020">
        <v>600</v>
      </c>
      <c r="F1020">
        <v>7</v>
      </c>
      <c r="G1020">
        <f t="shared" si="45"/>
        <v>4200</v>
      </c>
      <c r="H1020" t="s">
        <v>21</v>
      </c>
      <c r="I1020">
        <f t="shared" si="46"/>
        <v>720</v>
      </c>
      <c r="J1020">
        <f t="shared" si="47"/>
        <v>5040</v>
      </c>
    </row>
    <row r="1021" spans="1:10" x14ac:dyDescent="0.45">
      <c r="A1021" t="s">
        <v>3674</v>
      </c>
      <c r="B1021" s="1">
        <v>45703</v>
      </c>
      <c r="C1021" t="s">
        <v>4007</v>
      </c>
      <c r="D1021" t="s">
        <v>28</v>
      </c>
      <c r="E1021">
        <v>500</v>
      </c>
      <c r="F1021">
        <v>7</v>
      </c>
      <c r="G1021">
        <f t="shared" si="45"/>
        <v>3500</v>
      </c>
      <c r="H1021" t="s">
        <v>17</v>
      </c>
      <c r="I1021">
        <f t="shared" si="46"/>
        <v>600</v>
      </c>
      <c r="J1021">
        <f t="shared" si="47"/>
        <v>4200</v>
      </c>
    </row>
    <row r="1022" spans="1:10" x14ac:dyDescent="0.45">
      <c r="A1022" t="s">
        <v>4068</v>
      </c>
      <c r="B1022" s="1">
        <v>45703</v>
      </c>
      <c r="C1022" t="s">
        <v>5009</v>
      </c>
      <c r="D1022" t="s">
        <v>3992</v>
      </c>
      <c r="E1022">
        <v>400</v>
      </c>
      <c r="F1022" s="3">
        <v>3</v>
      </c>
      <c r="G1022">
        <f t="shared" si="45"/>
        <v>1200</v>
      </c>
      <c r="H1022" t="s">
        <v>17</v>
      </c>
      <c r="I1022">
        <f t="shared" si="46"/>
        <v>480</v>
      </c>
      <c r="J1022">
        <f t="shared" si="47"/>
        <v>1440</v>
      </c>
    </row>
    <row r="1023" spans="1:10" x14ac:dyDescent="0.45">
      <c r="A1023" t="s">
        <v>4120</v>
      </c>
      <c r="B1023" s="1">
        <v>45703</v>
      </c>
      <c r="C1023" t="s">
        <v>5008</v>
      </c>
      <c r="D1023" t="s">
        <v>3995</v>
      </c>
      <c r="E1023">
        <v>15000</v>
      </c>
      <c r="F1023" s="3">
        <v>7</v>
      </c>
      <c r="G1023">
        <f t="shared" si="45"/>
        <v>105000</v>
      </c>
      <c r="H1023" t="s">
        <v>21</v>
      </c>
      <c r="I1023">
        <f t="shared" si="46"/>
        <v>18000</v>
      </c>
      <c r="J1023">
        <f t="shared" si="47"/>
        <v>126000</v>
      </c>
    </row>
    <row r="1024" spans="1:10" x14ac:dyDescent="0.45">
      <c r="A1024" t="s">
        <v>4212</v>
      </c>
      <c r="B1024" s="1">
        <v>45703</v>
      </c>
      <c r="C1024" t="s">
        <v>33</v>
      </c>
      <c r="D1024" t="s">
        <v>3994</v>
      </c>
      <c r="E1024">
        <v>2500</v>
      </c>
      <c r="F1024" s="3">
        <v>5</v>
      </c>
      <c r="G1024">
        <f t="shared" si="45"/>
        <v>12500</v>
      </c>
      <c r="H1024" t="s">
        <v>21</v>
      </c>
      <c r="I1024">
        <f t="shared" si="46"/>
        <v>3000</v>
      </c>
      <c r="J1024">
        <f t="shared" si="47"/>
        <v>15000</v>
      </c>
    </row>
    <row r="1025" spans="1:10" x14ac:dyDescent="0.45">
      <c r="A1025" t="s">
        <v>4288</v>
      </c>
      <c r="B1025" s="1">
        <v>45703</v>
      </c>
      <c r="C1025" t="s">
        <v>33</v>
      </c>
      <c r="D1025" t="s">
        <v>3981</v>
      </c>
      <c r="E1025">
        <v>4000</v>
      </c>
      <c r="F1025" s="3">
        <v>8</v>
      </c>
      <c r="G1025">
        <f t="shared" si="45"/>
        <v>32000</v>
      </c>
      <c r="H1025" t="s">
        <v>21</v>
      </c>
      <c r="I1025">
        <f t="shared" si="46"/>
        <v>4800</v>
      </c>
      <c r="J1025">
        <f t="shared" si="47"/>
        <v>38400</v>
      </c>
    </row>
    <row r="1026" spans="1:10" x14ac:dyDescent="0.45">
      <c r="A1026" t="s">
        <v>4330</v>
      </c>
      <c r="B1026" s="1">
        <v>45703</v>
      </c>
      <c r="C1026" t="s">
        <v>3977</v>
      </c>
      <c r="D1026" t="s">
        <v>3989</v>
      </c>
      <c r="E1026">
        <v>1000</v>
      </c>
      <c r="F1026" s="3">
        <v>6</v>
      </c>
      <c r="G1026">
        <f t="shared" ref="G1026:G1089" si="48">E1026*F1026</f>
        <v>6000</v>
      </c>
      <c r="H1026" t="s">
        <v>7</v>
      </c>
      <c r="I1026">
        <f t="shared" ref="I1026:I1089" si="49">E1026*1.2</f>
        <v>1200</v>
      </c>
      <c r="J1026">
        <f t="shared" ref="J1026:J1089" si="50">I1026*F1026</f>
        <v>7200</v>
      </c>
    </row>
    <row r="1027" spans="1:10" x14ac:dyDescent="0.45">
      <c r="A1027" t="s">
        <v>4350</v>
      </c>
      <c r="B1027" s="1">
        <v>45703</v>
      </c>
      <c r="C1027" t="s">
        <v>3977</v>
      </c>
      <c r="D1027" t="s">
        <v>3989</v>
      </c>
      <c r="E1027">
        <v>1000</v>
      </c>
      <c r="F1027" s="3">
        <v>7</v>
      </c>
      <c r="G1027">
        <f t="shared" si="48"/>
        <v>7000</v>
      </c>
      <c r="H1027" t="s">
        <v>21</v>
      </c>
      <c r="I1027">
        <f t="shared" si="49"/>
        <v>1200</v>
      </c>
      <c r="J1027">
        <f t="shared" si="50"/>
        <v>8400</v>
      </c>
    </row>
    <row r="1028" spans="1:10" x14ac:dyDescent="0.45">
      <c r="A1028" t="s">
        <v>4358</v>
      </c>
      <c r="B1028" s="1">
        <v>45703</v>
      </c>
      <c r="C1028" t="s">
        <v>5008</v>
      </c>
      <c r="D1028" t="s">
        <v>3996</v>
      </c>
      <c r="E1028">
        <v>2000</v>
      </c>
      <c r="F1028" s="3">
        <v>10</v>
      </c>
      <c r="G1028">
        <f t="shared" si="48"/>
        <v>20000</v>
      </c>
      <c r="H1028" t="s">
        <v>7</v>
      </c>
      <c r="I1028">
        <f t="shared" si="49"/>
        <v>2400</v>
      </c>
      <c r="J1028">
        <f t="shared" si="50"/>
        <v>24000</v>
      </c>
    </row>
    <row r="1029" spans="1:10" x14ac:dyDescent="0.45">
      <c r="A1029" t="s">
        <v>4398</v>
      </c>
      <c r="B1029" s="1">
        <v>45703</v>
      </c>
      <c r="C1029" t="s">
        <v>5008</v>
      </c>
      <c r="D1029" t="s">
        <v>3996</v>
      </c>
      <c r="E1029">
        <v>2000</v>
      </c>
      <c r="F1029" s="3">
        <v>3</v>
      </c>
      <c r="G1029">
        <f t="shared" si="48"/>
        <v>6000</v>
      </c>
      <c r="H1029" t="s">
        <v>17</v>
      </c>
      <c r="I1029">
        <f t="shared" si="49"/>
        <v>2400</v>
      </c>
      <c r="J1029">
        <f t="shared" si="50"/>
        <v>7200</v>
      </c>
    </row>
    <row r="1030" spans="1:10" x14ac:dyDescent="0.45">
      <c r="A1030" t="s">
        <v>4464</v>
      </c>
      <c r="B1030" s="1">
        <v>45703</v>
      </c>
      <c r="C1030" t="s">
        <v>4007</v>
      </c>
      <c r="D1030" t="s">
        <v>3999</v>
      </c>
      <c r="E1030">
        <v>50000</v>
      </c>
      <c r="F1030" s="3">
        <v>9</v>
      </c>
      <c r="G1030">
        <f t="shared" si="48"/>
        <v>450000</v>
      </c>
      <c r="H1030" t="s">
        <v>7</v>
      </c>
      <c r="I1030">
        <f t="shared" si="49"/>
        <v>60000</v>
      </c>
      <c r="J1030">
        <f t="shared" si="50"/>
        <v>540000</v>
      </c>
    </row>
    <row r="1031" spans="1:10" x14ac:dyDescent="0.45">
      <c r="A1031" t="s">
        <v>4477</v>
      </c>
      <c r="B1031" s="1">
        <v>45703</v>
      </c>
      <c r="C1031" t="s">
        <v>3979</v>
      </c>
      <c r="D1031" t="s">
        <v>3983</v>
      </c>
      <c r="E1031">
        <v>1000</v>
      </c>
      <c r="F1031" s="3">
        <v>1</v>
      </c>
      <c r="G1031">
        <f t="shared" si="48"/>
        <v>1000</v>
      </c>
      <c r="H1031" t="s">
        <v>21</v>
      </c>
      <c r="I1031">
        <f t="shared" si="49"/>
        <v>1200</v>
      </c>
      <c r="J1031">
        <f t="shared" si="50"/>
        <v>1200</v>
      </c>
    </row>
    <row r="1032" spans="1:10" x14ac:dyDescent="0.45">
      <c r="A1032" t="s">
        <v>4489</v>
      </c>
      <c r="B1032" s="1">
        <v>45703</v>
      </c>
      <c r="C1032" t="s">
        <v>3979</v>
      </c>
      <c r="D1032" t="s">
        <v>4006</v>
      </c>
      <c r="E1032">
        <v>2000</v>
      </c>
      <c r="F1032" s="3">
        <v>10</v>
      </c>
      <c r="G1032">
        <f t="shared" si="48"/>
        <v>20000</v>
      </c>
      <c r="H1032" t="s">
        <v>7</v>
      </c>
      <c r="I1032">
        <f t="shared" si="49"/>
        <v>2400</v>
      </c>
      <c r="J1032">
        <f t="shared" si="50"/>
        <v>24000</v>
      </c>
    </row>
    <row r="1033" spans="1:10" x14ac:dyDescent="0.45">
      <c r="A1033" t="s">
        <v>4604</v>
      </c>
      <c r="B1033" s="1">
        <v>45703</v>
      </c>
      <c r="C1033" t="s">
        <v>4007</v>
      </c>
      <c r="D1033" t="s">
        <v>5015</v>
      </c>
      <c r="E1033">
        <v>48000</v>
      </c>
      <c r="F1033" s="3">
        <v>3</v>
      </c>
      <c r="G1033">
        <f t="shared" si="48"/>
        <v>144000</v>
      </c>
      <c r="H1033" t="s">
        <v>21</v>
      </c>
      <c r="I1033">
        <f t="shared" si="49"/>
        <v>57600</v>
      </c>
      <c r="J1033">
        <f t="shared" si="50"/>
        <v>172800</v>
      </c>
    </row>
    <row r="1034" spans="1:10" x14ac:dyDescent="0.45">
      <c r="A1034" t="s">
        <v>4681</v>
      </c>
      <c r="B1034" s="1">
        <v>45703</v>
      </c>
      <c r="C1034" t="s">
        <v>3977</v>
      </c>
      <c r="D1034" t="s">
        <v>3993</v>
      </c>
      <c r="E1034">
        <v>1000</v>
      </c>
      <c r="F1034" s="3">
        <v>8</v>
      </c>
      <c r="G1034">
        <f t="shared" si="48"/>
        <v>8000</v>
      </c>
      <c r="H1034" t="s">
        <v>7</v>
      </c>
      <c r="I1034">
        <f t="shared" si="49"/>
        <v>1200</v>
      </c>
      <c r="J1034">
        <f t="shared" si="50"/>
        <v>9600</v>
      </c>
    </row>
    <row r="1035" spans="1:10" x14ac:dyDescent="0.45">
      <c r="A1035" t="s">
        <v>4697</v>
      </c>
      <c r="B1035" s="1">
        <v>45703</v>
      </c>
      <c r="C1035" t="s">
        <v>4007</v>
      </c>
      <c r="D1035" t="s">
        <v>3997</v>
      </c>
      <c r="E1035">
        <v>62000</v>
      </c>
      <c r="F1035" s="3">
        <v>3</v>
      </c>
      <c r="G1035">
        <f t="shared" si="48"/>
        <v>186000</v>
      </c>
      <c r="H1035" t="s">
        <v>7</v>
      </c>
      <c r="I1035">
        <f t="shared" si="49"/>
        <v>74400</v>
      </c>
      <c r="J1035">
        <f t="shared" si="50"/>
        <v>223200</v>
      </c>
    </row>
    <row r="1036" spans="1:10" x14ac:dyDescent="0.45">
      <c r="A1036" t="s">
        <v>4799</v>
      </c>
      <c r="B1036" s="1">
        <v>45703</v>
      </c>
      <c r="C1036" t="s">
        <v>3977</v>
      </c>
      <c r="D1036" t="s">
        <v>3993</v>
      </c>
      <c r="E1036">
        <v>1000</v>
      </c>
      <c r="F1036" s="3">
        <v>4</v>
      </c>
      <c r="G1036">
        <f t="shared" si="48"/>
        <v>4000</v>
      </c>
      <c r="H1036" t="s">
        <v>21</v>
      </c>
      <c r="I1036">
        <f t="shared" si="49"/>
        <v>1200</v>
      </c>
      <c r="J1036">
        <f t="shared" si="50"/>
        <v>4800</v>
      </c>
    </row>
    <row r="1037" spans="1:10" x14ac:dyDescent="0.45">
      <c r="A1037" t="s">
        <v>4848</v>
      </c>
      <c r="B1037" s="1">
        <v>45703</v>
      </c>
      <c r="C1037" t="s">
        <v>5008</v>
      </c>
      <c r="D1037" t="s">
        <v>3996</v>
      </c>
      <c r="E1037">
        <v>2000</v>
      </c>
      <c r="F1037" s="3">
        <v>3</v>
      </c>
      <c r="G1037">
        <f t="shared" si="48"/>
        <v>6000</v>
      </c>
      <c r="H1037" t="s">
        <v>17</v>
      </c>
      <c r="I1037">
        <f t="shared" si="49"/>
        <v>2400</v>
      </c>
      <c r="J1037">
        <f t="shared" si="50"/>
        <v>7200</v>
      </c>
    </row>
    <row r="1038" spans="1:10" x14ac:dyDescent="0.45">
      <c r="A1038" t="s">
        <v>4866</v>
      </c>
      <c r="B1038" s="1">
        <v>45703</v>
      </c>
      <c r="C1038" t="s">
        <v>3977</v>
      </c>
      <c r="D1038" t="s">
        <v>3991</v>
      </c>
      <c r="E1038">
        <v>2000</v>
      </c>
      <c r="F1038" s="3">
        <v>6</v>
      </c>
      <c r="G1038">
        <f t="shared" si="48"/>
        <v>12000</v>
      </c>
      <c r="H1038" t="s">
        <v>17</v>
      </c>
      <c r="I1038">
        <f t="shared" si="49"/>
        <v>2400</v>
      </c>
      <c r="J1038">
        <f t="shared" si="50"/>
        <v>14400</v>
      </c>
    </row>
    <row r="1039" spans="1:10" x14ac:dyDescent="0.45">
      <c r="A1039" t="s">
        <v>4934</v>
      </c>
      <c r="B1039" s="1">
        <v>45703</v>
      </c>
      <c r="C1039" t="s">
        <v>5009</v>
      </c>
      <c r="D1039" t="s">
        <v>4004</v>
      </c>
      <c r="E1039">
        <v>15000</v>
      </c>
      <c r="F1039" s="3">
        <v>1</v>
      </c>
      <c r="G1039">
        <f t="shared" si="48"/>
        <v>15000</v>
      </c>
      <c r="H1039" t="s">
        <v>7</v>
      </c>
      <c r="I1039">
        <f t="shared" si="49"/>
        <v>18000</v>
      </c>
      <c r="J1039">
        <f t="shared" si="50"/>
        <v>18000</v>
      </c>
    </row>
    <row r="1040" spans="1:10" x14ac:dyDescent="0.45">
      <c r="A1040" t="s">
        <v>4936</v>
      </c>
      <c r="B1040" s="1">
        <v>45703</v>
      </c>
      <c r="C1040" t="s">
        <v>3979</v>
      </c>
      <c r="D1040" t="s">
        <v>3980</v>
      </c>
      <c r="E1040">
        <v>500</v>
      </c>
      <c r="F1040" s="3">
        <v>9</v>
      </c>
      <c r="G1040">
        <f t="shared" si="48"/>
        <v>4500</v>
      </c>
      <c r="H1040" t="s">
        <v>21</v>
      </c>
      <c r="I1040">
        <f t="shared" si="49"/>
        <v>600</v>
      </c>
      <c r="J1040">
        <f t="shared" si="50"/>
        <v>5400</v>
      </c>
    </row>
    <row r="1041" spans="1:10" x14ac:dyDescent="0.45">
      <c r="A1041" t="s">
        <v>377</v>
      </c>
      <c r="B1041" s="1">
        <v>45704</v>
      </c>
      <c r="C1041" t="s">
        <v>33</v>
      </c>
      <c r="D1041" t="s">
        <v>16</v>
      </c>
      <c r="E1041">
        <v>1200</v>
      </c>
      <c r="F1041">
        <v>2</v>
      </c>
      <c r="G1041">
        <f t="shared" si="48"/>
        <v>2400</v>
      </c>
      <c r="H1041" t="s">
        <v>17</v>
      </c>
      <c r="I1041">
        <f t="shared" si="49"/>
        <v>1440</v>
      </c>
      <c r="J1041">
        <f t="shared" si="50"/>
        <v>2880</v>
      </c>
    </row>
    <row r="1042" spans="1:10" x14ac:dyDescent="0.45">
      <c r="A1042" t="s">
        <v>378</v>
      </c>
      <c r="B1042" s="1">
        <v>45704</v>
      </c>
      <c r="C1042" t="s">
        <v>12</v>
      </c>
      <c r="D1042" t="s">
        <v>5022</v>
      </c>
      <c r="E1042">
        <v>2880</v>
      </c>
      <c r="F1042">
        <v>10</v>
      </c>
      <c r="G1042">
        <f t="shared" si="48"/>
        <v>28800</v>
      </c>
      <c r="H1042" t="s">
        <v>21</v>
      </c>
      <c r="I1042">
        <f t="shared" si="49"/>
        <v>3456</v>
      </c>
      <c r="J1042">
        <f t="shared" si="50"/>
        <v>34560</v>
      </c>
    </row>
    <row r="1043" spans="1:10" x14ac:dyDescent="0.45">
      <c r="A1043" t="s">
        <v>379</v>
      </c>
      <c r="B1043" s="1">
        <v>45704</v>
      </c>
      <c r="C1043" t="s">
        <v>9</v>
      </c>
      <c r="D1043" t="s">
        <v>19</v>
      </c>
      <c r="E1043">
        <v>3000</v>
      </c>
      <c r="F1043">
        <v>6</v>
      </c>
      <c r="G1043">
        <f t="shared" si="48"/>
        <v>18000</v>
      </c>
      <c r="H1043" t="s">
        <v>7</v>
      </c>
      <c r="I1043">
        <f t="shared" si="49"/>
        <v>3600</v>
      </c>
      <c r="J1043">
        <f t="shared" si="50"/>
        <v>21600</v>
      </c>
    </row>
    <row r="1044" spans="1:10" x14ac:dyDescent="0.45">
      <c r="A1044" t="s">
        <v>380</v>
      </c>
      <c r="B1044" s="1">
        <v>45704</v>
      </c>
      <c r="C1044" t="s">
        <v>9</v>
      </c>
      <c r="D1044" t="s">
        <v>19</v>
      </c>
      <c r="E1044">
        <v>3000</v>
      </c>
      <c r="F1044">
        <v>10</v>
      </c>
      <c r="G1044">
        <f t="shared" si="48"/>
        <v>30000</v>
      </c>
      <c r="H1044" t="s">
        <v>21</v>
      </c>
      <c r="I1044">
        <f t="shared" si="49"/>
        <v>3600</v>
      </c>
      <c r="J1044">
        <f t="shared" si="50"/>
        <v>36000</v>
      </c>
    </row>
    <row r="1045" spans="1:10" x14ac:dyDescent="0.45">
      <c r="A1045" t="s">
        <v>381</v>
      </c>
      <c r="B1045" s="1">
        <v>45704</v>
      </c>
      <c r="C1045" t="s">
        <v>4007</v>
      </c>
      <c r="D1045" t="s">
        <v>4005</v>
      </c>
      <c r="E1045">
        <v>60000</v>
      </c>
      <c r="F1045">
        <v>9</v>
      </c>
      <c r="G1045">
        <f t="shared" si="48"/>
        <v>540000</v>
      </c>
      <c r="H1045" t="s">
        <v>17</v>
      </c>
      <c r="I1045">
        <f t="shared" si="49"/>
        <v>72000</v>
      </c>
      <c r="J1045">
        <f t="shared" si="50"/>
        <v>648000</v>
      </c>
    </row>
    <row r="1046" spans="1:10" x14ac:dyDescent="0.45">
      <c r="A1046" t="s">
        <v>382</v>
      </c>
      <c r="B1046" s="1">
        <v>45704</v>
      </c>
      <c r="C1046" t="s">
        <v>33</v>
      </c>
      <c r="D1046" t="s">
        <v>34</v>
      </c>
      <c r="E1046">
        <v>1700</v>
      </c>
      <c r="F1046">
        <v>6</v>
      </c>
      <c r="G1046">
        <f t="shared" si="48"/>
        <v>10200</v>
      </c>
      <c r="H1046" t="s">
        <v>21</v>
      </c>
      <c r="I1046">
        <f t="shared" si="49"/>
        <v>2040</v>
      </c>
      <c r="J1046">
        <f t="shared" si="50"/>
        <v>12240</v>
      </c>
    </row>
    <row r="1047" spans="1:10" x14ac:dyDescent="0.45">
      <c r="A1047" t="s">
        <v>383</v>
      </c>
      <c r="B1047" s="1">
        <v>45704</v>
      </c>
      <c r="C1047" t="s">
        <v>33</v>
      </c>
      <c r="D1047" t="s">
        <v>16</v>
      </c>
      <c r="E1047">
        <v>1200</v>
      </c>
      <c r="F1047">
        <v>4</v>
      </c>
      <c r="G1047">
        <f t="shared" si="48"/>
        <v>4800</v>
      </c>
      <c r="H1047" t="s">
        <v>21</v>
      </c>
      <c r="I1047">
        <f t="shared" si="49"/>
        <v>1440</v>
      </c>
      <c r="J1047">
        <f t="shared" si="50"/>
        <v>5760</v>
      </c>
    </row>
    <row r="1048" spans="1:10" x14ac:dyDescent="0.45">
      <c r="A1048" t="s">
        <v>384</v>
      </c>
      <c r="B1048" s="1">
        <v>45704</v>
      </c>
      <c r="C1048" t="s">
        <v>33</v>
      </c>
      <c r="D1048" t="s">
        <v>14</v>
      </c>
      <c r="E1048">
        <v>800</v>
      </c>
      <c r="F1048">
        <v>10</v>
      </c>
      <c r="G1048">
        <f t="shared" si="48"/>
        <v>8000</v>
      </c>
      <c r="H1048" t="s">
        <v>21</v>
      </c>
      <c r="I1048">
        <f t="shared" si="49"/>
        <v>960</v>
      </c>
      <c r="J1048">
        <f t="shared" si="50"/>
        <v>9600</v>
      </c>
    </row>
    <row r="1049" spans="1:10" x14ac:dyDescent="0.45">
      <c r="A1049" t="s">
        <v>385</v>
      </c>
      <c r="B1049" s="1">
        <v>45704</v>
      </c>
      <c r="C1049" t="s">
        <v>12</v>
      </c>
      <c r="D1049" t="s">
        <v>5021</v>
      </c>
      <c r="E1049">
        <v>2880</v>
      </c>
      <c r="F1049">
        <v>1</v>
      </c>
      <c r="G1049">
        <f t="shared" si="48"/>
        <v>2880</v>
      </c>
      <c r="H1049" t="s">
        <v>17</v>
      </c>
      <c r="I1049">
        <f t="shared" si="49"/>
        <v>3456</v>
      </c>
      <c r="J1049">
        <f t="shared" si="50"/>
        <v>3456</v>
      </c>
    </row>
    <row r="1050" spans="1:10" x14ac:dyDescent="0.45">
      <c r="A1050" t="s">
        <v>2986</v>
      </c>
      <c r="B1050" s="1">
        <v>45704</v>
      </c>
      <c r="C1050" t="s">
        <v>2772</v>
      </c>
      <c r="D1050" t="s">
        <v>2771</v>
      </c>
      <c r="E1050">
        <v>120</v>
      </c>
      <c r="F1050">
        <v>9</v>
      </c>
      <c r="G1050">
        <f t="shared" si="48"/>
        <v>1080</v>
      </c>
      <c r="H1050" t="s">
        <v>17</v>
      </c>
      <c r="I1050">
        <f t="shared" si="49"/>
        <v>144</v>
      </c>
      <c r="J1050">
        <f t="shared" si="50"/>
        <v>1296</v>
      </c>
    </row>
    <row r="1051" spans="1:10" x14ac:dyDescent="0.45">
      <c r="A1051" t="s">
        <v>3230</v>
      </c>
      <c r="B1051" s="1">
        <v>45704</v>
      </c>
      <c r="C1051" t="s">
        <v>2772</v>
      </c>
      <c r="D1051" t="s">
        <v>2775</v>
      </c>
      <c r="E1051">
        <v>9100</v>
      </c>
      <c r="F1051">
        <v>9</v>
      </c>
      <c r="G1051">
        <f t="shared" si="48"/>
        <v>81900</v>
      </c>
      <c r="H1051" t="s">
        <v>21</v>
      </c>
      <c r="I1051">
        <f t="shared" si="49"/>
        <v>10920</v>
      </c>
      <c r="J1051">
        <f t="shared" si="50"/>
        <v>98280</v>
      </c>
    </row>
    <row r="1052" spans="1:10" x14ac:dyDescent="0.45">
      <c r="A1052" t="s">
        <v>3738</v>
      </c>
      <c r="B1052" s="1">
        <v>45704</v>
      </c>
      <c r="C1052" t="s">
        <v>33</v>
      </c>
      <c r="D1052" t="s">
        <v>34</v>
      </c>
      <c r="E1052">
        <v>1700</v>
      </c>
      <c r="F1052">
        <v>4</v>
      </c>
      <c r="G1052">
        <f t="shared" si="48"/>
        <v>6800</v>
      </c>
      <c r="H1052" t="s">
        <v>17</v>
      </c>
      <c r="I1052">
        <f t="shared" si="49"/>
        <v>2040</v>
      </c>
      <c r="J1052">
        <f t="shared" si="50"/>
        <v>8160</v>
      </c>
    </row>
    <row r="1053" spans="1:10" x14ac:dyDescent="0.45">
      <c r="A1053" t="s">
        <v>3817</v>
      </c>
      <c r="B1053" s="1">
        <v>45704</v>
      </c>
      <c r="C1053" t="s">
        <v>4007</v>
      </c>
      <c r="D1053" t="s">
        <v>2776</v>
      </c>
      <c r="E1053">
        <v>3600</v>
      </c>
      <c r="F1053">
        <v>2</v>
      </c>
      <c r="G1053">
        <f t="shared" si="48"/>
        <v>7200</v>
      </c>
      <c r="H1053" t="s">
        <v>21</v>
      </c>
      <c r="I1053">
        <f t="shared" si="49"/>
        <v>4320</v>
      </c>
      <c r="J1053">
        <f t="shared" si="50"/>
        <v>8640</v>
      </c>
    </row>
    <row r="1054" spans="1:10" x14ac:dyDescent="0.45">
      <c r="A1054" t="s">
        <v>3833</v>
      </c>
      <c r="B1054" s="1">
        <v>45704</v>
      </c>
      <c r="C1054" t="s">
        <v>2772</v>
      </c>
      <c r="D1054" t="s">
        <v>2771</v>
      </c>
      <c r="E1054">
        <v>120</v>
      </c>
      <c r="F1054">
        <v>3</v>
      </c>
      <c r="G1054">
        <f t="shared" si="48"/>
        <v>360</v>
      </c>
      <c r="H1054" t="s">
        <v>17</v>
      </c>
      <c r="I1054">
        <f t="shared" si="49"/>
        <v>144</v>
      </c>
      <c r="J1054">
        <f t="shared" si="50"/>
        <v>432</v>
      </c>
    </row>
    <row r="1055" spans="1:10" x14ac:dyDescent="0.45">
      <c r="A1055" t="s">
        <v>4146</v>
      </c>
      <c r="B1055" s="1">
        <v>45704</v>
      </c>
      <c r="C1055" t="s">
        <v>5009</v>
      </c>
      <c r="D1055" t="s">
        <v>3992</v>
      </c>
      <c r="E1055">
        <v>400</v>
      </c>
      <c r="F1055" s="3">
        <v>10</v>
      </c>
      <c r="G1055">
        <f t="shared" si="48"/>
        <v>4000</v>
      </c>
      <c r="H1055" t="s">
        <v>21</v>
      </c>
      <c r="I1055">
        <f t="shared" si="49"/>
        <v>480</v>
      </c>
      <c r="J1055">
        <f t="shared" si="50"/>
        <v>4800</v>
      </c>
    </row>
    <row r="1056" spans="1:10" x14ac:dyDescent="0.45">
      <c r="A1056" t="s">
        <v>4412</v>
      </c>
      <c r="B1056" s="1">
        <v>45704</v>
      </c>
      <c r="C1056" t="s">
        <v>5008</v>
      </c>
      <c r="D1056" t="s">
        <v>3986</v>
      </c>
      <c r="E1056">
        <v>12000</v>
      </c>
      <c r="F1056" s="3">
        <v>7</v>
      </c>
      <c r="G1056">
        <f t="shared" si="48"/>
        <v>84000</v>
      </c>
      <c r="H1056" t="s">
        <v>7</v>
      </c>
      <c r="I1056">
        <f t="shared" si="49"/>
        <v>14400</v>
      </c>
      <c r="J1056">
        <f t="shared" si="50"/>
        <v>100800</v>
      </c>
    </row>
    <row r="1057" spans="1:10" x14ac:dyDescent="0.45">
      <c r="A1057" t="s">
        <v>4632</v>
      </c>
      <c r="B1057" s="1">
        <v>45704</v>
      </c>
      <c r="C1057" t="s">
        <v>5008</v>
      </c>
      <c r="D1057" t="s">
        <v>4003</v>
      </c>
      <c r="E1057">
        <v>10000</v>
      </c>
      <c r="F1057" s="3">
        <v>1</v>
      </c>
      <c r="G1057">
        <f t="shared" si="48"/>
        <v>10000</v>
      </c>
      <c r="H1057" t="s">
        <v>21</v>
      </c>
      <c r="I1057">
        <f t="shared" si="49"/>
        <v>12000</v>
      </c>
      <c r="J1057">
        <f t="shared" si="50"/>
        <v>12000</v>
      </c>
    </row>
    <row r="1058" spans="1:10" x14ac:dyDescent="0.45">
      <c r="A1058" t="s">
        <v>4652</v>
      </c>
      <c r="B1058" s="1">
        <v>45704</v>
      </c>
      <c r="C1058" t="s">
        <v>3979</v>
      </c>
      <c r="D1058" t="s">
        <v>4006</v>
      </c>
      <c r="E1058">
        <v>2000</v>
      </c>
      <c r="F1058" s="3">
        <v>5</v>
      </c>
      <c r="G1058">
        <f t="shared" si="48"/>
        <v>10000</v>
      </c>
      <c r="H1058" t="s">
        <v>21</v>
      </c>
      <c r="I1058">
        <f t="shared" si="49"/>
        <v>2400</v>
      </c>
      <c r="J1058">
        <f t="shared" si="50"/>
        <v>12000</v>
      </c>
    </row>
    <row r="1059" spans="1:10" x14ac:dyDescent="0.45">
      <c r="A1059" t="s">
        <v>4662</v>
      </c>
      <c r="B1059" s="1">
        <v>45704</v>
      </c>
      <c r="C1059" t="s">
        <v>5008</v>
      </c>
      <c r="D1059" t="s">
        <v>4003</v>
      </c>
      <c r="E1059">
        <v>10000</v>
      </c>
      <c r="F1059" s="3">
        <v>4</v>
      </c>
      <c r="G1059">
        <f t="shared" si="48"/>
        <v>40000</v>
      </c>
      <c r="H1059" t="s">
        <v>17</v>
      </c>
      <c r="I1059">
        <f t="shared" si="49"/>
        <v>12000</v>
      </c>
      <c r="J1059">
        <f t="shared" si="50"/>
        <v>48000</v>
      </c>
    </row>
    <row r="1060" spans="1:10" x14ac:dyDescent="0.45">
      <c r="A1060" t="s">
        <v>4676</v>
      </c>
      <c r="B1060" s="1">
        <v>45704</v>
      </c>
      <c r="C1060" t="s">
        <v>3977</v>
      </c>
      <c r="D1060" t="s">
        <v>4002</v>
      </c>
      <c r="E1060">
        <v>2500</v>
      </c>
      <c r="F1060" s="3">
        <v>6</v>
      </c>
      <c r="G1060">
        <f t="shared" si="48"/>
        <v>15000</v>
      </c>
      <c r="H1060" t="s">
        <v>7</v>
      </c>
      <c r="I1060">
        <f t="shared" si="49"/>
        <v>3000</v>
      </c>
      <c r="J1060">
        <f t="shared" si="50"/>
        <v>18000</v>
      </c>
    </row>
    <row r="1061" spans="1:10" x14ac:dyDescent="0.45">
      <c r="A1061" t="s">
        <v>4863</v>
      </c>
      <c r="B1061" s="1">
        <v>45704</v>
      </c>
      <c r="C1061" t="s">
        <v>5008</v>
      </c>
      <c r="D1061" t="s">
        <v>4003</v>
      </c>
      <c r="E1061">
        <v>10000</v>
      </c>
      <c r="F1061" s="3">
        <v>9</v>
      </c>
      <c r="G1061">
        <f t="shared" si="48"/>
        <v>90000</v>
      </c>
      <c r="H1061" t="s">
        <v>7</v>
      </c>
      <c r="I1061">
        <f t="shared" si="49"/>
        <v>12000</v>
      </c>
      <c r="J1061">
        <f t="shared" si="50"/>
        <v>108000</v>
      </c>
    </row>
    <row r="1062" spans="1:10" x14ac:dyDescent="0.45">
      <c r="A1062" t="s">
        <v>4878</v>
      </c>
      <c r="B1062" s="1">
        <v>45704</v>
      </c>
      <c r="C1062" t="s">
        <v>4007</v>
      </c>
      <c r="D1062" t="s">
        <v>5015</v>
      </c>
      <c r="E1062">
        <v>48000</v>
      </c>
      <c r="F1062" s="3">
        <v>7</v>
      </c>
      <c r="G1062">
        <f t="shared" si="48"/>
        <v>336000</v>
      </c>
      <c r="H1062" t="s">
        <v>21</v>
      </c>
      <c r="I1062">
        <f t="shared" si="49"/>
        <v>57600</v>
      </c>
      <c r="J1062">
        <f t="shared" si="50"/>
        <v>403200</v>
      </c>
    </row>
    <row r="1063" spans="1:10" x14ac:dyDescent="0.45">
      <c r="A1063" t="s">
        <v>386</v>
      </c>
      <c r="B1063" s="1">
        <v>45705</v>
      </c>
      <c r="C1063" t="s">
        <v>4007</v>
      </c>
      <c r="D1063" t="s">
        <v>28</v>
      </c>
      <c r="E1063">
        <v>500</v>
      </c>
      <c r="F1063">
        <v>5</v>
      </c>
      <c r="G1063">
        <f t="shared" si="48"/>
        <v>2500</v>
      </c>
      <c r="H1063" t="s">
        <v>17</v>
      </c>
      <c r="I1063">
        <f t="shared" si="49"/>
        <v>600</v>
      </c>
      <c r="J1063">
        <f t="shared" si="50"/>
        <v>3000</v>
      </c>
    </row>
    <row r="1064" spans="1:10" x14ac:dyDescent="0.45">
      <c r="A1064" t="s">
        <v>387</v>
      </c>
      <c r="B1064" s="1">
        <v>45705</v>
      </c>
      <c r="C1064" t="s">
        <v>4007</v>
      </c>
      <c r="D1064" t="s">
        <v>28</v>
      </c>
      <c r="E1064">
        <v>500</v>
      </c>
      <c r="F1064">
        <v>2</v>
      </c>
      <c r="G1064">
        <f t="shared" si="48"/>
        <v>1000</v>
      </c>
      <c r="H1064" t="s">
        <v>7</v>
      </c>
      <c r="I1064">
        <f t="shared" si="49"/>
        <v>600</v>
      </c>
      <c r="J1064">
        <f t="shared" si="50"/>
        <v>1200</v>
      </c>
    </row>
    <row r="1065" spans="1:10" x14ac:dyDescent="0.45">
      <c r="A1065" t="s">
        <v>388</v>
      </c>
      <c r="B1065" s="1">
        <v>45705</v>
      </c>
      <c r="C1065" t="s">
        <v>12</v>
      </c>
      <c r="D1065" t="s">
        <v>5020</v>
      </c>
      <c r="E1065">
        <v>2880</v>
      </c>
      <c r="F1065">
        <v>4</v>
      </c>
      <c r="G1065">
        <f t="shared" si="48"/>
        <v>11520</v>
      </c>
      <c r="H1065" t="s">
        <v>17</v>
      </c>
      <c r="I1065">
        <f t="shared" si="49"/>
        <v>3456</v>
      </c>
      <c r="J1065">
        <f t="shared" si="50"/>
        <v>13824</v>
      </c>
    </row>
    <row r="1066" spans="1:10" x14ac:dyDescent="0.45">
      <c r="A1066" t="s">
        <v>389</v>
      </c>
      <c r="B1066" s="1">
        <v>45705</v>
      </c>
      <c r="C1066" t="s">
        <v>4007</v>
      </c>
      <c r="D1066" t="s">
        <v>5015</v>
      </c>
      <c r="E1066">
        <v>48000</v>
      </c>
      <c r="F1066">
        <v>9</v>
      </c>
      <c r="G1066">
        <f t="shared" si="48"/>
        <v>432000</v>
      </c>
      <c r="H1066" t="s">
        <v>21</v>
      </c>
      <c r="I1066">
        <f t="shared" si="49"/>
        <v>57600</v>
      </c>
      <c r="J1066">
        <f t="shared" si="50"/>
        <v>518400</v>
      </c>
    </row>
    <row r="1067" spans="1:10" x14ac:dyDescent="0.45">
      <c r="A1067" t="s">
        <v>390</v>
      </c>
      <c r="B1067" s="1">
        <v>45705</v>
      </c>
      <c r="C1067" t="s">
        <v>9</v>
      </c>
      <c r="D1067" t="s">
        <v>10</v>
      </c>
      <c r="E1067">
        <v>400</v>
      </c>
      <c r="F1067">
        <v>4</v>
      </c>
      <c r="G1067">
        <f t="shared" si="48"/>
        <v>1600</v>
      </c>
      <c r="H1067" t="s">
        <v>17</v>
      </c>
      <c r="I1067">
        <f t="shared" si="49"/>
        <v>480</v>
      </c>
      <c r="J1067">
        <f t="shared" si="50"/>
        <v>1920</v>
      </c>
    </row>
    <row r="1068" spans="1:10" x14ac:dyDescent="0.45">
      <c r="A1068" t="s">
        <v>3047</v>
      </c>
      <c r="B1068" s="1">
        <v>45705</v>
      </c>
      <c r="C1068" t="s">
        <v>4007</v>
      </c>
      <c r="D1068" t="s">
        <v>2774</v>
      </c>
      <c r="E1068">
        <v>1900</v>
      </c>
      <c r="F1068">
        <v>5</v>
      </c>
      <c r="G1068">
        <f t="shared" si="48"/>
        <v>9500</v>
      </c>
      <c r="H1068" t="s">
        <v>17</v>
      </c>
      <c r="I1068">
        <f t="shared" si="49"/>
        <v>2280</v>
      </c>
      <c r="J1068">
        <f t="shared" si="50"/>
        <v>11400</v>
      </c>
    </row>
    <row r="1069" spans="1:10" x14ac:dyDescent="0.45">
      <c r="A1069" t="s">
        <v>3498</v>
      </c>
      <c r="B1069" s="1">
        <v>45705</v>
      </c>
      <c r="C1069" t="s">
        <v>4007</v>
      </c>
      <c r="D1069" t="s">
        <v>2773</v>
      </c>
      <c r="E1069">
        <v>3300</v>
      </c>
      <c r="F1069">
        <v>6</v>
      </c>
      <c r="G1069">
        <f t="shared" si="48"/>
        <v>19800</v>
      </c>
      <c r="H1069" t="s">
        <v>21</v>
      </c>
      <c r="I1069">
        <f t="shared" si="49"/>
        <v>3960</v>
      </c>
      <c r="J1069">
        <f t="shared" si="50"/>
        <v>23760</v>
      </c>
    </row>
    <row r="1070" spans="1:10" x14ac:dyDescent="0.45">
      <c r="A1070" t="s">
        <v>3566</v>
      </c>
      <c r="B1070" s="1">
        <v>45705</v>
      </c>
      <c r="C1070" t="s">
        <v>4007</v>
      </c>
      <c r="D1070" t="s">
        <v>28</v>
      </c>
      <c r="E1070">
        <v>500</v>
      </c>
      <c r="F1070">
        <v>5</v>
      </c>
      <c r="G1070">
        <f t="shared" si="48"/>
        <v>2500</v>
      </c>
      <c r="H1070" t="s">
        <v>21</v>
      </c>
      <c r="I1070">
        <f t="shared" si="49"/>
        <v>600</v>
      </c>
      <c r="J1070">
        <f t="shared" si="50"/>
        <v>3000</v>
      </c>
    </row>
    <row r="1071" spans="1:10" x14ac:dyDescent="0.45">
      <c r="A1071" t="s">
        <v>3609</v>
      </c>
      <c r="B1071" s="1">
        <v>45705</v>
      </c>
      <c r="C1071" t="s">
        <v>4007</v>
      </c>
      <c r="D1071" t="s">
        <v>2770</v>
      </c>
      <c r="E1071">
        <v>600</v>
      </c>
      <c r="F1071">
        <v>1</v>
      </c>
      <c r="G1071">
        <f t="shared" si="48"/>
        <v>600</v>
      </c>
      <c r="H1071" t="s">
        <v>21</v>
      </c>
      <c r="I1071">
        <f t="shared" si="49"/>
        <v>720</v>
      </c>
      <c r="J1071">
        <f t="shared" si="50"/>
        <v>720</v>
      </c>
    </row>
    <row r="1072" spans="1:10" x14ac:dyDescent="0.45">
      <c r="A1072" t="s">
        <v>3849</v>
      </c>
      <c r="B1072" s="1">
        <v>45705</v>
      </c>
      <c r="C1072" t="s">
        <v>2772</v>
      </c>
      <c r="D1072" t="s">
        <v>2771</v>
      </c>
      <c r="E1072">
        <v>120</v>
      </c>
      <c r="F1072">
        <v>10</v>
      </c>
      <c r="G1072">
        <f t="shared" si="48"/>
        <v>1200</v>
      </c>
      <c r="H1072" t="s">
        <v>17</v>
      </c>
      <c r="I1072">
        <f t="shared" si="49"/>
        <v>144</v>
      </c>
      <c r="J1072">
        <f t="shared" si="50"/>
        <v>1440</v>
      </c>
    </row>
    <row r="1073" spans="1:10" x14ac:dyDescent="0.45">
      <c r="A1073" t="s">
        <v>4031</v>
      </c>
      <c r="B1073" s="1">
        <v>45705</v>
      </c>
      <c r="C1073" t="s">
        <v>3979</v>
      </c>
      <c r="D1073" t="s">
        <v>3980</v>
      </c>
      <c r="E1073">
        <v>500</v>
      </c>
      <c r="F1073" s="3">
        <v>5</v>
      </c>
      <c r="G1073">
        <f t="shared" si="48"/>
        <v>2500</v>
      </c>
      <c r="H1073" t="s">
        <v>7</v>
      </c>
      <c r="I1073">
        <f t="shared" si="49"/>
        <v>600</v>
      </c>
      <c r="J1073">
        <f t="shared" si="50"/>
        <v>3000</v>
      </c>
    </row>
    <row r="1074" spans="1:10" x14ac:dyDescent="0.45">
      <c r="A1074" t="s">
        <v>4141</v>
      </c>
      <c r="B1074" s="1">
        <v>45705</v>
      </c>
      <c r="C1074" t="s">
        <v>3979</v>
      </c>
      <c r="D1074" t="s">
        <v>3980</v>
      </c>
      <c r="E1074">
        <v>500</v>
      </c>
      <c r="F1074" s="3">
        <v>6</v>
      </c>
      <c r="G1074">
        <f t="shared" si="48"/>
        <v>3000</v>
      </c>
      <c r="H1074" t="s">
        <v>21</v>
      </c>
      <c r="I1074">
        <f t="shared" si="49"/>
        <v>600</v>
      </c>
      <c r="J1074">
        <f t="shared" si="50"/>
        <v>3600</v>
      </c>
    </row>
    <row r="1075" spans="1:10" x14ac:dyDescent="0.45">
      <c r="A1075" t="s">
        <v>4207</v>
      </c>
      <c r="B1075" s="1">
        <v>45705</v>
      </c>
      <c r="C1075" t="s">
        <v>4007</v>
      </c>
      <c r="D1075" t="s">
        <v>3988</v>
      </c>
      <c r="E1075">
        <v>35000</v>
      </c>
      <c r="F1075" s="3">
        <v>5</v>
      </c>
      <c r="G1075">
        <f t="shared" si="48"/>
        <v>175000</v>
      </c>
      <c r="H1075" t="s">
        <v>7</v>
      </c>
      <c r="I1075">
        <f t="shared" si="49"/>
        <v>42000</v>
      </c>
      <c r="J1075">
        <f t="shared" si="50"/>
        <v>210000</v>
      </c>
    </row>
    <row r="1076" spans="1:10" x14ac:dyDescent="0.45">
      <c r="A1076" t="s">
        <v>4230</v>
      </c>
      <c r="B1076" s="1">
        <v>45705</v>
      </c>
      <c r="C1076" t="s">
        <v>3979</v>
      </c>
      <c r="D1076" t="s">
        <v>3984</v>
      </c>
      <c r="E1076">
        <v>12000</v>
      </c>
      <c r="F1076" s="3">
        <v>5</v>
      </c>
      <c r="G1076">
        <f t="shared" si="48"/>
        <v>60000</v>
      </c>
      <c r="H1076" t="s">
        <v>17</v>
      </c>
      <c r="I1076">
        <f t="shared" si="49"/>
        <v>14400</v>
      </c>
      <c r="J1076">
        <f t="shared" si="50"/>
        <v>72000</v>
      </c>
    </row>
    <row r="1077" spans="1:10" x14ac:dyDescent="0.45">
      <c r="A1077" t="s">
        <v>4315</v>
      </c>
      <c r="B1077" s="1">
        <v>45705</v>
      </c>
      <c r="C1077" t="s">
        <v>33</v>
      </c>
      <c r="D1077" t="s">
        <v>3994</v>
      </c>
      <c r="E1077">
        <v>2500</v>
      </c>
      <c r="F1077" s="3">
        <v>8</v>
      </c>
      <c r="G1077">
        <f t="shared" si="48"/>
        <v>20000</v>
      </c>
      <c r="H1077" t="s">
        <v>7</v>
      </c>
      <c r="I1077">
        <f t="shared" si="49"/>
        <v>3000</v>
      </c>
      <c r="J1077">
        <f t="shared" si="50"/>
        <v>24000</v>
      </c>
    </row>
    <row r="1078" spans="1:10" x14ac:dyDescent="0.45">
      <c r="A1078" t="s">
        <v>4339</v>
      </c>
      <c r="B1078" s="1">
        <v>45705</v>
      </c>
      <c r="C1078" t="s">
        <v>4007</v>
      </c>
      <c r="D1078" t="s">
        <v>3997</v>
      </c>
      <c r="E1078">
        <v>62000</v>
      </c>
      <c r="F1078" s="3">
        <v>3</v>
      </c>
      <c r="G1078">
        <f t="shared" si="48"/>
        <v>186000</v>
      </c>
      <c r="H1078" t="s">
        <v>17</v>
      </c>
      <c r="I1078">
        <f t="shared" si="49"/>
        <v>74400</v>
      </c>
      <c r="J1078">
        <f t="shared" si="50"/>
        <v>223200</v>
      </c>
    </row>
    <row r="1079" spans="1:10" x14ac:dyDescent="0.45">
      <c r="A1079" t="s">
        <v>4368</v>
      </c>
      <c r="B1079" s="1">
        <v>45705</v>
      </c>
      <c r="C1079" t="s">
        <v>4007</v>
      </c>
      <c r="D1079" t="s">
        <v>3988</v>
      </c>
      <c r="E1079">
        <v>35000</v>
      </c>
      <c r="F1079" s="3">
        <v>8</v>
      </c>
      <c r="G1079">
        <f t="shared" si="48"/>
        <v>280000</v>
      </c>
      <c r="H1079" t="s">
        <v>7</v>
      </c>
      <c r="I1079">
        <f t="shared" si="49"/>
        <v>42000</v>
      </c>
      <c r="J1079">
        <f t="shared" si="50"/>
        <v>336000</v>
      </c>
    </row>
    <row r="1080" spans="1:10" x14ac:dyDescent="0.45">
      <c r="A1080" t="s">
        <v>4537</v>
      </c>
      <c r="B1080" s="1">
        <v>45705</v>
      </c>
      <c r="C1080" t="s">
        <v>5009</v>
      </c>
      <c r="D1080" t="s">
        <v>3992</v>
      </c>
      <c r="E1080">
        <v>400</v>
      </c>
      <c r="F1080" s="3">
        <v>9</v>
      </c>
      <c r="G1080">
        <f t="shared" si="48"/>
        <v>3600</v>
      </c>
      <c r="H1080" t="s">
        <v>7</v>
      </c>
      <c r="I1080">
        <f t="shared" si="49"/>
        <v>480</v>
      </c>
      <c r="J1080">
        <f t="shared" si="50"/>
        <v>4320</v>
      </c>
    </row>
    <row r="1081" spans="1:10" x14ac:dyDescent="0.45">
      <c r="A1081" t="s">
        <v>4605</v>
      </c>
      <c r="B1081" s="1">
        <v>45705</v>
      </c>
      <c r="C1081" t="s">
        <v>5009</v>
      </c>
      <c r="D1081" t="s">
        <v>3990</v>
      </c>
      <c r="E1081">
        <v>2800</v>
      </c>
      <c r="F1081" s="3">
        <v>9</v>
      </c>
      <c r="G1081">
        <f t="shared" si="48"/>
        <v>25200</v>
      </c>
      <c r="H1081" t="s">
        <v>21</v>
      </c>
      <c r="I1081">
        <f t="shared" si="49"/>
        <v>3360</v>
      </c>
      <c r="J1081">
        <f t="shared" si="50"/>
        <v>30240</v>
      </c>
    </row>
    <row r="1082" spans="1:10" x14ac:dyDescent="0.45">
      <c r="A1082" t="s">
        <v>4726</v>
      </c>
      <c r="B1082" s="1">
        <v>45705</v>
      </c>
      <c r="C1082" t="s">
        <v>5008</v>
      </c>
      <c r="D1082" t="s">
        <v>3986</v>
      </c>
      <c r="E1082">
        <v>12000</v>
      </c>
      <c r="F1082" s="3">
        <v>3</v>
      </c>
      <c r="G1082">
        <f t="shared" si="48"/>
        <v>36000</v>
      </c>
      <c r="H1082" t="s">
        <v>7</v>
      </c>
      <c r="I1082">
        <f t="shared" si="49"/>
        <v>14400</v>
      </c>
      <c r="J1082">
        <f t="shared" si="50"/>
        <v>43200</v>
      </c>
    </row>
    <row r="1083" spans="1:10" x14ac:dyDescent="0.45">
      <c r="A1083" t="s">
        <v>4764</v>
      </c>
      <c r="B1083" s="1">
        <v>45705</v>
      </c>
      <c r="C1083" t="s">
        <v>3979</v>
      </c>
      <c r="D1083" t="s">
        <v>4006</v>
      </c>
      <c r="E1083">
        <v>2000</v>
      </c>
      <c r="F1083" s="3">
        <v>8</v>
      </c>
      <c r="G1083">
        <f t="shared" si="48"/>
        <v>16000</v>
      </c>
      <c r="H1083" t="s">
        <v>21</v>
      </c>
      <c r="I1083">
        <f t="shared" si="49"/>
        <v>2400</v>
      </c>
      <c r="J1083">
        <f t="shared" si="50"/>
        <v>19200</v>
      </c>
    </row>
    <row r="1084" spans="1:10" x14ac:dyDescent="0.45">
      <c r="A1084" t="s">
        <v>4780</v>
      </c>
      <c r="B1084" s="1">
        <v>45705</v>
      </c>
      <c r="C1084" t="s">
        <v>5009</v>
      </c>
      <c r="D1084" t="s">
        <v>4004</v>
      </c>
      <c r="E1084">
        <v>15000</v>
      </c>
      <c r="F1084" s="3">
        <v>7</v>
      </c>
      <c r="G1084">
        <f t="shared" si="48"/>
        <v>105000</v>
      </c>
      <c r="H1084" t="s">
        <v>21</v>
      </c>
      <c r="I1084">
        <f t="shared" si="49"/>
        <v>18000</v>
      </c>
      <c r="J1084">
        <f t="shared" si="50"/>
        <v>126000</v>
      </c>
    </row>
    <row r="1085" spans="1:10" x14ac:dyDescent="0.45">
      <c r="A1085" t="s">
        <v>4946</v>
      </c>
      <c r="B1085" s="1">
        <v>45705</v>
      </c>
      <c r="C1085" t="s">
        <v>3977</v>
      </c>
      <c r="D1085" t="s">
        <v>3993</v>
      </c>
      <c r="E1085">
        <v>1000</v>
      </c>
      <c r="F1085" s="3">
        <v>3</v>
      </c>
      <c r="G1085">
        <f t="shared" si="48"/>
        <v>3000</v>
      </c>
      <c r="H1085" t="s">
        <v>17</v>
      </c>
      <c r="I1085">
        <f t="shared" si="49"/>
        <v>1200</v>
      </c>
      <c r="J1085">
        <f t="shared" si="50"/>
        <v>3600</v>
      </c>
    </row>
    <row r="1086" spans="1:10" x14ac:dyDescent="0.45">
      <c r="A1086" t="s">
        <v>391</v>
      </c>
      <c r="B1086" s="1">
        <v>45706</v>
      </c>
      <c r="C1086" t="s">
        <v>33</v>
      </c>
      <c r="D1086" t="s">
        <v>34</v>
      </c>
      <c r="E1086">
        <v>1700</v>
      </c>
      <c r="F1086">
        <v>7</v>
      </c>
      <c r="G1086">
        <f t="shared" si="48"/>
        <v>11900</v>
      </c>
      <c r="H1086" t="s">
        <v>7</v>
      </c>
      <c r="I1086">
        <f t="shared" si="49"/>
        <v>2040</v>
      </c>
      <c r="J1086">
        <f t="shared" si="50"/>
        <v>14280</v>
      </c>
    </row>
    <row r="1087" spans="1:10" x14ac:dyDescent="0.45">
      <c r="A1087" t="s">
        <v>392</v>
      </c>
      <c r="B1087" s="1">
        <v>45706</v>
      </c>
      <c r="C1087" t="s">
        <v>9</v>
      </c>
      <c r="D1087" t="s">
        <v>25</v>
      </c>
      <c r="E1087">
        <v>5200</v>
      </c>
      <c r="F1087">
        <v>3</v>
      </c>
      <c r="G1087">
        <f t="shared" si="48"/>
        <v>15600</v>
      </c>
      <c r="H1087" t="s">
        <v>17</v>
      </c>
      <c r="I1087">
        <f t="shared" si="49"/>
        <v>6240</v>
      </c>
      <c r="J1087">
        <f t="shared" si="50"/>
        <v>18720</v>
      </c>
    </row>
    <row r="1088" spans="1:10" x14ac:dyDescent="0.45">
      <c r="A1088" t="s">
        <v>393</v>
      </c>
      <c r="B1088" s="1">
        <v>45706</v>
      </c>
      <c r="C1088" t="s">
        <v>4007</v>
      </c>
      <c r="D1088" t="s">
        <v>39</v>
      </c>
      <c r="E1088">
        <v>6000</v>
      </c>
      <c r="F1088">
        <v>4</v>
      </c>
      <c r="G1088">
        <f t="shared" si="48"/>
        <v>24000</v>
      </c>
      <c r="H1088" t="s">
        <v>7</v>
      </c>
      <c r="I1088">
        <f t="shared" si="49"/>
        <v>7200</v>
      </c>
      <c r="J1088">
        <f t="shared" si="50"/>
        <v>28800</v>
      </c>
    </row>
    <row r="1089" spans="1:10" x14ac:dyDescent="0.45">
      <c r="A1089" t="s">
        <v>394</v>
      </c>
      <c r="B1089" s="1">
        <v>45706</v>
      </c>
      <c r="C1089" t="s">
        <v>4007</v>
      </c>
      <c r="D1089" t="s">
        <v>5015</v>
      </c>
      <c r="E1089">
        <v>48000</v>
      </c>
      <c r="F1089">
        <v>9</v>
      </c>
      <c r="G1089">
        <f t="shared" si="48"/>
        <v>432000</v>
      </c>
      <c r="H1089" t="s">
        <v>21</v>
      </c>
      <c r="I1089">
        <f t="shared" si="49"/>
        <v>57600</v>
      </c>
      <c r="J1089">
        <f t="shared" si="50"/>
        <v>518400</v>
      </c>
    </row>
    <row r="1090" spans="1:10" x14ac:dyDescent="0.45">
      <c r="A1090" t="s">
        <v>395</v>
      </c>
      <c r="B1090" s="1">
        <v>45706</v>
      </c>
      <c r="C1090" t="s">
        <v>4007</v>
      </c>
      <c r="D1090" t="s">
        <v>28</v>
      </c>
      <c r="E1090">
        <v>500</v>
      </c>
      <c r="F1090">
        <v>2</v>
      </c>
      <c r="G1090">
        <f t="shared" ref="G1090:G1153" si="51">E1090*F1090</f>
        <v>1000</v>
      </c>
      <c r="H1090" t="s">
        <v>17</v>
      </c>
      <c r="I1090">
        <f t="shared" ref="I1090:I1153" si="52">E1090*1.2</f>
        <v>600</v>
      </c>
      <c r="J1090">
        <f t="shared" ref="J1090:J1153" si="53">I1090*F1090</f>
        <v>1200</v>
      </c>
    </row>
    <row r="1091" spans="1:10" x14ac:dyDescent="0.45">
      <c r="A1091" t="s">
        <v>396</v>
      </c>
      <c r="B1091" s="1">
        <v>45706</v>
      </c>
      <c r="C1091" t="s">
        <v>33</v>
      </c>
      <c r="D1091" t="s">
        <v>34</v>
      </c>
      <c r="E1091">
        <v>1700</v>
      </c>
      <c r="F1091">
        <v>4</v>
      </c>
      <c r="G1091">
        <f t="shared" si="51"/>
        <v>6800</v>
      </c>
      <c r="H1091" t="s">
        <v>17</v>
      </c>
      <c r="I1091">
        <f t="shared" si="52"/>
        <v>2040</v>
      </c>
      <c r="J1091">
        <f t="shared" si="53"/>
        <v>8160</v>
      </c>
    </row>
    <row r="1092" spans="1:10" x14ac:dyDescent="0.45">
      <c r="A1092" t="s">
        <v>397</v>
      </c>
      <c r="B1092" s="1">
        <v>45706</v>
      </c>
      <c r="C1092" t="s">
        <v>33</v>
      </c>
      <c r="D1092" t="s">
        <v>42</v>
      </c>
      <c r="E1092">
        <v>6900</v>
      </c>
      <c r="F1092">
        <v>3</v>
      </c>
      <c r="G1092">
        <f t="shared" si="51"/>
        <v>20700</v>
      </c>
      <c r="H1092" t="s">
        <v>21</v>
      </c>
      <c r="I1092">
        <f t="shared" si="52"/>
        <v>8280</v>
      </c>
      <c r="J1092">
        <f t="shared" si="53"/>
        <v>24840</v>
      </c>
    </row>
    <row r="1093" spans="1:10" x14ac:dyDescent="0.45">
      <c r="A1093" t="s">
        <v>398</v>
      </c>
      <c r="B1093" s="1">
        <v>45706</v>
      </c>
      <c r="C1093" t="s">
        <v>4007</v>
      </c>
      <c r="D1093" t="s">
        <v>28</v>
      </c>
      <c r="E1093">
        <v>500</v>
      </c>
      <c r="F1093">
        <v>1</v>
      </c>
      <c r="G1093">
        <f t="shared" si="51"/>
        <v>500</v>
      </c>
      <c r="H1093" t="s">
        <v>7</v>
      </c>
      <c r="I1093">
        <f t="shared" si="52"/>
        <v>600</v>
      </c>
      <c r="J1093">
        <f t="shared" si="53"/>
        <v>600</v>
      </c>
    </row>
    <row r="1094" spans="1:10" x14ac:dyDescent="0.45">
      <c r="A1094" t="s">
        <v>399</v>
      </c>
      <c r="B1094" s="1">
        <v>45706</v>
      </c>
      <c r="C1094" t="s">
        <v>9</v>
      </c>
      <c r="D1094" t="s">
        <v>10</v>
      </c>
      <c r="E1094">
        <v>400</v>
      </c>
      <c r="F1094">
        <v>1</v>
      </c>
      <c r="G1094">
        <f t="shared" si="51"/>
        <v>400</v>
      </c>
      <c r="H1094" t="s">
        <v>7</v>
      </c>
      <c r="I1094">
        <f t="shared" si="52"/>
        <v>480</v>
      </c>
      <c r="J1094">
        <f t="shared" si="53"/>
        <v>480</v>
      </c>
    </row>
    <row r="1095" spans="1:10" x14ac:dyDescent="0.45">
      <c r="A1095" t="s">
        <v>3601</v>
      </c>
      <c r="B1095" s="1">
        <v>45706</v>
      </c>
      <c r="C1095" t="s">
        <v>33</v>
      </c>
      <c r="D1095" t="s">
        <v>14</v>
      </c>
      <c r="E1095">
        <v>800</v>
      </c>
      <c r="F1095">
        <v>8</v>
      </c>
      <c r="G1095">
        <f t="shared" si="51"/>
        <v>6400</v>
      </c>
      <c r="H1095" t="s">
        <v>17</v>
      </c>
      <c r="I1095">
        <f t="shared" si="52"/>
        <v>960</v>
      </c>
      <c r="J1095">
        <f t="shared" si="53"/>
        <v>7680</v>
      </c>
    </row>
    <row r="1096" spans="1:10" x14ac:dyDescent="0.45">
      <c r="A1096" t="s">
        <v>3806</v>
      </c>
      <c r="B1096" s="1">
        <v>45706</v>
      </c>
      <c r="C1096" t="s">
        <v>2772</v>
      </c>
      <c r="D1096" t="s">
        <v>2775</v>
      </c>
      <c r="E1096">
        <v>9100</v>
      </c>
      <c r="F1096">
        <v>10</v>
      </c>
      <c r="G1096">
        <f t="shared" si="51"/>
        <v>91000</v>
      </c>
      <c r="H1096" t="s">
        <v>17</v>
      </c>
      <c r="I1096">
        <f t="shared" si="52"/>
        <v>10920</v>
      </c>
      <c r="J1096">
        <f t="shared" si="53"/>
        <v>109200</v>
      </c>
    </row>
    <row r="1097" spans="1:10" x14ac:dyDescent="0.45">
      <c r="A1097" t="s">
        <v>3964</v>
      </c>
      <c r="B1097" s="1">
        <v>45706</v>
      </c>
      <c r="C1097" t="s">
        <v>33</v>
      </c>
      <c r="D1097" t="s">
        <v>14</v>
      </c>
      <c r="E1097">
        <v>800</v>
      </c>
      <c r="F1097">
        <v>9</v>
      </c>
      <c r="G1097">
        <f t="shared" si="51"/>
        <v>7200</v>
      </c>
      <c r="H1097" t="s">
        <v>7</v>
      </c>
      <c r="I1097">
        <f t="shared" si="52"/>
        <v>960</v>
      </c>
      <c r="J1097">
        <f t="shared" si="53"/>
        <v>8640</v>
      </c>
    </row>
    <row r="1098" spans="1:10" x14ac:dyDescent="0.45">
      <c r="A1098" t="s">
        <v>4143</v>
      </c>
      <c r="B1098" s="1">
        <v>45706</v>
      </c>
      <c r="C1098" t="s">
        <v>5008</v>
      </c>
      <c r="D1098" t="s">
        <v>3996</v>
      </c>
      <c r="E1098">
        <v>2000</v>
      </c>
      <c r="F1098" s="3">
        <v>3</v>
      </c>
      <c r="G1098">
        <f t="shared" si="51"/>
        <v>6000</v>
      </c>
      <c r="H1098" t="s">
        <v>17</v>
      </c>
      <c r="I1098">
        <f t="shared" si="52"/>
        <v>2400</v>
      </c>
      <c r="J1098">
        <f t="shared" si="53"/>
        <v>7200</v>
      </c>
    </row>
    <row r="1099" spans="1:10" x14ac:dyDescent="0.45">
      <c r="A1099" t="s">
        <v>4145</v>
      </c>
      <c r="B1099" s="1">
        <v>45706</v>
      </c>
      <c r="C1099" t="s">
        <v>33</v>
      </c>
      <c r="D1099" t="s">
        <v>42</v>
      </c>
      <c r="E1099">
        <v>6900</v>
      </c>
      <c r="F1099" s="3">
        <v>6</v>
      </c>
      <c r="G1099">
        <f t="shared" si="51"/>
        <v>41400</v>
      </c>
      <c r="H1099" t="s">
        <v>21</v>
      </c>
      <c r="I1099">
        <f t="shared" si="52"/>
        <v>8280</v>
      </c>
      <c r="J1099">
        <f t="shared" si="53"/>
        <v>49680</v>
      </c>
    </row>
    <row r="1100" spans="1:10" x14ac:dyDescent="0.45">
      <c r="A1100" t="s">
        <v>4300</v>
      </c>
      <c r="B1100" s="1">
        <v>45706</v>
      </c>
      <c r="C1100" t="s">
        <v>3979</v>
      </c>
      <c r="D1100" t="s">
        <v>4006</v>
      </c>
      <c r="E1100">
        <v>2000</v>
      </c>
      <c r="F1100" s="3">
        <v>1</v>
      </c>
      <c r="G1100">
        <f t="shared" si="51"/>
        <v>2000</v>
      </c>
      <c r="H1100" t="s">
        <v>21</v>
      </c>
      <c r="I1100">
        <f t="shared" si="52"/>
        <v>2400</v>
      </c>
      <c r="J1100">
        <f t="shared" si="53"/>
        <v>2400</v>
      </c>
    </row>
    <row r="1101" spans="1:10" x14ac:dyDescent="0.45">
      <c r="A1101" t="s">
        <v>4327</v>
      </c>
      <c r="B1101" s="1">
        <v>45706</v>
      </c>
      <c r="C1101" t="s">
        <v>3977</v>
      </c>
      <c r="D1101" t="s">
        <v>3993</v>
      </c>
      <c r="E1101">
        <v>1000</v>
      </c>
      <c r="F1101" s="3">
        <v>4</v>
      </c>
      <c r="G1101">
        <f t="shared" si="51"/>
        <v>4000</v>
      </c>
      <c r="H1101" t="s">
        <v>17</v>
      </c>
      <c r="I1101">
        <f t="shared" si="52"/>
        <v>1200</v>
      </c>
      <c r="J1101">
        <f t="shared" si="53"/>
        <v>4800</v>
      </c>
    </row>
    <row r="1102" spans="1:10" x14ac:dyDescent="0.45">
      <c r="A1102" t="s">
        <v>4994</v>
      </c>
      <c r="B1102" s="1">
        <v>45706</v>
      </c>
      <c r="C1102" t="s">
        <v>3977</v>
      </c>
      <c r="D1102" t="s">
        <v>3991</v>
      </c>
      <c r="E1102">
        <v>2000</v>
      </c>
      <c r="F1102" s="3">
        <v>2</v>
      </c>
      <c r="G1102">
        <f t="shared" si="51"/>
        <v>4000</v>
      </c>
      <c r="H1102" t="s">
        <v>21</v>
      </c>
      <c r="I1102">
        <f t="shared" si="52"/>
        <v>2400</v>
      </c>
      <c r="J1102">
        <f t="shared" si="53"/>
        <v>4800</v>
      </c>
    </row>
    <row r="1103" spans="1:10" x14ac:dyDescent="0.45">
      <c r="A1103" t="s">
        <v>5002</v>
      </c>
      <c r="B1103" s="1">
        <v>45706</v>
      </c>
      <c r="C1103" t="s">
        <v>3979</v>
      </c>
      <c r="D1103" t="s">
        <v>4006</v>
      </c>
      <c r="E1103">
        <v>2000</v>
      </c>
      <c r="F1103" s="3">
        <v>1</v>
      </c>
      <c r="G1103">
        <f t="shared" si="51"/>
        <v>2000</v>
      </c>
      <c r="H1103" t="s">
        <v>7</v>
      </c>
      <c r="I1103">
        <f t="shared" si="52"/>
        <v>2400</v>
      </c>
      <c r="J1103">
        <f t="shared" si="53"/>
        <v>2400</v>
      </c>
    </row>
    <row r="1104" spans="1:10" x14ac:dyDescent="0.45">
      <c r="A1104" t="s">
        <v>5007</v>
      </c>
      <c r="B1104" s="1">
        <v>45706</v>
      </c>
      <c r="C1104" t="s">
        <v>5008</v>
      </c>
      <c r="D1104" t="s">
        <v>4003</v>
      </c>
      <c r="E1104">
        <v>10000</v>
      </c>
      <c r="F1104" s="3">
        <v>7</v>
      </c>
      <c r="G1104">
        <f t="shared" si="51"/>
        <v>70000</v>
      </c>
      <c r="H1104" t="s">
        <v>7</v>
      </c>
      <c r="I1104">
        <f t="shared" si="52"/>
        <v>12000</v>
      </c>
      <c r="J1104">
        <f t="shared" si="53"/>
        <v>84000</v>
      </c>
    </row>
    <row r="1105" spans="1:10" x14ac:dyDescent="0.45">
      <c r="A1105" t="s">
        <v>400</v>
      </c>
      <c r="B1105" s="1">
        <v>45707</v>
      </c>
      <c r="C1105" t="s">
        <v>33</v>
      </c>
      <c r="D1105" t="s">
        <v>42</v>
      </c>
      <c r="E1105">
        <v>6900</v>
      </c>
      <c r="F1105">
        <v>6</v>
      </c>
      <c r="G1105">
        <f t="shared" si="51"/>
        <v>41400</v>
      </c>
      <c r="H1105" t="s">
        <v>17</v>
      </c>
      <c r="I1105">
        <f t="shared" si="52"/>
        <v>8280</v>
      </c>
      <c r="J1105">
        <f t="shared" si="53"/>
        <v>49680</v>
      </c>
    </row>
    <row r="1106" spans="1:10" x14ac:dyDescent="0.45">
      <c r="A1106" t="s">
        <v>401</v>
      </c>
      <c r="B1106" s="1">
        <v>45707</v>
      </c>
      <c r="C1106" t="s">
        <v>12</v>
      </c>
      <c r="D1106" t="s">
        <v>5023</v>
      </c>
      <c r="E1106">
        <v>1750</v>
      </c>
      <c r="F1106">
        <v>5</v>
      </c>
      <c r="G1106">
        <f t="shared" si="51"/>
        <v>8750</v>
      </c>
      <c r="H1106" t="s">
        <v>21</v>
      </c>
      <c r="I1106">
        <f t="shared" si="52"/>
        <v>2100</v>
      </c>
      <c r="J1106">
        <f t="shared" si="53"/>
        <v>10500</v>
      </c>
    </row>
    <row r="1107" spans="1:10" x14ac:dyDescent="0.45">
      <c r="A1107" t="s">
        <v>402</v>
      </c>
      <c r="B1107" s="1">
        <v>45707</v>
      </c>
      <c r="C1107" t="s">
        <v>33</v>
      </c>
      <c r="D1107" t="s">
        <v>14</v>
      </c>
      <c r="E1107">
        <v>800</v>
      </c>
      <c r="F1107">
        <v>9</v>
      </c>
      <c r="G1107">
        <f t="shared" si="51"/>
        <v>7200</v>
      </c>
      <c r="H1107" t="s">
        <v>7</v>
      </c>
      <c r="I1107">
        <f t="shared" si="52"/>
        <v>960</v>
      </c>
      <c r="J1107">
        <f t="shared" si="53"/>
        <v>8640</v>
      </c>
    </row>
    <row r="1108" spans="1:10" x14ac:dyDescent="0.45">
      <c r="A1108" t="s">
        <v>403</v>
      </c>
      <c r="B1108" s="1">
        <v>45707</v>
      </c>
      <c r="C1108" t="s">
        <v>12</v>
      </c>
      <c r="D1108" t="s">
        <v>5022</v>
      </c>
      <c r="E1108">
        <v>2880</v>
      </c>
      <c r="F1108">
        <v>1</v>
      </c>
      <c r="G1108">
        <f t="shared" si="51"/>
        <v>2880</v>
      </c>
      <c r="H1108" t="s">
        <v>21</v>
      </c>
      <c r="I1108">
        <f t="shared" si="52"/>
        <v>3456</v>
      </c>
      <c r="J1108">
        <f t="shared" si="53"/>
        <v>3456</v>
      </c>
    </row>
    <row r="1109" spans="1:10" x14ac:dyDescent="0.45">
      <c r="A1109" t="s">
        <v>404</v>
      </c>
      <c r="B1109" s="1">
        <v>45707</v>
      </c>
      <c r="C1109" t="s">
        <v>33</v>
      </c>
      <c r="D1109" t="s">
        <v>42</v>
      </c>
      <c r="E1109">
        <v>6900</v>
      </c>
      <c r="F1109">
        <v>4</v>
      </c>
      <c r="G1109">
        <f t="shared" si="51"/>
        <v>27600</v>
      </c>
      <c r="H1109" t="s">
        <v>7</v>
      </c>
      <c r="I1109">
        <f t="shared" si="52"/>
        <v>8280</v>
      </c>
      <c r="J1109">
        <f t="shared" si="53"/>
        <v>33120</v>
      </c>
    </row>
    <row r="1110" spans="1:10" x14ac:dyDescent="0.45">
      <c r="A1110" t="s">
        <v>405</v>
      </c>
      <c r="B1110" s="1">
        <v>45707</v>
      </c>
      <c r="C1110" t="s">
        <v>33</v>
      </c>
      <c r="D1110" t="s">
        <v>16</v>
      </c>
      <c r="E1110">
        <v>1200</v>
      </c>
      <c r="F1110">
        <v>1</v>
      </c>
      <c r="G1110">
        <f t="shared" si="51"/>
        <v>1200</v>
      </c>
      <c r="H1110" t="s">
        <v>17</v>
      </c>
      <c r="I1110">
        <f t="shared" si="52"/>
        <v>1440</v>
      </c>
      <c r="J1110">
        <f t="shared" si="53"/>
        <v>1440</v>
      </c>
    </row>
    <row r="1111" spans="1:10" x14ac:dyDescent="0.45">
      <c r="A1111" t="s">
        <v>406</v>
      </c>
      <c r="B1111" s="1">
        <v>45707</v>
      </c>
      <c r="C1111" t="s">
        <v>4007</v>
      </c>
      <c r="D1111" t="s">
        <v>39</v>
      </c>
      <c r="E1111">
        <v>6000</v>
      </c>
      <c r="F1111">
        <v>3</v>
      </c>
      <c r="G1111">
        <f t="shared" si="51"/>
        <v>18000</v>
      </c>
      <c r="H1111" t="s">
        <v>7</v>
      </c>
      <c r="I1111">
        <f t="shared" si="52"/>
        <v>7200</v>
      </c>
      <c r="J1111">
        <f t="shared" si="53"/>
        <v>21600</v>
      </c>
    </row>
    <row r="1112" spans="1:10" x14ac:dyDescent="0.45">
      <c r="A1112" t="s">
        <v>407</v>
      </c>
      <c r="B1112" s="1">
        <v>45707</v>
      </c>
      <c r="C1112" t="s">
        <v>9</v>
      </c>
      <c r="D1112" t="s">
        <v>19</v>
      </c>
      <c r="E1112">
        <v>3000</v>
      </c>
      <c r="F1112">
        <v>2</v>
      </c>
      <c r="G1112">
        <f t="shared" si="51"/>
        <v>6000</v>
      </c>
      <c r="H1112" t="s">
        <v>21</v>
      </c>
      <c r="I1112">
        <f t="shared" si="52"/>
        <v>3600</v>
      </c>
      <c r="J1112">
        <f t="shared" si="53"/>
        <v>7200</v>
      </c>
    </row>
    <row r="1113" spans="1:10" x14ac:dyDescent="0.45">
      <c r="A1113" t="s">
        <v>2790</v>
      </c>
      <c r="B1113" s="1">
        <v>45707</v>
      </c>
      <c r="C1113" t="s">
        <v>4007</v>
      </c>
      <c r="D1113" t="s">
        <v>28</v>
      </c>
      <c r="E1113">
        <v>500</v>
      </c>
      <c r="F1113">
        <v>1</v>
      </c>
      <c r="G1113">
        <f t="shared" si="51"/>
        <v>500</v>
      </c>
      <c r="H1113" t="s">
        <v>21</v>
      </c>
      <c r="I1113">
        <f t="shared" si="52"/>
        <v>600</v>
      </c>
      <c r="J1113">
        <f t="shared" si="53"/>
        <v>600</v>
      </c>
    </row>
    <row r="1114" spans="1:10" x14ac:dyDescent="0.45">
      <c r="A1114" t="s">
        <v>3234</v>
      </c>
      <c r="B1114" s="1">
        <v>45707</v>
      </c>
      <c r="C1114" t="s">
        <v>33</v>
      </c>
      <c r="D1114" t="s">
        <v>14</v>
      </c>
      <c r="E1114">
        <v>800</v>
      </c>
      <c r="F1114">
        <v>10</v>
      </c>
      <c r="G1114">
        <f t="shared" si="51"/>
        <v>8000</v>
      </c>
      <c r="H1114" t="s">
        <v>7</v>
      </c>
      <c r="I1114">
        <f t="shared" si="52"/>
        <v>960</v>
      </c>
      <c r="J1114">
        <f t="shared" si="53"/>
        <v>9600</v>
      </c>
    </row>
    <row r="1115" spans="1:10" x14ac:dyDescent="0.45">
      <c r="A1115" t="s">
        <v>3528</v>
      </c>
      <c r="B1115" s="1">
        <v>45707</v>
      </c>
      <c r="C1115" t="s">
        <v>2772</v>
      </c>
      <c r="D1115" t="s">
        <v>2775</v>
      </c>
      <c r="E1115">
        <v>9100</v>
      </c>
      <c r="F1115">
        <v>8</v>
      </c>
      <c r="G1115">
        <f t="shared" si="51"/>
        <v>72800</v>
      </c>
      <c r="H1115" t="s">
        <v>7</v>
      </c>
      <c r="I1115">
        <f t="shared" si="52"/>
        <v>10920</v>
      </c>
      <c r="J1115">
        <f t="shared" si="53"/>
        <v>87360</v>
      </c>
    </row>
    <row r="1116" spans="1:10" x14ac:dyDescent="0.45">
      <c r="A1116" t="s">
        <v>4372</v>
      </c>
      <c r="B1116" s="1">
        <v>45707</v>
      </c>
      <c r="C1116" t="s">
        <v>4007</v>
      </c>
      <c r="D1116" t="s">
        <v>4005</v>
      </c>
      <c r="E1116">
        <v>60000</v>
      </c>
      <c r="F1116" s="3">
        <v>4</v>
      </c>
      <c r="G1116">
        <f t="shared" si="51"/>
        <v>240000</v>
      </c>
      <c r="H1116" t="s">
        <v>7</v>
      </c>
      <c r="I1116">
        <f t="shared" si="52"/>
        <v>72000</v>
      </c>
      <c r="J1116">
        <f t="shared" si="53"/>
        <v>288000</v>
      </c>
    </row>
    <row r="1117" spans="1:10" x14ac:dyDescent="0.45">
      <c r="A1117" t="s">
        <v>4684</v>
      </c>
      <c r="B1117" s="1">
        <v>45707</v>
      </c>
      <c r="C1117" t="s">
        <v>5009</v>
      </c>
      <c r="D1117" t="s">
        <v>3992</v>
      </c>
      <c r="E1117">
        <v>400</v>
      </c>
      <c r="F1117" s="3">
        <v>7</v>
      </c>
      <c r="G1117">
        <f t="shared" si="51"/>
        <v>2800</v>
      </c>
      <c r="H1117" t="s">
        <v>21</v>
      </c>
      <c r="I1117">
        <f t="shared" si="52"/>
        <v>480</v>
      </c>
      <c r="J1117">
        <f t="shared" si="53"/>
        <v>3360</v>
      </c>
    </row>
    <row r="1118" spans="1:10" x14ac:dyDescent="0.45">
      <c r="A1118" t="s">
        <v>4706</v>
      </c>
      <c r="B1118" s="1">
        <v>45707</v>
      </c>
      <c r="C1118" t="s">
        <v>3979</v>
      </c>
      <c r="D1118" t="s">
        <v>3980</v>
      </c>
      <c r="E1118">
        <v>500</v>
      </c>
      <c r="F1118" s="3">
        <v>9</v>
      </c>
      <c r="G1118">
        <f t="shared" si="51"/>
        <v>4500</v>
      </c>
      <c r="H1118" t="s">
        <v>17</v>
      </c>
      <c r="I1118">
        <f t="shared" si="52"/>
        <v>600</v>
      </c>
      <c r="J1118">
        <f t="shared" si="53"/>
        <v>5400</v>
      </c>
    </row>
    <row r="1119" spans="1:10" x14ac:dyDescent="0.45">
      <c r="A1119" t="s">
        <v>4720</v>
      </c>
      <c r="B1119" s="1">
        <v>45707</v>
      </c>
      <c r="C1119" t="s">
        <v>3979</v>
      </c>
      <c r="D1119" t="s">
        <v>4006</v>
      </c>
      <c r="E1119">
        <v>2000</v>
      </c>
      <c r="F1119" s="3">
        <v>9</v>
      </c>
      <c r="G1119">
        <f t="shared" si="51"/>
        <v>18000</v>
      </c>
      <c r="H1119" t="s">
        <v>17</v>
      </c>
      <c r="I1119">
        <f t="shared" si="52"/>
        <v>2400</v>
      </c>
      <c r="J1119">
        <f t="shared" si="53"/>
        <v>21600</v>
      </c>
    </row>
    <row r="1120" spans="1:10" x14ac:dyDescent="0.45">
      <c r="A1120" t="s">
        <v>4788</v>
      </c>
      <c r="B1120" s="1">
        <v>45707</v>
      </c>
      <c r="C1120" t="s">
        <v>3977</v>
      </c>
      <c r="D1120" t="s">
        <v>3993</v>
      </c>
      <c r="E1120">
        <v>1000</v>
      </c>
      <c r="F1120" s="3">
        <v>8</v>
      </c>
      <c r="G1120">
        <f t="shared" si="51"/>
        <v>8000</v>
      </c>
      <c r="H1120" t="s">
        <v>21</v>
      </c>
      <c r="I1120">
        <f t="shared" si="52"/>
        <v>1200</v>
      </c>
      <c r="J1120">
        <f t="shared" si="53"/>
        <v>9600</v>
      </c>
    </row>
    <row r="1121" spans="1:10" x14ac:dyDescent="0.45">
      <c r="A1121" t="s">
        <v>4794</v>
      </c>
      <c r="B1121" s="1">
        <v>45707</v>
      </c>
      <c r="C1121" t="s">
        <v>3979</v>
      </c>
      <c r="D1121" t="s">
        <v>3980</v>
      </c>
      <c r="E1121">
        <v>500</v>
      </c>
      <c r="F1121" s="3">
        <v>8</v>
      </c>
      <c r="G1121">
        <f t="shared" si="51"/>
        <v>4000</v>
      </c>
      <c r="H1121" t="s">
        <v>17</v>
      </c>
      <c r="I1121">
        <f t="shared" si="52"/>
        <v>600</v>
      </c>
      <c r="J1121">
        <f t="shared" si="53"/>
        <v>4800</v>
      </c>
    </row>
    <row r="1122" spans="1:10" x14ac:dyDescent="0.45">
      <c r="A1122" t="s">
        <v>4859</v>
      </c>
      <c r="B1122" s="1">
        <v>45707</v>
      </c>
      <c r="C1122" t="s">
        <v>5008</v>
      </c>
      <c r="D1122" t="s">
        <v>3996</v>
      </c>
      <c r="E1122">
        <v>2000</v>
      </c>
      <c r="F1122" s="3">
        <v>2</v>
      </c>
      <c r="G1122">
        <f t="shared" si="51"/>
        <v>4000</v>
      </c>
      <c r="H1122" t="s">
        <v>7</v>
      </c>
      <c r="I1122">
        <f t="shared" si="52"/>
        <v>2400</v>
      </c>
      <c r="J1122">
        <f t="shared" si="53"/>
        <v>4800</v>
      </c>
    </row>
    <row r="1123" spans="1:10" x14ac:dyDescent="0.45">
      <c r="A1123" t="s">
        <v>4951</v>
      </c>
      <c r="B1123" s="1">
        <v>45707</v>
      </c>
      <c r="C1123" t="s">
        <v>3977</v>
      </c>
      <c r="D1123" t="s">
        <v>3993</v>
      </c>
      <c r="E1123">
        <v>1000</v>
      </c>
      <c r="F1123" s="3">
        <v>5</v>
      </c>
      <c r="G1123">
        <f t="shared" si="51"/>
        <v>5000</v>
      </c>
      <c r="H1123" t="s">
        <v>21</v>
      </c>
      <c r="I1123">
        <f t="shared" si="52"/>
        <v>1200</v>
      </c>
      <c r="J1123">
        <f t="shared" si="53"/>
        <v>6000</v>
      </c>
    </row>
    <row r="1124" spans="1:10" x14ac:dyDescent="0.45">
      <c r="A1124" t="s">
        <v>4967</v>
      </c>
      <c r="B1124" s="1">
        <v>45707</v>
      </c>
      <c r="C1124" t="s">
        <v>4007</v>
      </c>
      <c r="D1124" t="s">
        <v>5015</v>
      </c>
      <c r="E1124">
        <v>48000</v>
      </c>
      <c r="F1124" s="3">
        <v>9</v>
      </c>
      <c r="G1124">
        <f t="shared" si="51"/>
        <v>432000</v>
      </c>
      <c r="H1124" t="s">
        <v>21</v>
      </c>
      <c r="I1124">
        <f t="shared" si="52"/>
        <v>57600</v>
      </c>
      <c r="J1124">
        <f t="shared" si="53"/>
        <v>518400</v>
      </c>
    </row>
    <row r="1125" spans="1:10" x14ac:dyDescent="0.45">
      <c r="A1125" t="s">
        <v>408</v>
      </c>
      <c r="B1125" s="1">
        <v>45708</v>
      </c>
      <c r="C1125" t="s">
        <v>4007</v>
      </c>
      <c r="D1125" t="s">
        <v>28</v>
      </c>
      <c r="E1125">
        <v>500</v>
      </c>
      <c r="F1125">
        <v>6</v>
      </c>
      <c r="G1125">
        <f t="shared" si="51"/>
        <v>3000</v>
      </c>
      <c r="H1125" t="s">
        <v>17</v>
      </c>
      <c r="I1125">
        <f t="shared" si="52"/>
        <v>600</v>
      </c>
      <c r="J1125">
        <f t="shared" si="53"/>
        <v>3600</v>
      </c>
    </row>
    <row r="1126" spans="1:10" x14ac:dyDescent="0.45">
      <c r="A1126" t="s">
        <v>409</v>
      </c>
      <c r="B1126" s="1">
        <v>45708</v>
      </c>
      <c r="C1126" t="s">
        <v>12</v>
      </c>
      <c r="D1126" t="s">
        <v>5020</v>
      </c>
      <c r="E1126">
        <v>2880</v>
      </c>
      <c r="F1126">
        <v>5</v>
      </c>
      <c r="G1126">
        <f t="shared" si="51"/>
        <v>14400</v>
      </c>
      <c r="H1126" t="s">
        <v>17</v>
      </c>
      <c r="I1126">
        <f t="shared" si="52"/>
        <v>3456</v>
      </c>
      <c r="J1126">
        <f t="shared" si="53"/>
        <v>17280</v>
      </c>
    </row>
    <row r="1127" spans="1:10" x14ac:dyDescent="0.45">
      <c r="A1127" t="s">
        <v>410</v>
      </c>
      <c r="B1127" s="1">
        <v>45708</v>
      </c>
      <c r="C1127" t="s">
        <v>12</v>
      </c>
      <c r="D1127" t="s">
        <v>5020</v>
      </c>
      <c r="E1127">
        <v>2880</v>
      </c>
      <c r="F1127">
        <v>10</v>
      </c>
      <c r="G1127">
        <f t="shared" si="51"/>
        <v>28800</v>
      </c>
      <c r="H1127" t="s">
        <v>21</v>
      </c>
      <c r="I1127">
        <f t="shared" si="52"/>
        <v>3456</v>
      </c>
      <c r="J1127">
        <f t="shared" si="53"/>
        <v>34560</v>
      </c>
    </row>
    <row r="1128" spans="1:10" x14ac:dyDescent="0.45">
      <c r="A1128" t="s">
        <v>411</v>
      </c>
      <c r="B1128" s="1">
        <v>45708</v>
      </c>
      <c r="C1128" t="s">
        <v>12</v>
      </c>
      <c r="D1128" t="s">
        <v>5023</v>
      </c>
      <c r="E1128">
        <v>1750</v>
      </c>
      <c r="F1128">
        <v>6</v>
      </c>
      <c r="G1128">
        <f t="shared" si="51"/>
        <v>10500</v>
      </c>
      <c r="H1128" t="s">
        <v>17</v>
      </c>
      <c r="I1128">
        <f t="shared" si="52"/>
        <v>2100</v>
      </c>
      <c r="J1128">
        <f t="shared" si="53"/>
        <v>12600</v>
      </c>
    </row>
    <row r="1129" spans="1:10" x14ac:dyDescent="0.45">
      <c r="A1129" t="s">
        <v>412</v>
      </c>
      <c r="B1129" s="1">
        <v>45708</v>
      </c>
      <c r="C1129" t="s">
        <v>12</v>
      </c>
      <c r="D1129" t="s">
        <v>5020</v>
      </c>
      <c r="E1129">
        <v>2880</v>
      </c>
      <c r="F1129">
        <v>2</v>
      </c>
      <c r="G1129">
        <f t="shared" si="51"/>
        <v>5760</v>
      </c>
      <c r="H1129" t="s">
        <v>21</v>
      </c>
      <c r="I1129">
        <f t="shared" si="52"/>
        <v>3456</v>
      </c>
      <c r="J1129">
        <f t="shared" si="53"/>
        <v>6912</v>
      </c>
    </row>
    <row r="1130" spans="1:10" x14ac:dyDescent="0.45">
      <c r="A1130" t="s">
        <v>3229</v>
      </c>
      <c r="B1130" s="1">
        <v>45708</v>
      </c>
      <c r="C1130" t="s">
        <v>4007</v>
      </c>
      <c r="D1130" t="s">
        <v>2773</v>
      </c>
      <c r="E1130">
        <v>3300</v>
      </c>
      <c r="F1130">
        <v>2</v>
      </c>
      <c r="G1130">
        <f t="shared" si="51"/>
        <v>6600</v>
      </c>
      <c r="H1130" t="s">
        <v>21</v>
      </c>
      <c r="I1130">
        <f t="shared" si="52"/>
        <v>3960</v>
      </c>
      <c r="J1130">
        <f t="shared" si="53"/>
        <v>7920</v>
      </c>
    </row>
    <row r="1131" spans="1:10" x14ac:dyDescent="0.45">
      <c r="A1131" t="s">
        <v>3394</v>
      </c>
      <c r="B1131" s="1">
        <v>45708</v>
      </c>
      <c r="C1131" t="s">
        <v>4007</v>
      </c>
      <c r="D1131" t="s">
        <v>2770</v>
      </c>
      <c r="E1131">
        <v>600</v>
      </c>
      <c r="F1131">
        <v>4</v>
      </c>
      <c r="G1131">
        <f t="shared" si="51"/>
        <v>2400</v>
      </c>
      <c r="H1131" t="s">
        <v>17</v>
      </c>
      <c r="I1131">
        <f t="shared" si="52"/>
        <v>720</v>
      </c>
      <c r="J1131">
        <f t="shared" si="53"/>
        <v>2880</v>
      </c>
    </row>
    <row r="1132" spans="1:10" x14ac:dyDescent="0.45">
      <c r="A1132" t="s">
        <v>3784</v>
      </c>
      <c r="B1132" s="1">
        <v>45708</v>
      </c>
      <c r="C1132" t="s">
        <v>4007</v>
      </c>
      <c r="D1132" t="s">
        <v>28</v>
      </c>
      <c r="E1132">
        <v>500</v>
      </c>
      <c r="F1132">
        <v>1</v>
      </c>
      <c r="G1132">
        <f t="shared" si="51"/>
        <v>500</v>
      </c>
      <c r="H1132" t="s">
        <v>7</v>
      </c>
      <c r="I1132">
        <f t="shared" si="52"/>
        <v>600</v>
      </c>
      <c r="J1132">
        <f t="shared" si="53"/>
        <v>600</v>
      </c>
    </row>
    <row r="1133" spans="1:10" x14ac:dyDescent="0.45">
      <c r="A1133" t="s">
        <v>4017</v>
      </c>
      <c r="B1133" s="1">
        <v>45708</v>
      </c>
      <c r="C1133" t="s">
        <v>4007</v>
      </c>
      <c r="D1133" t="s">
        <v>5015</v>
      </c>
      <c r="E1133">
        <v>48000</v>
      </c>
      <c r="F1133" s="3">
        <v>3</v>
      </c>
      <c r="G1133">
        <f t="shared" si="51"/>
        <v>144000</v>
      </c>
      <c r="H1133" t="s">
        <v>21</v>
      </c>
      <c r="I1133">
        <f t="shared" si="52"/>
        <v>57600</v>
      </c>
      <c r="J1133">
        <f t="shared" si="53"/>
        <v>172800</v>
      </c>
    </row>
    <row r="1134" spans="1:10" x14ac:dyDescent="0.45">
      <c r="A1134" t="s">
        <v>4163</v>
      </c>
      <c r="B1134" s="1">
        <v>45708</v>
      </c>
      <c r="C1134" t="s">
        <v>4007</v>
      </c>
      <c r="D1134" t="s">
        <v>3988</v>
      </c>
      <c r="E1134">
        <v>35000</v>
      </c>
      <c r="F1134" s="3">
        <v>5</v>
      </c>
      <c r="G1134">
        <f t="shared" si="51"/>
        <v>175000</v>
      </c>
      <c r="H1134" t="s">
        <v>17</v>
      </c>
      <c r="I1134">
        <f t="shared" si="52"/>
        <v>42000</v>
      </c>
      <c r="J1134">
        <f t="shared" si="53"/>
        <v>210000</v>
      </c>
    </row>
    <row r="1135" spans="1:10" x14ac:dyDescent="0.45">
      <c r="A1135" t="s">
        <v>4172</v>
      </c>
      <c r="B1135" s="1">
        <v>45708</v>
      </c>
      <c r="C1135" t="s">
        <v>4007</v>
      </c>
      <c r="D1135" t="s">
        <v>3997</v>
      </c>
      <c r="E1135">
        <v>62000</v>
      </c>
      <c r="F1135" s="3">
        <v>10</v>
      </c>
      <c r="G1135">
        <f t="shared" si="51"/>
        <v>620000</v>
      </c>
      <c r="H1135" t="s">
        <v>7</v>
      </c>
      <c r="I1135">
        <f t="shared" si="52"/>
        <v>74400</v>
      </c>
      <c r="J1135">
        <f t="shared" si="53"/>
        <v>744000</v>
      </c>
    </row>
    <row r="1136" spans="1:10" x14ac:dyDescent="0.45">
      <c r="A1136" t="s">
        <v>4293</v>
      </c>
      <c r="B1136" s="1">
        <v>45708</v>
      </c>
      <c r="C1136" t="s">
        <v>3977</v>
      </c>
      <c r="D1136" t="s">
        <v>3991</v>
      </c>
      <c r="E1136">
        <v>2000</v>
      </c>
      <c r="F1136" s="3">
        <v>5</v>
      </c>
      <c r="G1136">
        <f t="shared" si="51"/>
        <v>10000</v>
      </c>
      <c r="H1136" t="s">
        <v>21</v>
      </c>
      <c r="I1136">
        <f t="shared" si="52"/>
        <v>2400</v>
      </c>
      <c r="J1136">
        <f t="shared" si="53"/>
        <v>12000</v>
      </c>
    </row>
    <row r="1137" spans="1:10" x14ac:dyDescent="0.45">
      <c r="A1137" t="s">
        <v>4395</v>
      </c>
      <c r="B1137" s="1">
        <v>45708</v>
      </c>
      <c r="C1137" t="s">
        <v>3977</v>
      </c>
      <c r="D1137" t="s">
        <v>3989</v>
      </c>
      <c r="E1137">
        <v>1000</v>
      </c>
      <c r="F1137" s="3">
        <v>10</v>
      </c>
      <c r="G1137">
        <f t="shared" si="51"/>
        <v>10000</v>
      </c>
      <c r="H1137" t="s">
        <v>17</v>
      </c>
      <c r="I1137">
        <f t="shared" si="52"/>
        <v>1200</v>
      </c>
      <c r="J1137">
        <f t="shared" si="53"/>
        <v>12000</v>
      </c>
    </row>
    <row r="1138" spans="1:10" x14ac:dyDescent="0.45">
      <c r="A1138" t="s">
        <v>4584</v>
      </c>
      <c r="B1138" s="1">
        <v>45708</v>
      </c>
      <c r="C1138" t="s">
        <v>4007</v>
      </c>
      <c r="D1138" t="s">
        <v>3988</v>
      </c>
      <c r="E1138">
        <v>35000</v>
      </c>
      <c r="F1138" s="3">
        <v>4</v>
      </c>
      <c r="G1138">
        <f t="shared" si="51"/>
        <v>140000</v>
      </c>
      <c r="H1138" t="s">
        <v>7</v>
      </c>
      <c r="I1138">
        <f t="shared" si="52"/>
        <v>42000</v>
      </c>
      <c r="J1138">
        <f t="shared" si="53"/>
        <v>168000</v>
      </c>
    </row>
    <row r="1139" spans="1:10" x14ac:dyDescent="0.45">
      <c r="A1139" t="s">
        <v>4674</v>
      </c>
      <c r="B1139" s="1">
        <v>45708</v>
      </c>
      <c r="C1139" t="s">
        <v>4007</v>
      </c>
      <c r="D1139" t="s">
        <v>3999</v>
      </c>
      <c r="E1139">
        <v>50000</v>
      </c>
      <c r="F1139" s="3">
        <v>3</v>
      </c>
      <c r="G1139">
        <f t="shared" si="51"/>
        <v>150000</v>
      </c>
      <c r="H1139" t="s">
        <v>17</v>
      </c>
      <c r="I1139">
        <f t="shared" si="52"/>
        <v>60000</v>
      </c>
      <c r="J1139">
        <f t="shared" si="53"/>
        <v>180000</v>
      </c>
    </row>
    <row r="1140" spans="1:10" x14ac:dyDescent="0.45">
      <c r="A1140" t="s">
        <v>4751</v>
      </c>
      <c r="B1140" s="1">
        <v>45708</v>
      </c>
      <c r="C1140" t="s">
        <v>33</v>
      </c>
      <c r="D1140" t="s">
        <v>42</v>
      </c>
      <c r="E1140">
        <v>6900</v>
      </c>
      <c r="F1140" s="3">
        <v>2</v>
      </c>
      <c r="G1140">
        <f t="shared" si="51"/>
        <v>13800</v>
      </c>
      <c r="H1140" t="s">
        <v>7</v>
      </c>
      <c r="I1140">
        <f t="shared" si="52"/>
        <v>8280</v>
      </c>
      <c r="J1140">
        <f t="shared" si="53"/>
        <v>16560</v>
      </c>
    </row>
    <row r="1141" spans="1:10" x14ac:dyDescent="0.45">
      <c r="A1141" t="s">
        <v>4868</v>
      </c>
      <c r="B1141" s="1">
        <v>45708</v>
      </c>
      <c r="C1141" t="s">
        <v>33</v>
      </c>
      <c r="D1141" t="s">
        <v>3981</v>
      </c>
      <c r="E1141">
        <v>4000</v>
      </c>
      <c r="F1141" s="3">
        <v>1</v>
      </c>
      <c r="G1141">
        <f t="shared" si="51"/>
        <v>4000</v>
      </c>
      <c r="H1141" t="s">
        <v>21</v>
      </c>
      <c r="I1141">
        <f t="shared" si="52"/>
        <v>4800</v>
      </c>
      <c r="J1141">
        <f t="shared" si="53"/>
        <v>4800</v>
      </c>
    </row>
    <row r="1142" spans="1:10" x14ac:dyDescent="0.45">
      <c r="A1142" t="s">
        <v>4890</v>
      </c>
      <c r="B1142" s="1">
        <v>45708</v>
      </c>
      <c r="C1142" t="s">
        <v>5009</v>
      </c>
      <c r="D1142" t="s">
        <v>3992</v>
      </c>
      <c r="E1142">
        <v>400</v>
      </c>
      <c r="F1142" s="3">
        <v>10</v>
      </c>
      <c r="G1142">
        <f t="shared" si="51"/>
        <v>4000</v>
      </c>
      <c r="H1142" t="s">
        <v>21</v>
      </c>
      <c r="I1142">
        <f t="shared" si="52"/>
        <v>480</v>
      </c>
      <c r="J1142">
        <f t="shared" si="53"/>
        <v>4800</v>
      </c>
    </row>
    <row r="1143" spans="1:10" x14ac:dyDescent="0.45">
      <c r="A1143" t="s">
        <v>413</v>
      </c>
      <c r="B1143" s="1">
        <v>45709</v>
      </c>
      <c r="C1143" t="s">
        <v>12</v>
      </c>
      <c r="D1143" t="s">
        <v>5021</v>
      </c>
      <c r="E1143">
        <v>2880</v>
      </c>
      <c r="F1143">
        <v>1</v>
      </c>
      <c r="G1143">
        <f t="shared" si="51"/>
        <v>2880</v>
      </c>
      <c r="H1143" t="s">
        <v>7</v>
      </c>
      <c r="I1143">
        <f t="shared" si="52"/>
        <v>3456</v>
      </c>
      <c r="J1143">
        <f t="shared" si="53"/>
        <v>3456</v>
      </c>
    </row>
    <row r="1144" spans="1:10" x14ac:dyDescent="0.45">
      <c r="A1144" t="s">
        <v>414</v>
      </c>
      <c r="B1144" s="1">
        <v>45709</v>
      </c>
      <c r="C1144" t="s">
        <v>4007</v>
      </c>
      <c r="D1144" t="s">
        <v>28</v>
      </c>
      <c r="E1144">
        <v>500</v>
      </c>
      <c r="F1144">
        <v>4</v>
      </c>
      <c r="G1144">
        <f t="shared" si="51"/>
        <v>2000</v>
      </c>
      <c r="H1144" t="s">
        <v>17</v>
      </c>
      <c r="I1144">
        <f t="shared" si="52"/>
        <v>600</v>
      </c>
      <c r="J1144">
        <f t="shared" si="53"/>
        <v>2400</v>
      </c>
    </row>
    <row r="1145" spans="1:10" x14ac:dyDescent="0.45">
      <c r="A1145" t="s">
        <v>415</v>
      </c>
      <c r="B1145" s="1">
        <v>45709</v>
      </c>
      <c r="C1145" t="s">
        <v>33</v>
      </c>
      <c r="D1145" t="s">
        <v>16</v>
      </c>
      <c r="E1145">
        <v>1200</v>
      </c>
      <c r="F1145">
        <v>10</v>
      </c>
      <c r="G1145">
        <f t="shared" si="51"/>
        <v>12000</v>
      </c>
      <c r="H1145" t="s">
        <v>17</v>
      </c>
      <c r="I1145">
        <f t="shared" si="52"/>
        <v>1440</v>
      </c>
      <c r="J1145">
        <f t="shared" si="53"/>
        <v>14400</v>
      </c>
    </row>
    <row r="1146" spans="1:10" x14ac:dyDescent="0.45">
      <c r="A1146" t="s">
        <v>416</v>
      </c>
      <c r="B1146" s="1">
        <v>45709</v>
      </c>
      <c r="C1146" t="s">
        <v>4007</v>
      </c>
      <c r="D1146" t="s">
        <v>5015</v>
      </c>
      <c r="E1146">
        <v>48000</v>
      </c>
      <c r="F1146">
        <v>6</v>
      </c>
      <c r="G1146">
        <f t="shared" si="51"/>
        <v>288000</v>
      </c>
      <c r="H1146" t="s">
        <v>17</v>
      </c>
      <c r="I1146">
        <f t="shared" si="52"/>
        <v>57600</v>
      </c>
      <c r="J1146">
        <f t="shared" si="53"/>
        <v>345600</v>
      </c>
    </row>
    <row r="1147" spans="1:10" x14ac:dyDescent="0.45">
      <c r="A1147" t="s">
        <v>417</v>
      </c>
      <c r="B1147" s="1">
        <v>45709</v>
      </c>
      <c r="C1147" t="s">
        <v>4007</v>
      </c>
      <c r="D1147" t="s">
        <v>28</v>
      </c>
      <c r="E1147">
        <v>500</v>
      </c>
      <c r="F1147">
        <v>8</v>
      </c>
      <c r="G1147">
        <f t="shared" si="51"/>
        <v>4000</v>
      </c>
      <c r="H1147" t="s">
        <v>7</v>
      </c>
      <c r="I1147">
        <f t="shared" si="52"/>
        <v>600</v>
      </c>
      <c r="J1147">
        <f t="shared" si="53"/>
        <v>4800</v>
      </c>
    </row>
    <row r="1148" spans="1:10" x14ac:dyDescent="0.45">
      <c r="A1148" t="s">
        <v>3041</v>
      </c>
      <c r="B1148" s="1">
        <v>45709</v>
      </c>
      <c r="C1148" t="s">
        <v>33</v>
      </c>
      <c r="D1148" t="s">
        <v>34</v>
      </c>
      <c r="E1148">
        <v>1700</v>
      </c>
      <c r="F1148">
        <v>8</v>
      </c>
      <c r="G1148">
        <f t="shared" si="51"/>
        <v>13600</v>
      </c>
      <c r="H1148" t="s">
        <v>7</v>
      </c>
      <c r="I1148">
        <f t="shared" si="52"/>
        <v>2040</v>
      </c>
      <c r="J1148">
        <f t="shared" si="53"/>
        <v>16320</v>
      </c>
    </row>
    <row r="1149" spans="1:10" x14ac:dyDescent="0.45">
      <c r="A1149" t="s">
        <v>3424</v>
      </c>
      <c r="B1149" s="1">
        <v>45709</v>
      </c>
      <c r="C1149" t="s">
        <v>4007</v>
      </c>
      <c r="D1149" t="s">
        <v>2776</v>
      </c>
      <c r="E1149">
        <v>3600</v>
      </c>
      <c r="F1149">
        <v>6</v>
      </c>
      <c r="G1149">
        <f t="shared" si="51"/>
        <v>21600</v>
      </c>
      <c r="H1149" t="s">
        <v>7</v>
      </c>
      <c r="I1149">
        <f t="shared" si="52"/>
        <v>4320</v>
      </c>
      <c r="J1149">
        <f t="shared" si="53"/>
        <v>25920</v>
      </c>
    </row>
    <row r="1150" spans="1:10" x14ac:dyDescent="0.45">
      <c r="A1150" t="s">
        <v>3494</v>
      </c>
      <c r="B1150" s="1">
        <v>45709</v>
      </c>
      <c r="C1150" t="s">
        <v>2772</v>
      </c>
      <c r="D1150" t="s">
        <v>2775</v>
      </c>
      <c r="E1150">
        <v>9100</v>
      </c>
      <c r="F1150">
        <v>10</v>
      </c>
      <c r="G1150">
        <f t="shared" si="51"/>
        <v>91000</v>
      </c>
      <c r="H1150" t="s">
        <v>7</v>
      </c>
      <c r="I1150">
        <f t="shared" si="52"/>
        <v>10920</v>
      </c>
      <c r="J1150">
        <f t="shared" si="53"/>
        <v>109200</v>
      </c>
    </row>
    <row r="1151" spans="1:10" x14ac:dyDescent="0.45">
      <c r="A1151" t="s">
        <v>3682</v>
      </c>
      <c r="B1151" s="1">
        <v>45709</v>
      </c>
      <c r="C1151" t="s">
        <v>2772</v>
      </c>
      <c r="D1151" t="s">
        <v>2775</v>
      </c>
      <c r="E1151">
        <v>9100</v>
      </c>
      <c r="F1151">
        <v>4</v>
      </c>
      <c r="G1151">
        <f t="shared" si="51"/>
        <v>36400</v>
      </c>
      <c r="H1151" t="s">
        <v>21</v>
      </c>
      <c r="I1151">
        <f t="shared" si="52"/>
        <v>10920</v>
      </c>
      <c r="J1151">
        <f t="shared" si="53"/>
        <v>43680</v>
      </c>
    </row>
    <row r="1152" spans="1:10" x14ac:dyDescent="0.45">
      <c r="A1152" t="s">
        <v>3722</v>
      </c>
      <c r="B1152" s="1">
        <v>45709</v>
      </c>
      <c r="C1152" t="s">
        <v>4007</v>
      </c>
      <c r="D1152" t="s">
        <v>28</v>
      </c>
      <c r="E1152">
        <v>500</v>
      </c>
      <c r="F1152">
        <v>7</v>
      </c>
      <c r="G1152">
        <f t="shared" si="51"/>
        <v>3500</v>
      </c>
      <c r="H1152" t="s">
        <v>21</v>
      </c>
      <c r="I1152">
        <f t="shared" si="52"/>
        <v>600</v>
      </c>
      <c r="J1152">
        <f t="shared" si="53"/>
        <v>4200</v>
      </c>
    </row>
    <row r="1153" spans="1:10" x14ac:dyDescent="0.45">
      <c r="A1153" t="s">
        <v>3875</v>
      </c>
      <c r="B1153" s="1">
        <v>45709</v>
      </c>
      <c r="C1153" t="s">
        <v>4007</v>
      </c>
      <c r="D1153" t="s">
        <v>2773</v>
      </c>
      <c r="E1153">
        <v>3300</v>
      </c>
      <c r="F1153">
        <v>5</v>
      </c>
      <c r="G1153">
        <f t="shared" si="51"/>
        <v>16500</v>
      </c>
      <c r="H1153" t="s">
        <v>17</v>
      </c>
      <c r="I1153">
        <f t="shared" si="52"/>
        <v>3960</v>
      </c>
      <c r="J1153">
        <f t="shared" si="53"/>
        <v>19800</v>
      </c>
    </row>
    <row r="1154" spans="1:10" x14ac:dyDescent="0.45">
      <c r="A1154" t="s">
        <v>4225</v>
      </c>
      <c r="B1154" s="1">
        <v>45709</v>
      </c>
      <c r="C1154" t="s">
        <v>3979</v>
      </c>
      <c r="D1154" t="s">
        <v>3987</v>
      </c>
      <c r="E1154">
        <v>8000</v>
      </c>
      <c r="F1154" s="3">
        <v>3</v>
      </c>
      <c r="G1154">
        <f t="shared" ref="G1154:G1217" si="54">E1154*F1154</f>
        <v>24000</v>
      </c>
      <c r="H1154" t="s">
        <v>21</v>
      </c>
      <c r="I1154">
        <f t="shared" ref="I1154:I1217" si="55">E1154*1.2</f>
        <v>9600</v>
      </c>
      <c r="J1154">
        <f t="shared" ref="J1154:J1217" si="56">I1154*F1154</f>
        <v>28800</v>
      </c>
    </row>
    <row r="1155" spans="1:10" x14ac:dyDescent="0.45">
      <c r="A1155" t="s">
        <v>4231</v>
      </c>
      <c r="B1155" s="1">
        <v>45709</v>
      </c>
      <c r="C1155" t="s">
        <v>5008</v>
      </c>
      <c r="D1155" t="s">
        <v>3998</v>
      </c>
      <c r="E1155">
        <v>8000</v>
      </c>
      <c r="F1155" s="3">
        <v>1</v>
      </c>
      <c r="G1155">
        <f t="shared" si="54"/>
        <v>8000</v>
      </c>
      <c r="H1155" t="s">
        <v>17</v>
      </c>
      <c r="I1155">
        <f t="shared" si="55"/>
        <v>9600</v>
      </c>
      <c r="J1155">
        <f t="shared" si="56"/>
        <v>9600</v>
      </c>
    </row>
    <row r="1156" spans="1:10" x14ac:dyDescent="0.45">
      <c r="A1156" t="s">
        <v>4241</v>
      </c>
      <c r="B1156" s="1">
        <v>45709</v>
      </c>
      <c r="C1156" t="s">
        <v>5008</v>
      </c>
      <c r="D1156" t="s">
        <v>4003</v>
      </c>
      <c r="E1156">
        <v>10000</v>
      </c>
      <c r="F1156" s="3">
        <v>4</v>
      </c>
      <c r="G1156">
        <f t="shared" si="54"/>
        <v>40000</v>
      </c>
      <c r="H1156" t="s">
        <v>21</v>
      </c>
      <c r="I1156">
        <f t="shared" si="55"/>
        <v>12000</v>
      </c>
      <c r="J1156">
        <f t="shared" si="56"/>
        <v>48000</v>
      </c>
    </row>
    <row r="1157" spans="1:10" x14ac:dyDescent="0.45">
      <c r="A1157" t="s">
        <v>4672</v>
      </c>
      <c r="B1157" s="1">
        <v>45709</v>
      </c>
      <c r="C1157" t="s">
        <v>5009</v>
      </c>
      <c r="D1157" t="s">
        <v>4004</v>
      </c>
      <c r="E1157">
        <v>15000</v>
      </c>
      <c r="F1157" s="3">
        <v>2</v>
      </c>
      <c r="G1157">
        <f t="shared" si="54"/>
        <v>30000</v>
      </c>
      <c r="H1157" t="s">
        <v>21</v>
      </c>
      <c r="I1157">
        <f t="shared" si="55"/>
        <v>18000</v>
      </c>
      <c r="J1157">
        <f t="shared" si="56"/>
        <v>36000</v>
      </c>
    </row>
    <row r="1158" spans="1:10" x14ac:dyDescent="0.45">
      <c r="A1158" t="s">
        <v>4898</v>
      </c>
      <c r="B1158" s="1">
        <v>45709</v>
      </c>
      <c r="C1158" t="s">
        <v>3977</v>
      </c>
      <c r="D1158" t="s">
        <v>3991</v>
      </c>
      <c r="E1158">
        <v>2000</v>
      </c>
      <c r="F1158" s="3">
        <v>5</v>
      </c>
      <c r="G1158">
        <f t="shared" si="54"/>
        <v>10000</v>
      </c>
      <c r="H1158" t="s">
        <v>21</v>
      </c>
      <c r="I1158">
        <f t="shared" si="55"/>
        <v>2400</v>
      </c>
      <c r="J1158">
        <f t="shared" si="56"/>
        <v>12000</v>
      </c>
    </row>
    <row r="1159" spans="1:10" x14ac:dyDescent="0.45">
      <c r="A1159" t="s">
        <v>4958</v>
      </c>
      <c r="B1159" s="1">
        <v>45709</v>
      </c>
      <c r="C1159" t="s">
        <v>3977</v>
      </c>
      <c r="D1159" t="s">
        <v>3989</v>
      </c>
      <c r="E1159">
        <v>1000</v>
      </c>
      <c r="F1159" s="3">
        <v>3</v>
      </c>
      <c r="G1159">
        <f t="shared" si="54"/>
        <v>3000</v>
      </c>
      <c r="H1159" t="s">
        <v>21</v>
      </c>
      <c r="I1159">
        <f t="shared" si="55"/>
        <v>1200</v>
      </c>
      <c r="J1159">
        <f t="shared" si="56"/>
        <v>3600</v>
      </c>
    </row>
    <row r="1160" spans="1:10" x14ac:dyDescent="0.45">
      <c r="A1160" t="s">
        <v>418</v>
      </c>
      <c r="B1160" s="1">
        <v>45710</v>
      </c>
      <c r="C1160" t="s">
        <v>12</v>
      </c>
      <c r="D1160" t="s">
        <v>5020</v>
      </c>
      <c r="E1160">
        <v>2880</v>
      </c>
      <c r="F1160">
        <v>9</v>
      </c>
      <c r="G1160">
        <f t="shared" si="54"/>
        <v>25920</v>
      </c>
      <c r="H1160" t="s">
        <v>17</v>
      </c>
      <c r="I1160">
        <f t="shared" si="55"/>
        <v>3456</v>
      </c>
      <c r="J1160">
        <f t="shared" si="56"/>
        <v>31104</v>
      </c>
    </row>
    <row r="1161" spans="1:10" x14ac:dyDescent="0.45">
      <c r="A1161" t="s">
        <v>419</v>
      </c>
      <c r="B1161" s="1">
        <v>45710</v>
      </c>
      <c r="C1161" t="s">
        <v>12</v>
      </c>
      <c r="D1161" t="s">
        <v>5020</v>
      </c>
      <c r="E1161">
        <v>2880</v>
      </c>
      <c r="F1161">
        <v>6</v>
      </c>
      <c r="G1161">
        <f t="shared" si="54"/>
        <v>17280</v>
      </c>
      <c r="H1161" t="s">
        <v>17</v>
      </c>
      <c r="I1161">
        <f t="shared" si="55"/>
        <v>3456</v>
      </c>
      <c r="J1161">
        <f t="shared" si="56"/>
        <v>20736</v>
      </c>
    </row>
    <row r="1162" spans="1:10" x14ac:dyDescent="0.45">
      <c r="A1162" t="s">
        <v>420</v>
      </c>
      <c r="B1162" s="1">
        <v>45710</v>
      </c>
      <c r="C1162" t="s">
        <v>33</v>
      </c>
      <c r="D1162" t="s">
        <v>16</v>
      </c>
      <c r="E1162">
        <v>1200</v>
      </c>
      <c r="F1162">
        <v>2</v>
      </c>
      <c r="G1162">
        <f t="shared" si="54"/>
        <v>2400</v>
      </c>
      <c r="H1162" t="s">
        <v>7</v>
      </c>
      <c r="I1162">
        <f t="shared" si="55"/>
        <v>1440</v>
      </c>
      <c r="J1162">
        <f t="shared" si="56"/>
        <v>2880</v>
      </c>
    </row>
    <row r="1163" spans="1:10" x14ac:dyDescent="0.45">
      <c r="A1163" t="s">
        <v>421</v>
      </c>
      <c r="B1163" s="1">
        <v>45710</v>
      </c>
      <c r="C1163" t="s">
        <v>12</v>
      </c>
      <c r="D1163" t="s">
        <v>5022</v>
      </c>
      <c r="E1163">
        <v>2880</v>
      </c>
      <c r="F1163">
        <v>6</v>
      </c>
      <c r="G1163">
        <f t="shared" si="54"/>
        <v>17280</v>
      </c>
      <c r="H1163" t="s">
        <v>17</v>
      </c>
      <c r="I1163">
        <f t="shared" si="55"/>
        <v>3456</v>
      </c>
      <c r="J1163">
        <f t="shared" si="56"/>
        <v>20736</v>
      </c>
    </row>
    <row r="1164" spans="1:10" x14ac:dyDescent="0.45">
      <c r="A1164" t="s">
        <v>422</v>
      </c>
      <c r="B1164" s="1">
        <v>45710</v>
      </c>
      <c r="C1164" t="s">
        <v>12</v>
      </c>
      <c r="D1164" t="s">
        <v>5023</v>
      </c>
      <c r="E1164">
        <v>1750</v>
      </c>
      <c r="F1164">
        <v>5</v>
      </c>
      <c r="G1164">
        <f t="shared" si="54"/>
        <v>8750</v>
      </c>
      <c r="H1164" t="s">
        <v>17</v>
      </c>
      <c r="I1164">
        <f t="shared" si="55"/>
        <v>2100</v>
      </c>
      <c r="J1164">
        <f t="shared" si="56"/>
        <v>10500</v>
      </c>
    </row>
    <row r="1165" spans="1:10" x14ac:dyDescent="0.45">
      <c r="A1165" t="s">
        <v>423</v>
      </c>
      <c r="B1165" s="1">
        <v>45710</v>
      </c>
      <c r="C1165" t="s">
        <v>4007</v>
      </c>
      <c r="D1165" t="s">
        <v>4005</v>
      </c>
      <c r="E1165">
        <v>60000</v>
      </c>
      <c r="F1165">
        <v>8</v>
      </c>
      <c r="G1165">
        <f t="shared" si="54"/>
        <v>480000</v>
      </c>
      <c r="H1165" t="s">
        <v>21</v>
      </c>
      <c r="I1165">
        <f t="shared" si="55"/>
        <v>72000</v>
      </c>
      <c r="J1165">
        <f t="shared" si="56"/>
        <v>576000</v>
      </c>
    </row>
    <row r="1166" spans="1:10" x14ac:dyDescent="0.45">
      <c r="A1166" t="s">
        <v>424</v>
      </c>
      <c r="B1166" s="1">
        <v>45710</v>
      </c>
      <c r="C1166" t="s">
        <v>4007</v>
      </c>
      <c r="D1166" t="s">
        <v>28</v>
      </c>
      <c r="E1166">
        <v>500</v>
      </c>
      <c r="F1166">
        <v>5</v>
      </c>
      <c r="G1166">
        <f t="shared" si="54"/>
        <v>2500</v>
      </c>
      <c r="H1166" t="s">
        <v>17</v>
      </c>
      <c r="I1166">
        <f t="shared" si="55"/>
        <v>600</v>
      </c>
      <c r="J1166">
        <f t="shared" si="56"/>
        <v>3000</v>
      </c>
    </row>
    <row r="1167" spans="1:10" x14ac:dyDescent="0.45">
      <c r="A1167" t="s">
        <v>425</v>
      </c>
      <c r="B1167" s="1">
        <v>45710</v>
      </c>
      <c r="C1167" t="s">
        <v>12</v>
      </c>
      <c r="D1167" t="s">
        <v>5021</v>
      </c>
      <c r="E1167">
        <v>2880</v>
      </c>
      <c r="F1167">
        <v>6</v>
      </c>
      <c r="G1167">
        <f t="shared" si="54"/>
        <v>17280</v>
      </c>
      <c r="H1167" t="s">
        <v>17</v>
      </c>
      <c r="I1167">
        <f t="shared" si="55"/>
        <v>3456</v>
      </c>
      <c r="J1167">
        <f t="shared" si="56"/>
        <v>20736</v>
      </c>
    </row>
    <row r="1168" spans="1:10" x14ac:dyDescent="0.45">
      <c r="A1168" t="s">
        <v>426</v>
      </c>
      <c r="B1168" s="1">
        <v>45710</v>
      </c>
      <c r="C1168" t="s">
        <v>33</v>
      </c>
      <c r="D1168" t="s">
        <v>16</v>
      </c>
      <c r="E1168">
        <v>1200</v>
      </c>
      <c r="F1168">
        <v>6</v>
      </c>
      <c r="G1168">
        <f t="shared" si="54"/>
        <v>7200</v>
      </c>
      <c r="H1168" t="s">
        <v>7</v>
      </c>
      <c r="I1168">
        <f t="shared" si="55"/>
        <v>1440</v>
      </c>
      <c r="J1168">
        <f t="shared" si="56"/>
        <v>8640</v>
      </c>
    </row>
    <row r="1169" spans="1:10" x14ac:dyDescent="0.45">
      <c r="A1169" t="s">
        <v>427</v>
      </c>
      <c r="B1169" s="1">
        <v>45710</v>
      </c>
      <c r="C1169" t="s">
        <v>12</v>
      </c>
      <c r="D1169" t="s">
        <v>5022</v>
      </c>
      <c r="E1169">
        <v>2880</v>
      </c>
      <c r="F1169">
        <v>2</v>
      </c>
      <c r="G1169">
        <f t="shared" si="54"/>
        <v>5760</v>
      </c>
      <c r="H1169" t="s">
        <v>7</v>
      </c>
      <c r="I1169">
        <f t="shared" si="55"/>
        <v>3456</v>
      </c>
      <c r="J1169">
        <f t="shared" si="56"/>
        <v>6912</v>
      </c>
    </row>
    <row r="1170" spans="1:10" x14ac:dyDescent="0.45">
      <c r="A1170" t="s">
        <v>2781</v>
      </c>
      <c r="B1170" s="1">
        <v>45710</v>
      </c>
      <c r="C1170" t="s">
        <v>4007</v>
      </c>
      <c r="D1170" t="s">
        <v>2773</v>
      </c>
      <c r="E1170">
        <v>3300</v>
      </c>
      <c r="F1170">
        <v>1</v>
      </c>
      <c r="G1170">
        <f t="shared" si="54"/>
        <v>3300</v>
      </c>
      <c r="H1170" t="s">
        <v>17</v>
      </c>
      <c r="I1170">
        <f t="shared" si="55"/>
        <v>3960</v>
      </c>
      <c r="J1170">
        <f t="shared" si="56"/>
        <v>3960</v>
      </c>
    </row>
    <row r="1171" spans="1:10" x14ac:dyDescent="0.45">
      <c r="A1171" t="s">
        <v>3019</v>
      </c>
      <c r="B1171" s="1">
        <v>45710</v>
      </c>
      <c r="C1171" t="s">
        <v>4007</v>
      </c>
      <c r="D1171" t="s">
        <v>2773</v>
      </c>
      <c r="E1171">
        <v>3300</v>
      </c>
      <c r="F1171">
        <v>6</v>
      </c>
      <c r="G1171">
        <f t="shared" si="54"/>
        <v>19800</v>
      </c>
      <c r="H1171" t="s">
        <v>17</v>
      </c>
      <c r="I1171">
        <f t="shared" si="55"/>
        <v>3960</v>
      </c>
      <c r="J1171">
        <f t="shared" si="56"/>
        <v>23760</v>
      </c>
    </row>
    <row r="1172" spans="1:10" x14ac:dyDescent="0.45">
      <c r="A1172" t="s">
        <v>3029</v>
      </c>
      <c r="B1172" s="1">
        <v>45710</v>
      </c>
      <c r="C1172" t="s">
        <v>4007</v>
      </c>
      <c r="D1172" t="s">
        <v>2776</v>
      </c>
      <c r="E1172">
        <v>3600</v>
      </c>
      <c r="F1172">
        <v>8</v>
      </c>
      <c r="G1172">
        <f t="shared" si="54"/>
        <v>28800</v>
      </c>
      <c r="H1172" t="s">
        <v>7</v>
      </c>
      <c r="I1172">
        <f t="shared" si="55"/>
        <v>4320</v>
      </c>
      <c r="J1172">
        <f t="shared" si="56"/>
        <v>34560</v>
      </c>
    </row>
    <row r="1173" spans="1:10" x14ac:dyDescent="0.45">
      <c r="A1173" t="s">
        <v>3536</v>
      </c>
      <c r="B1173" s="1">
        <v>45710</v>
      </c>
      <c r="C1173" t="s">
        <v>33</v>
      </c>
      <c r="D1173" t="s">
        <v>34</v>
      </c>
      <c r="E1173">
        <v>1700</v>
      </c>
      <c r="F1173">
        <v>9</v>
      </c>
      <c r="G1173">
        <f t="shared" si="54"/>
        <v>15300</v>
      </c>
      <c r="H1173" t="s">
        <v>17</v>
      </c>
      <c r="I1173">
        <f t="shared" si="55"/>
        <v>2040</v>
      </c>
      <c r="J1173">
        <f t="shared" si="56"/>
        <v>18360</v>
      </c>
    </row>
    <row r="1174" spans="1:10" x14ac:dyDescent="0.45">
      <c r="A1174" t="s">
        <v>3606</v>
      </c>
      <c r="B1174" s="1">
        <v>45710</v>
      </c>
      <c r="C1174" t="s">
        <v>4007</v>
      </c>
      <c r="D1174" t="s">
        <v>28</v>
      </c>
      <c r="E1174">
        <v>500</v>
      </c>
      <c r="F1174">
        <v>3</v>
      </c>
      <c r="G1174">
        <f t="shared" si="54"/>
        <v>1500</v>
      </c>
      <c r="H1174" t="s">
        <v>7</v>
      </c>
      <c r="I1174">
        <f t="shared" si="55"/>
        <v>600</v>
      </c>
      <c r="J1174">
        <f t="shared" si="56"/>
        <v>1800</v>
      </c>
    </row>
    <row r="1175" spans="1:10" x14ac:dyDescent="0.45">
      <c r="A1175" t="s">
        <v>3687</v>
      </c>
      <c r="B1175" s="1">
        <v>45710</v>
      </c>
      <c r="C1175" t="s">
        <v>4007</v>
      </c>
      <c r="D1175" t="s">
        <v>28</v>
      </c>
      <c r="E1175">
        <v>500</v>
      </c>
      <c r="F1175">
        <v>4</v>
      </c>
      <c r="G1175">
        <f t="shared" si="54"/>
        <v>2000</v>
      </c>
      <c r="H1175" t="s">
        <v>21</v>
      </c>
      <c r="I1175">
        <f t="shared" si="55"/>
        <v>600</v>
      </c>
      <c r="J1175">
        <f t="shared" si="56"/>
        <v>2400</v>
      </c>
    </row>
    <row r="1176" spans="1:10" x14ac:dyDescent="0.45">
      <c r="A1176" t="s">
        <v>4151</v>
      </c>
      <c r="B1176" s="1">
        <v>45710</v>
      </c>
      <c r="C1176" t="s">
        <v>4007</v>
      </c>
      <c r="D1176" t="s">
        <v>5015</v>
      </c>
      <c r="E1176">
        <v>48000</v>
      </c>
      <c r="F1176" s="3">
        <v>1</v>
      </c>
      <c r="G1176">
        <f t="shared" si="54"/>
        <v>48000</v>
      </c>
      <c r="H1176" t="s">
        <v>7</v>
      </c>
      <c r="I1176">
        <f t="shared" si="55"/>
        <v>57600</v>
      </c>
      <c r="J1176">
        <f t="shared" si="56"/>
        <v>57600</v>
      </c>
    </row>
    <row r="1177" spans="1:10" x14ac:dyDescent="0.45">
      <c r="A1177" t="s">
        <v>4385</v>
      </c>
      <c r="B1177" s="1">
        <v>45710</v>
      </c>
      <c r="C1177" t="s">
        <v>5009</v>
      </c>
      <c r="D1177" t="s">
        <v>4000</v>
      </c>
      <c r="E1177">
        <v>3000</v>
      </c>
      <c r="F1177" s="3">
        <v>7</v>
      </c>
      <c r="G1177">
        <f t="shared" si="54"/>
        <v>21000</v>
      </c>
      <c r="H1177" t="s">
        <v>7</v>
      </c>
      <c r="I1177">
        <f t="shared" si="55"/>
        <v>3600</v>
      </c>
      <c r="J1177">
        <f t="shared" si="56"/>
        <v>25200</v>
      </c>
    </row>
    <row r="1178" spans="1:10" x14ac:dyDescent="0.45">
      <c r="A1178" t="s">
        <v>4411</v>
      </c>
      <c r="B1178" s="1">
        <v>45710</v>
      </c>
      <c r="C1178" t="s">
        <v>5008</v>
      </c>
      <c r="D1178" t="s">
        <v>3986</v>
      </c>
      <c r="E1178">
        <v>12000</v>
      </c>
      <c r="F1178" s="3">
        <v>5</v>
      </c>
      <c r="G1178">
        <f t="shared" si="54"/>
        <v>60000</v>
      </c>
      <c r="H1178" t="s">
        <v>17</v>
      </c>
      <c r="I1178">
        <f t="shared" si="55"/>
        <v>14400</v>
      </c>
      <c r="J1178">
        <f t="shared" si="56"/>
        <v>72000</v>
      </c>
    </row>
    <row r="1179" spans="1:10" x14ac:dyDescent="0.45">
      <c r="A1179" t="s">
        <v>4442</v>
      </c>
      <c r="B1179" s="1">
        <v>45710</v>
      </c>
      <c r="C1179" t="s">
        <v>5008</v>
      </c>
      <c r="D1179" t="s">
        <v>4003</v>
      </c>
      <c r="E1179">
        <v>10000</v>
      </c>
      <c r="F1179" s="3">
        <v>1</v>
      </c>
      <c r="G1179">
        <f t="shared" si="54"/>
        <v>10000</v>
      </c>
      <c r="H1179" t="s">
        <v>7</v>
      </c>
      <c r="I1179">
        <f t="shared" si="55"/>
        <v>12000</v>
      </c>
      <c r="J1179">
        <f t="shared" si="56"/>
        <v>12000</v>
      </c>
    </row>
    <row r="1180" spans="1:10" x14ac:dyDescent="0.45">
      <c r="A1180" t="s">
        <v>4559</v>
      </c>
      <c r="B1180" s="1">
        <v>45710</v>
      </c>
      <c r="C1180" t="s">
        <v>5008</v>
      </c>
      <c r="D1180" t="s">
        <v>3995</v>
      </c>
      <c r="E1180">
        <v>15000</v>
      </c>
      <c r="F1180" s="3">
        <v>9</v>
      </c>
      <c r="G1180">
        <f t="shared" si="54"/>
        <v>135000</v>
      </c>
      <c r="H1180" t="s">
        <v>21</v>
      </c>
      <c r="I1180">
        <f t="shared" si="55"/>
        <v>18000</v>
      </c>
      <c r="J1180">
        <f t="shared" si="56"/>
        <v>162000</v>
      </c>
    </row>
    <row r="1181" spans="1:10" x14ac:dyDescent="0.45">
      <c r="A1181" t="s">
        <v>4760</v>
      </c>
      <c r="B1181" s="1">
        <v>45710</v>
      </c>
      <c r="C1181" t="s">
        <v>3979</v>
      </c>
      <c r="D1181" t="s">
        <v>3983</v>
      </c>
      <c r="E1181">
        <v>1000</v>
      </c>
      <c r="F1181" s="3">
        <v>10</v>
      </c>
      <c r="G1181">
        <f t="shared" si="54"/>
        <v>10000</v>
      </c>
      <c r="H1181" t="s">
        <v>21</v>
      </c>
      <c r="I1181">
        <f t="shared" si="55"/>
        <v>1200</v>
      </c>
      <c r="J1181">
        <f t="shared" si="56"/>
        <v>12000</v>
      </c>
    </row>
    <row r="1182" spans="1:10" x14ac:dyDescent="0.45">
      <c r="A1182" t="s">
        <v>4805</v>
      </c>
      <c r="B1182" s="1">
        <v>45710</v>
      </c>
      <c r="C1182" t="s">
        <v>5009</v>
      </c>
      <c r="D1182" t="s">
        <v>3982</v>
      </c>
      <c r="E1182">
        <v>13000</v>
      </c>
      <c r="F1182" s="3">
        <v>10</v>
      </c>
      <c r="G1182">
        <f t="shared" si="54"/>
        <v>130000</v>
      </c>
      <c r="H1182" t="s">
        <v>17</v>
      </c>
      <c r="I1182">
        <f t="shared" si="55"/>
        <v>15600</v>
      </c>
      <c r="J1182">
        <f t="shared" si="56"/>
        <v>156000</v>
      </c>
    </row>
    <row r="1183" spans="1:10" x14ac:dyDescent="0.45">
      <c r="A1183" t="s">
        <v>4926</v>
      </c>
      <c r="B1183" s="1">
        <v>45710</v>
      </c>
      <c r="C1183" t="s">
        <v>33</v>
      </c>
      <c r="D1183" t="s">
        <v>3985</v>
      </c>
      <c r="E1183">
        <v>1950</v>
      </c>
      <c r="F1183" s="3">
        <v>3</v>
      </c>
      <c r="G1183">
        <f t="shared" si="54"/>
        <v>5850</v>
      </c>
      <c r="H1183" t="s">
        <v>17</v>
      </c>
      <c r="I1183">
        <f t="shared" si="55"/>
        <v>2340</v>
      </c>
      <c r="J1183">
        <f t="shared" si="56"/>
        <v>7020</v>
      </c>
    </row>
    <row r="1184" spans="1:10" x14ac:dyDescent="0.45">
      <c r="A1184" t="s">
        <v>4930</v>
      </c>
      <c r="B1184" s="1">
        <v>45710</v>
      </c>
      <c r="C1184" t="s">
        <v>33</v>
      </c>
      <c r="D1184" t="s">
        <v>4001</v>
      </c>
      <c r="E1184">
        <v>500</v>
      </c>
      <c r="F1184" s="3">
        <v>2</v>
      </c>
      <c r="G1184">
        <f t="shared" si="54"/>
        <v>1000</v>
      </c>
      <c r="H1184" t="s">
        <v>7</v>
      </c>
      <c r="I1184">
        <f t="shared" si="55"/>
        <v>600</v>
      </c>
      <c r="J1184">
        <f t="shared" si="56"/>
        <v>1200</v>
      </c>
    </row>
    <row r="1185" spans="1:10" x14ac:dyDescent="0.45">
      <c r="A1185" t="s">
        <v>5001</v>
      </c>
      <c r="B1185" s="1">
        <v>45710</v>
      </c>
      <c r="C1185" t="s">
        <v>5008</v>
      </c>
      <c r="D1185" t="s">
        <v>3995</v>
      </c>
      <c r="E1185">
        <v>15000</v>
      </c>
      <c r="F1185" s="3">
        <v>10</v>
      </c>
      <c r="G1185">
        <f t="shared" si="54"/>
        <v>150000</v>
      </c>
      <c r="H1185" t="s">
        <v>17</v>
      </c>
      <c r="I1185">
        <f t="shared" si="55"/>
        <v>18000</v>
      </c>
      <c r="J1185">
        <f t="shared" si="56"/>
        <v>180000</v>
      </c>
    </row>
    <row r="1186" spans="1:10" x14ac:dyDescent="0.45">
      <c r="A1186" t="s">
        <v>5006</v>
      </c>
      <c r="B1186" s="1">
        <v>45710</v>
      </c>
      <c r="C1186" t="s">
        <v>33</v>
      </c>
      <c r="D1186" t="s">
        <v>4001</v>
      </c>
      <c r="E1186">
        <v>500</v>
      </c>
      <c r="F1186" s="3">
        <v>1</v>
      </c>
      <c r="G1186">
        <f t="shared" si="54"/>
        <v>500</v>
      </c>
      <c r="H1186" t="s">
        <v>17</v>
      </c>
      <c r="I1186">
        <f t="shared" si="55"/>
        <v>600</v>
      </c>
      <c r="J1186">
        <f t="shared" si="56"/>
        <v>600</v>
      </c>
    </row>
    <row r="1187" spans="1:10" x14ac:dyDescent="0.45">
      <c r="A1187" t="s">
        <v>428</v>
      </c>
      <c r="B1187" s="1">
        <v>45711</v>
      </c>
      <c r="C1187" t="s">
        <v>9</v>
      </c>
      <c r="D1187" t="s">
        <v>19</v>
      </c>
      <c r="E1187">
        <v>3000</v>
      </c>
      <c r="F1187">
        <v>1</v>
      </c>
      <c r="G1187">
        <f t="shared" si="54"/>
        <v>3000</v>
      </c>
      <c r="H1187" t="s">
        <v>21</v>
      </c>
      <c r="I1187">
        <f t="shared" si="55"/>
        <v>3600</v>
      </c>
      <c r="J1187">
        <f t="shared" si="56"/>
        <v>3600</v>
      </c>
    </row>
    <row r="1188" spans="1:10" x14ac:dyDescent="0.45">
      <c r="A1188" t="s">
        <v>429</v>
      </c>
      <c r="B1188" s="1">
        <v>45711</v>
      </c>
      <c r="C1188" t="s">
        <v>4007</v>
      </c>
      <c r="D1188" t="s">
        <v>39</v>
      </c>
      <c r="E1188">
        <v>6000</v>
      </c>
      <c r="F1188">
        <v>6</v>
      </c>
      <c r="G1188">
        <f t="shared" si="54"/>
        <v>36000</v>
      </c>
      <c r="H1188" t="s">
        <v>7</v>
      </c>
      <c r="I1188">
        <f t="shared" si="55"/>
        <v>7200</v>
      </c>
      <c r="J1188">
        <f t="shared" si="56"/>
        <v>43200</v>
      </c>
    </row>
    <row r="1189" spans="1:10" x14ac:dyDescent="0.45">
      <c r="A1189" t="s">
        <v>430</v>
      </c>
      <c r="B1189" s="1">
        <v>45711</v>
      </c>
      <c r="C1189" t="s">
        <v>12</v>
      </c>
      <c r="D1189" t="s">
        <v>5023</v>
      </c>
      <c r="E1189">
        <v>1750</v>
      </c>
      <c r="F1189">
        <v>4</v>
      </c>
      <c r="G1189">
        <f t="shared" si="54"/>
        <v>7000</v>
      </c>
      <c r="H1189" t="s">
        <v>21</v>
      </c>
      <c r="I1189">
        <f t="shared" si="55"/>
        <v>2100</v>
      </c>
      <c r="J1189">
        <f t="shared" si="56"/>
        <v>8400</v>
      </c>
    </row>
    <row r="1190" spans="1:10" x14ac:dyDescent="0.45">
      <c r="A1190" t="s">
        <v>431</v>
      </c>
      <c r="B1190" s="1">
        <v>45711</v>
      </c>
      <c r="C1190" t="s">
        <v>33</v>
      </c>
      <c r="D1190" t="s">
        <v>42</v>
      </c>
      <c r="E1190">
        <v>6900</v>
      </c>
      <c r="F1190">
        <v>3</v>
      </c>
      <c r="G1190">
        <f t="shared" si="54"/>
        <v>20700</v>
      </c>
      <c r="H1190" t="s">
        <v>17</v>
      </c>
      <c r="I1190">
        <f t="shared" si="55"/>
        <v>8280</v>
      </c>
      <c r="J1190">
        <f t="shared" si="56"/>
        <v>24840</v>
      </c>
    </row>
    <row r="1191" spans="1:10" x14ac:dyDescent="0.45">
      <c r="A1191" t="s">
        <v>432</v>
      </c>
      <c r="B1191" s="1">
        <v>45711</v>
      </c>
      <c r="C1191" t="s">
        <v>33</v>
      </c>
      <c r="D1191" t="s">
        <v>14</v>
      </c>
      <c r="E1191">
        <v>800</v>
      </c>
      <c r="F1191">
        <v>7</v>
      </c>
      <c r="G1191">
        <f t="shared" si="54"/>
        <v>5600</v>
      </c>
      <c r="H1191" t="s">
        <v>17</v>
      </c>
      <c r="I1191">
        <f t="shared" si="55"/>
        <v>960</v>
      </c>
      <c r="J1191">
        <f t="shared" si="56"/>
        <v>6720</v>
      </c>
    </row>
    <row r="1192" spans="1:10" x14ac:dyDescent="0.45">
      <c r="A1192" t="s">
        <v>433</v>
      </c>
      <c r="B1192" s="1">
        <v>45711</v>
      </c>
      <c r="C1192" t="s">
        <v>33</v>
      </c>
      <c r="D1192" t="s">
        <v>16</v>
      </c>
      <c r="E1192">
        <v>1200</v>
      </c>
      <c r="F1192">
        <v>10</v>
      </c>
      <c r="G1192">
        <f t="shared" si="54"/>
        <v>12000</v>
      </c>
      <c r="H1192" t="s">
        <v>17</v>
      </c>
      <c r="I1192">
        <f t="shared" si="55"/>
        <v>1440</v>
      </c>
      <c r="J1192">
        <f t="shared" si="56"/>
        <v>14400</v>
      </c>
    </row>
    <row r="1193" spans="1:10" x14ac:dyDescent="0.45">
      <c r="A1193" t="s">
        <v>434</v>
      </c>
      <c r="B1193" s="1">
        <v>45711</v>
      </c>
      <c r="C1193" t="s">
        <v>33</v>
      </c>
      <c r="D1193" t="s">
        <v>14</v>
      </c>
      <c r="E1193">
        <v>800</v>
      </c>
      <c r="F1193">
        <v>1</v>
      </c>
      <c r="G1193">
        <f t="shared" si="54"/>
        <v>800</v>
      </c>
      <c r="H1193" t="s">
        <v>7</v>
      </c>
      <c r="I1193">
        <f t="shared" si="55"/>
        <v>960</v>
      </c>
      <c r="J1193">
        <f t="shared" si="56"/>
        <v>960</v>
      </c>
    </row>
    <row r="1194" spans="1:10" x14ac:dyDescent="0.45">
      <c r="A1194" t="s">
        <v>435</v>
      </c>
      <c r="B1194" s="1">
        <v>45711</v>
      </c>
      <c r="C1194" t="s">
        <v>12</v>
      </c>
      <c r="D1194" t="s">
        <v>5020</v>
      </c>
      <c r="E1194">
        <v>2880</v>
      </c>
      <c r="F1194">
        <v>5</v>
      </c>
      <c r="G1194">
        <f t="shared" si="54"/>
        <v>14400</v>
      </c>
      <c r="H1194" t="s">
        <v>7</v>
      </c>
      <c r="I1194">
        <f t="shared" si="55"/>
        <v>3456</v>
      </c>
      <c r="J1194">
        <f t="shared" si="56"/>
        <v>17280</v>
      </c>
    </row>
    <row r="1195" spans="1:10" x14ac:dyDescent="0.45">
      <c r="A1195" t="s">
        <v>3188</v>
      </c>
      <c r="B1195" s="1">
        <v>45711</v>
      </c>
      <c r="C1195" t="s">
        <v>4007</v>
      </c>
      <c r="D1195" t="s">
        <v>28</v>
      </c>
      <c r="E1195">
        <v>500</v>
      </c>
      <c r="F1195">
        <v>4</v>
      </c>
      <c r="G1195">
        <f t="shared" si="54"/>
        <v>2000</v>
      </c>
      <c r="H1195" t="s">
        <v>17</v>
      </c>
      <c r="I1195">
        <f t="shared" si="55"/>
        <v>600</v>
      </c>
      <c r="J1195">
        <f t="shared" si="56"/>
        <v>2400</v>
      </c>
    </row>
    <row r="1196" spans="1:10" x14ac:dyDescent="0.45">
      <c r="A1196" t="s">
        <v>3633</v>
      </c>
      <c r="B1196" s="1">
        <v>45711</v>
      </c>
      <c r="C1196" t="s">
        <v>4007</v>
      </c>
      <c r="D1196" t="s">
        <v>2770</v>
      </c>
      <c r="E1196">
        <v>600</v>
      </c>
      <c r="F1196">
        <v>3</v>
      </c>
      <c r="G1196">
        <f t="shared" si="54"/>
        <v>1800</v>
      </c>
      <c r="H1196" t="s">
        <v>7</v>
      </c>
      <c r="I1196">
        <f t="shared" si="55"/>
        <v>720</v>
      </c>
      <c r="J1196">
        <f t="shared" si="56"/>
        <v>2160</v>
      </c>
    </row>
    <row r="1197" spans="1:10" x14ac:dyDescent="0.45">
      <c r="A1197" t="s">
        <v>4091</v>
      </c>
      <c r="B1197" s="1">
        <v>45711</v>
      </c>
      <c r="C1197" t="s">
        <v>4007</v>
      </c>
      <c r="D1197" t="s">
        <v>3997</v>
      </c>
      <c r="E1197">
        <v>62000</v>
      </c>
      <c r="F1197" s="3">
        <v>4</v>
      </c>
      <c r="G1197">
        <f t="shared" si="54"/>
        <v>248000</v>
      </c>
      <c r="H1197" t="s">
        <v>21</v>
      </c>
      <c r="I1197">
        <f t="shared" si="55"/>
        <v>74400</v>
      </c>
      <c r="J1197">
        <f t="shared" si="56"/>
        <v>297600</v>
      </c>
    </row>
    <row r="1198" spans="1:10" x14ac:dyDescent="0.45">
      <c r="A1198" t="s">
        <v>4312</v>
      </c>
      <c r="B1198" s="1">
        <v>45711</v>
      </c>
      <c r="C1198" t="s">
        <v>3979</v>
      </c>
      <c r="D1198" t="s">
        <v>3987</v>
      </c>
      <c r="E1198">
        <v>8000</v>
      </c>
      <c r="F1198" s="3">
        <v>8</v>
      </c>
      <c r="G1198">
        <f t="shared" si="54"/>
        <v>64000</v>
      </c>
      <c r="H1198" t="s">
        <v>7</v>
      </c>
      <c r="I1198">
        <f t="shared" si="55"/>
        <v>9600</v>
      </c>
      <c r="J1198">
        <f t="shared" si="56"/>
        <v>76800</v>
      </c>
    </row>
    <row r="1199" spans="1:10" x14ac:dyDescent="0.45">
      <c r="A1199" t="s">
        <v>4467</v>
      </c>
      <c r="B1199" s="1">
        <v>45711</v>
      </c>
      <c r="C1199" t="s">
        <v>4007</v>
      </c>
      <c r="D1199" t="s">
        <v>3999</v>
      </c>
      <c r="E1199">
        <v>50000</v>
      </c>
      <c r="F1199" s="3">
        <v>1</v>
      </c>
      <c r="G1199">
        <f t="shared" si="54"/>
        <v>50000</v>
      </c>
      <c r="H1199" t="s">
        <v>21</v>
      </c>
      <c r="I1199">
        <f t="shared" si="55"/>
        <v>60000</v>
      </c>
      <c r="J1199">
        <f t="shared" si="56"/>
        <v>60000</v>
      </c>
    </row>
    <row r="1200" spans="1:10" x14ac:dyDescent="0.45">
      <c r="A1200" t="s">
        <v>4522</v>
      </c>
      <c r="B1200" s="1">
        <v>45711</v>
      </c>
      <c r="C1200" t="s">
        <v>5009</v>
      </c>
      <c r="D1200" t="s">
        <v>3982</v>
      </c>
      <c r="E1200">
        <v>13000</v>
      </c>
      <c r="F1200" s="3">
        <v>7</v>
      </c>
      <c r="G1200">
        <f t="shared" si="54"/>
        <v>91000</v>
      </c>
      <c r="H1200" t="s">
        <v>21</v>
      </c>
      <c r="I1200">
        <f t="shared" si="55"/>
        <v>15600</v>
      </c>
      <c r="J1200">
        <f t="shared" si="56"/>
        <v>109200</v>
      </c>
    </row>
    <row r="1201" spans="1:10" x14ac:dyDescent="0.45">
      <c r="A1201" t="s">
        <v>4648</v>
      </c>
      <c r="B1201" s="1">
        <v>45711</v>
      </c>
      <c r="C1201" t="s">
        <v>4007</v>
      </c>
      <c r="D1201" t="s">
        <v>4005</v>
      </c>
      <c r="E1201">
        <v>60000</v>
      </c>
      <c r="F1201" s="3">
        <v>3</v>
      </c>
      <c r="G1201">
        <f t="shared" si="54"/>
        <v>180000</v>
      </c>
      <c r="H1201" t="s">
        <v>21</v>
      </c>
      <c r="I1201">
        <f t="shared" si="55"/>
        <v>72000</v>
      </c>
      <c r="J1201">
        <f t="shared" si="56"/>
        <v>216000</v>
      </c>
    </row>
    <row r="1202" spans="1:10" x14ac:dyDescent="0.45">
      <c r="A1202" t="s">
        <v>4675</v>
      </c>
      <c r="B1202" s="1">
        <v>45711</v>
      </c>
      <c r="C1202" t="s">
        <v>3977</v>
      </c>
      <c r="D1202" t="s">
        <v>3991</v>
      </c>
      <c r="E1202">
        <v>2000</v>
      </c>
      <c r="F1202" s="3">
        <v>4</v>
      </c>
      <c r="G1202">
        <f t="shared" si="54"/>
        <v>8000</v>
      </c>
      <c r="H1202" t="s">
        <v>17</v>
      </c>
      <c r="I1202">
        <f t="shared" si="55"/>
        <v>2400</v>
      </c>
      <c r="J1202">
        <f t="shared" si="56"/>
        <v>9600</v>
      </c>
    </row>
    <row r="1203" spans="1:10" x14ac:dyDescent="0.45">
      <c r="A1203" t="s">
        <v>4685</v>
      </c>
      <c r="B1203" s="1">
        <v>45711</v>
      </c>
      <c r="C1203" t="s">
        <v>4007</v>
      </c>
      <c r="D1203" t="s">
        <v>5015</v>
      </c>
      <c r="E1203">
        <v>48000</v>
      </c>
      <c r="F1203" s="3">
        <v>4</v>
      </c>
      <c r="G1203">
        <f t="shared" si="54"/>
        <v>192000</v>
      </c>
      <c r="H1203" t="s">
        <v>21</v>
      </c>
      <c r="I1203">
        <f t="shared" si="55"/>
        <v>57600</v>
      </c>
      <c r="J1203">
        <f t="shared" si="56"/>
        <v>230400</v>
      </c>
    </row>
    <row r="1204" spans="1:10" x14ac:dyDescent="0.45">
      <c r="A1204" t="s">
        <v>4812</v>
      </c>
      <c r="B1204" s="1">
        <v>45711</v>
      </c>
      <c r="C1204" t="s">
        <v>3979</v>
      </c>
      <c r="D1204" t="s">
        <v>3987</v>
      </c>
      <c r="E1204">
        <v>8000</v>
      </c>
      <c r="F1204" s="3">
        <v>9</v>
      </c>
      <c r="G1204">
        <f t="shared" si="54"/>
        <v>72000</v>
      </c>
      <c r="H1204" t="s">
        <v>7</v>
      </c>
      <c r="I1204">
        <f t="shared" si="55"/>
        <v>9600</v>
      </c>
      <c r="J1204">
        <f t="shared" si="56"/>
        <v>86400</v>
      </c>
    </row>
    <row r="1205" spans="1:10" x14ac:dyDescent="0.45">
      <c r="A1205" t="s">
        <v>436</v>
      </c>
      <c r="B1205" s="1">
        <v>45712</v>
      </c>
      <c r="C1205" t="s">
        <v>12</v>
      </c>
      <c r="D1205" t="s">
        <v>5023</v>
      </c>
      <c r="E1205">
        <v>1750</v>
      </c>
      <c r="F1205">
        <v>2</v>
      </c>
      <c r="G1205">
        <f t="shared" si="54"/>
        <v>3500</v>
      </c>
      <c r="H1205" t="s">
        <v>7</v>
      </c>
      <c r="I1205">
        <f t="shared" si="55"/>
        <v>2100</v>
      </c>
      <c r="J1205">
        <f t="shared" si="56"/>
        <v>4200</v>
      </c>
    </row>
    <row r="1206" spans="1:10" x14ac:dyDescent="0.45">
      <c r="A1206" t="s">
        <v>437</v>
      </c>
      <c r="B1206" s="1">
        <v>45712</v>
      </c>
      <c r="C1206" t="s">
        <v>12</v>
      </c>
      <c r="D1206" t="s">
        <v>5022</v>
      </c>
      <c r="E1206">
        <v>2880</v>
      </c>
      <c r="F1206">
        <v>8</v>
      </c>
      <c r="G1206">
        <f t="shared" si="54"/>
        <v>23040</v>
      </c>
      <c r="H1206" t="s">
        <v>21</v>
      </c>
      <c r="I1206">
        <f t="shared" si="55"/>
        <v>3456</v>
      </c>
      <c r="J1206">
        <f t="shared" si="56"/>
        <v>27648</v>
      </c>
    </row>
    <row r="1207" spans="1:10" x14ac:dyDescent="0.45">
      <c r="A1207" t="s">
        <v>438</v>
      </c>
      <c r="B1207" s="1">
        <v>45712</v>
      </c>
      <c r="C1207" t="s">
        <v>9</v>
      </c>
      <c r="D1207" t="s">
        <v>25</v>
      </c>
      <c r="E1207">
        <v>5200</v>
      </c>
      <c r="F1207">
        <v>8</v>
      </c>
      <c r="G1207">
        <f t="shared" si="54"/>
        <v>41600</v>
      </c>
      <c r="H1207" t="s">
        <v>17</v>
      </c>
      <c r="I1207">
        <f t="shared" si="55"/>
        <v>6240</v>
      </c>
      <c r="J1207">
        <f t="shared" si="56"/>
        <v>49920</v>
      </c>
    </row>
    <row r="1208" spans="1:10" x14ac:dyDescent="0.45">
      <c r="A1208" t="s">
        <v>439</v>
      </c>
      <c r="B1208" s="1">
        <v>45712</v>
      </c>
      <c r="C1208" t="s">
        <v>12</v>
      </c>
      <c r="D1208" t="s">
        <v>5023</v>
      </c>
      <c r="E1208">
        <v>1750</v>
      </c>
      <c r="F1208">
        <v>6</v>
      </c>
      <c r="G1208">
        <f t="shared" si="54"/>
        <v>10500</v>
      </c>
      <c r="H1208" t="s">
        <v>17</v>
      </c>
      <c r="I1208">
        <f t="shared" si="55"/>
        <v>2100</v>
      </c>
      <c r="J1208">
        <f t="shared" si="56"/>
        <v>12600</v>
      </c>
    </row>
    <row r="1209" spans="1:10" x14ac:dyDescent="0.45">
      <c r="A1209" t="s">
        <v>440</v>
      </c>
      <c r="B1209" s="1">
        <v>45712</v>
      </c>
      <c r="C1209" t="s">
        <v>33</v>
      </c>
      <c r="D1209" t="s">
        <v>42</v>
      </c>
      <c r="E1209">
        <v>6900</v>
      </c>
      <c r="F1209">
        <v>7</v>
      </c>
      <c r="G1209">
        <f t="shared" si="54"/>
        <v>48300</v>
      </c>
      <c r="H1209" t="s">
        <v>17</v>
      </c>
      <c r="I1209">
        <f t="shared" si="55"/>
        <v>8280</v>
      </c>
      <c r="J1209">
        <f t="shared" si="56"/>
        <v>57960</v>
      </c>
    </row>
    <row r="1210" spans="1:10" x14ac:dyDescent="0.45">
      <c r="A1210" t="s">
        <v>441</v>
      </c>
      <c r="B1210" s="1">
        <v>45712</v>
      </c>
      <c r="C1210" t="s">
        <v>33</v>
      </c>
      <c r="D1210" t="s">
        <v>34</v>
      </c>
      <c r="E1210">
        <v>1700</v>
      </c>
      <c r="F1210">
        <v>9</v>
      </c>
      <c r="G1210">
        <f t="shared" si="54"/>
        <v>15300</v>
      </c>
      <c r="H1210" t="s">
        <v>17</v>
      </c>
      <c r="I1210">
        <f t="shared" si="55"/>
        <v>2040</v>
      </c>
      <c r="J1210">
        <f t="shared" si="56"/>
        <v>18360</v>
      </c>
    </row>
    <row r="1211" spans="1:10" x14ac:dyDescent="0.45">
      <c r="A1211" t="s">
        <v>442</v>
      </c>
      <c r="B1211" s="1">
        <v>45712</v>
      </c>
      <c r="C1211" t="s">
        <v>9</v>
      </c>
      <c r="D1211" t="s">
        <v>19</v>
      </c>
      <c r="E1211">
        <v>3000</v>
      </c>
      <c r="F1211">
        <v>8</v>
      </c>
      <c r="G1211">
        <f t="shared" si="54"/>
        <v>24000</v>
      </c>
      <c r="H1211" t="s">
        <v>21</v>
      </c>
      <c r="I1211">
        <f t="shared" si="55"/>
        <v>3600</v>
      </c>
      <c r="J1211">
        <f t="shared" si="56"/>
        <v>28800</v>
      </c>
    </row>
    <row r="1212" spans="1:10" x14ac:dyDescent="0.45">
      <c r="A1212" t="s">
        <v>443</v>
      </c>
      <c r="B1212" s="1">
        <v>45712</v>
      </c>
      <c r="C1212" t="s">
        <v>9</v>
      </c>
      <c r="D1212" t="s">
        <v>19</v>
      </c>
      <c r="E1212">
        <v>3000</v>
      </c>
      <c r="F1212">
        <v>6</v>
      </c>
      <c r="G1212">
        <f t="shared" si="54"/>
        <v>18000</v>
      </c>
      <c r="H1212" t="s">
        <v>21</v>
      </c>
      <c r="I1212">
        <f t="shared" si="55"/>
        <v>3600</v>
      </c>
      <c r="J1212">
        <f t="shared" si="56"/>
        <v>21600</v>
      </c>
    </row>
    <row r="1213" spans="1:10" x14ac:dyDescent="0.45">
      <c r="A1213" t="s">
        <v>3006</v>
      </c>
      <c r="B1213" s="1">
        <v>45712</v>
      </c>
      <c r="C1213" t="s">
        <v>2772</v>
      </c>
      <c r="D1213" t="s">
        <v>2775</v>
      </c>
      <c r="E1213">
        <v>9100</v>
      </c>
      <c r="F1213">
        <v>1</v>
      </c>
      <c r="G1213">
        <f t="shared" si="54"/>
        <v>9100</v>
      </c>
      <c r="H1213" t="s">
        <v>17</v>
      </c>
      <c r="I1213">
        <f t="shared" si="55"/>
        <v>10920</v>
      </c>
      <c r="J1213">
        <f t="shared" si="56"/>
        <v>10920</v>
      </c>
    </row>
    <row r="1214" spans="1:10" x14ac:dyDescent="0.45">
      <c r="A1214" t="s">
        <v>3363</v>
      </c>
      <c r="B1214" s="1">
        <v>45712</v>
      </c>
      <c r="C1214" t="s">
        <v>4007</v>
      </c>
      <c r="D1214" t="s">
        <v>5015</v>
      </c>
      <c r="E1214">
        <v>48000</v>
      </c>
      <c r="F1214">
        <v>8</v>
      </c>
      <c r="G1214">
        <f t="shared" si="54"/>
        <v>384000</v>
      </c>
      <c r="H1214" t="s">
        <v>21</v>
      </c>
      <c r="I1214">
        <f t="shared" si="55"/>
        <v>57600</v>
      </c>
      <c r="J1214">
        <f t="shared" si="56"/>
        <v>460800</v>
      </c>
    </row>
    <row r="1215" spans="1:10" x14ac:dyDescent="0.45">
      <c r="A1215" t="s">
        <v>3624</v>
      </c>
      <c r="B1215" s="1">
        <v>45712</v>
      </c>
      <c r="C1215" t="s">
        <v>2772</v>
      </c>
      <c r="D1215" t="s">
        <v>2771</v>
      </c>
      <c r="E1215">
        <v>120</v>
      </c>
      <c r="F1215">
        <v>6</v>
      </c>
      <c r="G1215">
        <f t="shared" si="54"/>
        <v>720</v>
      </c>
      <c r="H1215" t="s">
        <v>17</v>
      </c>
      <c r="I1215">
        <f t="shared" si="55"/>
        <v>144</v>
      </c>
      <c r="J1215">
        <f t="shared" si="56"/>
        <v>864</v>
      </c>
    </row>
    <row r="1216" spans="1:10" x14ac:dyDescent="0.45">
      <c r="A1216" t="s">
        <v>4015</v>
      </c>
      <c r="B1216" s="1">
        <v>45712</v>
      </c>
      <c r="C1216" t="s">
        <v>33</v>
      </c>
      <c r="D1216" t="s">
        <v>3985</v>
      </c>
      <c r="E1216">
        <v>1950</v>
      </c>
      <c r="F1216" s="3">
        <v>10</v>
      </c>
      <c r="G1216">
        <f t="shared" si="54"/>
        <v>19500</v>
      </c>
      <c r="H1216" t="s">
        <v>7</v>
      </c>
      <c r="I1216">
        <f t="shared" si="55"/>
        <v>2340</v>
      </c>
      <c r="J1216">
        <f t="shared" si="56"/>
        <v>23400</v>
      </c>
    </row>
    <row r="1217" spans="1:10" x14ac:dyDescent="0.45">
      <c r="A1217" t="s">
        <v>4069</v>
      </c>
      <c r="B1217" s="1">
        <v>45712</v>
      </c>
      <c r="C1217" t="s">
        <v>33</v>
      </c>
      <c r="D1217" t="s">
        <v>3985</v>
      </c>
      <c r="E1217">
        <v>1950</v>
      </c>
      <c r="F1217" s="3">
        <v>6</v>
      </c>
      <c r="G1217">
        <f t="shared" si="54"/>
        <v>11700</v>
      </c>
      <c r="H1217" t="s">
        <v>7</v>
      </c>
      <c r="I1217">
        <f t="shared" si="55"/>
        <v>2340</v>
      </c>
      <c r="J1217">
        <f t="shared" si="56"/>
        <v>14040</v>
      </c>
    </row>
    <row r="1218" spans="1:10" x14ac:dyDescent="0.45">
      <c r="A1218" t="s">
        <v>4345</v>
      </c>
      <c r="B1218" s="1">
        <v>45712</v>
      </c>
      <c r="C1218" t="s">
        <v>5009</v>
      </c>
      <c r="D1218" t="s">
        <v>4004</v>
      </c>
      <c r="E1218">
        <v>15000</v>
      </c>
      <c r="F1218" s="3">
        <v>6</v>
      </c>
      <c r="G1218">
        <f t="shared" ref="G1218:G1281" si="57">E1218*F1218</f>
        <v>90000</v>
      </c>
      <c r="H1218" t="s">
        <v>21</v>
      </c>
      <c r="I1218">
        <f t="shared" ref="I1218:I1281" si="58">E1218*1.2</f>
        <v>18000</v>
      </c>
      <c r="J1218">
        <f t="shared" ref="J1218:J1281" si="59">I1218*F1218</f>
        <v>108000</v>
      </c>
    </row>
    <row r="1219" spans="1:10" x14ac:dyDescent="0.45">
      <c r="A1219" t="s">
        <v>4657</v>
      </c>
      <c r="B1219" s="1">
        <v>45712</v>
      </c>
      <c r="C1219" t="s">
        <v>3979</v>
      </c>
      <c r="D1219" t="s">
        <v>3987</v>
      </c>
      <c r="E1219">
        <v>8000</v>
      </c>
      <c r="F1219" s="3">
        <v>10</v>
      </c>
      <c r="G1219">
        <f t="shared" si="57"/>
        <v>80000</v>
      </c>
      <c r="H1219" t="s">
        <v>7</v>
      </c>
      <c r="I1219">
        <f t="shared" si="58"/>
        <v>9600</v>
      </c>
      <c r="J1219">
        <f t="shared" si="59"/>
        <v>96000</v>
      </c>
    </row>
    <row r="1220" spans="1:10" x14ac:dyDescent="0.45">
      <c r="A1220" t="s">
        <v>4683</v>
      </c>
      <c r="B1220" s="1">
        <v>45712</v>
      </c>
      <c r="C1220" t="s">
        <v>5008</v>
      </c>
      <c r="D1220" t="s">
        <v>3998</v>
      </c>
      <c r="E1220">
        <v>8000</v>
      </c>
      <c r="F1220" s="3">
        <v>2</v>
      </c>
      <c r="G1220">
        <f t="shared" si="57"/>
        <v>16000</v>
      </c>
      <c r="H1220" t="s">
        <v>7</v>
      </c>
      <c r="I1220">
        <f t="shared" si="58"/>
        <v>9600</v>
      </c>
      <c r="J1220">
        <f t="shared" si="59"/>
        <v>19200</v>
      </c>
    </row>
    <row r="1221" spans="1:10" x14ac:dyDescent="0.45">
      <c r="A1221" t="s">
        <v>4792</v>
      </c>
      <c r="B1221" s="1">
        <v>45712</v>
      </c>
      <c r="C1221" t="s">
        <v>3977</v>
      </c>
      <c r="D1221" t="s">
        <v>3978</v>
      </c>
      <c r="E1221">
        <v>2000</v>
      </c>
      <c r="F1221" s="3">
        <v>5</v>
      </c>
      <c r="G1221">
        <f t="shared" si="57"/>
        <v>10000</v>
      </c>
      <c r="H1221" t="s">
        <v>17</v>
      </c>
      <c r="I1221">
        <f t="shared" si="58"/>
        <v>2400</v>
      </c>
      <c r="J1221">
        <f t="shared" si="59"/>
        <v>12000</v>
      </c>
    </row>
    <row r="1222" spans="1:10" x14ac:dyDescent="0.45">
      <c r="A1222" t="s">
        <v>4819</v>
      </c>
      <c r="B1222" s="1">
        <v>45712</v>
      </c>
      <c r="C1222" t="s">
        <v>3979</v>
      </c>
      <c r="D1222" t="s">
        <v>3984</v>
      </c>
      <c r="E1222">
        <v>12000</v>
      </c>
      <c r="F1222" s="3">
        <v>10</v>
      </c>
      <c r="G1222">
        <f t="shared" si="57"/>
        <v>120000</v>
      </c>
      <c r="H1222" t="s">
        <v>17</v>
      </c>
      <c r="I1222">
        <f t="shared" si="58"/>
        <v>14400</v>
      </c>
      <c r="J1222">
        <f t="shared" si="59"/>
        <v>144000</v>
      </c>
    </row>
    <row r="1223" spans="1:10" x14ac:dyDescent="0.45">
      <c r="A1223" t="s">
        <v>4829</v>
      </c>
      <c r="B1223" s="1">
        <v>45712</v>
      </c>
      <c r="C1223" t="s">
        <v>33</v>
      </c>
      <c r="D1223" t="s">
        <v>4001</v>
      </c>
      <c r="E1223">
        <v>500</v>
      </c>
      <c r="F1223" s="3">
        <v>2</v>
      </c>
      <c r="G1223">
        <f t="shared" si="57"/>
        <v>1000</v>
      </c>
      <c r="H1223" t="s">
        <v>17</v>
      </c>
      <c r="I1223">
        <f t="shared" si="58"/>
        <v>600</v>
      </c>
      <c r="J1223">
        <f t="shared" si="59"/>
        <v>1200</v>
      </c>
    </row>
    <row r="1224" spans="1:10" x14ac:dyDescent="0.45">
      <c r="A1224" t="s">
        <v>4957</v>
      </c>
      <c r="B1224" s="1">
        <v>45712</v>
      </c>
      <c r="C1224" t="s">
        <v>4007</v>
      </c>
      <c r="D1224" t="s">
        <v>4005</v>
      </c>
      <c r="E1224">
        <v>60000</v>
      </c>
      <c r="F1224" s="3">
        <v>8</v>
      </c>
      <c r="G1224">
        <f t="shared" si="57"/>
        <v>480000</v>
      </c>
      <c r="H1224" t="s">
        <v>21</v>
      </c>
      <c r="I1224">
        <f t="shared" si="58"/>
        <v>72000</v>
      </c>
      <c r="J1224">
        <f t="shared" si="59"/>
        <v>576000</v>
      </c>
    </row>
    <row r="1225" spans="1:10" x14ac:dyDescent="0.45">
      <c r="A1225" t="s">
        <v>444</v>
      </c>
      <c r="B1225" s="1">
        <v>45713</v>
      </c>
      <c r="C1225" t="s">
        <v>9</v>
      </c>
      <c r="D1225" t="s">
        <v>25</v>
      </c>
      <c r="E1225">
        <v>5200</v>
      </c>
      <c r="F1225">
        <v>7</v>
      </c>
      <c r="G1225">
        <f t="shared" si="57"/>
        <v>36400</v>
      </c>
      <c r="H1225" t="s">
        <v>21</v>
      </c>
      <c r="I1225">
        <f t="shared" si="58"/>
        <v>6240</v>
      </c>
      <c r="J1225">
        <f t="shared" si="59"/>
        <v>43680</v>
      </c>
    </row>
    <row r="1226" spans="1:10" x14ac:dyDescent="0.45">
      <c r="A1226" t="s">
        <v>445</v>
      </c>
      <c r="B1226" s="1">
        <v>45713</v>
      </c>
      <c r="C1226" t="s">
        <v>33</v>
      </c>
      <c r="D1226" t="s">
        <v>34</v>
      </c>
      <c r="E1226">
        <v>1700</v>
      </c>
      <c r="F1226">
        <v>8</v>
      </c>
      <c r="G1226">
        <f t="shared" si="57"/>
        <v>13600</v>
      </c>
      <c r="H1226" t="s">
        <v>17</v>
      </c>
      <c r="I1226">
        <f t="shared" si="58"/>
        <v>2040</v>
      </c>
      <c r="J1226">
        <f t="shared" si="59"/>
        <v>16320</v>
      </c>
    </row>
    <row r="1227" spans="1:10" x14ac:dyDescent="0.45">
      <c r="A1227" t="s">
        <v>446</v>
      </c>
      <c r="B1227" s="1">
        <v>45713</v>
      </c>
      <c r="C1227" t="s">
        <v>4007</v>
      </c>
      <c r="D1227" t="s">
        <v>5015</v>
      </c>
      <c r="E1227">
        <v>48000</v>
      </c>
      <c r="F1227">
        <v>3</v>
      </c>
      <c r="G1227">
        <f t="shared" si="57"/>
        <v>144000</v>
      </c>
      <c r="H1227" t="s">
        <v>17</v>
      </c>
      <c r="I1227">
        <f t="shared" si="58"/>
        <v>57600</v>
      </c>
      <c r="J1227">
        <f t="shared" si="59"/>
        <v>172800</v>
      </c>
    </row>
    <row r="1228" spans="1:10" x14ac:dyDescent="0.45">
      <c r="A1228" t="s">
        <v>447</v>
      </c>
      <c r="B1228" s="1">
        <v>45713</v>
      </c>
      <c r="C1228" t="s">
        <v>33</v>
      </c>
      <c r="D1228" t="s">
        <v>14</v>
      </c>
      <c r="E1228">
        <v>800</v>
      </c>
      <c r="F1228">
        <v>9</v>
      </c>
      <c r="G1228">
        <f t="shared" si="57"/>
        <v>7200</v>
      </c>
      <c r="H1228" t="s">
        <v>7</v>
      </c>
      <c r="I1228">
        <f t="shared" si="58"/>
        <v>960</v>
      </c>
      <c r="J1228">
        <f t="shared" si="59"/>
        <v>8640</v>
      </c>
    </row>
    <row r="1229" spans="1:10" x14ac:dyDescent="0.45">
      <c r="A1229" t="s">
        <v>448</v>
      </c>
      <c r="B1229" s="1">
        <v>45713</v>
      </c>
      <c r="C1229" t="s">
        <v>33</v>
      </c>
      <c r="D1229" t="s">
        <v>16</v>
      </c>
      <c r="E1229">
        <v>1200</v>
      </c>
      <c r="F1229">
        <v>7</v>
      </c>
      <c r="G1229">
        <f t="shared" si="57"/>
        <v>8400</v>
      </c>
      <c r="H1229" t="s">
        <v>21</v>
      </c>
      <c r="I1229">
        <f t="shared" si="58"/>
        <v>1440</v>
      </c>
      <c r="J1229">
        <f t="shared" si="59"/>
        <v>10080</v>
      </c>
    </row>
    <row r="1230" spans="1:10" x14ac:dyDescent="0.45">
      <c r="A1230" t="s">
        <v>3283</v>
      </c>
      <c r="B1230" s="1">
        <v>45713</v>
      </c>
      <c r="C1230" t="s">
        <v>4007</v>
      </c>
      <c r="D1230" t="s">
        <v>2770</v>
      </c>
      <c r="E1230">
        <v>600</v>
      </c>
      <c r="F1230">
        <v>4</v>
      </c>
      <c r="G1230">
        <f t="shared" si="57"/>
        <v>2400</v>
      </c>
      <c r="H1230" t="s">
        <v>17</v>
      </c>
      <c r="I1230">
        <f t="shared" si="58"/>
        <v>720</v>
      </c>
      <c r="J1230">
        <f t="shared" si="59"/>
        <v>2880</v>
      </c>
    </row>
    <row r="1231" spans="1:10" x14ac:dyDescent="0.45">
      <c r="A1231" t="s">
        <v>3375</v>
      </c>
      <c r="B1231" s="1">
        <v>45713</v>
      </c>
      <c r="C1231" t="s">
        <v>4007</v>
      </c>
      <c r="D1231" t="s">
        <v>2770</v>
      </c>
      <c r="E1231">
        <v>600</v>
      </c>
      <c r="F1231">
        <v>2</v>
      </c>
      <c r="G1231">
        <f t="shared" si="57"/>
        <v>1200</v>
      </c>
      <c r="H1231" t="s">
        <v>17</v>
      </c>
      <c r="I1231">
        <f t="shared" si="58"/>
        <v>720</v>
      </c>
      <c r="J1231">
        <f t="shared" si="59"/>
        <v>1440</v>
      </c>
    </row>
    <row r="1232" spans="1:10" x14ac:dyDescent="0.45">
      <c r="A1232" t="s">
        <v>3937</v>
      </c>
      <c r="B1232" s="1">
        <v>45713</v>
      </c>
      <c r="C1232" t="s">
        <v>4007</v>
      </c>
      <c r="D1232" t="s">
        <v>2773</v>
      </c>
      <c r="E1232">
        <v>3300</v>
      </c>
      <c r="F1232">
        <v>6</v>
      </c>
      <c r="G1232">
        <f t="shared" si="57"/>
        <v>19800</v>
      </c>
      <c r="H1232" t="s">
        <v>7</v>
      </c>
      <c r="I1232">
        <f t="shared" si="58"/>
        <v>3960</v>
      </c>
      <c r="J1232">
        <f t="shared" si="59"/>
        <v>23760</v>
      </c>
    </row>
    <row r="1233" spans="1:10" x14ac:dyDescent="0.45">
      <c r="A1233" t="s">
        <v>4014</v>
      </c>
      <c r="B1233" s="1">
        <v>45713</v>
      </c>
      <c r="C1233" t="s">
        <v>3979</v>
      </c>
      <c r="D1233" t="s">
        <v>3984</v>
      </c>
      <c r="E1233">
        <v>12000</v>
      </c>
      <c r="F1233" s="3">
        <v>6</v>
      </c>
      <c r="G1233">
        <f t="shared" si="57"/>
        <v>72000</v>
      </c>
      <c r="H1233" t="s">
        <v>21</v>
      </c>
      <c r="I1233">
        <f t="shared" si="58"/>
        <v>14400</v>
      </c>
      <c r="J1233">
        <f t="shared" si="59"/>
        <v>86400</v>
      </c>
    </row>
    <row r="1234" spans="1:10" x14ac:dyDescent="0.45">
      <c r="A1234" t="s">
        <v>4028</v>
      </c>
      <c r="B1234" s="1">
        <v>45713</v>
      </c>
      <c r="C1234" t="s">
        <v>3979</v>
      </c>
      <c r="D1234" t="s">
        <v>3984</v>
      </c>
      <c r="E1234">
        <v>12000</v>
      </c>
      <c r="F1234" s="3">
        <v>5</v>
      </c>
      <c r="G1234">
        <f t="shared" si="57"/>
        <v>60000</v>
      </c>
      <c r="H1234" t="s">
        <v>17</v>
      </c>
      <c r="I1234">
        <f t="shared" si="58"/>
        <v>14400</v>
      </c>
      <c r="J1234">
        <f t="shared" si="59"/>
        <v>72000</v>
      </c>
    </row>
    <row r="1235" spans="1:10" x14ac:dyDescent="0.45">
      <c r="A1235" t="s">
        <v>4038</v>
      </c>
      <c r="B1235" s="1">
        <v>45713</v>
      </c>
      <c r="C1235" t="s">
        <v>5008</v>
      </c>
      <c r="D1235" t="s">
        <v>3998</v>
      </c>
      <c r="E1235">
        <v>8000</v>
      </c>
      <c r="F1235" s="3">
        <v>5</v>
      </c>
      <c r="G1235">
        <f t="shared" si="57"/>
        <v>40000</v>
      </c>
      <c r="H1235" t="s">
        <v>7</v>
      </c>
      <c r="I1235">
        <f t="shared" si="58"/>
        <v>9600</v>
      </c>
      <c r="J1235">
        <f t="shared" si="59"/>
        <v>48000</v>
      </c>
    </row>
    <row r="1236" spans="1:10" x14ac:dyDescent="0.45">
      <c r="A1236" t="s">
        <v>4169</v>
      </c>
      <c r="B1236" s="1">
        <v>45713</v>
      </c>
      <c r="C1236" t="s">
        <v>5009</v>
      </c>
      <c r="D1236" t="s">
        <v>3982</v>
      </c>
      <c r="E1236">
        <v>13000</v>
      </c>
      <c r="F1236" s="3">
        <v>1</v>
      </c>
      <c r="G1236">
        <f t="shared" si="57"/>
        <v>13000</v>
      </c>
      <c r="H1236" t="s">
        <v>21</v>
      </c>
      <c r="I1236">
        <f t="shared" si="58"/>
        <v>15600</v>
      </c>
      <c r="J1236">
        <f t="shared" si="59"/>
        <v>15600</v>
      </c>
    </row>
    <row r="1237" spans="1:10" x14ac:dyDescent="0.45">
      <c r="A1237" t="s">
        <v>4173</v>
      </c>
      <c r="B1237" s="1">
        <v>45713</v>
      </c>
      <c r="C1237" t="s">
        <v>3977</v>
      </c>
      <c r="D1237" t="s">
        <v>3989</v>
      </c>
      <c r="E1237">
        <v>1000</v>
      </c>
      <c r="F1237" s="3">
        <v>8</v>
      </c>
      <c r="G1237">
        <f t="shared" si="57"/>
        <v>8000</v>
      </c>
      <c r="H1237" t="s">
        <v>7</v>
      </c>
      <c r="I1237">
        <f t="shared" si="58"/>
        <v>1200</v>
      </c>
      <c r="J1237">
        <f t="shared" si="59"/>
        <v>9600</v>
      </c>
    </row>
    <row r="1238" spans="1:10" x14ac:dyDescent="0.45">
      <c r="A1238" t="s">
        <v>4310</v>
      </c>
      <c r="B1238" s="1">
        <v>45713</v>
      </c>
      <c r="C1238" t="s">
        <v>4007</v>
      </c>
      <c r="D1238" t="s">
        <v>4005</v>
      </c>
      <c r="E1238">
        <v>60000</v>
      </c>
      <c r="F1238" s="3">
        <v>1</v>
      </c>
      <c r="G1238">
        <f t="shared" si="57"/>
        <v>60000</v>
      </c>
      <c r="H1238" t="s">
        <v>7</v>
      </c>
      <c r="I1238">
        <f t="shared" si="58"/>
        <v>72000</v>
      </c>
      <c r="J1238">
        <f t="shared" si="59"/>
        <v>72000</v>
      </c>
    </row>
    <row r="1239" spans="1:10" x14ac:dyDescent="0.45">
      <c r="A1239" t="s">
        <v>4483</v>
      </c>
      <c r="B1239" s="1">
        <v>45713</v>
      </c>
      <c r="C1239" t="s">
        <v>3977</v>
      </c>
      <c r="D1239" t="s">
        <v>4002</v>
      </c>
      <c r="E1239">
        <v>2500</v>
      </c>
      <c r="F1239" s="3">
        <v>3</v>
      </c>
      <c r="G1239">
        <f t="shared" si="57"/>
        <v>7500</v>
      </c>
      <c r="H1239" t="s">
        <v>7</v>
      </c>
      <c r="I1239">
        <f t="shared" si="58"/>
        <v>3000</v>
      </c>
      <c r="J1239">
        <f t="shared" si="59"/>
        <v>9000</v>
      </c>
    </row>
    <row r="1240" spans="1:10" x14ac:dyDescent="0.45">
      <c r="A1240" t="s">
        <v>4512</v>
      </c>
      <c r="B1240" s="1">
        <v>45713</v>
      </c>
      <c r="C1240" t="s">
        <v>5009</v>
      </c>
      <c r="D1240" t="s">
        <v>3990</v>
      </c>
      <c r="E1240">
        <v>2800</v>
      </c>
      <c r="F1240" s="3">
        <v>1</v>
      </c>
      <c r="G1240">
        <f t="shared" si="57"/>
        <v>2800</v>
      </c>
      <c r="H1240" t="s">
        <v>21</v>
      </c>
      <c r="I1240">
        <f t="shared" si="58"/>
        <v>3360</v>
      </c>
      <c r="J1240">
        <f t="shared" si="59"/>
        <v>3360</v>
      </c>
    </row>
    <row r="1241" spans="1:10" x14ac:dyDescent="0.45">
      <c r="A1241" t="s">
        <v>4533</v>
      </c>
      <c r="B1241" s="1">
        <v>45713</v>
      </c>
      <c r="C1241" t="s">
        <v>5009</v>
      </c>
      <c r="D1241" t="s">
        <v>3982</v>
      </c>
      <c r="E1241">
        <v>13000</v>
      </c>
      <c r="F1241" s="3">
        <v>5</v>
      </c>
      <c r="G1241">
        <f t="shared" si="57"/>
        <v>65000</v>
      </c>
      <c r="H1241" t="s">
        <v>17</v>
      </c>
      <c r="I1241">
        <f t="shared" si="58"/>
        <v>15600</v>
      </c>
      <c r="J1241">
        <f t="shared" si="59"/>
        <v>78000</v>
      </c>
    </row>
    <row r="1242" spans="1:10" x14ac:dyDescent="0.45">
      <c r="A1242" t="s">
        <v>4546</v>
      </c>
      <c r="B1242" s="1">
        <v>45713</v>
      </c>
      <c r="C1242" t="s">
        <v>5008</v>
      </c>
      <c r="D1242" t="s">
        <v>3986</v>
      </c>
      <c r="E1242">
        <v>12000</v>
      </c>
      <c r="F1242" s="3">
        <v>4</v>
      </c>
      <c r="G1242">
        <f t="shared" si="57"/>
        <v>48000</v>
      </c>
      <c r="H1242" t="s">
        <v>17</v>
      </c>
      <c r="I1242">
        <f t="shared" si="58"/>
        <v>14400</v>
      </c>
      <c r="J1242">
        <f t="shared" si="59"/>
        <v>57600</v>
      </c>
    </row>
    <row r="1243" spans="1:10" x14ac:dyDescent="0.45">
      <c r="A1243" t="s">
        <v>4578</v>
      </c>
      <c r="B1243" s="1">
        <v>45713</v>
      </c>
      <c r="C1243" t="s">
        <v>33</v>
      </c>
      <c r="D1243" t="s">
        <v>42</v>
      </c>
      <c r="E1243">
        <v>6900</v>
      </c>
      <c r="F1243" s="3">
        <v>5</v>
      </c>
      <c r="G1243">
        <f t="shared" si="57"/>
        <v>34500</v>
      </c>
      <c r="H1243" t="s">
        <v>17</v>
      </c>
      <c r="I1243">
        <f t="shared" si="58"/>
        <v>8280</v>
      </c>
      <c r="J1243">
        <f t="shared" si="59"/>
        <v>41400</v>
      </c>
    </row>
    <row r="1244" spans="1:10" x14ac:dyDescent="0.45">
      <c r="A1244" t="s">
        <v>4839</v>
      </c>
      <c r="B1244" s="1">
        <v>45713</v>
      </c>
      <c r="C1244" t="s">
        <v>3977</v>
      </c>
      <c r="D1244" t="s">
        <v>3989</v>
      </c>
      <c r="E1244">
        <v>1000</v>
      </c>
      <c r="F1244" s="3">
        <v>4</v>
      </c>
      <c r="G1244">
        <f t="shared" si="57"/>
        <v>4000</v>
      </c>
      <c r="H1244" t="s">
        <v>21</v>
      </c>
      <c r="I1244">
        <f t="shared" si="58"/>
        <v>1200</v>
      </c>
      <c r="J1244">
        <f t="shared" si="59"/>
        <v>4800</v>
      </c>
    </row>
    <row r="1245" spans="1:10" x14ac:dyDescent="0.45">
      <c r="A1245" t="s">
        <v>4861</v>
      </c>
      <c r="B1245" s="1">
        <v>45713</v>
      </c>
      <c r="C1245" t="s">
        <v>3979</v>
      </c>
      <c r="D1245" t="s">
        <v>3980</v>
      </c>
      <c r="E1245">
        <v>500</v>
      </c>
      <c r="F1245" s="3">
        <v>10</v>
      </c>
      <c r="G1245">
        <f t="shared" si="57"/>
        <v>5000</v>
      </c>
      <c r="H1245" t="s">
        <v>21</v>
      </c>
      <c r="I1245">
        <f t="shared" si="58"/>
        <v>600</v>
      </c>
      <c r="J1245">
        <f t="shared" si="59"/>
        <v>6000</v>
      </c>
    </row>
    <row r="1246" spans="1:10" x14ac:dyDescent="0.45">
      <c r="A1246" t="s">
        <v>4885</v>
      </c>
      <c r="B1246" s="1">
        <v>45713</v>
      </c>
      <c r="C1246" t="s">
        <v>3979</v>
      </c>
      <c r="D1246" t="s">
        <v>4006</v>
      </c>
      <c r="E1246">
        <v>2000</v>
      </c>
      <c r="F1246" s="3">
        <v>1</v>
      </c>
      <c r="G1246">
        <f t="shared" si="57"/>
        <v>2000</v>
      </c>
      <c r="H1246" t="s">
        <v>21</v>
      </c>
      <c r="I1246">
        <f t="shared" si="58"/>
        <v>2400</v>
      </c>
      <c r="J1246">
        <f t="shared" si="59"/>
        <v>2400</v>
      </c>
    </row>
    <row r="1247" spans="1:10" x14ac:dyDescent="0.45">
      <c r="A1247" t="s">
        <v>4922</v>
      </c>
      <c r="B1247" s="1">
        <v>45713</v>
      </c>
      <c r="C1247" t="s">
        <v>4007</v>
      </c>
      <c r="D1247" t="s">
        <v>5015</v>
      </c>
      <c r="E1247">
        <v>48000</v>
      </c>
      <c r="F1247" s="3">
        <v>3</v>
      </c>
      <c r="G1247">
        <f t="shared" si="57"/>
        <v>144000</v>
      </c>
      <c r="H1247" t="s">
        <v>17</v>
      </c>
      <c r="I1247">
        <f t="shared" si="58"/>
        <v>57600</v>
      </c>
      <c r="J1247">
        <f t="shared" si="59"/>
        <v>172800</v>
      </c>
    </row>
    <row r="1248" spans="1:10" x14ac:dyDescent="0.45">
      <c r="A1248" t="s">
        <v>4960</v>
      </c>
      <c r="B1248" s="1">
        <v>45713</v>
      </c>
      <c r="C1248" t="s">
        <v>4007</v>
      </c>
      <c r="D1248" t="s">
        <v>3997</v>
      </c>
      <c r="E1248">
        <v>62000</v>
      </c>
      <c r="F1248" s="3">
        <v>4</v>
      </c>
      <c r="G1248">
        <f t="shared" si="57"/>
        <v>248000</v>
      </c>
      <c r="H1248" t="s">
        <v>17</v>
      </c>
      <c r="I1248">
        <f t="shared" si="58"/>
        <v>74400</v>
      </c>
      <c r="J1248">
        <f t="shared" si="59"/>
        <v>297600</v>
      </c>
    </row>
    <row r="1249" spans="1:10" x14ac:dyDescent="0.45">
      <c r="A1249" t="s">
        <v>449</v>
      </c>
      <c r="B1249" s="1">
        <v>45714</v>
      </c>
      <c r="C1249" t="s">
        <v>33</v>
      </c>
      <c r="D1249" t="s">
        <v>16</v>
      </c>
      <c r="E1249">
        <v>1200</v>
      </c>
      <c r="F1249">
        <v>1</v>
      </c>
      <c r="G1249">
        <f t="shared" si="57"/>
        <v>1200</v>
      </c>
      <c r="H1249" t="s">
        <v>21</v>
      </c>
      <c r="I1249">
        <f t="shared" si="58"/>
        <v>1440</v>
      </c>
      <c r="J1249">
        <f t="shared" si="59"/>
        <v>1440</v>
      </c>
    </row>
    <row r="1250" spans="1:10" x14ac:dyDescent="0.45">
      <c r="A1250" t="s">
        <v>450</v>
      </c>
      <c r="B1250" s="1">
        <v>45714</v>
      </c>
      <c r="C1250" t="s">
        <v>12</v>
      </c>
      <c r="D1250" t="s">
        <v>5022</v>
      </c>
      <c r="E1250">
        <v>2880</v>
      </c>
      <c r="F1250">
        <v>9</v>
      </c>
      <c r="G1250">
        <f t="shared" si="57"/>
        <v>25920</v>
      </c>
      <c r="H1250" t="s">
        <v>21</v>
      </c>
      <c r="I1250">
        <f t="shared" si="58"/>
        <v>3456</v>
      </c>
      <c r="J1250">
        <f t="shared" si="59"/>
        <v>31104</v>
      </c>
    </row>
    <row r="1251" spans="1:10" x14ac:dyDescent="0.45">
      <c r="A1251" t="s">
        <v>451</v>
      </c>
      <c r="B1251" s="1">
        <v>45714</v>
      </c>
      <c r="C1251" t="s">
        <v>12</v>
      </c>
      <c r="D1251" t="s">
        <v>5021</v>
      </c>
      <c r="E1251">
        <v>2880</v>
      </c>
      <c r="F1251">
        <v>8</v>
      </c>
      <c r="G1251">
        <f t="shared" si="57"/>
        <v>23040</v>
      </c>
      <c r="H1251" t="s">
        <v>21</v>
      </c>
      <c r="I1251">
        <f t="shared" si="58"/>
        <v>3456</v>
      </c>
      <c r="J1251">
        <f t="shared" si="59"/>
        <v>27648</v>
      </c>
    </row>
    <row r="1252" spans="1:10" x14ac:dyDescent="0.45">
      <c r="A1252" t="s">
        <v>452</v>
      </c>
      <c r="B1252" s="1">
        <v>45714</v>
      </c>
      <c r="C1252" t="s">
        <v>4007</v>
      </c>
      <c r="D1252" t="s">
        <v>39</v>
      </c>
      <c r="E1252">
        <v>6000</v>
      </c>
      <c r="F1252">
        <v>4</v>
      </c>
      <c r="G1252">
        <f t="shared" si="57"/>
        <v>24000</v>
      </c>
      <c r="H1252" t="s">
        <v>7</v>
      </c>
      <c r="I1252">
        <f t="shared" si="58"/>
        <v>7200</v>
      </c>
      <c r="J1252">
        <f t="shared" si="59"/>
        <v>28800</v>
      </c>
    </row>
    <row r="1253" spans="1:10" x14ac:dyDescent="0.45">
      <c r="A1253" t="s">
        <v>453</v>
      </c>
      <c r="B1253" s="1">
        <v>45714</v>
      </c>
      <c r="C1253" t="s">
        <v>4007</v>
      </c>
      <c r="D1253" t="s">
        <v>5015</v>
      </c>
      <c r="E1253">
        <v>48000</v>
      </c>
      <c r="F1253">
        <v>4</v>
      </c>
      <c r="G1253">
        <f t="shared" si="57"/>
        <v>192000</v>
      </c>
      <c r="H1253" t="s">
        <v>21</v>
      </c>
      <c r="I1253">
        <f t="shared" si="58"/>
        <v>57600</v>
      </c>
      <c r="J1253">
        <f t="shared" si="59"/>
        <v>230400</v>
      </c>
    </row>
    <row r="1254" spans="1:10" x14ac:dyDescent="0.45">
      <c r="A1254" t="s">
        <v>454</v>
      </c>
      <c r="B1254" s="1">
        <v>45714</v>
      </c>
      <c r="C1254" t="s">
        <v>12</v>
      </c>
      <c r="D1254" t="s">
        <v>5021</v>
      </c>
      <c r="E1254">
        <v>2880</v>
      </c>
      <c r="F1254">
        <v>6</v>
      </c>
      <c r="G1254">
        <f t="shared" si="57"/>
        <v>17280</v>
      </c>
      <c r="H1254" t="s">
        <v>7</v>
      </c>
      <c r="I1254">
        <f t="shared" si="58"/>
        <v>3456</v>
      </c>
      <c r="J1254">
        <f t="shared" si="59"/>
        <v>20736</v>
      </c>
    </row>
    <row r="1255" spans="1:10" x14ac:dyDescent="0.45">
      <c r="A1255" t="s">
        <v>455</v>
      </c>
      <c r="B1255" s="1">
        <v>45714</v>
      </c>
      <c r="C1255" t="s">
        <v>12</v>
      </c>
      <c r="D1255" t="s">
        <v>5021</v>
      </c>
      <c r="E1255">
        <v>2880</v>
      </c>
      <c r="F1255">
        <v>6</v>
      </c>
      <c r="G1255">
        <f t="shared" si="57"/>
        <v>17280</v>
      </c>
      <c r="H1255" t="s">
        <v>21</v>
      </c>
      <c r="I1255">
        <f t="shared" si="58"/>
        <v>3456</v>
      </c>
      <c r="J1255">
        <f t="shared" si="59"/>
        <v>20736</v>
      </c>
    </row>
    <row r="1256" spans="1:10" x14ac:dyDescent="0.45">
      <c r="A1256" t="s">
        <v>456</v>
      </c>
      <c r="B1256" s="1">
        <v>45714</v>
      </c>
      <c r="C1256" t="s">
        <v>4007</v>
      </c>
      <c r="D1256" t="s">
        <v>28</v>
      </c>
      <c r="E1256">
        <v>500</v>
      </c>
      <c r="F1256">
        <v>4</v>
      </c>
      <c r="G1256">
        <f t="shared" si="57"/>
        <v>2000</v>
      </c>
      <c r="H1256" t="s">
        <v>17</v>
      </c>
      <c r="I1256">
        <f t="shared" si="58"/>
        <v>600</v>
      </c>
      <c r="J1256">
        <f t="shared" si="59"/>
        <v>2400</v>
      </c>
    </row>
    <row r="1257" spans="1:10" x14ac:dyDescent="0.45">
      <c r="A1257" t="s">
        <v>2905</v>
      </c>
      <c r="B1257" s="1">
        <v>45714</v>
      </c>
      <c r="C1257" t="s">
        <v>4007</v>
      </c>
      <c r="D1257" t="s">
        <v>2770</v>
      </c>
      <c r="E1257">
        <v>600</v>
      </c>
      <c r="F1257">
        <v>8</v>
      </c>
      <c r="G1257">
        <f t="shared" si="57"/>
        <v>4800</v>
      </c>
      <c r="H1257" t="s">
        <v>21</v>
      </c>
      <c r="I1257">
        <f t="shared" si="58"/>
        <v>720</v>
      </c>
      <c r="J1257">
        <f t="shared" si="59"/>
        <v>5760</v>
      </c>
    </row>
    <row r="1258" spans="1:10" x14ac:dyDescent="0.45">
      <c r="A1258" t="s">
        <v>3065</v>
      </c>
      <c r="B1258" s="1">
        <v>45714</v>
      </c>
      <c r="C1258" t="s">
        <v>4007</v>
      </c>
      <c r="D1258" t="s">
        <v>5015</v>
      </c>
      <c r="E1258">
        <v>48000</v>
      </c>
      <c r="F1258">
        <v>10</v>
      </c>
      <c r="G1258">
        <f t="shared" si="57"/>
        <v>480000</v>
      </c>
      <c r="H1258" t="s">
        <v>21</v>
      </c>
      <c r="I1258">
        <f t="shared" si="58"/>
        <v>57600</v>
      </c>
      <c r="J1258">
        <f t="shared" si="59"/>
        <v>576000</v>
      </c>
    </row>
    <row r="1259" spans="1:10" x14ac:dyDescent="0.45">
      <c r="A1259" t="s">
        <v>3665</v>
      </c>
      <c r="B1259" s="1">
        <v>45714</v>
      </c>
      <c r="C1259" t="s">
        <v>4007</v>
      </c>
      <c r="D1259" t="s">
        <v>28</v>
      </c>
      <c r="E1259">
        <v>500</v>
      </c>
      <c r="F1259">
        <v>7</v>
      </c>
      <c r="G1259">
        <f t="shared" si="57"/>
        <v>3500</v>
      </c>
      <c r="H1259" t="s">
        <v>21</v>
      </c>
      <c r="I1259">
        <f t="shared" si="58"/>
        <v>600</v>
      </c>
      <c r="J1259">
        <f t="shared" si="59"/>
        <v>4200</v>
      </c>
    </row>
    <row r="1260" spans="1:10" x14ac:dyDescent="0.45">
      <c r="A1260" t="s">
        <v>3706</v>
      </c>
      <c r="B1260" s="1">
        <v>45714</v>
      </c>
      <c r="C1260" t="s">
        <v>4007</v>
      </c>
      <c r="D1260" t="s">
        <v>2776</v>
      </c>
      <c r="E1260">
        <v>3600</v>
      </c>
      <c r="F1260">
        <v>1</v>
      </c>
      <c r="G1260">
        <f t="shared" si="57"/>
        <v>3600</v>
      </c>
      <c r="H1260" t="s">
        <v>21</v>
      </c>
      <c r="I1260">
        <f t="shared" si="58"/>
        <v>4320</v>
      </c>
      <c r="J1260">
        <f t="shared" si="59"/>
        <v>4320</v>
      </c>
    </row>
    <row r="1261" spans="1:10" x14ac:dyDescent="0.45">
      <c r="A1261" t="s">
        <v>3816</v>
      </c>
      <c r="B1261" s="1">
        <v>45714</v>
      </c>
      <c r="C1261" t="s">
        <v>4007</v>
      </c>
      <c r="D1261" t="s">
        <v>2776</v>
      </c>
      <c r="E1261">
        <v>3600</v>
      </c>
      <c r="F1261">
        <v>5</v>
      </c>
      <c r="G1261">
        <f t="shared" si="57"/>
        <v>18000</v>
      </c>
      <c r="H1261" t="s">
        <v>17</v>
      </c>
      <c r="I1261">
        <f t="shared" si="58"/>
        <v>4320</v>
      </c>
      <c r="J1261">
        <f t="shared" si="59"/>
        <v>21600</v>
      </c>
    </row>
    <row r="1262" spans="1:10" x14ac:dyDescent="0.45">
      <c r="A1262" t="s">
        <v>4236</v>
      </c>
      <c r="B1262" s="1">
        <v>45714</v>
      </c>
      <c r="C1262" t="s">
        <v>3979</v>
      </c>
      <c r="D1262" t="s">
        <v>3983</v>
      </c>
      <c r="E1262">
        <v>1000</v>
      </c>
      <c r="F1262" s="3">
        <v>6</v>
      </c>
      <c r="G1262">
        <f t="shared" si="57"/>
        <v>6000</v>
      </c>
      <c r="H1262" t="s">
        <v>17</v>
      </c>
      <c r="I1262">
        <f t="shared" si="58"/>
        <v>1200</v>
      </c>
      <c r="J1262">
        <f t="shared" si="59"/>
        <v>7200</v>
      </c>
    </row>
    <row r="1263" spans="1:10" x14ac:dyDescent="0.45">
      <c r="A1263" t="s">
        <v>4272</v>
      </c>
      <c r="B1263" s="1">
        <v>45714</v>
      </c>
      <c r="C1263" t="s">
        <v>5009</v>
      </c>
      <c r="D1263" t="s">
        <v>4000</v>
      </c>
      <c r="E1263">
        <v>3000</v>
      </c>
      <c r="F1263" s="3">
        <v>1</v>
      </c>
      <c r="G1263">
        <f t="shared" si="57"/>
        <v>3000</v>
      </c>
      <c r="H1263" t="s">
        <v>21</v>
      </c>
      <c r="I1263">
        <f t="shared" si="58"/>
        <v>3600</v>
      </c>
      <c r="J1263">
        <f t="shared" si="59"/>
        <v>3600</v>
      </c>
    </row>
    <row r="1264" spans="1:10" x14ac:dyDescent="0.45">
      <c r="A1264" t="s">
        <v>4282</v>
      </c>
      <c r="B1264" s="1">
        <v>45714</v>
      </c>
      <c r="C1264" t="s">
        <v>3977</v>
      </c>
      <c r="D1264" t="s">
        <v>3978</v>
      </c>
      <c r="E1264">
        <v>2000</v>
      </c>
      <c r="F1264" s="3">
        <v>6</v>
      </c>
      <c r="G1264">
        <f t="shared" si="57"/>
        <v>12000</v>
      </c>
      <c r="H1264" t="s">
        <v>7</v>
      </c>
      <c r="I1264">
        <f t="shared" si="58"/>
        <v>2400</v>
      </c>
      <c r="J1264">
        <f t="shared" si="59"/>
        <v>14400</v>
      </c>
    </row>
    <row r="1265" spans="1:10" x14ac:dyDescent="0.45">
      <c r="A1265" t="s">
        <v>4328</v>
      </c>
      <c r="B1265" s="1">
        <v>45714</v>
      </c>
      <c r="C1265" t="s">
        <v>4007</v>
      </c>
      <c r="D1265" t="s">
        <v>5015</v>
      </c>
      <c r="E1265">
        <v>48000</v>
      </c>
      <c r="F1265" s="3">
        <v>9</v>
      </c>
      <c r="G1265">
        <f t="shared" si="57"/>
        <v>432000</v>
      </c>
      <c r="H1265" t="s">
        <v>17</v>
      </c>
      <c r="I1265">
        <f t="shared" si="58"/>
        <v>57600</v>
      </c>
      <c r="J1265">
        <f t="shared" si="59"/>
        <v>518400</v>
      </c>
    </row>
    <row r="1266" spans="1:10" x14ac:dyDescent="0.45">
      <c r="A1266" t="s">
        <v>4502</v>
      </c>
      <c r="B1266" s="1">
        <v>45714</v>
      </c>
      <c r="C1266" t="s">
        <v>5008</v>
      </c>
      <c r="D1266" t="s">
        <v>3986</v>
      </c>
      <c r="E1266">
        <v>12000</v>
      </c>
      <c r="F1266" s="3">
        <v>2</v>
      </c>
      <c r="G1266">
        <f t="shared" si="57"/>
        <v>24000</v>
      </c>
      <c r="H1266" t="s">
        <v>21</v>
      </c>
      <c r="I1266">
        <f t="shared" si="58"/>
        <v>14400</v>
      </c>
      <c r="J1266">
        <f t="shared" si="59"/>
        <v>28800</v>
      </c>
    </row>
    <row r="1267" spans="1:10" x14ac:dyDescent="0.45">
      <c r="A1267" t="s">
        <v>4667</v>
      </c>
      <c r="B1267" s="1">
        <v>45714</v>
      </c>
      <c r="C1267" t="s">
        <v>5008</v>
      </c>
      <c r="D1267" t="s">
        <v>3986</v>
      </c>
      <c r="E1267">
        <v>12000</v>
      </c>
      <c r="F1267" s="3">
        <v>1</v>
      </c>
      <c r="G1267">
        <f t="shared" si="57"/>
        <v>12000</v>
      </c>
      <c r="H1267" t="s">
        <v>7</v>
      </c>
      <c r="I1267">
        <f t="shared" si="58"/>
        <v>14400</v>
      </c>
      <c r="J1267">
        <f t="shared" si="59"/>
        <v>14400</v>
      </c>
    </row>
    <row r="1268" spans="1:10" x14ac:dyDescent="0.45">
      <c r="A1268" t="s">
        <v>4778</v>
      </c>
      <c r="B1268" s="1">
        <v>45714</v>
      </c>
      <c r="C1268" t="s">
        <v>5009</v>
      </c>
      <c r="D1268" t="s">
        <v>4004</v>
      </c>
      <c r="E1268">
        <v>15000</v>
      </c>
      <c r="F1268" s="3">
        <v>4</v>
      </c>
      <c r="G1268">
        <f t="shared" si="57"/>
        <v>60000</v>
      </c>
      <c r="H1268" t="s">
        <v>21</v>
      </c>
      <c r="I1268">
        <f t="shared" si="58"/>
        <v>18000</v>
      </c>
      <c r="J1268">
        <f t="shared" si="59"/>
        <v>72000</v>
      </c>
    </row>
    <row r="1269" spans="1:10" x14ac:dyDescent="0.45">
      <c r="A1269" t="s">
        <v>4802</v>
      </c>
      <c r="B1269" s="1">
        <v>45714</v>
      </c>
      <c r="C1269" t="s">
        <v>3979</v>
      </c>
      <c r="D1269" t="s">
        <v>3987</v>
      </c>
      <c r="E1269">
        <v>8000</v>
      </c>
      <c r="F1269" s="3">
        <v>2</v>
      </c>
      <c r="G1269">
        <f t="shared" si="57"/>
        <v>16000</v>
      </c>
      <c r="H1269" t="s">
        <v>21</v>
      </c>
      <c r="I1269">
        <f t="shared" si="58"/>
        <v>9600</v>
      </c>
      <c r="J1269">
        <f t="shared" si="59"/>
        <v>19200</v>
      </c>
    </row>
    <row r="1270" spans="1:10" x14ac:dyDescent="0.45">
      <c r="A1270" t="s">
        <v>4985</v>
      </c>
      <c r="B1270" s="1">
        <v>45714</v>
      </c>
      <c r="C1270" t="s">
        <v>4007</v>
      </c>
      <c r="D1270" t="s">
        <v>3988</v>
      </c>
      <c r="E1270">
        <v>35000</v>
      </c>
      <c r="F1270" s="3">
        <v>6</v>
      </c>
      <c r="G1270">
        <f t="shared" si="57"/>
        <v>210000</v>
      </c>
      <c r="H1270" t="s">
        <v>21</v>
      </c>
      <c r="I1270">
        <f t="shared" si="58"/>
        <v>42000</v>
      </c>
      <c r="J1270">
        <f t="shared" si="59"/>
        <v>252000</v>
      </c>
    </row>
    <row r="1271" spans="1:10" x14ac:dyDescent="0.45">
      <c r="A1271" t="s">
        <v>457</v>
      </c>
      <c r="B1271" s="1">
        <v>45715</v>
      </c>
      <c r="C1271" t="s">
        <v>4007</v>
      </c>
      <c r="D1271" t="s">
        <v>4005</v>
      </c>
      <c r="E1271">
        <v>60000</v>
      </c>
      <c r="F1271">
        <v>4</v>
      </c>
      <c r="G1271">
        <f t="shared" si="57"/>
        <v>240000</v>
      </c>
      <c r="H1271" t="s">
        <v>21</v>
      </c>
      <c r="I1271">
        <f t="shared" si="58"/>
        <v>72000</v>
      </c>
      <c r="J1271">
        <f t="shared" si="59"/>
        <v>288000</v>
      </c>
    </row>
    <row r="1272" spans="1:10" x14ac:dyDescent="0.45">
      <c r="A1272" t="s">
        <v>458</v>
      </c>
      <c r="B1272" s="1">
        <v>45715</v>
      </c>
      <c r="C1272" t="s">
        <v>33</v>
      </c>
      <c r="D1272" t="s">
        <v>14</v>
      </c>
      <c r="E1272">
        <v>800</v>
      </c>
      <c r="F1272">
        <v>10</v>
      </c>
      <c r="G1272">
        <f t="shared" si="57"/>
        <v>8000</v>
      </c>
      <c r="H1272" t="s">
        <v>21</v>
      </c>
      <c r="I1272">
        <f t="shared" si="58"/>
        <v>960</v>
      </c>
      <c r="J1272">
        <f t="shared" si="59"/>
        <v>9600</v>
      </c>
    </row>
    <row r="1273" spans="1:10" x14ac:dyDescent="0.45">
      <c r="A1273" t="s">
        <v>459</v>
      </c>
      <c r="B1273" s="1">
        <v>45715</v>
      </c>
      <c r="C1273" t="s">
        <v>33</v>
      </c>
      <c r="D1273" t="s">
        <v>42</v>
      </c>
      <c r="E1273">
        <v>6900</v>
      </c>
      <c r="F1273">
        <v>3</v>
      </c>
      <c r="G1273">
        <f t="shared" si="57"/>
        <v>20700</v>
      </c>
      <c r="H1273" t="s">
        <v>21</v>
      </c>
      <c r="I1273">
        <f t="shared" si="58"/>
        <v>8280</v>
      </c>
      <c r="J1273">
        <f t="shared" si="59"/>
        <v>24840</v>
      </c>
    </row>
    <row r="1274" spans="1:10" x14ac:dyDescent="0.45">
      <c r="A1274" t="s">
        <v>460</v>
      </c>
      <c r="B1274" s="1">
        <v>45715</v>
      </c>
      <c r="C1274" t="s">
        <v>33</v>
      </c>
      <c r="D1274" t="s">
        <v>16</v>
      </c>
      <c r="E1274">
        <v>1200</v>
      </c>
      <c r="F1274">
        <v>1</v>
      </c>
      <c r="G1274">
        <f t="shared" si="57"/>
        <v>1200</v>
      </c>
      <c r="H1274" t="s">
        <v>7</v>
      </c>
      <c r="I1274">
        <f t="shared" si="58"/>
        <v>1440</v>
      </c>
      <c r="J1274">
        <f t="shared" si="59"/>
        <v>1440</v>
      </c>
    </row>
    <row r="1275" spans="1:10" x14ac:dyDescent="0.45">
      <c r="A1275" t="s">
        <v>461</v>
      </c>
      <c r="B1275" s="1">
        <v>45715</v>
      </c>
      <c r="C1275" t="s">
        <v>33</v>
      </c>
      <c r="D1275" t="s">
        <v>14</v>
      </c>
      <c r="E1275">
        <v>800</v>
      </c>
      <c r="F1275">
        <v>6</v>
      </c>
      <c r="G1275">
        <f t="shared" si="57"/>
        <v>4800</v>
      </c>
      <c r="H1275" t="s">
        <v>17</v>
      </c>
      <c r="I1275">
        <f t="shared" si="58"/>
        <v>960</v>
      </c>
      <c r="J1275">
        <f t="shared" si="59"/>
        <v>5760</v>
      </c>
    </row>
    <row r="1276" spans="1:10" x14ac:dyDescent="0.45">
      <c r="A1276" t="s">
        <v>462</v>
      </c>
      <c r="B1276" s="1">
        <v>45715</v>
      </c>
      <c r="C1276" t="s">
        <v>12</v>
      </c>
      <c r="D1276" t="s">
        <v>5020</v>
      </c>
      <c r="E1276">
        <v>2880</v>
      </c>
      <c r="F1276">
        <v>10</v>
      </c>
      <c r="G1276">
        <f t="shared" si="57"/>
        <v>28800</v>
      </c>
      <c r="H1276" t="s">
        <v>21</v>
      </c>
      <c r="I1276">
        <f t="shared" si="58"/>
        <v>3456</v>
      </c>
      <c r="J1276">
        <f t="shared" si="59"/>
        <v>34560</v>
      </c>
    </row>
    <row r="1277" spans="1:10" x14ac:dyDescent="0.45">
      <c r="A1277" t="s">
        <v>463</v>
      </c>
      <c r="B1277" s="1">
        <v>45715</v>
      </c>
      <c r="C1277" t="s">
        <v>12</v>
      </c>
      <c r="D1277" t="s">
        <v>5023</v>
      </c>
      <c r="E1277">
        <v>1750</v>
      </c>
      <c r="F1277">
        <v>5</v>
      </c>
      <c r="G1277">
        <f t="shared" si="57"/>
        <v>8750</v>
      </c>
      <c r="H1277" t="s">
        <v>17</v>
      </c>
      <c r="I1277">
        <f t="shared" si="58"/>
        <v>2100</v>
      </c>
      <c r="J1277">
        <f t="shared" si="59"/>
        <v>10500</v>
      </c>
    </row>
    <row r="1278" spans="1:10" x14ac:dyDescent="0.45">
      <c r="A1278" t="s">
        <v>464</v>
      </c>
      <c r="B1278" s="1">
        <v>45715</v>
      </c>
      <c r="C1278" t="s">
        <v>4007</v>
      </c>
      <c r="D1278" t="s">
        <v>5015</v>
      </c>
      <c r="E1278">
        <v>48000</v>
      </c>
      <c r="F1278">
        <v>7</v>
      </c>
      <c r="G1278">
        <f t="shared" si="57"/>
        <v>336000</v>
      </c>
      <c r="H1278" t="s">
        <v>7</v>
      </c>
      <c r="I1278">
        <f t="shared" si="58"/>
        <v>57600</v>
      </c>
      <c r="J1278">
        <f t="shared" si="59"/>
        <v>403200</v>
      </c>
    </row>
    <row r="1279" spans="1:10" x14ac:dyDescent="0.45">
      <c r="A1279" t="s">
        <v>2957</v>
      </c>
      <c r="B1279" s="1">
        <v>45715</v>
      </c>
      <c r="C1279" t="s">
        <v>33</v>
      </c>
      <c r="D1279" t="s">
        <v>34</v>
      </c>
      <c r="E1279">
        <v>1700</v>
      </c>
      <c r="F1279">
        <v>6</v>
      </c>
      <c r="G1279">
        <f t="shared" si="57"/>
        <v>10200</v>
      </c>
      <c r="H1279" t="s">
        <v>21</v>
      </c>
      <c r="I1279">
        <f t="shared" si="58"/>
        <v>2040</v>
      </c>
      <c r="J1279">
        <f t="shared" si="59"/>
        <v>12240</v>
      </c>
    </row>
    <row r="1280" spans="1:10" x14ac:dyDescent="0.45">
      <c r="A1280" t="s">
        <v>3776</v>
      </c>
      <c r="B1280" s="1">
        <v>45715</v>
      </c>
      <c r="C1280" t="s">
        <v>4007</v>
      </c>
      <c r="D1280" t="s">
        <v>2773</v>
      </c>
      <c r="E1280">
        <v>3300</v>
      </c>
      <c r="F1280">
        <v>7</v>
      </c>
      <c r="G1280">
        <f t="shared" si="57"/>
        <v>23100</v>
      </c>
      <c r="H1280" t="s">
        <v>7</v>
      </c>
      <c r="I1280">
        <f t="shared" si="58"/>
        <v>3960</v>
      </c>
      <c r="J1280">
        <f t="shared" si="59"/>
        <v>27720</v>
      </c>
    </row>
    <row r="1281" spans="1:10" x14ac:dyDescent="0.45">
      <c r="A1281" t="s">
        <v>4054</v>
      </c>
      <c r="B1281" s="1">
        <v>45715</v>
      </c>
      <c r="C1281" t="s">
        <v>3977</v>
      </c>
      <c r="D1281" t="s">
        <v>4002</v>
      </c>
      <c r="E1281">
        <v>2500</v>
      </c>
      <c r="F1281" s="3">
        <v>9</v>
      </c>
      <c r="G1281">
        <f t="shared" si="57"/>
        <v>22500</v>
      </c>
      <c r="H1281" t="s">
        <v>21</v>
      </c>
      <c r="I1281">
        <f t="shared" si="58"/>
        <v>3000</v>
      </c>
      <c r="J1281">
        <f t="shared" si="59"/>
        <v>27000</v>
      </c>
    </row>
    <row r="1282" spans="1:10" x14ac:dyDescent="0.45">
      <c r="A1282" t="s">
        <v>4097</v>
      </c>
      <c r="B1282" s="1">
        <v>45715</v>
      </c>
      <c r="C1282" t="s">
        <v>3977</v>
      </c>
      <c r="D1282" t="s">
        <v>3991</v>
      </c>
      <c r="E1282">
        <v>2000</v>
      </c>
      <c r="F1282" s="3">
        <v>6</v>
      </c>
      <c r="G1282">
        <f t="shared" ref="G1282:G1345" si="60">E1282*F1282</f>
        <v>12000</v>
      </c>
      <c r="H1282" t="s">
        <v>7</v>
      </c>
      <c r="I1282">
        <f t="shared" ref="I1282:I1345" si="61">E1282*1.2</f>
        <v>2400</v>
      </c>
      <c r="J1282">
        <f t="shared" ref="J1282:J1345" si="62">I1282*F1282</f>
        <v>14400</v>
      </c>
    </row>
    <row r="1283" spans="1:10" x14ac:dyDescent="0.45">
      <c r="A1283" t="s">
        <v>4353</v>
      </c>
      <c r="B1283" s="1">
        <v>45715</v>
      </c>
      <c r="C1283" t="s">
        <v>5008</v>
      </c>
      <c r="D1283" t="s">
        <v>3986</v>
      </c>
      <c r="E1283">
        <v>12000</v>
      </c>
      <c r="F1283" s="3">
        <v>9</v>
      </c>
      <c r="G1283">
        <f t="shared" si="60"/>
        <v>108000</v>
      </c>
      <c r="H1283" t="s">
        <v>21</v>
      </c>
      <c r="I1283">
        <f t="shared" si="61"/>
        <v>14400</v>
      </c>
      <c r="J1283">
        <f t="shared" si="62"/>
        <v>129600</v>
      </c>
    </row>
    <row r="1284" spans="1:10" x14ac:dyDescent="0.45">
      <c r="A1284" t="s">
        <v>4357</v>
      </c>
      <c r="B1284" s="1">
        <v>45715</v>
      </c>
      <c r="C1284" t="s">
        <v>3977</v>
      </c>
      <c r="D1284" t="s">
        <v>3991</v>
      </c>
      <c r="E1284">
        <v>2000</v>
      </c>
      <c r="F1284" s="3">
        <v>10</v>
      </c>
      <c r="G1284">
        <f t="shared" si="60"/>
        <v>20000</v>
      </c>
      <c r="H1284" t="s">
        <v>17</v>
      </c>
      <c r="I1284">
        <f t="shared" si="61"/>
        <v>2400</v>
      </c>
      <c r="J1284">
        <f t="shared" si="62"/>
        <v>24000</v>
      </c>
    </row>
    <row r="1285" spans="1:10" x14ac:dyDescent="0.45">
      <c r="A1285" t="s">
        <v>4369</v>
      </c>
      <c r="B1285" s="1">
        <v>45715</v>
      </c>
      <c r="C1285" t="s">
        <v>4007</v>
      </c>
      <c r="D1285" t="s">
        <v>3997</v>
      </c>
      <c r="E1285">
        <v>62000</v>
      </c>
      <c r="F1285" s="3">
        <v>8</v>
      </c>
      <c r="G1285">
        <f t="shared" si="60"/>
        <v>496000</v>
      </c>
      <c r="H1285" t="s">
        <v>21</v>
      </c>
      <c r="I1285">
        <f t="shared" si="61"/>
        <v>74400</v>
      </c>
      <c r="J1285">
        <f t="shared" si="62"/>
        <v>595200</v>
      </c>
    </row>
    <row r="1286" spans="1:10" x14ac:dyDescent="0.45">
      <c r="A1286" t="s">
        <v>4436</v>
      </c>
      <c r="B1286" s="1">
        <v>45715</v>
      </c>
      <c r="C1286" t="s">
        <v>5009</v>
      </c>
      <c r="D1286" t="s">
        <v>3990</v>
      </c>
      <c r="E1286">
        <v>2800</v>
      </c>
      <c r="F1286" s="3">
        <v>5</v>
      </c>
      <c r="G1286">
        <f t="shared" si="60"/>
        <v>14000</v>
      </c>
      <c r="H1286" t="s">
        <v>17</v>
      </c>
      <c r="I1286">
        <f t="shared" si="61"/>
        <v>3360</v>
      </c>
      <c r="J1286">
        <f t="shared" si="62"/>
        <v>16800</v>
      </c>
    </row>
    <row r="1287" spans="1:10" x14ac:dyDescent="0.45">
      <c r="A1287" t="s">
        <v>4647</v>
      </c>
      <c r="B1287" s="1">
        <v>45715</v>
      </c>
      <c r="C1287" t="s">
        <v>5008</v>
      </c>
      <c r="D1287" t="s">
        <v>3986</v>
      </c>
      <c r="E1287">
        <v>12000</v>
      </c>
      <c r="F1287" s="3">
        <v>3</v>
      </c>
      <c r="G1287">
        <f t="shared" si="60"/>
        <v>36000</v>
      </c>
      <c r="H1287" t="s">
        <v>21</v>
      </c>
      <c r="I1287">
        <f t="shared" si="61"/>
        <v>14400</v>
      </c>
      <c r="J1287">
        <f t="shared" si="62"/>
        <v>43200</v>
      </c>
    </row>
    <row r="1288" spans="1:10" x14ac:dyDescent="0.45">
      <c r="A1288" t="s">
        <v>4664</v>
      </c>
      <c r="B1288" s="1">
        <v>45715</v>
      </c>
      <c r="C1288" t="s">
        <v>3979</v>
      </c>
      <c r="D1288" t="s">
        <v>3984</v>
      </c>
      <c r="E1288">
        <v>12000</v>
      </c>
      <c r="F1288" s="3">
        <v>1</v>
      </c>
      <c r="G1288">
        <f t="shared" si="60"/>
        <v>12000</v>
      </c>
      <c r="H1288" t="s">
        <v>21</v>
      </c>
      <c r="I1288">
        <f t="shared" si="61"/>
        <v>14400</v>
      </c>
      <c r="J1288">
        <f t="shared" si="62"/>
        <v>14400</v>
      </c>
    </row>
    <row r="1289" spans="1:10" x14ac:dyDescent="0.45">
      <c r="A1289" t="s">
        <v>4691</v>
      </c>
      <c r="B1289" s="1">
        <v>45715</v>
      </c>
      <c r="C1289" t="s">
        <v>5008</v>
      </c>
      <c r="D1289" t="s">
        <v>4003</v>
      </c>
      <c r="E1289">
        <v>10000</v>
      </c>
      <c r="F1289" s="3">
        <v>2</v>
      </c>
      <c r="G1289">
        <f t="shared" si="60"/>
        <v>20000</v>
      </c>
      <c r="H1289" t="s">
        <v>7</v>
      </c>
      <c r="I1289">
        <f t="shared" si="61"/>
        <v>12000</v>
      </c>
      <c r="J1289">
        <f t="shared" si="62"/>
        <v>24000</v>
      </c>
    </row>
    <row r="1290" spans="1:10" x14ac:dyDescent="0.45">
      <c r="A1290" t="s">
        <v>4710</v>
      </c>
      <c r="B1290" s="1">
        <v>45715</v>
      </c>
      <c r="C1290" t="s">
        <v>5008</v>
      </c>
      <c r="D1290" t="s">
        <v>4003</v>
      </c>
      <c r="E1290">
        <v>10000</v>
      </c>
      <c r="F1290" s="3">
        <v>10</v>
      </c>
      <c r="G1290">
        <f t="shared" si="60"/>
        <v>100000</v>
      </c>
      <c r="H1290" t="s">
        <v>17</v>
      </c>
      <c r="I1290">
        <f t="shared" si="61"/>
        <v>12000</v>
      </c>
      <c r="J1290">
        <f t="shared" si="62"/>
        <v>120000</v>
      </c>
    </row>
    <row r="1291" spans="1:10" x14ac:dyDescent="0.45">
      <c r="A1291" t="s">
        <v>4766</v>
      </c>
      <c r="B1291" s="1">
        <v>45715</v>
      </c>
      <c r="C1291" t="s">
        <v>4007</v>
      </c>
      <c r="D1291" t="s">
        <v>3999</v>
      </c>
      <c r="E1291">
        <v>50000</v>
      </c>
      <c r="F1291" s="3">
        <v>10</v>
      </c>
      <c r="G1291">
        <f t="shared" si="60"/>
        <v>500000</v>
      </c>
      <c r="H1291" t="s">
        <v>21</v>
      </c>
      <c r="I1291">
        <f t="shared" si="61"/>
        <v>60000</v>
      </c>
      <c r="J1291">
        <f t="shared" si="62"/>
        <v>600000</v>
      </c>
    </row>
    <row r="1292" spans="1:10" x14ac:dyDescent="0.45">
      <c r="A1292" t="s">
        <v>4779</v>
      </c>
      <c r="B1292" s="1">
        <v>45715</v>
      </c>
      <c r="C1292" t="s">
        <v>3977</v>
      </c>
      <c r="D1292" t="s">
        <v>3978</v>
      </c>
      <c r="E1292">
        <v>2000</v>
      </c>
      <c r="F1292" s="3">
        <v>7</v>
      </c>
      <c r="G1292">
        <f t="shared" si="60"/>
        <v>14000</v>
      </c>
      <c r="H1292" t="s">
        <v>17</v>
      </c>
      <c r="I1292">
        <f t="shared" si="61"/>
        <v>2400</v>
      </c>
      <c r="J1292">
        <f t="shared" si="62"/>
        <v>16800</v>
      </c>
    </row>
    <row r="1293" spans="1:10" x14ac:dyDescent="0.45">
      <c r="A1293" t="s">
        <v>4801</v>
      </c>
      <c r="B1293" s="1">
        <v>45715</v>
      </c>
      <c r="C1293" t="s">
        <v>3979</v>
      </c>
      <c r="D1293" t="s">
        <v>3984</v>
      </c>
      <c r="E1293">
        <v>12000</v>
      </c>
      <c r="F1293" s="3">
        <v>7</v>
      </c>
      <c r="G1293">
        <f t="shared" si="60"/>
        <v>84000</v>
      </c>
      <c r="H1293" t="s">
        <v>7</v>
      </c>
      <c r="I1293">
        <f t="shared" si="61"/>
        <v>14400</v>
      </c>
      <c r="J1293">
        <f t="shared" si="62"/>
        <v>100800</v>
      </c>
    </row>
    <row r="1294" spans="1:10" x14ac:dyDescent="0.45">
      <c r="A1294" t="s">
        <v>4940</v>
      </c>
      <c r="B1294" s="1">
        <v>45715</v>
      </c>
      <c r="C1294" t="s">
        <v>4007</v>
      </c>
      <c r="D1294" t="s">
        <v>3999</v>
      </c>
      <c r="E1294">
        <v>50000</v>
      </c>
      <c r="F1294" s="3">
        <v>10</v>
      </c>
      <c r="G1294">
        <f t="shared" si="60"/>
        <v>500000</v>
      </c>
      <c r="H1294" t="s">
        <v>17</v>
      </c>
      <c r="I1294">
        <f t="shared" si="61"/>
        <v>60000</v>
      </c>
      <c r="J1294">
        <f t="shared" si="62"/>
        <v>600000</v>
      </c>
    </row>
    <row r="1295" spans="1:10" x14ac:dyDescent="0.45">
      <c r="A1295" t="s">
        <v>465</v>
      </c>
      <c r="B1295" s="1">
        <v>45716</v>
      </c>
      <c r="C1295" t="s">
        <v>33</v>
      </c>
      <c r="D1295" t="s">
        <v>16</v>
      </c>
      <c r="E1295">
        <v>1200</v>
      </c>
      <c r="F1295">
        <v>6</v>
      </c>
      <c r="G1295">
        <f t="shared" si="60"/>
        <v>7200</v>
      </c>
      <c r="H1295" t="s">
        <v>21</v>
      </c>
      <c r="I1295">
        <f t="shared" si="61"/>
        <v>1440</v>
      </c>
      <c r="J1295">
        <f t="shared" si="62"/>
        <v>8640</v>
      </c>
    </row>
    <row r="1296" spans="1:10" x14ac:dyDescent="0.45">
      <c r="A1296" t="s">
        <v>466</v>
      </c>
      <c r="B1296" s="1">
        <v>45716</v>
      </c>
      <c r="C1296" t="s">
        <v>9</v>
      </c>
      <c r="D1296" t="s">
        <v>19</v>
      </c>
      <c r="E1296">
        <v>3000</v>
      </c>
      <c r="F1296">
        <v>5</v>
      </c>
      <c r="G1296">
        <f t="shared" si="60"/>
        <v>15000</v>
      </c>
      <c r="H1296" t="s">
        <v>7</v>
      </c>
      <c r="I1296">
        <f t="shared" si="61"/>
        <v>3600</v>
      </c>
      <c r="J1296">
        <f t="shared" si="62"/>
        <v>18000</v>
      </c>
    </row>
    <row r="1297" spans="1:10" x14ac:dyDescent="0.45">
      <c r="A1297" t="s">
        <v>467</v>
      </c>
      <c r="B1297" s="1">
        <v>45716</v>
      </c>
      <c r="C1297" t="s">
        <v>4007</v>
      </c>
      <c r="D1297" t="s">
        <v>39</v>
      </c>
      <c r="E1297">
        <v>6000</v>
      </c>
      <c r="F1297">
        <v>7</v>
      </c>
      <c r="G1297">
        <f t="shared" si="60"/>
        <v>42000</v>
      </c>
      <c r="H1297" t="s">
        <v>7</v>
      </c>
      <c r="I1297">
        <f t="shared" si="61"/>
        <v>7200</v>
      </c>
      <c r="J1297">
        <f t="shared" si="62"/>
        <v>50400</v>
      </c>
    </row>
    <row r="1298" spans="1:10" x14ac:dyDescent="0.45">
      <c r="A1298" t="s">
        <v>468</v>
      </c>
      <c r="B1298" s="1">
        <v>45716</v>
      </c>
      <c r="C1298" t="s">
        <v>4007</v>
      </c>
      <c r="D1298" t="s">
        <v>4005</v>
      </c>
      <c r="E1298">
        <v>60000</v>
      </c>
      <c r="F1298">
        <v>5</v>
      </c>
      <c r="G1298">
        <f t="shared" si="60"/>
        <v>300000</v>
      </c>
      <c r="H1298" t="s">
        <v>21</v>
      </c>
      <c r="I1298">
        <f t="shared" si="61"/>
        <v>72000</v>
      </c>
      <c r="J1298">
        <f t="shared" si="62"/>
        <v>360000</v>
      </c>
    </row>
    <row r="1299" spans="1:10" x14ac:dyDescent="0.45">
      <c r="A1299" t="s">
        <v>469</v>
      </c>
      <c r="B1299" s="1">
        <v>45716</v>
      </c>
      <c r="C1299" t="s">
        <v>12</v>
      </c>
      <c r="D1299" t="s">
        <v>5023</v>
      </c>
      <c r="E1299">
        <v>1750</v>
      </c>
      <c r="F1299">
        <v>1</v>
      </c>
      <c r="G1299">
        <f t="shared" si="60"/>
        <v>1750</v>
      </c>
      <c r="H1299" t="s">
        <v>7</v>
      </c>
      <c r="I1299">
        <f t="shared" si="61"/>
        <v>2100</v>
      </c>
      <c r="J1299">
        <f t="shared" si="62"/>
        <v>2100</v>
      </c>
    </row>
    <row r="1300" spans="1:10" x14ac:dyDescent="0.45">
      <c r="A1300" t="s">
        <v>470</v>
      </c>
      <c r="B1300" s="1">
        <v>45716</v>
      </c>
      <c r="C1300" t="s">
        <v>12</v>
      </c>
      <c r="D1300" t="s">
        <v>5021</v>
      </c>
      <c r="E1300">
        <v>2880</v>
      </c>
      <c r="F1300">
        <v>8</v>
      </c>
      <c r="G1300">
        <f t="shared" si="60"/>
        <v>23040</v>
      </c>
      <c r="H1300" t="s">
        <v>21</v>
      </c>
      <c r="I1300">
        <f t="shared" si="61"/>
        <v>3456</v>
      </c>
      <c r="J1300">
        <f t="shared" si="62"/>
        <v>27648</v>
      </c>
    </row>
    <row r="1301" spans="1:10" x14ac:dyDescent="0.45">
      <c r="A1301" t="s">
        <v>471</v>
      </c>
      <c r="B1301" s="1">
        <v>45716</v>
      </c>
      <c r="C1301" t="s">
        <v>12</v>
      </c>
      <c r="D1301" t="s">
        <v>5023</v>
      </c>
      <c r="E1301">
        <v>1750</v>
      </c>
      <c r="F1301">
        <v>5</v>
      </c>
      <c r="G1301">
        <f t="shared" si="60"/>
        <v>8750</v>
      </c>
      <c r="H1301" t="s">
        <v>7</v>
      </c>
      <c r="I1301">
        <f t="shared" si="61"/>
        <v>2100</v>
      </c>
      <c r="J1301">
        <f t="shared" si="62"/>
        <v>10500</v>
      </c>
    </row>
    <row r="1302" spans="1:10" x14ac:dyDescent="0.45">
      <c r="A1302" t="s">
        <v>472</v>
      </c>
      <c r="B1302" s="1">
        <v>45716</v>
      </c>
      <c r="C1302" t="s">
        <v>4007</v>
      </c>
      <c r="D1302" t="s">
        <v>28</v>
      </c>
      <c r="E1302">
        <v>500</v>
      </c>
      <c r="F1302">
        <v>3</v>
      </c>
      <c r="G1302">
        <f t="shared" si="60"/>
        <v>1500</v>
      </c>
      <c r="H1302" t="s">
        <v>17</v>
      </c>
      <c r="I1302">
        <f t="shared" si="61"/>
        <v>600</v>
      </c>
      <c r="J1302">
        <f t="shared" si="62"/>
        <v>1800</v>
      </c>
    </row>
    <row r="1303" spans="1:10" x14ac:dyDescent="0.45">
      <c r="A1303" t="s">
        <v>473</v>
      </c>
      <c r="B1303" s="1">
        <v>45716</v>
      </c>
      <c r="C1303" t="s">
        <v>12</v>
      </c>
      <c r="D1303" t="s">
        <v>5021</v>
      </c>
      <c r="E1303">
        <v>2880</v>
      </c>
      <c r="F1303">
        <v>6</v>
      </c>
      <c r="G1303">
        <f t="shared" si="60"/>
        <v>17280</v>
      </c>
      <c r="H1303" t="s">
        <v>21</v>
      </c>
      <c r="I1303">
        <f t="shared" si="61"/>
        <v>3456</v>
      </c>
      <c r="J1303">
        <f t="shared" si="62"/>
        <v>20736</v>
      </c>
    </row>
    <row r="1304" spans="1:10" x14ac:dyDescent="0.45">
      <c r="A1304" t="s">
        <v>474</v>
      </c>
      <c r="B1304" s="1">
        <v>45716</v>
      </c>
      <c r="C1304" t="s">
        <v>9</v>
      </c>
      <c r="D1304" t="s">
        <v>10</v>
      </c>
      <c r="E1304">
        <v>400</v>
      </c>
      <c r="F1304">
        <v>1</v>
      </c>
      <c r="G1304">
        <f t="shared" si="60"/>
        <v>400</v>
      </c>
      <c r="H1304" t="s">
        <v>21</v>
      </c>
      <c r="I1304">
        <f t="shared" si="61"/>
        <v>480</v>
      </c>
      <c r="J1304">
        <f t="shared" si="62"/>
        <v>480</v>
      </c>
    </row>
    <row r="1305" spans="1:10" x14ac:dyDescent="0.45">
      <c r="A1305" t="s">
        <v>3022</v>
      </c>
      <c r="B1305" s="1">
        <v>45716</v>
      </c>
      <c r="C1305" t="s">
        <v>4007</v>
      </c>
      <c r="D1305" t="s">
        <v>2770</v>
      </c>
      <c r="E1305">
        <v>600</v>
      </c>
      <c r="F1305">
        <v>5</v>
      </c>
      <c r="G1305">
        <f t="shared" si="60"/>
        <v>3000</v>
      </c>
      <c r="H1305" t="s">
        <v>7</v>
      </c>
      <c r="I1305">
        <f t="shared" si="61"/>
        <v>720</v>
      </c>
      <c r="J1305">
        <f t="shared" si="62"/>
        <v>3600</v>
      </c>
    </row>
    <row r="1306" spans="1:10" x14ac:dyDescent="0.45">
      <c r="A1306" t="s">
        <v>3044</v>
      </c>
      <c r="B1306" s="1">
        <v>45716</v>
      </c>
      <c r="C1306" t="s">
        <v>4007</v>
      </c>
      <c r="D1306" t="s">
        <v>28</v>
      </c>
      <c r="E1306">
        <v>500</v>
      </c>
      <c r="F1306">
        <v>2</v>
      </c>
      <c r="G1306">
        <f t="shared" si="60"/>
        <v>1000</v>
      </c>
      <c r="H1306" t="s">
        <v>7</v>
      </c>
      <c r="I1306">
        <f t="shared" si="61"/>
        <v>600</v>
      </c>
      <c r="J1306">
        <f t="shared" si="62"/>
        <v>1200</v>
      </c>
    </row>
    <row r="1307" spans="1:10" x14ac:dyDescent="0.45">
      <c r="A1307" t="s">
        <v>3125</v>
      </c>
      <c r="B1307" s="1">
        <v>45716</v>
      </c>
      <c r="C1307" t="s">
        <v>4007</v>
      </c>
      <c r="D1307" t="s">
        <v>28</v>
      </c>
      <c r="E1307">
        <v>500</v>
      </c>
      <c r="F1307">
        <v>6</v>
      </c>
      <c r="G1307">
        <f t="shared" si="60"/>
        <v>3000</v>
      </c>
      <c r="H1307" t="s">
        <v>21</v>
      </c>
      <c r="I1307">
        <f t="shared" si="61"/>
        <v>600</v>
      </c>
      <c r="J1307">
        <f t="shared" si="62"/>
        <v>3600</v>
      </c>
    </row>
    <row r="1308" spans="1:10" x14ac:dyDescent="0.45">
      <c r="A1308" t="s">
        <v>3182</v>
      </c>
      <c r="B1308" s="1">
        <v>45716</v>
      </c>
      <c r="C1308" t="s">
        <v>4007</v>
      </c>
      <c r="D1308" t="s">
        <v>2776</v>
      </c>
      <c r="E1308">
        <v>3600</v>
      </c>
      <c r="F1308">
        <v>7</v>
      </c>
      <c r="G1308">
        <f t="shared" si="60"/>
        <v>25200</v>
      </c>
      <c r="H1308" t="s">
        <v>7</v>
      </c>
      <c r="I1308">
        <f t="shared" si="61"/>
        <v>4320</v>
      </c>
      <c r="J1308">
        <f t="shared" si="62"/>
        <v>30240</v>
      </c>
    </row>
    <row r="1309" spans="1:10" x14ac:dyDescent="0.45">
      <c r="A1309" t="s">
        <v>3280</v>
      </c>
      <c r="B1309" s="1">
        <v>45716</v>
      </c>
      <c r="C1309" t="s">
        <v>4007</v>
      </c>
      <c r="D1309" t="s">
        <v>28</v>
      </c>
      <c r="E1309">
        <v>500</v>
      </c>
      <c r="F1309">
        <v>10</v>
      </c>
      <c r="G1309">
        <f t="shared" si="60"/>
        <v>5000</v>
      </c>
      <c r="H1309" t="s">
        <v>17</v>
      </c>
      <c r="I1309">
        <f t="shared" si="61"/>
        <v>600</v>
      </c>
      <c r="J1309">
        <f t="shared" si="62"/>
        <v>6000</v>
      </c>
    </row>
    <row r="1310" spans="1:10" x14ac:dyDescent="0.45">
      <c r="A1310" t="s">
        <v>3310</v>
      </c>
      <c r="B1310" s="1">
        <v>45716</v>
      </c>
      <c r="C1310" t="s">
        <v>4007</v>
      </c>
      <c r="D1310" t="s">
        <v>2774</v>
      </c>
      <c r="E1310">
        <v>1900</v>
      </c>
      <c r="F1310">
        <v>3</v>
      </c>
      <c r="G1310">
        <f t="shared" si="60"/>
        <v>5700</v>
      </c>
      <c r="H1310" t="s">
        <v>7</v>
      </c>
      <c r="I1310">
        <f t="shared" si="61"/>
        <v>2280</v>
      </c>
      <c r="J1310">
        <f t="shared" si="62"/>
        <v>6840</v>
      </c>
    </row>
    <row r="1311" spans="1:10" x14ac:dyDescent="0.45">
      <c r="A1311" t="s">
        <v>3353</v>
      </c>
      <c r="B1311" s="1">
        <v>45716</v>
      </c>
      <c r="C1311" t="s">
        <v>4007</v>
      </c>
      <c r="D1311" t="s">
        <v>2776</v>
      </c>
      <c r="E1311">
        <v>3600</v>
      </c>
      <c r="F1311">
        <v>7</v>
      </c>
      <c r="G1311">
        <f t="shared" si="60"/>
        <v>25200</v>
      </c>
      <c r="H1311" t="s">
        <v>17</v>
      </c>
      <c r="I1311">
        <f t="shared" si="61"/>
        <v>4320</v>
      </c>
      <c r="J1311">
        <f t="shared" si="62"/>
        <v>30240</v>
      </c>
    </row>
    <row r="1312" spans="1:10" x14ac:dyDescent="0.45">
      <c r="A1312" t="s">
        <v>3561</v>
      </c>
      <c r="B1312" s="1">
        <v>45716</v>
      </c>
      <c r="C1312" t="s">
        <v>4007</v>
      </c>
      <c r="D1312" t="s">
        <v>28</v>
      </c>
      <c r="E1312">
        <v>500</v>
      </c>
      <c r="F1312">
        <v>10</v>
      </c>
      <c r="G1312">
        <f t="shared" si="60"/>
        <v>5000</v>
      </c>
      <c r="H1312" t="s">
        <v>21</v>
      </c>
      <c r="I1312">
        <f t="shared" si="61"/>
        <v>600</v>
      </c>
      <c r="J1312">
        <f t="shared" si="62"/>
        <v>6000</v>
      </c>
    </row>
    <row r="1313" spans="1:10" x14ac:dyDescent="0.45">
      <c r="A1313" t="s">
        <v>3612</v>
      </c>
      <c r="B1313" s="1">
        <v>45716</v>
      </c>
      <c r="C1313" t="s">
        <v>2772</v>
      </c>
      <c r="D1313" t="s">
        <v>2771</v>
      </c>
      <c r="E1313">
        <v>120</v>
      </c>
      <c r="F1313">
        <v>3</v>
      </c>
      <c r="G1313">
        <f t="shared" si="60"/>
        <v>360</v>
      </c>
      <c r="H1313" t="s">
        <v>17</v>
      </c>
      <c r="I1313">
        <f t="shared" si="61"/>
        <v>144</v>
      </c>
      <c r="J1313">
        <f t="shared" si="62"/>
        <v>432</v>
      </c>
    </row>
    <row r="1314" spans="1:10" x14ac:dyDescent="0.45">
      <c r="A1314" t="s">
        <v>3725</v>
      </c>
      <c r="B1314" s="1">
        <v>45716</v>
      </c>
      <c r="C1314" t="s">
        <v>33</v>
      </c>
      <c r="D1314" t="s">
        <v>34</v>
      </c>
      <c r="E1314">
        <v>1700</v>
      </c>
      <c r="F1314">
        <v>9</v>
      </c>
      <c r="G1314">
        <f t="shared" si="60"/>
        <v>15300</v>
      </c>
      <c r="H1314" t="s">
        <v>21</v>
      </c>
      <c r="I1314">
        <f t="shared" si="61"/>
        <v>2040</v>
      </c>
      <c r="J1314">
        <f t="shared" si="62"/>
        <v>18360</v>
      </c>
    </row>
    <row r="1315" spans="1:10" x14ac:dyDescent="0.45">
      <c r="A1315" t="s">
        <v>3775</v>
      </c>
      <c r="B1315" s="1">
        <v>45716</v>
      </c>
      <c r="C1315" t="s">
        <v>4007</v>
      </c>
      <c r="D1315" t="s">
        <v>2774</v>
      </c>
      <c r="E1315">
        <v>1900</v>
      </c>
      <c r="F1315">
        <v>6</v>
      </c>
      <c r="G1315">
        <f t="shared" si="60"/>
        <v>11400</v>
      </c>
      <c r="H1315" t="s">
        <v>17</v>
      </c>
      <c r="I1315">
        <f t="shared" si="61"/>
        <v>2280</v>
      </c>
      <c r="J1315">
        <f t="shared" si="62"/>
        <v>13680</v>
      </c>
    </row>
    <row r="1316" spans="1:10" x14ac:dyDescent="0.45">
      <c r="A1316" t="s">
        <v>3789</v>
      </c>
      <c r="B1316" s="1">
        <v>45716</v>
      </c>
      <c r="C1316" t="s">
        <v>4007</v>
      </c>
      <c r="D1316" t="s">
        <v>28</v>
      </c>
      <c r="E1316">
        <v>500</v>
      </c>
      <c r="F1316">
        <v>4</v>
      </c>
      <c r="G1316">
        <f t="shared" si="60"/>
        <v>2000</v>
      </c>
      <c r="H1316" t="s">
        <v>17</v>
      </c>
      <c r="I1316">
        <f t="shared" si="61"/>
        <v>600</v>
      </c>
      <c r="J1316">
        <f t="shared" si="62"/>
        <v>2400</v>
      </c>
    </row>
    <row r="1317" spans="1:10" x14ac:dyDescent="0.45">
      <c r="A1317" t="s">
        <v>3835</v>
      </c>
      <c r="B1317" s="1">
        <v>45716</v>
      </c>
      <c r="C1317" t="s">
        <v>2772</v>
      </c>
      <c r="D1317" t="s">
        <v>2771</v>
      </c>
      <c r="E1317">
        <v>120</v>
      </c>
      <c r="F1317">
        <v>10</v>
      </c>
      <c r="G1317">
        <f t="shared" si="60"/>
        <v>1200</v>
      </c>
      <c r="H1317" t="s">
        <v>21</v>
      </c>
      <c r="I1317">
        <f t="shared" si="61"/>
        <v>144</v>
      </c>
      <c r="J1317">
        <f t="shared" si="62"/>
        <v>1440</v>
      </c>
    </row>
    <row r="1318" spans="1:10" x14ac:dyDescent="0.45">
      <c r="A1318" t="s">
        <v>3876</v>
      </c>
      <c r="B1318" s="1">
        <v>45716</v>
      </c>
      <c r="C1318" t="s">
        <v>4007</v>
      </c>
      <c r="D1318" t="s">
        <v>28</v>
      </c>
      <c r="E1318">
        <v>500</v>
      </c>
      <c r="F1318">
        <v>3</v>
      </c>
      <c r="G1318">
        <f t="shared" si="60"/>
        <v>1500</v>
      </c>
      <c r="H1318" t="s">
        <v>7</v>
      </c>
      <c r="I1318">
        <f t="shared" si="61"/>
        <v>600</v>
      </c>
      <c r="J1318">
        <f t="shared" si="62"/>
        <v>1800</v>
      </c>
    </row>
    <row r="1319" spans="1:10" x14ac:dyDescent="0.45">
      <c r="A1319" t="s">
        <v>4063</v>
      </c>
      <c r="B1319" s="1">
        <v>45716</v>
      </c>
      <c r="C1319" t="s">
        <v>3979</v>
      </c>
      <c r="D1319" t="s">
        <v>3983</v>
      </c>
      <c r="E1319">
        <v>1000</v>
      </c>
      <c r="F1319" s="3">
        <v>8</v>
      </c>
      <c r="G1319">
        <f t="shared" si="60"/>
        <v>8000</v>
      </c>
      <c r="H1319" t="s">
        <v>17</v>
      </c>
      <c r="I1319">
        <f t="shared" si="61"/>
        <v>1200</v>
      </c>
      <c r="J1319">
        <f t="shared" si="62"/>
        <v>9600</v>
      </c>
    </row>
    <row r="1320" spans="1:10" x14ac:dyDescent="0.45">
      <c r="A1320" t="s">
        <v>4250</v>
      </c>
      <c r="B1320" s="1">
        <v>45716</v>
      </c>
      <c r="C1320" t="s">
        <v>5008</v>
      </c>
      <c r="D1320" t="s">
        <v>3996</v>
      </c>
      <c r="E1320">
        <v>2000</v>
      </c>
      <c r="F1320" s="3">
        <v>2</v>
      </c>
      <c r="G1320">
        <f t="shared" si="60"/>
        <v>4000</v>
      </c>
      <c r="H1320" t="s">
        <v>21</v>
      </c>
      <c r="I1320">
        <f t="shared" si="61"/>
        <v>2400</v>
      </c>
      <c r="J1320">
        <f t="shared" si="62"/>
        <v>4800</v>
      </c>
    </row>
    <row r="1321" spans="1:10" x14ac:dyDescent="0.45">
      <c r="A1321" t="s">
        <v>4494</v>
      </c>
      <c r="B1321" s="1">
        <v>45716</v>
      </c>
      <c r="C1321" t="s">
        <v>5008</v>
      </c>
      <c r="D1321" t="s">
        <v>3986</v>
      </c>
      <c r="E1321">
        <v>12000</v>
      </c>
      <c r="F1321" s="3">
        <v>10</v>
      </c>
      <c r="G1321">
        <f t="shared" si="60"/>
        <v>120000</v>
      </c>
      <c r="H1321" t="s">
        <v>7</v>
      </c>
      <c r="I1321">
        <f t="shared" si="61"/>
        <v>14400</v>
      </c>
      <c r="J1321">
        <f t="shared" si="62"/>
        <v>144000</v>
      </c>
    </row>
    <row r="1322" spans="1:10" x14ac:dyDescent="0.45">
      <c r="A1322" t="s">
        <v>4718</v>
      </c>
      <c r="B1322" s="1">
        <v>45716</v>
      </c>
      <c r="C1322" t="s">
        <v>4007</v>
      </c>
      <c r="D1322" t="s">
        <v>3999</v>
      </c>
      <c r="E1322">
        <v>50000</v>
      </c>
      <c r="F1322" s="3">
        <v>6</v>
      </c>
      <c r="G1322">
        <f t="shared" si="60"/>
        <v>300000</v>
      </c>
      <c r="H1322" t="s">
        <v>7</v>
      </c>
      <c r="I1322">
        <f t="shared" si="61"/>
        <v>60000</v>
      </c>
      <c r="J1322">
        <f t="shared" si="62"/>
        <v>360000</v>
      </c>
    </row>
    <row r="1323" spans="1:10" x14ac:dyDescent="0.45">
      <c r="A1323" t="s">
        <v>4739</v>
      </c>
      <c r="B1323" s="1">
        <v>45716</v>
      </c>
      <c r="C1323" t="s">
        <v>3977</v>
      </c>
      <c r="D1323" t="s">
        <v>3993</v>
      </c>
      <c r="E1323">
        <v>1000</v>
      </c>
      <c r="F1323" s="3">
        <v>3</v>
      </c>
      <c r="G1323">
        <f t="shared" si="60"/>
        <v>3000</v>
      </c>
      <c r="H1323" t="s">
        <v>21</v>
      </c>
      <c r="I1323">
        <f t="shared" si="61"/>
        <v>1200</v>
      </c>
      <c r="J1323">
        <f t="shared" si="62"/>
        <v>3600</v>
      </c>
    </row>
    <row r="1324" spans="1:10" x14ac:dyDescent="0.45">
      <c r="A1324" t="s">
        <v>4849</v>
      </c>
      <c r="B1324" s="1">
        <v>45716</v>
      </c>
      <c r="C1324" t="s">
        <v>3979</v>
      </c>
      <c r="D1324" t="s">
        <v>3987</v>
      </c>
      <c r="E1324">
        <v>8000</v>
      </c>
      <c r="F1324" s="3">
        <v>1</v>
      </c>
      <c r="G1324">
        <f t="shared" si="60"/>
        <v>8000</v>
      </c>
      <c r="H1324" t="s">
        <v>7</v>
      </c>
      <c r="I1324">
        <f t="shared" si="61"/>
        <v>9600</v>
      </c>
      <c r="J1324">
        <f t="shared" si="62"/>
        <v>9600</v>
      </c>
    </row>
    <row r="1325" spans="1:10" x14ac:dyDescent="0.45">
      <c r="A1325" t="s">
        <v>475</v>
      </c>
      <c r="B1325" s="1">
        <v>45717</v>
      </c>
      <c r="C1325" t="s">
        <v>33</v>
      </c>
      <c r="D1325" t="s">
        <v>34</v>
      </c>
      <c r="E1325">
        <v>1700</v>
      </c>
      <c r="F1325">
        <v>9</v>
      </c>
      <c r="G1325">
        <f t="shared" si="60"/>
        <v>15300</v>
      </c>
      <c r="H1325" t="s">
        <v>17</v>
      </c>
      <c r="I1325">
        <f t="shared" si="61"/>
        <v>2040</v>
      </c>
      <c r="J1325">
        <f t="shared" si="62"/>
        <v>18360</v>
      </c>
    </row>
    <row r="1326" spans="1:10" x14ac:dyDescent="0.45">
      <c r="A1326" t="s">
        <v>476</v>
      </c>
      <c r="B1326" s="1">
        <v>45717</v>
      </c>
      <c r="C1326" t="s">
        <v>12</v>
      </c>
      <c r="D1326" t="s">
        <v>5021</v>
      </c>
      <c r="E1326">
        <v>2880</v>
      </c>
      <c r="F1326">
        <v>2</v>
      </c>
      <c r="G1326">
        <f t="shared" si="60"/>
        <v>5760</v>
      </c>
      <c r="H1326" t="s">
        <v>17</v>
      </c>
      <c r="I1326">
        <f t="shared" si="61"/>
        <v>3456</v>
      </c>
      <c r="J1326">
        <f t="shared" si="62"/>
        <v>6912</v>
      </c>
    </row>
    <row r="1327" spans="1:10" x14ac:dyDescent="0.45">
      <c r="A1327" t="s">
        <v>477</v>
      </c>
      <c r="B1327" s="1">
        <v>45717</v>
      </c>
      <c r="C1327" t="s">
        <v>33</v>
      </c>
      <c r="D1327" t="s">
        <v>14</v>
      </c>
      <c r="E1327">
        <v>800</v>
      </c>
      <c r="F1327">
        <v>4</v>
      </c>
      <c r="G1327">
        <f t="shared" si="60"/>
        <v>3200</v>
      </c>
      <c r="H1327" t="s">
        <v>17</v>
      </c>
      <c r="I1327">
        <f t="shared" si="61"/>
        <v>960</v>
      </c>
      <c r="J1327">
        <f t="shared" si="62"/>
        <v>3840</v>
      </c>
    </row>
    <row r="1328" spans="1:10" x14ac:dyDescent="0.45">
      <c r="A1328" t="s">
        <v>478</v>
      </c>
      <c r="B1328" s="1">
        <v>45717</v>
      </c>
      <c r="C1328" t="s">
        <v>4007</v>
      </c>
      <c r="D1328" t="s">
        <v>28</v>
      </c>
      <c r="E1328">
        <v>500</v>
      </c>
      <c r="F1328">
        <v>5</v>
      </c>
      <c r="G1328">
        <f t="shared" si="60"/>
        <v>2500</v>
      </c>
      <c r="H1328" t="s">
        <v>7</v>
      </c>
      <c r="I1328">
        <f t="shared" si="61"/>
        <v>600</v>
      </c>
      <c r="J1328">
        <f t="shared" si="62"/>
        <v>3000</v>
      </c>
    </row>
    <row r="1329" spans="1:10" x14ac:dyDescent="0.45">
      <c r="A1329" t="s">
        <v>479</v>
      </c>
      <c r="B1329" s="1">
        <v>45717</v>
      </c>
      <c r="C1329" t="s">
        <v>4007</v>
      </c>
      <c r="D1329" t="s">
        <v>4005</v>
      </c>
      <c r="E1329">
        <v>60000</v>
      </c>
      <c r="F1329">
        <v>5</v>
      </c>
      <c r="G1329">
        <f t="shared" si="60"/>
        <v>300000</v>
      </c>
      <c r="H1329" t="s">
        <v>17</v>
      </c>
      <c r="I1329">
        <f t="shared" si="61"/>
        <v>72000</v>
      </c>
      <c r="J1329">
        <f t="shared" si="62"/>
        <v>360000</v>
      </c>
    </row>
    <row r="1330" spans="1:10" x14ac:dyDescent="0.45">
      <c r="A1330" t="s">
        <v>480</v>
      </c>
      <c r="B1330" s="1">
        <v>45717</v>
      </c>
      <c r="C1330" t="s">
        <v>9</v>
      </c>
      <c r="D1330" t="s">
        <v>19</v>
      </c>
      <c r="E1330">
        <v>3000</v>
      </c>
      <c r="F1330">
        <v>10</v>
      </c>
      <c r="G1330">
        <f t="shared" si="60"/>
        <v>30000</v>
      </c>
      <c r="H1330" t="s">
        <v>21</v>
      </c>
      <c r="I1330">
        <f t="shared" si="61"/>
        <v>3600</v>
      </c>
      <c r="J1330">
        <f t="shared" si="62"/>
        <v>36000</v>
      </c>
    </row>
    <row r="1331" spans="1:10" x14ac:dyDescent="0.45">
      <c r="A1331" t="s">
        <v>481</v>
      </c>
      <c r="B1331" s="1">
        <v>45717</v>
      </c>
      <c r="C1331" t="s">
        <v>33</v>
      </c>
      <c r="D1331" t="s">
        <v>14</v>
      </c>
      <c r="E1331">
        <v>800</v>
      </c>
      <c r="F1331">
        <v>8</v>
      </c>
      <c r="G1331">
        <f t="shared" si="60"/>
        <v>6400</v>
      </c>
      <c r="H1331" t="s">
        <v>21</v>
      </c>
      <c r="I1331">
        <f t="shared" si="61"/>
        <v>960</v>
      </c>
      <c r="J1331">
        <f t="shared" si="62"/>
        <v>7680</v>
      </c>
    </row>
    <row r="1332" spans="1:10" x14ac:dyDescent="0.45">
      <c r="A1332" t="s">
        <v>2795</v>
      </c>
      <c r="B1332" s="1">
        <v>45717</v>
      </c>
      <c r="C1332" t="s">
        <v>4007</v>
      </c>
      <c r="D1332" t="s">
        <v>5015</v>
      </c>
      <c r="E1332">
        <v>48000</v>
      </c>
      <c r="F1332">
        <v>6</v>
      </c>
      <c r="G1332">
        <f t="shared" si="60"/>
        <v>288000</v>
      </c>
      <c r="H1332" t="s">
        <v>17</v>
      </c>
      <c r="I1332">
        <f t="shared" si="61"/>
        <v>57600</v>
      </c>
      <c r="J1332">
        <f t="shared" si="62"/>
        <v>345600</v>
      </c>
    </row>
    <row r="1333" spans="1:10" x14ac:dyDescent="0.45">
      <c r="A1333" t="s">
        <v>2846</v>
      </c>
      <c r="B1333" s="1">
        <v>45717</v>
      </c>
      <c r="C1333" t="s">
        <v>4007</v>
      </c>
      <c r="D1333" t="s">
        <v>2773</v>
      </c>
      <c r="E1333">
        <v>3300</v>
      </c>
      <c r="F1333">
        <v>3</v>
      </c>
      <c r="G1333">
        <f t="shared" si="60"/>
        <v>9900</v>
      </c>
      <c r="H1333" t="s">
        <v>7</v>
      </c>
      <c r="I1333">
        <f t="shared" si="61"/>
        <v>3960</v>
      </c>
      <c r="J1333">
        <f t="shared" si="62"/>
        <v>11880</v>
      </c>
    </row>
    <row r="1334" spans="1:10" x14ac:dyDescent="0.45">
      <c r="A1334" t="s">
        <v>2955</v>
      </c>
      <c r="B1334" s="1">
        <v>45717</v>
      </c>
      <c r="C1334" t="s">
        <v>4007</v>
      </c>
      <c r="D1334" t="s">
        <v>2770</v>
      </c>
      <c r="E1334">
        <v>600</v>
      </c>
      <c r="F1334">
        <v>1</v>
      </c>
      <c r="G1334">
        <f t="shared" si="60"/>
        <v>600</v>
      </c>
      <c r="H1334" t="s">
        <v>17</v>
      </c>
      <c r="I1334">
        <f t="shared" si="61"/>
        <v>720</v>
      </c>
      <c r="J1334">
        <f t="shared" si="62"/>
        <v>720</v>
      </c>
    </row>
    <row r="1335" spans="1:10" x14ac:dyDescent="0.45">
      <c r="A1335" t="s">
        <v>3278</v>
      </c>
      <c r="B1335" s="1">
        <v>45717</v>
      </c>
      <c r="C1335" t="s">
        <v>2772</v>
      </c>
      <c r="D1335" t="s">
        <v>2771</v>
      </c>
      <c r="E1335">
        <v>120</v>
      </c>
      <c r="F1335">
        <v>5</v>
      </c>
      <c r="G1335">
        <f t="shared" si="60"/>
        <v>600</v>
      </c>
      <c r="H1335" t="s">
        <v>7</v>
      </c>
      <c r="I1335">
        <f t="shared" si="61"/>
        <v>144</v>
      </c>
      <c r="J1335">
        <f t="shared" si="62"/>
        <v>720</v>
      </c>
    </row>
    <row r="1336" spans="1:10" x14ac:dyDescent="0.45">
      <c r="A1336" t="s">
        <v>3531</v>
      </c>
      <c r="B1336" s="1">
        <v>45717</v>
      </c>
      <c r="C1336" t="s">
        <v>4007</v>
      </c>
      <c r="D1336" t="s">
        <v>2773</v>
      </c>
      <c r="E1336">
        <v>3300</v>
      </c>
      <c r="F1336">
        <v>9</v>
      </c>
      <c r="G1336">
        <f t="shared" si="60"/>
        <v>29700</v>
      </c>
      <c r="H1336" t="s">
        <v>21</v>
      </c>
      <c r="I1336">
        <f t="shared" si="61"/>
        <v>3960</v>
      </c>
      <c r="J1336">
        <f t="shared" si="62"/>
        <v>35640</v>
      </c>
    </row>
    <row r="1337" spans="1:10" x14ac:dyDescent="0.45">
      <c r="A1337" t="s">
        <v>4109</v>
      </c>
      <c r="B1337" s="1">
        <v>45717</v>
      </c>
      <c r="C1337" t="s">
        <v>5008</v>
      </c>
      <c r="D1337" t="s">
        <v>3996</v>
      </c>
      <c r="E1337">
        <v>2000</v>
      </c>
      <c r="F1337" s="3">
        <v>9</v>
      </c>
      <c r="G1337">
        <f t="shared" si="60"/>
        <v>18000</v>
      </c>
      <c r="H1337" t="s">
        <v>17</v>
      </c>
      <c r="I1337">
        <f t="shared" si="61"/>
        <v>2400</v>
      </c>
      <c r="J1337">
        <f t="shared" si="62"/>
        <v>21600</v>
      </c>
    </row>
    <row r="1338" spans="1:10" x14ac:dyDescent="0.45">
      <c r="A1338" t="s">
        <v>4366</v>
      </c>
      <c r="B1338" s="1">
        <v>45717</v>
      </c>
      <c r="C1338" t="s">
        <v>3979</v>
      </c>
      <c r="D1338" t="s">
        <v>3980</v>
      </c>
      <c r="E1338">
        <v>500</v>
      </c>
      <c r="F1338" s="3">
        <v>3</v>
      </c>
      <c r="G1338">
        <f t="shared" si="60"/>
        <v>1500</v>
      </c>
      <c r="H1338" t="s">
        <v>7</v>
      </c>
      <c r="I1338">
        <f t="shared" si="61"/>
        <v>600</v>
      </c>
      <c r="J1338">
        <f t="shared" si="62"/>
        <v>1800</v>
      </c>
    </row>
    <row r="1339" spans="1:10" x14ac:dyDescent="0.45">
      <c r="A1339" t="s">
        <v>4391</v>
      </c>
      <c r="B1339" s="1">
        <v>45717</v>
      </c>
      <c r="C1339" t="s">
        <v>4007</v>
      </c>
      <c r="D1339" t="s">
        <v>4005</v>
      </c>
      <c r="E1339">
        <v>60000</v>
      </c>
      <c r="F1339" s="3">
        <v>4</v>
      </c>
      <c r="G1339">
        <f t="shared" si="60"/>
        <v>240000</v>
      </c>
      <c r="H1339" t="s">
        <v>7</v>
      </c>
      <c r="I1339">
        <f t="shared" si="61"/>
        <v>72000</v>
      </c>
      <c r="J1339">
        <f t="shared" si="62"/>
        <v>288000</v>
      </c>
    </row>
    <row r="1340" spans="1:10" x14ac:dyDescent="0.45">
      <c r="A1340" t="s">
        <v>4526</v>
      </c>
      <c r="B1340" s="1">
        <v>45717</v>
      </c>
      <c r="C1340" t="s">
        <v>33</v>
      </c>
      <c r="D1340" t="s">
        <v>42</v>
      </c>
      <c r="E1340">
        <v>6900</v>
      </c>
      <c r="F1340" s="3">
        <v>2</v>
      </c>
      <c r="G1340">
        <f t="shared" si="60"/>
        <v>13800</v>
      </c>
      <c r="H1340" t="s">
        <v>7</v>
      </c>
      <c r="I1340">
        <f t="shared" si="61"/>
        <v>8280</v>
      </c>
      <c r="J1340">
        <f t="shared" si="62"/>
        <v>16560</v>
      </c>
    </row>
    <row r="1341" spans="1:10" x14ac:dyDescent="0.45">
      <c r="A1341" t="s">
        <v>4583</v>
      </c>
      <c r="B1341" s="1">
        <v>45717</v>
      </c>
      <c r="C1341" t="s">
        <v>5008</v>
      </c>
      <c r="D1341" t="s">
        <v>3996</v>
      </c>
      <c r="E1341">
        <v>2000</v>
      </c>
      <c r="F1341" s="3">
        <v>7</v>
      </c>
      <c r="G1341">
        <f t="shared" si="60"/>
        <v>14000</v>
      </c>
      <c r="H1341" t="s">
        <v>7</v>
      </c>
      <c r="I1341">
        <f t="shared" si="61"/>
        <v>2400</v>
      </c>
      <c r="J1341">
        <f t="shared" si="62"/>
        <v>16800</v>
      </c>
    </row>
    <row r="1342" spans="1:10" x14ac:dyDescent="0.45">
      <c r="A1342" t="s">
        <v>4587</v>
      </c>
      <c r="B1342" s="1">
        <v>45717</v>
      </c>
      <c r="C1342" t="s">
        <v>3977</v>
      </c>
      <c r="D1342" t="s">
        <v>3978</v>
      </c>
      <c r="E1342">
        <v>2000</v>
      </c>
      <c r="F1342" s="3">
        <v>2</v>
      </c>
      <c r="G1342">
        <f t="shared" si="60"/>
        <v>4000</v>
      </c>
      <c r="H1342" t="s">
        <v>17</v>
      </c>
      <c r="I1342">
        <f t="shared" si="61"/>
        <v>2400</v>
      </c>
      <c r="J1342">
        <f t="shared" si="62"/>
        <v>4800</v>
      </c>
    </row>
    <row r="1343" spans="1:10" x14ac:dyDescent="0.45">
      <c r="A1343" t="s">
        <v>4603</v>
      </c>
      <c r="B1343" s="1">
        <v>45717</v>
      </c>
      <c r="C1343" t="s">
        <v>3977</v>
      </c>
      <c r="D1343" t="s">
        <v>3991</v>
      </c>
      <c r="E1343">
        <v>2000</v>
      </c>
      <c r="F1343" s="3">
        <v>3</v>
      </c>
      <c r="G1343">
        <f t="shared" si="60"/>
        <v>6000</v>
      </c>
      <c r="H1343" t="s">
        <v>17</v>
      </c>
      <c r="I1343">
        <f t="shared" si="61"/>
        <v>2400</v>
      </c>
      <c r="J1343">
        <f t="shared" si="62"/>
        <v>7200</v>
      </c>
    </row>
    <row r="1344" spans="1:10" x14ac:dyDescent="0.45">
      <c r="A1344" t="s">
        <v>4682</v>
      </c>
      <c r="B1344" s="1">
        <v>45717</v>
      </c>
      <c r="C1344" t="s">
        <v>3979</v>
      </c>
      <c r="D1344" t="s">
        <v>3984</v>
      </c>
      <c r="E1344">
        <v>12000</v>
      </c>
      <c r="F1344" s="3">
        <v>10</v>
      </c>
      <c r="G1344">
        <f t="shared" si="60"/>
        <v>120000</v>
      </c>
      <c r="H1344" t="s">
        <v>17</v>
      </c>
      <c r="I1344">
        <f t="shared" si="61"/>
        <v>14400</v>
      </c>
      <c r="J1344">
        <f t="shared" si="62"/>
        <v>144000</v>
      </c>
    </row>
    <row r="1345" spans="1:10" x14ac:dyDescent="0.45">
      <c r="A1345" t="s">
        <v>4738</v>
      </c>
      <c r="B1345" s="1">
        <v>45717</v>
      </c>
      <c r="C1345" t="s">
        <v>5008</v>
      </c>
      <c r="D1345" t="s">
        <v>3986</v>
      </c>
      <c r="E1345">
        <v>12000</v>
      </c>
      <c r="F1345" s="3">
        <v>4</v>
      </c>
      <c r="G1345">
        <f t="shared" si="60"/>
        <v>48000</v>
      </c>
      <c r="H1345" t="s">
        <v>17</v>
      </c>
      <c r="I1345">
        <f t="shared" si="61"/>
        <v>14400</v>
      </c>
      <c r="J1345">
        <f t="shared" si="62"/>
        <v>57600</v>
      </c>
    </row>
    <row r="1346" spans="1:10" x14ac:dyDescent="0.45">
      <c r="A1346" t="s">
        <v>4742</v>
      </c>
      <c r="B1346" s="1">
        <v>45717</v>
      </c>
      <c r="C1346" t="s">
        <v>4007</v>
      </c>
      <c r="D1346" t="s">
        <v>3999</v>
      </c>
      <c r="E1346">
        <v>50000</v>
      </c>
      <c r="F1346" s="3">
        <v>1</v>
      </c>
      <c r="G1346">
        <f t="shared" ref="G1346:G1409" si="63">E1346*F1346</f>
        <v>50000</v>
      </c>
      <c r="H1346" t="s">
        <v>7</v>
      </c>
      <c r="I1346">
        <f t="shared" ref="I1346:I1409" si="64">E1346*1.2</f>
        <v>60000</v>
      </c>
      <c r="J1346">
        <f t="shared" ref="J1346:J1409" si="65">I1346*F1346</f>
        <v>60000</v>
      </c>
    </row>
    <row r="1347" spans="1:10" x14ac:dyDescent="0.45">
      <c r="A1347" t="s">
        <v>482</v>
      </c>
      <c r="B1347" s="1">
        <v>45718</v>
      </c>
      <c r="C1347" t="s">
        <v>4007</v>
      </c>
      <c r="D1347" t="s">
        <v>39</v>
      </c>
      <c r="E1347">
        <v>6000</v>
      </c>
      <c r="F1347">
        <v>3</v>
      </c>
      <c r="G1347">
        <f t="shared" si="63"/>
        <v>18000</v>
      </c>
      <c r="H1347" t="s">
        <v>17</v>
      </c>
      <c r="I1347">
        <f t="shared" si="64"/>
        <v>7200</v>
      </c>
      <c r="J1347">
        <f t="shared" si="65"/>
        <v>21600</v>
      </c>
    </row>
    <row r="1348" spans="1:10" x14ac:dyDescent="0.45">
      <c r="A1348" t="s">
        <v>483</v>
      </c>
      <c r="B1348" s="1">
        <v>45718</v>
      </c>
      <c r="C1348" t="s">
        <v>33</v>
      </c>
      <c r="D1348" t="s">
        <v>34</v>
      </c>
      <c r="E1348">
        <v>1700</v>
      </c>
      <c r="F1348">
        <v>10</v>
      </c>
      <c r="G1348">
        <f t="shared" si="63"/>
        <v>17000</v>
      </c>
      <c r="H1348" t="s">
        <v>7</v>
      </c>
      <c r="I1348">
        <f t="shared" si="64"/>
        <v>2040</v>
      </c>
      <c r="J1348">
        <f t="shared" si="65"/>
        <v>20400</v>
      </c>
    </row>
    <row r="1349" spans="1:10" x14ac:dyDescent="0.45">
      <c r="A1349" t="s">
        <v>484</v>
      </c>
      <c r="B1349" s="1">
        <v>45718</v>
      </c>
      <c r="C1349" t="s">
        <v>4007</v>
      </c>
      <c r="D1349" t="s">
        <v>4005</v>
      </c>
      <c r="E1349">
        <v>60000</v>
      </c>
      <c r="F1349">
        <v>3</v>
      </c>
      <c r="G1349">
        <f t="shared" si="63"/>
        <v>180000</v>
      </c>
      <c r="H1349" t="s">
        <v>17</v>
      </c>
      <c r="I1349">
        <f t="shared" si="64"/>
        <v>72000</v>
      </c>
      <c r="J1349">
        <f t="shared" si="65"/>
        <v>216000</v>
      </c>
    </row>
    <row r="1350" spans="1:10" x14ac:dyDescent="0.45">
      <c r="A1350" t="s">
        <v>485</v>
      </c>
      <c r="B1350" s="1">
        <v>45718</v>
      </c>
      <c r="C1350" t="s">
        <v>33</v>
      </c>
      <c r="D1350" t="s">
        <v>42</v>
      </c>
      <c r="E1350">
        <v>6900</v>
      </c>
      <c r="F1350">
        <v>9</v>
      </c>
      <c r="G1350">
        <f t="shared" si="63"/>
        <v>62100</v>
      </c>
      <c r="H1350" t="s">
        <v>21</v>
      </c>
      <c r="I1350">
        <f t="shared" si="64"/>
        <v>8280</v>
      </c>
      <c r="J1350">
        <f t="shared" si="65"/>
        <v>74520</v>
      </c>
    </row>
    <row r="1351" spans="1:10" x14ac:dyDescent="0.45">
      <c r="A1351" t="s">
        <v>486</v>
      </c>
      <c r="B1351" s="1">
        <v>45718</v>
      </c>
      <c r="C1351" t="s">
        <v>12</v>
      </c>
      <c r="D1351" t="s">
        <v>5020</v>
      </c>
      <c r="E1351">
        <v>2880</v>
      </c>
      <c r="F1351">
        <v>1</v>
      </c>
      <c r="G1351">
        <f t="shared" si="63"/>
        <v>2880</v>
      </c>
      <c r="H1351" t="s">
        <v>17</v>
      </c>
      <c r="I1351">
        <f t="shared" si="64"/>
        <v>3456</v>
      </c>
      <c r="J1351">
        <f t="shared" si="65"/>
        <v>3456</v>
      </c>
    </row>
    <row r="1352" spans="1:10" x14ac:dyDescent="0.45">
      <c r="A1352" t="s">
        <v>487</v>
      </c>
      <c r="B1352" s="1">
        <v>45718</v>
      </c>
      <c r="C1352" t="s">
        <v>12</v>
      </c>
      <c r="D1352" t="s">
        <v>5023</v>
      </c>
      <c r="E1352">
        <v>1750</v>
      </c>
      <c r="F1352">
        <v>3</v>
      </c>
      <c r="G1352">
        <f t="shared" si="63"/>
        <v>5250</v>
      </c>
      <c r="H1352" t="s">
        <v>21</v>
      </c>
      <c r="I1352">
        <f t="shared" si="64"/>
        <v>2100</v>
      </c>
      <c r="J1352">
        <f t="shared" si="65"/>
        <v>6300</v>
      </c>
    </row>
    <row r="1353" spans="1:10" x14ac:dyDescent="0.45">
      <c r="A1353" t="s">
        <v>488</v>
      </c>
      <c r="B1353" s="1">
        <v>45718</v>
      </c>
      <c r="C1353" t="s">
        <v>4007</v>
      </c>
      <c r="D1353" t="s">
        <v>39</v>
      </c>
      <c r="E1353">
        <v>6000</v>
      </c>
      <c r="F1353">
        <v>6</v>
      </c>
      <c r="G1353">
        <f t="shared" si="63"/>
        <v>36000</v>
      </c>
      <c r="H1353" t="s">
        <v>7</v>
      </c>
      <c r="I1353">
        <f t="shared" si="64"/>
        <v>7200</v>
      </c>
      <c r="J1353">
        <f t="shared" si="65"/>
        <v>43200</v>
      </c>
    </row>
    <row r="1354" spans="1:10" x14ac:dyDescent="0.45">
      <c r="A1354" t="s">
        <v>489</v>
      </c>
      <c r="B1354" s="1">
        <v>45718</v>
      </c>
      <c r="C1354" t="s">
        <v>4007</v>
      </c>
      <c r="D1354" t="s">
        <v>28</v>
      </c>
      <c r="E1354">
        <v>500</v>
      </c>
      <c r="F1354">
        <v>10</v>
      </c>
      <c r="G1354">
        <f t="shared" si="63"/>
        <v>5000</v>
      </c>
      <c r="H1354" t="s">
        <v>21</v>
      </c>
      <c r="I1354">
        <f t="shared" si="64"/>
        <v>600</v>
      </c>
      <c r="J1354">
        <f t="shared" si="65"/>
        <v>6000</v>
      </c>
    </row>
    <row r="1355" spans="1:10" x14ac:dyDescent="0.45">
      <c r="A1355" t="s">
        <v>490</v>
      </c>
      <c r="B1355" s="1">
        <v>45718</v>
      </c>
      <c r="C1355" t="s">
        <v>12</v>
      </c>
      <c r="D1355" t="s">
        <v>5022</v>
      </c>
      <c r="E1355">
        <v>2880</v>
      </c>
      <c r="F1355">
        <v>8</v>
      </c>
      <c r="G1355">
        <f t="shared" si="63"/>
        <v>23040</v>
      </c>
      <c r="H1355" t="s">
        <v>7</v>
      </c>
      <c r="I1355">
        <f t="shared" si="64"/>
        <v>3456</v>
      </c>
      <c r="J1355">
        <f t="shared" si="65"/>
        <v>27648</v>
      </c>
    </row>
    <row r="1356" spans="1:10" x14ac:dyDescent="0.45">
      <c r="A1356" t="s">
        <v>491</v>
      </c>
      <c r="B1356" s="1">
        <v>45718</v>
      </c>
      <c r="C1356" t="s">
        <v>33</v>
      </c>
      <c r="D1356" t="s">
        <v>34</v>
      </c>
      <c r="E1356">
        <v>1700</v>
      </c>
      <c r="F1356">
        <v>6</v>
      </c>
      <c r="G1356">
        <f t="shared" si="63"/>
        <v>10200</v>
      </c>
      <c r="H1356" t="s">
        <v>21</v>
      </c>
      <c r="I1356">
        <f t="shared" si="64"/>
        <v>2040</v>
      </c>
      <c r="J1356">
        <f t="shared" si="65"/>
        <v>12240</v>
      </c>
    </row>
    <row r="1357" spans="1:10" x14ac:dyDescent="0.45">
      <c r="A1357" t="s">
        <v>2866</v>
      </c>
      <c r="B1357" s="1">
        <v>45718</v>
      </c>
      <c r="C1357" t="s">
        <v>4007</v>
      </c>
      <c r="D1357" t="s">
        <v>28</v>
      </c>
      <c r="E1357">
        <v>500</v>
      </c>
      <c r="F1357">
        <v>10</v>
      </c>
      <c r="G1357">
        <f t="shared" si="63"/>
        <v>5000</v>
      </c>
      <c r="H1357" t="s">
        <v>17</v>
      </c>
      <c r="I1357">
        <f t="shared" si="64"/>
        <v>600</v>
      </c>
      <c r="J1357">
        <f t="shared" si="65"/>
        <v>6000</v>
      </c>
    </row>
    <row r="1358" spans="1:10" x14ac:dyDescent="0.45">
      <c r="A1358" t="s">
        <v>2901</v>
      </c>
      <c r="B1358" s="1">
        <v>45718</v>
      </c>
      <c r="C1358" t="s">
        <v>2772</v>
      </c>
      <c r="D1358" t="s">
        <v>2775</v>
      </c>
      <c r="E1358">
        <v>9100</v>
      </c>
      <c r="F1358">
        <v>4</v>
      </c>
      <c r="G1358">
        <f t="shared" si="63"/>
        <v>36400</v>
      </c>
      <c r="H1358" t="s">
        <v>7</v>
      </c>
      <c r="I1358">
        <f t="shared" si="64"/>
        <v>10920</v>
      </c>
      <c r="J1358">
        <f t="shared" si="65"/>
        <v>43680</v>
      </c>
    </row>
    <row r="1359" spans="1:10" x14ac:dyDescent="0.45">
      <c r="A1359" t="s">
        <v>2973</v>
      </c>
      <c r="B1359" s="1">
        <v>45718</v>
      </c>
      <c r="C1359" t="s">
        <v>4007</v>
      </c>
      <c r="D1359" t="s">
        <v>2770</v>
      </c>
      <c r="E1359">
        <v>600</v>
      </c>
      <c r="F1359">
        <v>3</v>
      </c>
      <c r="G1359">
        <f t="shared" si="63"/>
        <v>1800</v>
      </c>
      <c r="H1359" t="s">
        <v>21</v>
      </c>
      <c r="I1359">
        <f t="shared" si="64"/>
        <v>720</v>
      </c>
      <c r="J1359">
        <f t="shared" si="65"/>
        <v>2160</v>
      </c>
    </row>
    <row r="1360" spans="1:10" x14ac:dyDescent="0.45">
      <c r="A1360" t="s">
        <v>3503</v>
      </c>
      <c r="B1360" s="1">
        <v>45718</v>
      </c>
      <c r="C1360" t="s">
        <v>2772</v>
      </c>
      <c r="D1360" t="s">
        <v>2771</v>
      </c>
      <c r="E1360">
        <v>120</v>
      </c>
      <c r="F1360">
        <v>6</v>
      </c>
      <c r="G1360">
        <f t="shared" si="63"/>
        <v>720</v>
      </c>
      <c r="H1360" t="s">
        <v>21</v>
      </c>
      <c r="I1360">
        <f t="shared" si="64"/>
        <v>144</v>
      </c>
      <c r="J1360">
        <f t="shared" si="65"/>
        <v>864</v>
      </c>
    </row>
    <row r="1361" spans="1:10" x14ac:dyDescent="0.45">
      <c r="A1361" t="s">
        <v>3636</v>
      </c>
      <c r="B1361" s="1">
        <v>45718</v>
      </c>
      <c r="C1361" t="s">
        <v>4007</v>
      </c>
      <c r="D1361" t="s">
        <v>2773</v>
      </c>
      <c r="E1361">
        <v>3300</v>
      </c>
      <c r="F1361">
        <v>7</v>
      </c>
      <c r="G1361">
        <f t="shared" si="63"/>
        <v>23100</v>
      </c>
      <c r="H1361" t="s">
        <v>17</v>
      </c>
      <c r="I1361">
        <f t="shared" si="64"/>
        <v>3960</v>
      </c>
      <c r="J1361">
        <f t="shared" si="65"/>
        <v>27720</v>
      </c>
    </row>
    <row r="1362" spans="1:10" x14ac:dyDescent="0.45">
      <c r="A1362" t="s">
        <v>3787</v>
      </c>
      <c r="B1362" s="1">
        <v>45718</v>
      </c>
      <c r="C1362" t="s">
        <v>2772</v>
      </c>
      <c r="D1362" t="s">
        <v>2775</v>
      </c>
      <c r="E1362">
        <v>9100</v>
      </c>
      <c r="F1362">
        <v>9</v>
      </c>
      <c r="G1362">
        <f t="shared" si="63"/>
        <v>81900</v>
      </c>
      <c r="H1362" t="s">
        <v>21</v>
      </c>
      <c r="I1362">
        <f t="shared" si="64"/>
        <v>10920</v>
      </c>
      <c r="J1362">
        <f t="shared" si="65"/>
        <v>98280</v>
      </c>
    </row>
    <row r="1363" spans="1:10" x14ac:dyDescent="0.45">
      <c r="A1363" t="s">
        <v>4032</v>
      </c>
      <c r="B1363" s="1">
        <v>45718</v>
      </c>
      <c r="C1363" t="s">
        <v>5009</v>
      </c>
      <c r="D1363" t="s">
        <v>3982</v>
      </c>
      <c r="E1363">
        <v>13000</v>
      </c>
      <c r="F1363" s="3">
        <v>3</v>
      </c>
      <c r="G1363">
        <f t="shared" si="63"/>
        <v>39000</v>
      </c>
      <c r="H1363" t="s">
        <v>21</v>
      </c>
      <c r="I1363">
        <f t="shared" si="64"/>
        <v>15600</v>
      </c>
      <c r="J1363">
        <f t="shared" si="65"/>
        <v>46800</v>
      </c>
    </row>
    <row r="1364" spans="1:10" x14ac:dyDescent="0.45">
      <c r="A1364" t="s">
        <v>4123</v>
      </c>
      <c r="B1364" s="1">
        <v>45718</v>
      </c>
      <c r="C1364" t="s">
        <v>5008</v>
      </c>
      <c r="D1364" t="s">
        <v>3986</v>
      </c>
      <c r="E1364">
        <v>12000</v>
      </c>
      <c r="F1364" s="3">
        <v>3</v>
      </c>
      <c r="G1364">
        <f t="shared" si="63"/>
        <v>36000</v>
      </c>
      <c r="H1364" t="s">
        <v>17</v>
      </c>
      <c r="I1364">
        <f t="shared" si="64"/>
        <v>14400</v>
      </c>
      <c r="J1364">
        <f t="shared" si="65"/>
        <v>43200</v>
      </c>
    </row>
    <row r="1365" spans="1:10" x14ac:dyDescent="0.45">
      <c r="A1365" t="s">
        <v>4217</v>
      </c>
      <c r="B1365" s="1">
        <v>45718</v>
      </c>
      <c r="C1365" t="s">
        <v>3979</v>
      </c>
      <c r="D1365" t="s">
        <v>3983</v>
      </c>
      <c r="E1365">
        <v>1000</v>
      </c>
      <c r="F1365" s="3">
        <v>9</v>
      </c>
      <c r="G1365">
        <f t="shared" si="63"/>
        <v>9000</v>
      </c>
      <c r="H1365" t="s">
        <v>17</v>
      </c>
      <c r="I1365">
        <f t="shared" si="64"/>
        <v>1200</v>
      </c>
      <c r="J1365">
        <f t="shared" si="65"/>
        <v>10800</v>
      </c>
    </row>
    <row r="1366" spans="1:10" x14ac:dyDescent="0.45">
      <c r="A1366" t="s">
        <v>4246</v>
      </c>
      <c r="B1366" s="1">
        <v>45718</v>
      </c>
      <c r="C1366" t="s">
        <v>3979</v>
      </c>
      <c r="D1366" t="s">
        <v>4006</v>
      </c>
      <c r="E1366">
        <v>2000</v>
      </c>
      <c r="F1366" s="3">
        <v>5</v>
      </c>
      <c r="G1366">
        <f t="shared" si="63"/>
        <v>10000</v>
      </c>
      <c r="H1366" t="s">
        <v>7</v>
      </c>
      <c r="I1366">
        <f t="shared" si="64"/>
        <v>2400</v>
      </c>
      <c r="J1366">
        <f t="shared" si="65"/>
        <v>12000</v>
      </c>
    </row>
    <row r="1367" spans="1:10" x14ac:dyDescent="0.45">
      <c r="A1367" t="s">
        <v>4260</v>
      </c>
      <c r="B1367" s="1">
        <v>45718</v>
      </c>
      <c r="C1367" t="s">
        <v>5009</v>
      </c>
      <c r="D1367" t="s">
        <v>4000</v>
      </c>
      <c r="E1367">
        <v>3000</v>
      </c>
      <c r="F1367" s="3">
        <v>2</v>
      </c>
      <c r="G1367">
        <f t="shared" si="63"/>
        <v>6000</v>
      </c>
      <c r="H1367" t="s">
        <v>21</v>
      </c>
      <c r="I1367">
        <f t="shared" si="64"/>
        <v>3600</v>
      </c>
      <c r="J1367">
        <f t="shared" si="65"/>
        <v>7200</v>
      </c>
    </row>
    <row r="1368" spans="1:10" x14ac:dyDescent="0.45">
      <c r="A1368" t="s">
        <v>4361</v>
      </c>
      <c r="B1368" s="1">
        <v>45718</v>
      </c>
      <c r="C1368" t="s">
        <v>33</v>
      </c>
      <c r="D1368" t="s">
        <v>3994</v>
      </c>
      <c r="E1368">
        <v>2500</v>
      </c>
      <c r="F1368" s="3">
        <v>9</v>
      </c>
      <c r="G1368">
        <f t="shared" si="63"/>
        <v>22500</v>
      </c>
      <c r="H1368" t="s">
        <v>7</v>
      </c>
      <c r="I1368">
        <f t="shared" si="64"/>
        <v>3000</v>
      </c>
      <c r="J1368">
        <f t="shared" si="65"/>
        <v>27000</v>
      </c>
    </row>
    <row r="1369" spans="1:10" x14ac:dyDescent="0.45">
      <c r="A1369" t="s">
        <v>4473</v>
      </c>
      <c r="B1369" s="1">
        <v>45718</v>
      </c>
      <c r="C1369" t="s">
        <v>5009</v>
      </c>
      <c r="D1369" t="s">
        <v>4004</v>
      </c>
      <c r="E1369">
        <v>15000</v>
      </c>
      <c r="F1369" s="3">
        <v>10</v>
      </c>
      <c r="G1369">
        <f t="shared" si="63"/>
        <v>150000</v>
      </c>
      <c r="H1369" t="s">
        <v>21</v>
      </c>
      <c r="I1369">
        <f t="shared" si="64"/>
        <v>18000</v>
      </c>
      <c r="J1369">
        <f t="shared" si="65"/>
        <v>180000</v>
      </c>
    </row>
    <row r="1370" spans="1:10" x14ac:dyDescent="0.45">
      <c r="A1370" t="s">
        <v>4577</v>
      </c>
      <c r="B1370" s="1">
        <v>45718</v>
      </c>
      <c r="C1370" t="s">
        <v>5009</v>
      </c>
      <c r="D1370" t="s">
        <v>3992</v>
      </c>
      <c r="E1370">
        <v>400</v>
      </c>
      <c r="F1370" s="3">
        <v>7</v>
      </c>
      <c r="G1370">
        <f t="shared" si="63"/>
        <v>2800</v>
      </c>
      <c r="H1370" t="s">
        <v>17</v>
      </c>
      <c r="I1370">
        <f t="shared" si="64"/>
        <v>480</v>
      </c>
      <c r="J1370">
        <f t="shared" si="65"/>
        <v>3360</v>
      </c>
    </row>
    <row r="1371" spans="1:10" x14ac:dyDescent="0.45">
      <c r="A1371" t="s">
        <v>4680</v>
      </c>
      <c r="B1371" s="1">
        <v>45718</v>
      </c>
      <c r="C1371" t="s">
        <v>3977</v>
      </c>
      <c r="D1371" t="s">
        <v>3993</v>
      </c>
      <c r="E1371">
        <v>1000</v>
      </c>
      <c r="F1371" s="3">
        <v>3</v>
      </c>
      <c r="G1371">
        <f t="shared" si="63"/>
        <v>3000</v>
      </c>
      <c r="H1371" t="s">
        <v>17</v>
      </c>
      <c r="I1371">
        <f t="shared" si="64"/>
        <v>1200</v>
      </c>
      <c r="J1371">
        <f t="shared" si="65"/>
        <v>3600</v>
      </c>
    </row>
    <row r="1372" spans="1:10" x14ac:dyDescent="0.45">
      <c r="A1372" t="s">
        <v>4712</v>
      </c>
      <c r="B1372" s="1">
        <v>45718</v>
      </c>
      <c r="C1372" t="s">
        <v>33</v>
      </c>
      <c r="D1372" t="s">
        <v>3994</v>
      </c>
      <c r="E1372">
        <v>2500</v>
      </c>
      <c r="F1372" s="3">
        <v>9</v>
      </c>
      <c r="G1372">
        <f t="shared" si="63"/>
        <v>22500</v>
      </c>
      <c r="H1372" t="s">
        <v>7</v>
      </c>
      <c r="I1372">
        <f t="shared" si="64"/>
        <v>3000</v>
      </c>
      <c r="J1372">
        <f t="shared" si="65"/>
        <v>27000</v>
      </c>
    </row>
    <row r="1373" spans="1:10" x14ac:dyDescent="0.45">
      <c r="A1373" t="s">
        <v>4850</v>
      </c>
      <c r="B1373" s="1">
        <v>45718</v>
      </c>
      <c r="C1373" t="s">
        <v>5009</v>
      </c>
      <c r="D1373" t="s">
        <v>3992</v>
      </c>
      <c r="E1373">
        <v>400</v>
      </c>
      <c r="F1373" s="3">
        <v>2</v>
      </c>
      <c r="G1373">
        <f t="shared" si="63"/>
        <v>800</v>
      </c>
      <c r="H1373" t="s">
        <v>7</v>
      </c>
      <c r="I1373">
        <f t="shared" si="64"/>
        <v>480</v>
      </c>
      <c r="J1373">
        <f t="shared" si="65"/>
        <v>960</v>
      </c>
    </row>
    <row r="1374" spans="1:10" x14ac:dyDescent="0.45">
      <c r="A1374" t="s">
        <v>4900</v>
      </c>
      <c r="B1374" s="1">
        <v>45718</v>
      </c>
      <c r="C1374" t="s">
        <v>5008</v>
      </c>
      <c r="D1374" t="s">
        <v>3986</v>
      </c>
      <c r="E1374">
        <v>12000</v>
      </c>
      <c r="F1374" s="3">
        <v>5</v>
      </c>
      <c r="G1374">
        <f t="shared" si="63"/>
        <v>60000</v>
      </c>
      <c r="H1374" t="s">
        <v>21</v>
      </c>
      <c r="I1374">
        <f t="shared" si="64"/>
        <v>14400</v>
      </c>
      <c r="J1374">
        <f t="shared" si="65"/>
        <v>72000</v>
      </c>
    </row>
    <row r="1375" spans="1:10" x14ac:dyDescent="0.45">
      <c r="A1375" t="s">
        <v>4906</v>
      </c>
      <c r="B1375" s="1">
        <v>45718</v>
      </c>
      <c r="C1375" t="s">
        <v>3977</v>
      </c>
      <c r="D1375" t="s">
        <v>3989</v>
      </c>
      <c r="E1375">
        <v>1000</v>
      </c>
      <c r="F1375" s="3">
        <v>7</v>
      </c>
      <c r="G1375">
        <f t="shared" si="63"/>
        <v>7000</v>
      </c>
      <c r="H1375" t="s">
        <v>17</v>
      </c>
      <c r="I1375">
        <f t="shared" si="64"/>
        <v>1200</v>
      </c>
      <c r="J1375">
        <f t="shared" si="65"/>
        <v>8400</v>
      </c>
    </row>
    <row r="1376" spans="1:10" x14ac:dyDescent="0.45">
      <c r="A1376" t="s">
        <v>4927</v>
      </c>
      <c r="B1376" s="1">
        <v>45718</v>
      </c>
      <c r="C1376" t="s">
        <v>3979</v>
      </c>
      <c r="D1376" t="s">
        <v>3980</v>
      </c>
      <c r="E1376">
        <v>500</v>
      </c>
      <c r="F1376" s="3">
        <v>3</v>
      </c>
      <c r="G1376">
        <f t="shared" si="63"/>
        <v>1500</v>
      </c>
      <c r="H1376" t="s">
        <v>17</v>
      </c>
      <c r="I1376">
        <f t="shared" si="64"/>
        <v>600</v>
      </c>
      <c r="J1376">
        <f t="shared" si="65"/>
        <v>1800</v>
      </c>
    </row>
    <row r="1377" spans="1:10" x14ac:dyDescent="0.45">
      <c r="A1377" t="s">
        <v>4937</v>
      </c>
      <c r="B1377" s="1">
        <v>45718</v>
      </c>
      <c r="C1377" t="s">
        <v>5009</v>
      </c>
      <c r="D1377" t="s">
        <v>3992</v>
      </c>
      <c r="E1377">
        <v>400</v>
      </c>
      <c r="F1377" s="3">
        <v>2</v>
      </c>
      <c r="G1377">
        <f t="shared" si="63"/>
        <v>800</v>
      </c>
      <c r="H1377" t="s">
        <v>7</v>
      </c>
      <c r="I1377">
        <f t="shared" si="64"/>
        <v>480</v>
      </c>
      <c r="J1377">
        <f t="shared" si="65"/>
        <v>960</v>
      </c>
    </row>
    <row r="1378" spans="1:10" x14ac:dyDescent="0.45">
      <c r="A1378" t="s">
        <v>4948</v>
      </c>
      <c r="B1378" s="1">
        <v>45718</v>
      </c>
      <c r="C1378" t="s">
        <v>4007</v>
      </c>
      <c r="D1378" t="s">
        <v>5015</v>
      </c>
      <c r="E1378">
        <v>48000</v>
      </c>
      <c r="F1378" s="3">
        <v>4</v>
      </c>
      <c r="G1378">
        <f t="shared" si="63"/>
        <v>192000</v>
      </c>
      <c r="H1378" t="s">
        <v>7</v>
      </c>
      <c r="I1378">
        <f t="shared" si="64"/>
        <v>57600</v>
      </c>
      <c r="J1378">
        <f t="shared" si="65"/>
        <v>230400</v>
      </c>
    </row>
    <row r="1379" spans="1:10" x14ac:dyDescent="0.45">
      <c r="A1379" t="s">
        <v>4973</v>
      </c>
      <c r="B1379" s="1">
        <v>45718</v>
      </c>
      <c r="C1379" t="s">
        <v>3979</v>
      </c>
      <c r="D1379" t="s">
        <v>3980</v>
      </c>
      <c r="E1379">
        <v>500</v>
      </c>
      <c r="F1379" s="3">
        <v>2</v>
      </c>
      <c r="G1379">
        <f t="shared" si="63"/>
        <v>1000</v>
      </c>
      <c r="H1379" t="s">
        <v>21</v>
      </c>
      <c r="I1379">
        <f t="shared" si="64"/>
        <v>600</v>
      </c>
      <c r="J1379">
        <f t="shared" si="65"/>
        <v>1200</v>
      </c>
    </row>
    <row r="1380" spans="1:10" x14ac:dyDescent="0.45">
      <c r="A1380" t="s">
        <v>5004</v>
      </c>
      <c r="B1380" s="1">
        <v>45718</v>
      </c>
      <c r="C1380" t="s">
        <v>33</v>
      </c>
      <c r="D1380" t="s">
        <v>3994</v>
      </c>
      <c r="E1380">
        <v>2500</v>
      </c>
      <c r="F1380" s="3">
        <v>10</v>
      </c>
      <c r="G1380">
        <f t="shared" si="63"/>
        <v>25000</v>
      </c>
      <c r="H1380" t="s">
        <v>17</v>
      </c>
      <c r="I1380">
        <f t="shared" si="64"/>
        <v>3000</v>
      </c>
      <c r="J1380">
        <f t="shared" si="65"/>
        <v>30000</v>
      </c>
    </row>
    <row r="1381" spans="1:10" x14ac:dyDescent="0.45">
      <c r="A1381" t="s">
        <v>492</v>
      </c>
      <c r="B1381" s="1">
        <v>45719</v>
      </c>
      <c r="C1381" t="s">
        <v>4007</v>
      </c>
      <c r="D1381" t="s">
        <v>4005</v>
      </c>
      <c r="E1381">
        <v>60000</v>
      </c>
      <c r="F1381">
        <v>9</v>
      </c>
      <c r="G1381">
        <f t="shared" si="63"/>
        <v>540000</v>
      </c>
      <c r="H1381" t="s">
        <v>7</v>
      </c>
      <c r="I1381">
        <f t="shared" si="64"/>
        <v>72000</v>
      </c>
      <c r="J1381">
        <f t="shared" si="65"/>
        <v>648000</v>
      </c>
    </row>
    <row r="1382" spans="1:10" x14ac:dyDescent="0.45">
      <c r="A1382" t="s">
        <v>493</v>
      </c>
      <c r="B1382" s="1">
        <v>45719</v>
      </c>
      <c r="C1382" t="s">
        <v>12</v>
      </c>
      <c r="D1382" t="s">
        <v>5023</v>
      </c>
      <c r="E1382">
        <v>1750</v>
      </c>
      <c r="F1382">
        <v>9</v>
      </c>
      <c r="G1382">
        <f t="shared" si="63"/>
        <v>15750</v>
      </c>
      <c r="H1382" t="s">
        <v>17</v>
      </c>
      <c r="I1382">
        <f t="shared" si="64"/>
        <v>2100</v>
      </c>
      <c r="J1382">
        <f t="shared" si="65"/>
        <v>18900</v>
      </c>
    </row>
    <row r="1383" spans="1:10" x14ac:dyDescent="0.45">
      <c r="A1383" t="s">
        <v>494</v>
      </c>
      <c r="B1383" s="1">
        <v>45719</v>
      </c>
      <c r="C1383" t="s">
        <v>4007</v>
      </c>
      <c r="D1383" t="s">
        <v>5015</v>
      </c>
      <c r="E1383">
        <v>48000</v>
      </c>
      <c r="F1383">
        <v>3</v>
      </c>
      <c r="G1383">
        <f t="shared" si="63"/>
        <v>144000</v>
      </c>
      <c r="H1383" t="s">
        <v>17</v>
      </c>
      <c r="I1383">
        <f t="shared" si="64"/>
        <v>57600</v>
      </c>
      <c r="J1383">
        <f t="shared" si="65"/>
        <v>172800</v>
      </c>
    </row>
    <row r="1384" spans="1:10" x14ac:dyDescent="0.45">
      <c r="A1384" t="s">
        <v>495</v>
      </c>
      <c r="B1384" s="1">
        <v>45719</v>
      </c>
      <c r="C1384" t="s">
        <v>33</v>
      </c>
      <c r="D1384" t="s">
        <v>34</v>
      </c>
      <c r="E1384">
        <v>1700</v>
      </c>
      <c r="F1384">
        <v>6</v>
      </c>
      <c r="G1384">
        <f t="shared" si="63"/>
        <v>10200</v>
      </c>
      <c r="H1384" t="s">
        <v>7</v>
      </c>
      <c r="I1384">
        <f t="shared" si="64"/>
        <v>2040</v>
      </c>
      <c r="J1384">
        <f t="shared" si="65"/>
        <v>12240</v>
      </c>
    </row>
    <row r="1385" spans="1:10" x14ac:dyDescent="0.45">
      <c r="A1385" t="s">
        <v>496</v>
      </c>
      <c r="B1385" s="1">
        <v>45719</v>
      </c>
      <c r="C1385" t="s">
        <v>33</v>
      </c>
      <c r="D1385" t="s">
        <v>42</v>
      </c>
      <c r="E1385">
        <v>6900</v>
      </c>
      <c r="F1385">
        <v>5</v>
      </c>
      <c r="G1385">
        <f t="shared" si="63"/>
        <v>34500</v>
      </c>
      <c r="H1385" t="s">
        <v>21</v>
      </c>
      <c r="I1385">
        <f t="shared" si="64"/>
        <v>8280</v>
      </c>
      <c r="J1385">
        <f t="shared" si="65"/>
        <v>41400</v>
      </c>
    </row>
    <row r="1386" spans="1:10" x14ac:dyDescent="0.45">
      <c r="A1386" t="s">
        <v>497</v>
      </c>
      <c r="B1386" s="1">
        <v>45719</v>
      </c>
      <c r="C1386" t="s">
        <v>33</v>
      </c>
      <c r="D1386" t="s">
        <v>34</v>
      </c>
      <c r="E1386">
        <v>1700</v>
      </c>
      <c r="F1386">
        <v>6</v>
      </c>
      <c r="G1386">
        <f t="shared" si="63"/>
        <v>10200</v>
      </c>
      <c r="H1386" t="s">
        <v>21</v>
      </c>
      <c r="I1386">
        <f t="shared" si="64"/>
        <v>2040</v>
      </c>
      <c r="J1386">
        <f t="shared" si="65"/>
        <v>12240</v>
      </c>
    </row>
    <row r="1387" spans="1:10" x14ac:dyDescent="0.45">
      <c r="A1387" t="s">
        <v>498</v>
      </c>
      <c r="B1387" s="1">
        <v>45719</v>
      </c>
      <c r="C1387" t="s">
        <v>12</v>
      </c>
      <c r="D1387" t="s">
        <v>5023</v>
      </c>
      <c r="E1387">
        <v>1750</v>
      </c>
      <c r="F1387">
        <v>8</v>
      </c>
      <c r="G1387">
        <f t="shared" si="63"/>
        <v>14000</v>
      </c>
      <c r="H1387" t="s">
        <v>17</v>
      </c>
      <c r="I1387">
        <f t="shared" si="64"/>
        <v>2100</v>
      </c>
      <c r="J1387">
        <f t="shared" si="65"/>
        <v>16800</v>
      </c>
    </row>
    <row r="1388" spans="1:10" x14ac:dyDescent="0.45">
      <c r="A1388" t="s">
        <v>499</v>
      </c>
      <c r="B1388" s="1">
        <v>45719</v>
      </c>
      <c r="C1388" t="s">
        <v>9</v>
      </c>
      <c r="D1388" t="s">
        <v>19</v>
      </c>
      <c r="E1388">
        <v>3000</v>
      </c>
      <c r="F1388">
        <v>6</v>
      </c>
      <c r="G1388">
        <f t="shared" si="63"/>
        <v>18000</v>
      </c>
      <c r="H1388" t="s">
        <v>17</v>
      </c>
      <c r="I1388">
        <f t="shared" si="64"/>
        <v>3600</v>
      </c>
      <c r="J1388">
        <f t="shared" si="65"/>
        <v>21600</v>
      </c>
    </row>
    <row r="1389" spans="1:10" x14ac:dyDescent="0.45">
      <c r="A1389" t="s">
        <v>3201</v>
      </c>
      <c r="B1389" s="1">
        <v>45719</v>
      </c>
      <c r="C1389" t="s">
        <v>4007</v>
      </c>
      <c r="D1389" t="s">
        <v>2770</v>
      </c>
      <c r="E1389">
        <v>600</v>
      </c>
      <c r="F1389">
        <v>4</v>
      </c>
      <c r="G1389">
        <f t="shared" si="63"/>
        <v>2400</v>
      </c>
      <c r="H1389" t="s">
        <v>17</v>
      </c>
      <c r="I1389">
        <f t="shared" si="64"/>
        <v>720</v>
      </c>
      <c r="J1389">
        <f t="shared" si="65"/>
        <v>2880</v>
      </c>
    </row>
    <row r="1390" spans="1:10" x14ac:dyDescent="0.45">
      <c r="A1390" t="s">
        <v>3793</v>
      </c>
      <c r="B1390" s="1">
        <v>45719</v>
      </c>
      <c r="C1390" t="s">
        <v>4007</v>
      </c>
      <c r="D1390" t="s">
        <v>2776</v>
      </c>
      <c r="E1390">
        <v>3600</v>
      </c>
      <c r="F1390">
        <v>8</v>
      </c>
      <c r="G1390">
        <f t="shared" si="63"/>
        <v>28800</v>
      </c>
      <c r="H1390" t="s">
        <v>21</v>
      </c>
      <c r="I1390">
        <f t="shared" si="64"/>
        <v>4320</v>
      </c>
      <c r="J1390">
        <f t="shared" si="65"/>
        <v>34560</v>
      </c>
    </row>
    <row r="1391" spans="1:10" x14ac:dyDescent="0.45">
      <c r="A1391" t="s">
        <v>4010</v>
      </c>
      <c r="B1391" s="1">
        <v>45719</v>
      </c>
      <c r="C1391" t="s">
        <v>33</v>
      </c>
      <c r="D1391" t="s">
        <v>3981</v>
      </c>
      <c r="E1391">
        <v>4000</v>
      </c>
      <c r="F1391" s="3">
        <v>7</v>
      </c>
      <c r="G1391">
        <f t="shared" si="63"/>
        <v>28000</v>
      </c>
      <c r="H1391" t="s">
        <v>17</v>
      </c>
      <c r="I1391">
        <f t="shared" si="64"/>
        <v>4800</v>
      </c>
      <c r="J1391">
        <f t="shared" si="65"/>
        <v>33600</v>
      </c>
    </row>
    <row r="1392" spans="1:10" x14ac:dyDescent="0.45">
      <c r="A1392" t="s">
        <v>4047</v>
      </c>
      <c r="B1392" s="1">
        <v>45719</v>
      </c>
      <c r="C1392" t="s">
        <v>33</v>
      </c>
      <c r="D1392" t="s">
        <v>3985</v>
      </c>
      <c r="E1392">
        <v>1950</v>
      </c>
      <c r="F1392" s="3">
        <v>8</v>
      </c>
      <c r="G1392">
        <f t="shared" si="63"/>
        <v>15600</v>
      </c>
      <c r="H1392" t="s">
        <v>7</v>
      </c>
      <c r="I1392">
        <f t="shared" si="64"/>
        <v>2340</v>
      </c>
      <c r="J1392">
        <f t="shared" si="65"/>
        <v>18720</v>
      </c>
    </row>
    <row r="1393" spans="1:10" x14ac:dyDescent="0.45">
      <c r="A1393" t="s">
        <v>4117</v>
      </c>
      <c r="B1393" s="1">
        <v>45719</v>
      </c>
      <c r="C1393" t="s">
        <v>3979</v>
      </c>
      <c r="D1393" t="s">
        <v>3980</v>
      </c>
      <c r="E1393">
        <v>500</v>
      </c>
      <c r="F1393" s="3">
        <v>10</v>
      </c>
      <c r="G1393">
        <f t="shared" si="63"/>
        <v>5000</v>
      </c>
      <c r="H1393" t="s">
        <v>17</v>
      </c>
      <c r="I1393">
        <f t="shared" si="64"/>
        <v>600</v>
      </c>
      <c r="J1393">
        <f t="shared" si="65"/>
        <v>6000</v>
      </c>
    </row>
    <row r="1394" spans="1:10" x14ac:dyDescent="0.45">
      <c r="A1394" t="s">
        <v>4180</v>
      </c>
      <c r="B1394" s="1">
        <v>45719</v>
      </c>
      <c r="C1394" t="s">
        <v>3979</v>
      </c>
      <c r="D1394" t="s">
        <v>3980</v>
      </c>
      <c r="E1394">
        <v>500</v>
      </c>
      <c r="F1394" s="3">
        <v>8</v>
      </c>
      <c r="G1394">
        <f t="shared" si="63"/>
        <v>4000</v>
      </c>
      <c r="H1394" t="s">
        <v>7</v>
      </c>
      <c r="I1394">
        <f t="shared" si="64"/>
        <v>600</v>
      </c>
      <c r="J1394">
        <f t="shared" si="65"/>
        <v>4800</v>
      </c>
    </row>
    <row r="1395" spans="1:10" x14ac:dyDescent="0.45">
      <c r="A1395" t="s">
        <v>4184</v>
      </c>
      <c r="B1395" s="1">
        <v>45719</v>
      </c>
      <c r="C1395" t="s">
        <v>4007</v>
      </c>
      <c r="D1395" t="s">
        <v>5015</v>
      </c>
      <c r="E1395">
        <v>48000</v>
      </c>
      <c r="F1395" s="3">
        <v>8</v>
      </c>
      <c r="G1395">
        <f t="shared" si="63"/>
        <v>384000</v>
      </c>
      <c r="H1395" t="s">
        <v>17</v>
      </c>
      <c r="I1395">
        <f t="shared" si="64"/>
        <v>57600</v>
      </c>
      <c r="J1395">
        <f t="shared" si="65"/>
        <v>460800</v>
      </c>
    </row>
    <row r="1396" spans="1:10" x14ac:dyDescent="0.45">
      <c r="A1396" t="s">
        <v>4194</v>
      </c>
      <c r="B1396" s="1">
        <v>45719</v>
      </c>
      <c r="C1396" t="s">
        <v>33</v>
      </c>
      <c r="D1396" t="s">
        <v>3994</v>
      </c>
      <c r="E1396">
        <v>2500</v>
      </c>
      <c r="F1396" s="3">
        <v>8</v>
      </c>
      <c r="G1396">
        <f t="shared" si="63"/>
        <v>20000</v>
      </c>
      <c r="H1396" t="s">
        <v>7</v>
      </c>
      <c r="I1396">
        <f t="shared" si="64"/>
        <v>3000</v>
      </c>
      <c r="J1396">
        <f t="shared" si="65"/>
        <v>24000</v>
      </c>
    </row>
    <row r="1397" spans="1:10" x14ac:dyDescent="0.45">
      <c r="A1397" t="s">
        <v>4303</v>
      </c>
      <c r="B1397" s="1">
        <v>45719</v>
      </c>
      <c r="C1397" t="s">
        <v>3979</v>
      </c>
      <c r="D1397" t="s">
        <v>4006</v>
      </c>
      <c r="E1397">
        <v>2000</v>
      </c>
      <c r="F1397" s="3">
        <v>5</v>
      </c>
      <c r="G1397">
        <f t="shared" si="63"/>
        <v>10000</v>
      </c>
      <c r="H1397" t="s">
        <v>7</v>
      </c>
      <c r="I1397">
        <f t="shared" si="64"/>
        <v>2400</v>
      </c>
      <c r="J1397">
        <f t="shared" si="65"/>
        <v>12000</v>
      </c>
    </row>
    <row r="1398" spans="1:10" x14ac:dyDescent="0.45">
      <c r="A1398" t="s">
        <v>4461</v>
      </c>
      <c r="B1398" s="1">
        <v>45719</v>
      </c>
      <c r="C1398" t="s">
        <v>3977</v>
      </c>
      <c r="D1398" t="s">
        <v>3991</v>
      </c>
      <c r="E1398">
        <v>2000</v>
      </c>
      <c r="F1398" s="3">
        <v>1</v>
      </c>
      <c r="G1398">
        <f t="shared" si="63"/>
        <v>2000</v>
      </c>
      <c r="H1398" t="s">
        <v>7</v>
      </c>
      <c r="I1398">
        <f t="shared" si="64"/>
        <v>2400</v>
      </c>
      <c r="J1398">
        <f t="shared" si="65"/>
        <v>2400</v>
      </c>
    </row>
    <row r="1399" spans="1:10" x14ac:dyDescent="0.45">
      <c r="A1399" t="s">
        <v>4469</v>
      </c>
      <c r="B1399" s="1">
        <v>45719</v>
      </c>
      <c r="C1399" t="s">
        <v>4007</v>
      </c>
      <c r="D1399" t="s">
        <v>3999</v>
      </c>
      <c r="E1399">
        <v>50000</v>
      </c>
      <c r="F1399" s="3">
        <v>10</v>
      </c>
      <c r="G1399">
        <f t="shared" si="63"/>
        <v>500000</v>
      </c>
      <c r="H1399" t="s">
        <v>17</v>
      </c>
      <c r="I1399">
        <f t="shared" si="64"/>
        <v>60000</v>
      </c>
      <c r="J1399">
        <f t="shared" si="65"/>
        <v>600000</v>
      </c>
    </row>
    <row r="1400" spans="1:10" x14ac:dyDescent="0.45">
      <c r="A1400" t="s">
        <v>4598</v>
      </c>
      <c r="B1400" s="1">
        <v>45719</v>
      </c>
      <c r="C1400" t="s">
        <v>3977</v>
      </c>
      <c r="D1400" t="s">
        <v>3978</v>
      </c>
      <c r="E1400">
        <v>2000</v>
      </c>
      <c r="F1400" s="3">
        <v>6</v>
      </c>
      <c r="G1400">
        <f t="shared" si="63"/>
        <v>12000</v>
      </c>
      <c r="H1400" t="s">
        <v>7</v>
      </c>
      <c r="I1400">
        <f t="shared" si="64"/>
        <v>2400</v>
      </c>
      <c r="J1400">
        <f t="shared" si="65"/>
        <v>14400</v>
      </c>
    </row>
    <row r="1401" spans="1:10" x14ac:dyDescent="0.45">
      <c r="A1401" t="s">
        <v>4644</v>
      </c>
      <c r="B1401" s="1">
        <v>45719</v>
      </c>
      <c r="C1401" t="s">
        <v>3977</v>
      </c>
      <c r="D1401" t="s">
        <v>4002</v>
      </c>
      <c r="E1401">
        <v>2500</v>
      </c>
      <c r="F1401" s="3">
        <v>7</v>
      </c>
      <c r="G1401">
        <f t="shared" si="63"/>
        <v>17500</v>
      </c>
      <c r="H1401" t="s">
        <v>17</v>
      </c>
      <c r="I1401">
        <f t="shared" si="64"/>
        <v>3000</v>
      </c>
      <c r="J1401">
        <f t="shared" si="65"/>
        <v>21000</v>
      </c>
    </row>
    <row r="1402" spans="1:10" x14ac:dyDescent="0.45">
      <c r="A1402" t="s">
        <v>4791</v>
      </c>
      <c r="B1402" s="1">
        <v>45719</v>
      </c>
      <c r="C1402" t="s">
        <v>33</v>
      </c>
      <c r="D1402" t="s">
        <v>3985</v>
      </c>
      <c r="E1402">
        <v>1950</v>
      </c>
      <c r="F1402" s="3">
        <v>8</v>
      </c>
      <c r="G1402">
        <f t="shared" si="63"/>
        <v>15600</v>
      </c>
      <c r="H1402" t="s">
        <v>21</v>
      </c>
      <c r="I1402">
        <f t="shared" si="64"/>
        <v>2340</v>
      </c>
      <c r="J1402">
        <f t="shared" si="65"/>
        <v>18720</v>
      </c>
    </row>
    <row r="1403" spans="1:10" x14ac:dyDescent="0.45">
      <c r="A1403" t="s">
        <v>4798</v>
      </c>
      <c r="B1403" s="1">
        <v>45719</v>
      </c>
      <c r="C1403" t="s">
        <v>5008</v>
      </c>
      <c r="D1403" t="s">
        <v>3995</v>
      </c>
      <c r="E1403">
        <v>15000</v>
      </c>
      <c r="F1403" s="3">
        <v>1</v>
      </c>
      <c r="G1403">
        <f t="shared" si="63"/>
        <v>15000</v>
      </c>
      <c r="H1403" t="s">
        <v>17</v>
      </c>
      <c r="I1403">
        <f t="shared" si="64"/>
        <v>18000</v>
      </c>
      <c r="J1403">
        <f t="shared" si="65"/>
        <v>18000</v>
      </c>
    </row>
    <row r="1404" spans="1:10" x14ac:dyDescent="0.45">
      <c r="A1404" t="s">
        <v>4809</v>
      </c>
      <c r="B1404" s="1">
        <v>45719</v>
      </c>
      <c r="C1404" t="s">
        <v>3979</v>
      </c>
      <c r="D1404" t="s">
        <v>3984</v>
      </c>
      <c r="E1404">
        <v>12000</v>
      </c>
      <c r="F1404" s="3">
        <v>8</v>
      </c>
      <c r="G1404">
        <f t="shared" si="63"/>
        <v>96000</v>
      </c>
      <c r="H1404" t="s">
        <v>17</v>
      </c>
      <c r="I1404">
        <f t="shared" si="64"/>
        <v>14400</v>
      </c>
      <c r="J1404">
        <f t="shared" si="65"/>
        <v>115200</v>
      </c>
    </row>
    <row r="1405" spans="1:10" x14ac:dyDescent="0.45">
      <c r="A1405" t="s">
        <v>500</v>
      </c>
      <c r="B1405" s="1">
        <v>45720</v>
      </c>
      <c r="C1405" t="s">
        <v>33</v>
      </c>
      <c r="D1405" t="s">
        <v>42</v>
      </c>
      <c r="E1405">
        <v>6900</v>
      </c>
      <c r="F1405">
        <v>9</v>
      </c>
      <c r="G1405">
        <f t="shared" si="63"/>
        <v>62100</v>
      </c>
      <c r="H1405" t="s">
        <v>17</v>
      </c>
      <c r="I1405">
        <f t="shared" si="64"/>
        <v>8280</v>
      </c>
      <c r="J1405">
        <f t="shared" si="65"/>
        <v>74520</v>
      </c>
    </row>
    <row r="1406" spans="1:10" x14ac:dyDescent="0.45">
      <c r="A1406" t="s">
        <v>501</v>
      </c>
      <c r="B1406" s="1">
        <v>45720</v>
      </c>
      <c r="C1406" t="s">
        <v>33</v>
      </c>
      <c r="D1406" t="s">
        <v>42</v>
      </c>
      <c r="E1406">
        <v>6900</v>
      </c>
      <c r="F1406">
        <v>4</v>
      </c>
      <c r="G1406">
        <f t="shared" si="63"/>
        <v>27600</v>
      </c>
      <c r="H1406" t="s">
        <v>21</v>
      </c>
      <c r="I1406">
        <f t="shared" si="64"/>
        <v>8280</v>
      </c>
      <c r="J1406">
        <f t="shared" si="65"/>
        <v>33120</v>
      </c>
    </row>
    <row r="1407" spans="1:10" x14ac:dyDescent="0.45">
      <c r="A1407" t="s">
        <v>502</v>
      </c>
      <c r="B1407" s="1">
        <v>45720</v>
      </c>
      <c r="C1407" t="s">
        <v>12</v>
      </c>
      <c r="D1407" t="s">
        <v>5022</v>
      </c>
      <c r="E1407">
        <v>2880</v>
      </c>
      <c r="F1407">
        <v>8</v>
      </c>
      <c r="G1407">
        <f t="shared" si="63"/>
        <v>23040</v>
      </c>
      <c r="H1407" t="s">
        <v>17</v>
      </c>
      <c r="I1407">
        <f t="shared" si="64"/>
        <v>3456</v>
      </c>
      <c r="J1407">
        <f t="shared" si="65"/>
        <v>27648</v>
      </c>
    </row>
    <row r="1408" spans="1:10" x14ac:dyDescent="0.45">
      <c r="A1408" t="s">
        <v>503</v>
      </c>
      <c r="B1408" s="1">
        <v>45720</v>
      </c>
      <c r="C1408" t="s">
        <v>4007</v>
      </c>
      <c r="D1408" t="s">
        <v>5015</v>
      </c>
      <c r="E1408">
        <v>48000</v>
      </c>
      <c r="F1408">
        <v>4</v>
      </c>
      <c r="G1408">
        <f t="shared" si="63"/>
        <v>192000</v>
      </c>
      <c r="H1408" t="s">
        <v>21</v>
      </c>
      <c r="I1408">
        <f t="shared" si="64"/>
        <v>57600</v>
      </c>
      <c r="J1408">
        <f t="shared" si="65"/>
        <v>230400</v>
      </c>
    </row>
    <row r="1409" spans="1:10" x14ac:dyDescent="0.45">
      <c r="A1409" t="s">
        <v>504</v>
      </c>
      <c r="B1409" s="1">
        <v>45720</v>
      </c>
      <c r="C1409" t="s">
        <v>4007</v>
      </c>
      <c r="D1409" t="s">
        <v>39</v>
      </c>
      <c r="E1409">
        <v>6000</v>
      </c>
      <c r="F1409">
        <v>5</v>
      </c>
      <c r="G1409">
        <f t="shared" si="63"/>
        <v>30000</v>
      </c>
      <c r="H1409" t="s">
        <v>21</v>
      </c>
      <c r="I1409">
        <f t="shared" si="64"/>
        <v>7200</v>
      </c>
      <c r="J1409">
        <f t="shared" si="65"/>
        <v>36000</v>
      </c>
    </row>
    <row r="1410" spans="1:10" x14ac:dyDescent="0.45">
      <c r="A1410" t="s">
        <v>505</v>
      </c>
      <c r="B1410" s="1">
        <v>45720</v>
      </c>
      <c r="C1410" t="s">
        <v>33</v>
      </c>
      <c r="D1410" t="s">
        <v>14</v>
      </c>
      <c r="E1410">
        <v>800</v>
      </c>
      <c r="F1410">
        <v>7</v>
      </c>
      <c r="G1410">
        <f t="shared" ref="G1410:G1473" si="66">E1410*F1410</f>
        <v>5600</v>
      </c>
      <c r="H1410" t="s">
        <v>21</v>
      </c>
      <c r="I1410">
        <f t="shared" ref="I1410:I1473" si="67">E1410*1.2</f>
        <v>960</v>
      </c>
      <c r="J1410">
        <f t="shared" ref="J1410:J1473" si="68">I1410*F1410</f>
        <v>6720</v>
      </c>
    </row>
    <row r="1411" spans="1:10" x14ac:dyDescent="0.45">
      <c r="A1411" t="s">
        <v>506</v>
      </c>
      <c r="B1411" s="1">
        <v>45720</v>
      </c>
      <c r="C1411" t="s">
        <v>9</v>
      </c>
      <c r="D1411" t="s">
        <v>10</v>
      </c>
      <c r="E1411">
        <v>400</v>
      </c>
      <c r="F1411">
        <v>3</v>
      </c>
      <c r="G1411">
        <f t="shared" si="66"/>
        <v>1200</v>
      </c>
      <c r="H1411" t="s">
        <v>21</v>
      </c>
      <c r="I1411">
        <f t="shared" si="67"/>
        <v>480</v>
      </c>
      <c r="J1411">
        <f t="shared" si="68"/>
        <v>1440</v>
      </c>
    </row>
    <row r="1412" spans="1:10" x14ac:dyDescent="0.45">
      <c r="A1412" t="s">
        <v>507</v>
      </c>
      <c r="B1412" s="1">
        <v>45720</v>
      </c>
      <c r="C1412" t="s">
        <v>33</v>
      </c>
      <c r="D1412" t="s">
        <v>34</v>
      </c>
      <c r="E1412">
        <v>1700</v>
      </c>
      <c r="F1412">
        <v>3</v>
      </c>
      <c r="G1412">
        <f t="shared" si="66"/>
        <v>5100</v>
      </c>
      <c r="H1412" t="s">
        <v>17</v>
      </c>
      <c r="I1412">
        <f t="shared" si="67"/>
        <v>2040</v>
      </c>
      <c r="J1412">
        <f t="shared" si="68"/>
        <v>6120</v>
      </c>
    </row>
    <row r="1413" spans="1:10" x14ac:dyDescent="0.45">
      <c r="A1413" t="s">
        <v>3236</v>
      </c>
      <c r="B1413" s="1">
        <v>45720</v>
      </c>
      <c r="C1413" t="s">
        <v>4007</v>
      </c>
      <c r="D1413" t="s">
        <v>28</v>
      </c>
      <c r="E1413">
        <v>500</v>
      </c>
      <c r="F1413">
        <v>10</v>
      </c>
      <c r="G1413">
        <f t="shared" si="66"/>
        <v>5000</v>
      </c>
      <c r="H1413" t="s">
        <v>21</v>
      </c>
      <c r="I1413">
        <f t="shared" si="67"/>
        <v>600</v>
      </c>
      <c r="J1413">
        <f t="shared" si="68"/>
        <v>6000</v>
      </c>
    </row>
    <row r="1414" spans="1:10" x14ac:dyDescent="0.45">
      <c r="A1414" t="s">
        <v>3925</v>
      </c>
      <c r="B1414" s="1">
        <v>45720</v>
      </c>
      <c r="C1414" t="s">
        <v>4007</v>
      </c>
      <c r="D1414" t="s">
        <v>5015</v>
      </c>
      <c r="E1414">
        <v>48000</v>
      </c>
      <c r="F1414">
        <v>7</v>
      </c>
      <c r="G1414">
        <f t="shared" si="66"/>
        <v>336000</v>
      </c>
      <c r="H1414" t="s">
        <v>7</v>
      </c>
      <c r="I1414">
        <f t="shared" si="67"/>
        <v>57600</v>
      </c>
      <c r="J1414">
        <f t="shared" si="68"/>
        <v>403200</v>
      </c>
    </row>
    <row r="1415" spans="1:10" x14ac:dyDescent="0.45">
      <c r="A1415" t="s">
        <v>4051</v>
      </c>
      <c r="B1415" s="1">
        <v>45720</v>
      </c>
      <c r="C1415" t="s">
        <v>4007</v>
      </c>
      <c r="D1415" t="s">
        <v>3997</v>
      </c>
      <c r="E1415">
        <v>62000</v>
      </c>
      <c r="F1415" s="3">
        <v>8</v>
      </c>
      <c r="G1415">
        <f t="shared" si="66"/>
        <v>496000</v>
      </c>
      <c r="H1415" t="s">
        <v>21</v>
      </c>
      <c r="I1415">
        <f t="shared" si="67"/>
        <v>74400</v>
      </c>
      <c r="J1415">
        <f t="shared" si="68"/>
        <v>595200</v>
      </c>
    </row>
    <row r="1416" spans="1:10" x14ac:dyDescent="0.45">
      <c r="A1416" t="s">
        <v>4192</v>
      </c>
      <c r="B1416" s="1">
        <v>45720</v>
      </c>
      <c r="C1416" t="s">
        <v>5009</v>
      </c>
      <c r="D1416" t="s">
        <v>3982</v>
      </c>
      <c r="E1416">
        <v>13000</v>
      </c>
      <c r="F1416" s="3">
        <v>7</v>
      </c>
      <c r="G1416">
        <f t="shared" si="66"/>
        <v>91000</v>
      </c>
      <c r="H1416" t="s">
        <v>17</v>
      </c>
      <c r="I1416">
        <f t="shared" si="67"/>
        <v>15600</v>
      </c>
      <c r="J1416">
        <f t="shared" si="68"/>
        <v>109200</v>
      </c>
    </row>
    <row r="1417" spans="1:10" x14ac:dyDescent="0.45">
      <c r="A1417" t="s">
        <v>4291</v>
      </c>
      <c r="B1417" s="1">
        <v>45720</v>
      </c>
      <c r="C1417" t="s">
        <v>3977</v>
      </c>
      <c r="D1417" t="s">
        <v>3978</v>
      </c>
      <c r="E1417">
        <v>2000</v>
      </c>
      <c r="F1417" s="3">
        <v>6</v>
      </c>
      <c r="G1417">
        <f t="shared" si="66"/>
        <v>12000</v>
      </c>
      <c r="H1417" t="s">
        <v>7</v>
      </c>
      <c r="I1417">
        <f t="shared" si="67"/>
        <v>2400</v>
      </c>
      <c r="J1417">
        <f t="shared" si="68"/>
        <v>14400</v>
      </c>
    </row>
    <row r="1418" spans="1:10" x14ac:dyDescent="0.45">
      <c r="A1418" t="s">
        <v>4362</v>
      </c>
      <c r="B1418" s="1">
        <v>45720</v>
      </c>
      <c r="C1418" t="s">
        <v>3979</v>
      </c>
      <c r="D1418" t="s">
        <v>3983</v>
      </c>
      <c r="E1418">
        <v>1000</v>
      </c>
      <c r="F1418" s="3">
        <v>1</v>
      </c>
      <c r="G1418">
        <f t="shared" si="66"/>
        <v>1000</v>
      </c>
      <c r="H1418" t="s">
        <v>17</v>
      </c>
      <c r="I1418">
        <f t="shared" si="67"/>
        <v>1200</v>
      </c>
      <c r="J1418">
        <f t="shared" si="68"/>
        <v>1200</v>
      </c>
    </row>
    <row r="1419" spans="1:10" x14ac:dyDescent="0.45">
      <c r="A1419" t="s">
        <v>4407</v>
      </c>
      <c r="B1419" s="1">
        <v>45720</v>
      </c>
      <c r="C1419" t="s">
        <v>3979</v>
      </c>
      <c r="D1419" t="s">
        <v>3980</v>
      </c>
      <c r="E1419">
        <v>500</v>
      </c>
      <c r="F1419" s="3">
        <v>9</v>
      </c>
      <c r="G1419">
        <f t="shared" si="66"/>
        <v>4500</v>
      </c>
      <c r="H1419" t="s">
        <v>17</v>
      </c>
      <c r="I1419">
        <f t="shared" si="67"/>
        <v>600</v>
      </c>
      <c r="J1419">
        <f t="shared" si="68"/>
        <v>5400</v>
      </c>
    </row>
    <row r="1420" spans="1:10" x14ac:dyDescent="0.45">
      <c r="A1420" t="s">
        <v>4416</v>
      </c>
      <c r="B1420" s="1">
        <v>45720</v>
      </c>
      <c r="C1420" t="s">
        <v>33</v>
      </c>
      <c r="D1420" t="s">
        <v>4001</v>
      </c>
      <c r="E1420">
        <v>500</v>
      </c>
      <c r="F1420" s="3">
        <v>4</v>
      </c>
      <c r="G1420">
        <f t="shared" si="66"/>
        <v>2000</v>
      </c>
      <c r="H1420" t="s">
        <v>17</v>
      </c>
      <c r="I1420">
        <f t="shared" si="67"/>
        <v>600</v>
      </c>
      <c r="J1420">
        <f t="shared" si="68"/>
        <v>2400</v>
      </c>
    </row>
    <row r="1421" spans="1:10" x14ac:dyDescent="0.45">
      <c r="A1421" t="s">
        <v>4597</v>
      </c>
      <c r="B1421" s="1">
        <v>45720</v>
      </c>
      <c r="C1421" t="s">
        <v>3977</v>
      </c>
      <c r="D1421" t="s">
        <v>4002</v>
      </c>
      <c r="E1421">
        <v>2500</v>
      </c>
      <c r="F1421" s="3">
        <v>5</v>
      </c>
      <c r="G1421">
        <f t="shared" si="66"/>
        <v>12500</v>
      </c>
      <c r="H1421" t="s">
        <v>21</v>
      </c>
      <c r="I1421">
        <f t="shared" si="67"/>
        <v>3000</v>
      </c>
      <c r="J1421">
        <f t="shared" si="68"/>
        <v>15000</v>
      </c>
    </row>
    <row r="1422" spans="1:10" x14ac:dyDescent="0.45">
      <c r="A1422" t="s">
        <v>4700</v>
      </c>
      <c r="B1422" s="1">
        <v>45720</v>
      </c>
      <c r="C1422" t="s">
        <v>3977</v>
      </c>
      <c r="D1422" t="s">
        <v>4002</v>
      </c>
      <c r="E1422">
        <v>2500</v>
      </c>
      <c r="F1422" s="3">
        <v>10</v>
      </c>
      <c r="G1422">
        <f t="shared" si="66"/>
        <v>25000</v>
      </c>
      <c r="H1422" t="s">
        <v>17</v>
      </c>
      <c r="I1422">
        <f t="shared" si="67"/>
        <v>3000</v>
      </c>
      <c r="J1422">
        <f t="shared" si="68"/>
        <v>30000</v>
      </c>
    </row>
    <row r="1423" spans="1:10" x14ac:dyDescent="0.45">
      <c r="A1423" t="s">
        <v>4811</v>
      </c>
      <c r="B1423" s="1">
        <v>45720</v>
      </c>
      <c r="C1423" t="s">
        <v>5008</v>
      </c>
      <c r="D1423" t="s">
        <v>4003</v>
      </c>
      <c r="E1423">
        <v>10000</v>
      </c>
      <c r="F1423" s="3">
        <v>9</v>
      </c>
      <c r="G1423">
        <f t="shared" si="66"/>
        <v>90000</v>
      </c>
      <c r="H1423" t="s">
        <v>17</v>
      </c>
      <c r="I1423">
        <f t="shared" si="67"/>
        <v>12000</v>
      </c>
      <c r="J1423">
        <f t="shared" si="68"/>
        <v>108000</v>
      </c>
    </row>
    <row r="1424" spans="1:10" x14ac:dyDescent="0.45">
      <c r="A1424" t="s">
        <v>4831</v>
      </c>
      <c r="B1424" s="1">
        <v>45720</v>
      </c>
      <c r="C1424" t="s">
        <v>3977</v>
      </c>
      <c r="D1424" t="s">
        <v>3978</v>
      </c>
      <c r="E1424">
        <v>2000</v>
      </c>
      <c r="F1424" s="3">
        <v>3</v>
      </c>
      <c r="G1424">
        <f t="shared" si="66"/>
        <v>6000</v>
      </c>
      <c r="H1424" t="s">
        <v>7</v>
      </c>
      <c r="I1424">
        <f t="shared" si="67"/>
        <v>2400</v>
      </c>
      <c r="J1424">
        <f t="shared" si="68"/>
        <v>7200</v>
      </c>
    </row>
    <row r="1425" spans="1:10" x14ac:dyDescent="0.45">
      <c r="A1425" t="s">
        <v>4974</v>
      </c>
      <c r="B1425" s="1">
        <v>45720</v>
      </c>
      <c r="C1425" t="s">
        <v>33</v>
      </c>
      <c r="D1425" t="s">
        <v>3981</v>
      </c>
      <c r="E1425">
        <v>4000</v>
      </c>
      <c r="F1425" s="3">
        <v>9</v>
      </c>
      <c r="G1425">
        <f t="shared" si="66"/>
        <v>36000</v>
      </c>
      <c r="H1425" t="s">
        <v>21</v>
      </c>
      <c r="I1425">
        <f t="shared" si="67"/>
        <v>4800</v>
      </c>
      <c r="J1425">
        <f t="shared" si="68"/>
        <v>43200</v>
      </c>
    </row>
    <row r="1426" spans="1:10" x14ac:dyDescent="0.45">
      <c r="A1426" t="s">
        <v>4984</v>
      </c>
      <c r="B1426" s="1">
        <v>45720</v>
      </c>
      <c r="C1426" t="s">
        <v>4007</v>
      </c>
      <c r="D1426" t="s">
        <v>3999</v>
      </c>
      <c r="E1426">
        <v>50000</v>
      </c>
      <c r="F1426" s="3">
        <v>4</v>
      </c>
      <c r="G1426">
        <f t="shared" si="66"/>
        <v>200000</v>
      </c>
      <c r="H1426" t="s">
        <v>7</v>
      </c>
      <c r="I1426">
        <f t="shared" si="67"/>
        <v>60000</v>
      </c>
      <c r="J1426">
        <f t="shared" si="68"/>
        <v>240000</v>
      </c>
    </row>
    <row r="1427" spans="1:10" x14ac:dyDescent="0.45">
      <c r="A1427" t="s">
        <v>508</v>
      </c>
      <c r="B1427" s="1">
        <v>45721</v>
      </c>
      <c r="C1427" t="s">
        <v>12</v>
      </c>
      <c r="D1427" t="s">
        <v>5022</v>
      </c>
      <c r="E1427">
        <v>2880</v>
      </c>
      <c r="F1427">
        <v>9</v>
      </c>
      <c r="G1427">
        <f t="shared" si="66"/>
        <v>25920</v>
      </c>
      <c r="H1427" t="s">
        <v>7</v>
      </c>
      <c r="I1427">
        <f t="shared" si="67"/>
        <v>3456</v>
      </c>
      <c r="J1427">
        <f t="shared" si="68"/>
        <v>31104</v>
      </c>
    </row>
    <row r="1428" spans="1:10" x14ac:dyDescent="0.45">
      <c r="A1428" t="s">
        <v>509</v>
      </c>
      <c r="B1428" s="1">
        <v>45721</v>
      </c>
      <c r="C1428" t="s">
        <v>33</v>
      </c>
      <c r="D1428" t="s">
        <v>16</v>
      </c>
      <c r="E1428">
        <v>1200</v>
      </c>
      <c r="F1428">
        <v>6</v>
      </c>
      <c r="G1428">
        <f t="shared" si="66"/>
        <v>7200</v>
      </c>
      <c r="H1428" t="s">
        <v>7</v>
      </c>
      <c r="I1428">
        <f t="shared" si="67"/>
        <v>1440</v>
      </c>
      <c r="J1428">
        <f t="shared" si="68"/>
        <v>8640</v>
      </c>
    </row>
    <row r="1429" spans="1:10" x14ac:dyDescent="0.45">
      <c r="A1429" t="s">
        <v>510</v>
      </c>
      <c r="B1429" s="1">
        <v>45721</v>
      </c>
      <c r="C1429" t="s">
        <v>12</v>
      </c>
      <c r="D1429" t="s">
        <v>5021</v>
      </c>
      <c r="E1429">
        <v>2880</v>
      </c>
      <c r="F1429">
        <v>7</v>
      </c>
      <c r="G1429">
        <f t="shared" si="66"/>
        <v>20160</v>
      </c>
      <c r="H1429" t="s">
        <v>7</v>
      </c>
      <c r="I1429">
        <f t="shared" si="67"/>
        <v>3456</v>
      </c>
      <c r="J1429">
        <f t="shared" si="68"/>
        <v>24192</v>
      </c>
    </row>
    <row r="1430" spans="1:10" x14ac:dyDescent="0.45">
      <c r="A1430" t="s">
        <v>511</v>
      </c>
      <c r="B1430" s="1">
        <v>45721</v>
      </c>
      <c r="C1430" t="s">
        <v>12</v>
      </c>
      <c r="D1430" t="s">
        <v>5022</v>
      </c>
      <c r="E1430">
        <v>2880</v>
      </c>
      <c r="F1430">
        <v>3</v>
      </c>
      <c r="G1430">
        <f t="shared" si="66"/>
        <v>8640</v>
      </c>
      <c r="H1430" t="s">
        <v>7</v>
      </c>
      <c r="I1430">
        <f t="shared" si="67"/>
        <v>3456</v>
      </c>
      <c r="J1430">
        <f t="shared" si="68"/>
        <v>10368</v>
      </c>
    </row>
    <row r="1431" spans="1:10" x14ac:dyDescent="0.45">
      <c r="A1431" t="s">
        <v>512</v>
      </c>
      <c r="B1431" s="1">
        <v>45721</v>
      </c>
      <c r="C1431" t="s">
        <v>4007</v>
      </c>
      <c r="D1431" t="s">
        <v>4005</v>
      </c>
      <c r="E1431">
        <v>60000</v>
      </c>
      <c r="F1431">
        <v>5</v>
      </c>
      <c r="G1431">
        <f t="shared" si="66"/>
        <v>300000</v>
      </c>
      <c r="H1431" t="s">
        <v>21</v>
      </c>
      <c r="I1431">
        <f t="shared" si="67"/>
        <v>72000</v>
      </c>
      <c r="J1431">
        <f t="shared" si="68"/>
        <v>360000</v>
      </c>
    </row>
    <row r="1432" spans="1:10" x14ac:dyDescent="0.45">
      <c r="A1432" t="s">
        <v>2783</v>
      </c>
      <c r="B1432" s="1">
        <v>45721</v>
      </c>
      <c r="C1432" t="s">
        <v>33</v>
      </c>
      <c r="D1432" t="s">
        <v>14</v>
      </c>
      <c r="E1432">
        <v>800</v>
      </c>
      <c r="F1432">
        <v>7</v>
      </c>
      <c r="G1432">
        <f t="shared" si="66"/>
        <v>5600</v>
      </c>
      <c r="H1432" t="s">
        <v>21</v>
      </c>
      <c r="I1432">
        <f t="shared" si="67"/>
        <v>960</v>
      </c>
      <c r="J1432">
        <f t="shared" si="68"/>
        <v>6720</v>
      </c>
    </row>
    <row r="1433" spans="1:10" x14ac:dyDescent="0.45">
      <c r="A1433" t="s">
        <v>2811</v>
      </c>
      <c r="B1433" s="1">
        <v>45721</v>
      </c>
      <c r="C1433" t="s">
        <v>2772</v>
      </c>
      <c r="D1433" t="s">
        <v>2771</v>
      </c>
      <c r="E1433">
        <v>120</v>
      </c>
      <c r="F1433">
        <v>3</v>
      </c>
      <c r="G1433">
        <f t="shared" si="66"/>
        <v>360</v>
      </c>
      <c r="H1433" t="s">
        <v>7</v>
      </c>
      <c r="I1433">
        <f t="shared" si="67"/>
        <v>144</v>
      </c>
      <c r="J1433">
        <f t="shared" si="68"/>
        <v>432</v>
      </c>
    </row>
    <row r="1434" spans="1:10" x14ac:dyDescent="0.45">
      <c r="A1434" t="s">
        <v>2950</v>
      </c>
      <c r="B1434" s="1">
        <v>45721</v>
      </c>
      <c r="C1434" t="s">
        <v>4007</v>
      </c>
      <c r="D1434" t="s">
        <v>5015</v>
      </c>
      <c r="E1434">
        <v>48000</v>
      </c>
      <c r="F1434">
        <v>3</v>
      </c>
      <c r="G1434">
        <f t="shared" si="66"/>
        <v>144000</v>
      </c>
      <c r="H1434" t="s">
        <v>21</v>
      </c>
      <c r="I1434">
        <f t="shared" si="67"/>
        <v>57600</v>
      </c>
      <c r="J1434">
        <f t="shared" si="68"/>
        <v>172800</v>
      </c>
    </row>
    <row r="1435" spans="1:10" x14ac:dyDescent="0.45">
      <c r="A1435" t="s">
        <v>3258</v>
      </c>
      <c r="B1435" s="1">
        <v>45721</v>
      </c>
      <c r="C1435" t="s">
        <v>4007</v>
      </c>
      <c r="D1435" t="s">
        <v>5015</v>
      </c>
      <c r="E1435">
        <v>48000</v>
      </c>
      <c r="F1435">
        <v>1</v>
      </c>
      <c r="G1435">
        <f t="shared" si="66"/>
        <v>48000</v>
      </c>
      <c r="H1435" t="s">
        <v>17</v>
      </c>
      <c r="I1435">
        <f t="shared" si="67"/>
        <v>57600</v>
      </c>
      <c r="J1435">
        <f t="shared" si="68"/>
        <v>57600</v>
      </c>
    </row>
    <row r="1436" spans="1:10" x14ac:dyDescent="0.45">
      <c r="A1436" t="s">
        <v>3730</v>
      </c>
      <c r="B1436" s="1">
        <v>45721</v>
      </c>
      <c r="C1436" t="s">
        <v>2772</v>
      </c>
      <c r="D1436" t="s">
        <v>2771</v>
      </c>
      <c r="E1436">
        <v>120</v>
      </c>
      <c r="F1436">
        <v>10</v>
      </c>
      <c r="G1436">
        <f t="shared" si="66"/>
        <v>1200</v>
      </c>
      <c r="H1436" t="s">
        <v>7</v>
      </c>
      <c r="I1436">
        <f t="shared" si="67"/>
        <v>144</v>
      </c>
      <c r="J1436">
        <f t="shared" si="68"/>
        <v>1440</v>
      </c>
    </row>
    <row r="1437" spans="1:10" x14ac:dyDescent="0.45">
      <c r="A1437" t="s">
        <v>3857</v>
      </c>
      <c r="B1437" s="1">
        <v>45721</v>
      </c>
      <c r="C1437" t="s">
        <v>4007</v>
      </c>
      <c r="D1437" t="s">
        <v>28</v>
      </c>
      <c r="E1437">
        <v>500</v>
      </c>
      <c r="F1437">
        <v>10</v>
      </c>
      <c r="G1437">
        <f t="shared" si="66"/>
        <v>5000</v>
      </c>
      <c r="H1437" t="s">
        <v>17</v>
      </c>
      <c r="I1437">
        <f t="shared" si="67"/>
        <v>600</v>
      </c>
      <c r="J1437">
        <f t="shared" si="68"/>
        <v>6000</v>
      </c>
    </row>
    <row r="1438" spans="1:10" x14ac:dyDescent="0.45">
      <c r="A1438" t="s">
        <v>4029</v>
      </c>
      <c r="B1438" s="1">
        <v>45721</v>
      </c>
      <c r="C1438" t="s">
        <v>3977</v>
      </c>
      <c r="D1438" t="s">
        <v>3993</v>
      </c>
      <c r="E1438">
        <v>1000</v>
      </c>
      <c r="F1438" s="3">
        <v>3</v>
      </c>
      <c r="G1438">
        <f t="shared" si="66"/>
        <v>3000</v>
      </c>
      <c r="H1438" t="s">
        <v>7</v>
      </c>
      <c r="I1438">
        <f t="shared" si="67"/>
        <v>1200</v>
      </c>
      <c r="J1438">
        <f t="shared" si="68"/>
        <v>3600</v>
      </c>
    </row>
    <row r="1439" spans="1:10" x14ac:dyDescent="0.45">
      <c r="A1439" t="s">
        <v>4080</v>
      </c>
      <c r="B1439" s="1">
        <v>45721</v>
      </c>
      <c r="C1439" t="s">
        <v>4007</v>
      </c>
      <c r="D1439" t="s">
        <v>3997</v>
      </c>
      <c r="E1439">
        <v>62000</v>
      </c>
      <c r="F1439" s="3">
        <v>3</v>
      </c>
      <c r="G1439">
        <f t="shared" si="66"/>
        <v>186000</v>
      </c>
      <c r="H1439" t="s">
        <v>21</v>
      </c>
      <c r="I1439">
        <f t="shared" si="67"/>
        <v>74400</v>
      </c>
      <c r="J1439">
        <f t="shared" si="68"/>
        <v>223200</v>
      </c>
    </row>
    <row r="1440" spans="1:10" x14ac:dyDescent="0.45">
      <c r="A1440" t="s">
        <v>4086</v>
      </c>
      <c r="B1440" s="1">
        <v>45721</v>
      </c>
      <c r="C1440" t="s">
        <v>4007</v>
      </c>
      <c r="D1440" t="s">
        <v>5015</v>
      </c>
      <c r="E1440">
        <v>48000</v>
      </c>
      <c r="F1440" s="3">
        <v>10</v>
      </c>
      <c r="G1440">
        <f t="shared" si="66"/>
        <v>480000</v>
      </c>
      <c r="H1440" t="s">
        <v>17</v>
      </c>
      <c r="I1440">
        <f t="shared" si="67"/>
        <v>57600</v>
      </c>
      <c r="J1440">
        <f t="shared" si="68"/>
        <v>576000</v>
      </c>
    </row>
    <row r="1441" spans="1:10" x14ac:dyDescent="0.45">
      <c r="A1441" t="s">
        <v>4093</v>
      </c>
      <c r="B1441" s="1">
        <v>45721</v>
      </c>
      <c r="C1441" t="s">
        <v>5009</v>
      </c>
      <c r="D1441" t="s">
        <v>4004</v>
      </c>
      <c r="E1441">
        <v>15000</v>
      </c>
      <c r="F1441" s="3">
        <v>7</v>
      </c>
      <c r="G1441">
        <f t="shared" si="66"/>
        <v>105000</v>
      </c>
      <c r="H1441" t="s">
        <v>17</v>
      </c>
      <c r="I1441">
        <f t="shared" si="67"/>
        <v>18000</v>
      </c>
      <c r="J1441">
        <f t="shared" si="68"/>
        <v>126000</v>
      </c>
    </row>
    <row r="1442" spans="1:10" x14ac:dyDescent="0.45">
      <c r="A1442" t="s">
        <v>4107</v>
      </c>
      <c r="B1442" s="1">
        <v>45721</v>
      </c>
      <c r="C1442" t="s">
        <v>33</v>
      </c>
      <c r="D1442" t="s">
        <v>3985</v>
      </c>
      <c r="E1442">
        <v>1950</v>
      </c>
      <c r="F1442" s="3">
        <v>6</v>
      </c>
      <c r="G1442">
        <f t="shared" si="66"/>
        <v>11700</v>
      </c>
      <c r="H1442" t="s">
        <v>21</v>
      </c>
      <c r="I1442">
        <f t="shared" si="67"/>
        <v>2340</v>
      </c>
      <c r="J1442">
        <f t="shared" si="68"/>
        <v>14040</v>
      </c>
    </row>
    <row r="1443" spans="1:10" x14ac:dyDescent="0.45">
      <c r="A1443" t="s">
        <v>4124</v>
      </c>
      <c r="B1443" s="1">
        <v>45721</v>
      </c>
      <c r="C1443" t="s">
        <v>5008</v>
      </c>
      <c r="D1443" t="s">
        <v>3986</v>
      </c>
      <c r="E1443">
        <v>12000</v>
      </c>
      <c r="F1443" s="3">
        <v>5</v>
      </c>
      <c r="G1443">
        <f t="shared" si="66"/>
        <v>60000</v>
      </c>
      <c r="H1443" t="s">
        <v>7</v>
      </c>
      <c r="I1443">
        <f t="shared" si="67"/>
        <v>14400</v>
      </c>
      <c r="J1443">
        <f t="shared" si="68"/>
        <v>72000</v>
      </c>
    </row>
    <row r="1444" spans="1:10" x14ac:dyDescent="0.45">
      <c r="A1444" t="s">
        <v>4193</v>
      </c>
      <c r="B1444" s="1">
        <v>45721</v>
      </c>
      <c r="C1444" t="s">
        <v>4007</v>
      </c>
      <c r="D1444" t="s">
        <v>3997</v>
      </c>
      <c r="E1444">
        <v>62000</v>
      </c>
      <c r="F1444" s="3">
        <v>3</v>
      </c>
      <c r="G1444">
        <f t="shared" si="66"/>
        <v>186000</v>
      </c>
      <c r="H1444" t="s">
        <v>17</v>
      </c>
      <c r="I1444">
        <f t="shared" si="67"/>
        <v>74400</v>
      </c>
      <c r="J1444">
        <f t="shared" si="68"/>
        <v>223200</v>
      </c>
    </row>
    <row r="1445" spans="1:10" x14ac:dyDescent="0.45">
      <c r="A1445" t="s">
        <v>4245</v>
      </c>
      <c r="B1445" s="1">
        <v>45721</v>
      </c>
      <c r="C1445" t="s">
        <v>5008</v>
      </c>
      <c r="D1445" t="s">
        <v>3996</v>
      </c>
      <c r="E1445">
        <v>2000</v>
      </c>
      <c r="F1445" s="3">
        <v>5</v>
      </c>
      <c r="G1445">
        <f t="shared" si="66"/>
        <v>10000</v>
      </c>
      <c r="H1445" t="s">
        <v>21</v>
      </c>
      <c r="I1445">
        <f t="shared" si="67"/>
        <v>2400</v>
      </c>
      <c r="J1445">
        <f t="shared" si="68"/>
        <v>12000</v>
      </c>
    </row>
    <row r="1446" spans="1:10" x14ac:dyDescent="0.45">
      <c r="A1446" t="s">
        <v>4317</v>
      </c>
      <c r="B1446" s="1">
        <v>45721</v>
      </c>
      <c r="C1446" t="s">
        <v>5008</v>
      </c>
      <c r="D1446" t="s">
        <v>3998</v>
      </c>
      <c r="E1446">
        <v>8000</v>
      </c>
      <c r="F1446" s="3">
        <v>2</v>
      </c>
      <c r="G1446">
        <f t="shared" si="66"/>
        <v>16000</v>
      </c>
      <c r="H1446" t="s">
        <v>7</v>
      </c>
      <c r="I1446">
        <f t="shared" si="67"/>
        <v>9600</v>
      </c>
      <c r="J1446">
        <f t="shared" si="68"/>
        <v>19200</v>
      </c>
    </row>
    <row r="1447" spans="1:10" x14ac:dyDescent="0.45">
      <c r="A1447" t="s">
        <v>4349</v>
      </c>
      <c r="B1447" s="1">
        <v>45721</v>
      </c>
      <c r="C1447" t="s">
        <v>3977</v>
      </c>
      <c r="D1447" t="s">
        <v>4002</v>
      </c>
      <c r="E1447">
        <v>2500</v>
      </c>
      <c r="F1447" s="3">
        <v>7</v>
      </c>
      <c r="G1447">
        <f t="shared" si="66"/>
        <v>17500</v>
      </c>
      <c r="H1447" t="s">
        <v>7</v>
      </c>
      <c r="I1447">
        <f t="shared" si="67"/>
        <v>3000</v>
      </c>
      <c r="J1447">
        <f t="shared" si="68"/>
        <v>21000</v>
      </c>
    </row>
    <row r="1448" spans="1:10" x14ac:dyDescent="0.45">
      <c r="A1448" t="s">
        <v>4406</v>
      </c>
      <c r="B1448" s="1">
        <v>45721</v>
      </c>
      <c r="C1448" t="s">
        <v>3977</v>
      </c>
      <c r="D1448" t="s">
        <v>4002</v>
      </c>
      <c r="E1448">
        <v>2500</v>
      </c>
      <c r="F1448" s="3">
        <v>6</v>
      </c>
      <c r="G1448">
        <f t="shared" si="66"/>
        <v>15000</v>
      </c>
      <c r="H1448" t="s">
        <v>7</v>
      </c>
      <c r="I1448">
        <f t="shared" si="67"/>
        <v>3000</v>
      </c>
      <c r="J1448">
        <f t="shared" si="68"/>
        <v>18000</v>
      </c>
    </row>
    <row r="1449" spans="1:10" x14ac:dyDescent="0.45">
      <c r="A1449" t="s">
        <v>4500</v>
      </c>
      <c r="B1449" s="1">
        <v>45721</v>
      </c>
      <c r="C1449" t="s">
        <v>3977</v>
      </c>
      <c r="D1449" t="s">
        <v>3991</v>
      </c>
      <c r="E1449">
        <v>2000</v>
      </c>
      <c r="F1449" s="3">
        <v>8</v>
      </c>
      <c r="G1449">
        <f t="shared" si="66"/>
        <v>16000</v>
      </c>
      <c r="H1449" t="s">
        <v>7</v>
      </c>
      <c r="I1449">
        <f t="shared" si="67"/>
        <v>2400</v>
      </c>
      <c r="J1449">
        <f t="shared" si="68"/>
        <v>19200</v>
      </c>
    </row>
    <row r="1450" spans="1:10" x14ac:dyDescent="0.45">
      <c r="A1450" t="s">
        <v>4501</v>
      </c>
      <c r="B1450" s="1">
        <v>45721</v>
      </c>
      <c r="C1450" t="s">
        <v>33</v>
      </c>
      <c r="D1450" t="s">
        <v>4001</v>
      </c>
      <c r="E1450">
        <v>500</v>
      </c>
      <c r="F1450" s="3">
        <v>10</v>
      </c>
      <c r="G1450">
        <f t="shared" si="66"/>
        <v>5000</v>
      </c>
      <c r="H1450" t="s">
        <v>21</v>
      </c>
      <c r="I1450">
        <f t="shared" si="67"/>
        <v>600</v>
      </c>
      <c r="J1450">
        <f t="shared" si="68"/>
        <v>6000</v>
      </c>
    </row>
    <row r="1451" spans="1:10" x14ac:dyDescent="0.45">
      <c r="A1451" t="s">
        <v>4639</v>
      </c>
      <c r="B1451" s="1">
        <v>45721</v>
      </c>
      <c r="C1451" t="s">
        <v>3979</v>
      </c>
      <c r="D1451" t="s">
        <v>3983</v>
      </c>
      <c r="E1451">
        <v>1000</v>
      </c>
      <c r="F1451" s="3">
        <v>3</v>
      </c>
      <c r="G1451">
        <f t="shared" si="66"/>
        <v>3000</v>
      </c>
      <c r="H1451" t="s">
        <v>21</v>
      </c>
      <c r="I1451">
        <f t="shared" si="67"/>
        <v>1200</v>
      </c>
      <c r="J1451">
        <f t="shared" si="68"/>
        <v>3600</v>
      </c>
    </row>
    <row r="1452" spans="1:10" x14ac:dyDescent="0.45">
      <c r="A1452" t="s">
        <v>4735</v>
      </c>
      <c r="B1452" s="1">
        <v>45721</v>
      </c>
      <c r="C1452" t="s">
        <v>5009</v>
      </c>
      <c r="D1452" t="s">
        <v>3990</v>
      </c>
      <c r="E1452">
        <v>2800</v>
      </c>
      <c r="F1452" s="3">
        <v>10</v>
      </c>
      <c r="G1452">
        <f t="shared" si="66"/>
        <v>28000</v>
      </c>
      <c r="H1452" t="s">
        <v>7</v>
      </c>
      <c r="I1452">
        <f t="shared" si="67"/>
        <v>3360</v>
      </c>
      <c r="J1452">
        <f t="shared" si="68"/>
        <v>33600</v>
      </c>
    </row>
    <row r="1453" spans="1:10" x14ac:dyDescent="0.45">
      <c r="A1453" t="s">
        <v>4773</v>
      </c>
      <c r="B1453" s="1">
        <v>45721</v>
      </c>
      <c r="C1453" t="s">
        <v>33</v>
      </c>
      <c r="D1453" t="s">
        <v>3981</v>
      </c>
      <c r="E1453">
        <v>4000</v>
      </c>
      <c r="F1453" s="3">
        <v>8</v>
      </c>
      <c r="G1453">
        <f t="shared" si="66"/>
        <v>32000</v>
      </c>
      <c r="H1453" t="s">
        <v>21</v>
      </c>
      <c r="I1453">
        <f t="shared" si="67"/>
        <v>4800</v>
      </c>
      <c r="J1453">
        <f t="shared" si="68"/>
        <v>38400</v>
      </c>
    </row>
    <row r="1454" spans="1:10" x14ac:dyDescent="0.45">
      <c r="A1454" t="s">
        <v>4784</v>
      </c>
      <c r="B1454" s="1">
        <v>45721</v>
      </c>
      <c r="C1454" t="s">
        <v>3977</v>
      </c>
      <c r="D1454" t="s">
        <v>3989</v>
      </c>
      <c r="E1454">
        <v>1000</v>
      </c>
      <c r="F1454" s="3">
        <v>7</v>
      </c>
      <c r="G1454">
        <f t="shared" si="66"/>
        <v>7000</v>
      </c>
      <c r="H1454" t="s">
        <v>21</v>
      </c>
      <c r="I1454">
        <f t="shared" si="67"/>
        <v>1200</v>
      </c>
      <c r="J1454">
        <f t="shared" si="68"/>
        <v>8400</v>
      </c>
    </row>
    <row r="1455" spans="1:10" x14ac:dyDescent="0.45">
      <c r="A1455" t="s">
        <v>513</v>
      </c>
      <c r="B1455" s="1">
        <v>45722</v>
      </c>
      <c r="C1455" t="s">
        <v>33</v>
      </c>
      <c r="D1455" t="s">
        <v>34</v>
      </c>
      <c r="E1455">
        <v>1700</v>
      </c>
      <c r="F1455">
        <v>6</v>
      </c>
      <c r="G1455">
        <f t="shared" si="66"/>
        <v>10200</v>
      </c>
      <c r="H1455" t="s">
        <v>7</v>
      </c>
      <c r="I1455">
        <f t="shared" si="67"/>
        <v>2040</v>
      </c>
      <c r="J1455">
        <f t="shared" si="68"/>
        <v>12240</v>
      </c>
    </row>
    <row r="1456" spans="1:10" x14ac:dyDescent="0.45">
      <c r="A1456" t="s">
        <v>514</v>
      </c>
      <c r="B1456" s="1">
        <v>45722</v>
      </c>
      <c r="C1456" t="s">
        <v>12</v>
      </c>
      <c r="D1456" t="s">
        <v>5023</v>
      </c>
      <c r="E1456">
        <v>1750</v>
      </c>
      <c r="F1456">
        <v>8</v>
      </c>
      <c r="G1456">
        <f t="shared" si="66"/>
        <v>14000</v>
      </c>
      <c r="H1456" t="s">
        <v>21</v>
      </c>
      <c r="I1456">
        <f t="shared" si="67"/>
        <v>2100</v>
      </c>
      <c r="J1456">
        <f t="shared" si="68"/>
        <v>16800</v>
      </c>
    </row>
    <row r="1457" spans="1:10" x14ac:dyDescent="0.45">
      <c r="A1457" t="s">
        <v>515</v>
      </c>
      <c r="B1457" s="1">
        <v>45722</v>
      </c>
      <c r="C1457" t="s">
        <v>33</v>
      </c>
      <c r="D1457" t="s">
        <v>14</v>
      </c>
      <c r="E1457">
        <v>800</v>
      </c>
      <c r="F1457">
        <v>8</v>
      </c>
      <c r="G1457">
        <f t="shared" si="66"/>
        <v>6400</v>
      </c>
      <c r="H1457" t="s">
        <v>7</v>
      </c>
      <c r="I1457">
        <f t="shared" si="67"/>
        <v>960</v>
      </c>
      <c r="J1457">
        <f t="shared" si="68"/>
        <v>7680</v>
      </c>
    </row>
    <row r="1458" spans="1:10" x14ac:dyDescent="0.45">
      <c r="A1458" t="s">
        <v>516</v>
      </c>
      <c r="B1458" s="1">
        <v>45722</v>
      </c>
      <c r="C1458" t="s">
        <v>33</v>
      </c>
      <c r="D1458" t="s">
        <v>34</v>
      </c>
      <c r="E1458">
        <v>1700</v>
      </c>
      <c r="F1458">
        <v>9</v>
      </c>
      <c r="G1458">
        <f t="shared" si="66"/>
        <v>15300</v>
      </c>
      <c r="H1458" t="s">
        <v>21</v>
      </c>
      <c r="I1458">
        <f t="shared" si="67"/>
        <v>2040</v>
      </c>
      <c r="J1458">
        <f t="shared" si="68"/>
        <v>18360</v>
      </c>
    </row>
    <row r="1459" spans="1:10" x14ac:dyDescent="0.45">
      <c r="A1459" t="s">
        <v>517</v>
      </c>
      <c r="B1459" s="1">
        <v>45722</v>
      </c>
      <c r="C1459" t="s">
        <v>4007</v>
      </c>
      <c r="D1459" t="s">
        <v>4005</v>
      </c>
      <c r="E1459">
        <v>60000</v>
      </c>
      <c r="F1459">
        <v>1</v>
      </c>
      <c r="G1459">
        <f t="shared" si="66"/>
        <v>60000</v>
      </c>
      <c r="H1459" t="s">
        <v>21</v>
      </c>
      <c r="I1459">
        <f t="shared" si="67"/>
        <v>72000</v>
      </c>
      <c r="J1459">
        <f t="shared" si="68"/>
        <v>72000</v>
      </c>
    </row>
    <row r="1460" spans="1:10" x14ac:dyDescent="0.45">
      <c r="A1460" t="s">
        <v>518</v>
      </c>
      <c r="B1460" s="1">
        <v>45722</v>
      </c>
      <c r="C1460" t="s">
        <v>4007</v>
      </c>
      <c r="D1460" t="s">
        <v>39</v>
      </c>
      <c r="E1460">
        <v>6000</v>
      </c>
      <c r="F1460">
        <v>7</v>
      </c>
      <c r="G1460">
        <f t="shared" si="66"/>
        <v>42000</v>
      </c>
      <c r="H1460" t="s">
        <v>7</v>
      </c>
      <c r="I1460">
        <f t="shared" si="67"/>
        <v>7200</v>
      </c>
      <c r="J1460">
        <f t="shared" si="68"/>
        <v>50400</v>
      </c>
    </row>
    <row r="1461" spans="1:10" x14ac:dyDescent="0.45">
      <c r="A1461" t="s">
        <v>519</v>
      </c>
      <c r="B1461" s="1">
        <v>45722</v>
      </c>
      <c r="C1461" t="s">
        <v>4007</v>
      </c>
      <c r="D1461" t="s">
        <v>39</v>
      </c>
      <c r="E1461">
        <v>6000</v>
      </c>
      <c r="F1461">
        <v>1</v>
      </c>
      <c r="G1461">
        <f t="shared" si="66"/>
        <v>6000</v>
      </c>
      <c r="H1461" t="s">
        <v>17</v>
      </c>
      <c r="I1461">
        <f t="shared" si="67"/>
        <v>7200</v>
      </c>
      <c r="J1461">
        <f t="shared" si="68"/>
        <v>7200</v>
      </c>
    </row>
    <row r="1462" spans="1:10" x14ac:dyDescent="0.45">
      <c r="A1462" t="s">
        <v>520</v>
      </c>
      <c r="B1462" s="1">
        <v>45722</v>
      </c>
      <c r="C1462" t="s">
        <v>12</v>
      </c>
      <c r="D1462" t="s">
        <v>5022</v>
      </c>
      <c r="E1462">
        <v>2880</v>
      </c>
      <c r="F1462">
        <v>8</v>
      </c>
      <c r="G1462">
        <f t="shared" si="66"/>
        <v>23040</v>
      </c>
      <c r="H1462" t="s">
        <v>7</v>
      </c>
      <c r="I1462">
        <f t="shared" si="67"/>
        <v>3456</v>
      </c>
      <c r="J1462">
        <f t="shared" si="68"/>
        <v>27648</v>
      </c>
    </row>
    <row r="1463" spans="1:10" x14ac:dyDescent="0.45">
      <c r="A1463" t="s">
        <v>521</v>
      </c>
      <c r="B1463" s="1">
        <v>45722</v>
      </c>
      <c r="C1463" t="s">
        <v>9</v>
      </c>
      <c r="D1463" t="s">
        <v>25</v>
      </c>
      <c r="E1463">
        <v>5200</v>
      </c>
      <c r="F1463">
        <v>4</v>
      </c>
      <c r="G1463">
        <f t="shared" si="66"/>
        <v>20800</v>
      </c>
      <c r="H1463" t="s">
        <v>21</v>
      </c>
      <c r="I1463">
        <f t="shared" si="67"/>
        <v>6240</v>
      </c>
      <c r="J1463">
        <f t="shared" si="68"/>
        <v>24960</v>
      </c>
    </row>
    <row r="1464" spans="1:10" x14ac:dyDescent="0.45">
      <c r="A1464" t="s">
        <v>3062</v>
      </c>
      <c r="B1464" s="1">
        <v>45722</v>
      </c>
      <c r="C1464" t="s">
        <v>4007</v>
      </c>
      <c r="D1464" t="s">
        <v>2773</v>
      </c>
      <c r="E1464">
        <v>3300</v>
      </c>
      <c r="F1464">
        <v>6</v>
      </c>
      <c r="G1464">
        <f t="shared" si="66"/>
        <v>19800</v>
      </c>
      <c r="H1464" t="s">
        <v>21</v>
      </c>
      <c r="I1464">
        <f t="shared" si="67"/>
        <v>3960</v>
      </c>
      <c r="J1464">
        <f t="shared" si="68"/>
        <v>23760</v>
      </c>
    </row>
    <row r="1465" spans="1:10" x14ac:dyDescent="0.45">
      <c r="A1465" t="s">
        <v>3489</v>
      </c>
      <c r="B1465" s="1">
        <v>45722</v>
      </c>
      <c r="C1465" t="s">
        <v>4007</v>
      </c>
      <c r="D1465" t="s">
        <v>2774</v>
      </c>
      <c r="E1465">
        <v>1900</v>
      </c>
      <c r="F1465">
        <v>6</v>
      </c>
      <c r="G1465">
        <f t="shared" si="66"/>
        <v>11400</v>
      </c>
      <c r="H1465" t="s">
        <v>17</v>
      </c>
      <c r="I1465">
        <f t="shared" si="67"/>
        <v>2280</v>
      </c>
      <c r="J1465">
        <f t="shared" si="68"/>
        <v>13680</v>
      </c>
    </row>
    <row r="1466" spans="1:10" x14ac:dyDescent="0.45">
      <c r="A1466" t="s">
        <v>3544</v>
      </c>
      <c r="B1466" s="1">
        <v>45722</v>
      </c>
      <c r="C1466" t="s">
        <v>4007</v>
      </c>
      <c r="D1466" t="s">
        <v>5015</v>
      </c>
      <c r="E1466">
        <v>48000</v>
      </c>
      <c r="F1466">
        <v>4</v>
      </c>
      <c r="G1466">
        <f t="shared" si="66"/>
        <v>192000</v>
      </c>
      <c r="H1466" t="s">
        <v>17</v>
      </c>
      <c r="I1466">
        <f t="shared" si="67"/>
        <v>57600</v>
      </c>
      <c r="J1466">
        <f t="shared" si="68"/>
        <v>230400</v>
      </c>
    </row>
    <row r="1467" spans="1:10" x14ac:dyDescent="0.45">
      <c r="A1467" t="s">
        <v>4071</v>
      </c>
      <c r="B1467" s="1">
        <v>45722</v>
      </c>
      <c r="C1467" t="s">
        <v>5009</v>
      </c>
      <c r="D1467" t="s">
        <v>3992</v>
      </c>
      <c r="E1467">
        <v>400</v>
      </c>
      <c r="F1467" s="3">
        <v>10</v>
      </c>
      <c r="G1467">
        <f t="shared" si="66"/>
        <v>4000</v>
      </c>
      <c r="H1467" t="s">
        <v>17</v>
      </c>
      <c r="I1467">
        <f t="shared" si="67"/>
        <v>480</v>
      </c>
      <c r="J1467">
        <f t="shared" si="68"/>
        <v>4800</v>
      </c>
    </row>
    <row r="1468" spans="1:10" x14ac:dyDescent="0.45">
      <c r="A1468" t="s">
        <v>4139</v>
      </c>
      <c r="B1468" s="1">
        <v>45722</v>
      </c>
      <c r="C1468" t="s">
        <v>5009</v>
      </c>
      <c r="D1468" t="s">
        <v>4004</v>
      </c>
      <c r="E1468">
        <v>15000</v>
      </c>
      <c r="F1468" s="3">
        <v>6</v>
      </c>
      <c r="G1468">
        <f t="shared" si="66"/>
        <v>90000</v>
      </c>
      <c r="H1468" t="s">
        <v>21</v>
      </c>
      <c r="I1468">
        <f t="shared" si="67"/>
        <v>18000</v>
      </c>
      <c r="J1468">
        <f t="shared" si="68"/>
        <v>108000</v>
      </c>
    </row>
    <row r="1469" spans="1:10" x14ac:dyDescent="0.45">
      <c r="A1469" t="s">
        <v>4156</v>
      </c>
      <c r="B1469" s="1">
        <v>45722</v>
      </c>
      <c r="C1469" t="s">
        <v>33</v>
      </c>
      <c r="D1469" t="s">
        <v>42</v>
      </c>
      <c r="E1469">
        <v>6900</v>
      </c>
      <c r="F1469" s="3">
        <v>8</v>
      </c>
      <c r="G1469">
        <f t="shared" si="66"/>
        <v>55200</v>
      </c>
      <c r="H1469" t="s">
        <v>17</v>
      </c>
      <c r="I1469">
        <f t="shared" si="67"/>
        <v>8280</v>
      </c>
      <c r="J1469">
        <f t="shared" si="68"/>
        <v>66240</v>
      </c>
    </row>
    <row r="1470" spans="1:10" x14ac:dyDescent="0.45">
      <c r="A1470" t="s">
        <v>4229</v>
      </c>
      <c r="B1470" s="1">
        <v>45722</v>
      </c>
      <c r="C1470" t="s">
        <v>4007</v>
      </c>
      <c r="D1470" t="s">
        <v>5015</v>
      </c>
      <c r="E1470">
        <v>48000</v>
      </c>
      <c r="F1470" s="3">
        <v>7</v>
      </c>
      <c r="G1470">
        <f t="shared" si="66"/>
        <v>336000</v>
      </c>
      <c r="H1470" t="s">
        <v>17</v>
      </c>
      <c r="I1470">
        <f t="shared" si="67"/>
        <v>57600</v>
      </c>
      <c r="J1470">
        <f t="shared" si="68"/>
        <v>403200</v>
      </c>
    </row>
    <row r="1471" spans="1:10" x14ac:dyDescent="0.45">
      <c r="A1471" t="s">
        <v>4278</v>
      </c>
      <c r="B1471" s="1">
        <v>45722</v>
      </c>
      <c r="C1471" t="s">
        <v>5009</v>
      </c>
      <c r="D1471" t="s">
        <v>4004</v>
      </c>
      <c r="E1471">
        <v>15000</v>
      </c>
      <c r="F1471" s="3">
        <v>5</v>
      </c>
      <c r="G1471">
        <f t="shared" si="66"/>
        <v>75000</v>
      </c>
      <c r="H1471" t="s">
        <v>7</v>
      </c>
      <c r="I1471">
        <f t="shared" si="67"/>
        <v>18000</v>
      </c>
      <c r="J1471">
        <f t="shared" si="68"/>
        <v>90000</v>
      </c>
    </row>
    <row r="1472" spans="1:10" x14ac:dyDescent="0.45">
      <c r="A1472" t="s">
        <v>4289</v>
      </c>
      <c r="B1472" s="1">
        <v>45722</v>
      </c>
      <c r="C1472" t="s">
        <v>33</v>
      </c>
      <c r="D1472" t="s">
        <v>42</v>
      </c>
      <c r="E1472">
        <v>6900</v>
      </c>
      <c r="F1472" s="3">
        <v>1</v>
      </c>
      <c r="G1472">
        <f t="shared" si="66"/>
        <v>6900</v>
      </c>
      <c r="H1472" t="s">
        <v>7</v>
      </c>
      <c r="I1472">
        <f t="shared" si="67"/>
        <v>8280</v>
      </c>
      <c r="J1472">
        <f t="shared" si="68"/>
        <v>8280</v>
      </c>
    </row>
    <row r="1473" spans="1:10" x14ac:dyDescent="0.45">
      <c r="A1473" t="s">
        <v>4377</v>
      </c>
      <c r="B1473" s="1">
        <v>45722</v>
      </c>
      <c r="C1473" t="s">
        <v>3979</v>
      </c>
      <c r="D1473" t="s">
        <v>3980</v>
      </c>
      <c r="E1473">
        <v>500</v>
      </c>
      <c r="F1473" s="3">
        <v>9</v>
      </c>
      <c r="G1473">
        <f t="shared" si="66"/>
        <v>4500</v>
      </c>
      <c r="H1473" t="s">
        <v>7</v>
      </c>
      <c r="I1473">
        <f t="shared" si="67"/>
        <v>600</v>
      </c>
      <c r="J1473">
        <f t="shared" si="68"/>
        <v>5400</v>
      </c>
    </row>
    <row r="1474" spans="1:10" x14ac:dyDescent="0.45">
      <c r="A1474" t="s">
        <v>4402</v>
      </c>
      <c r="B1474" s="1">
        <v>45722</v>
      </c>
      <c r="C1474" t="s">
        <v>3977</v>
      </c>
      <c r="D1474" t="s">
        <v>3989</v>
      </c>
      <c r="E1474">
        <v>1000</v>
      </c>
      <c r="F1474" s="3">
        <v>1</v>
      </c>
      <c r="G1474">
        <f t="shared" ref="G1474:G1537" si="69">E1474*F1474</f>
        <v>1000</v>
      </c>
      <c r="H1474" t="s">
        <v>7</v>
      </c>
      <c r="I1474">
        <f t="shared" ref="I1474:I1537" si="70">E1474*1.2</f>
        <v>1200</v>
      </c>
      <c r="J1474">
        <f t="shared" ref="J1474:J1537" si="71">I1474*F1474</f>
        <v>1200</v>
      </c>
    </row>
    <row r="1475" spans="1:10" x14ac:dyDescent="0.45">
      <c r="A1475" t="s">
        <v>4661</v>
      </c>
      <c r="B1475" s="1">
        <v>45722</v>
      </c>
      <c r="C1475" t="s">
        <v>5009</v>
      </c>
      <c r="D1475" t="s">
        <v>4000</v>
      </c>
      <c r="E1475">
        <v>3000</v>
      </c>
      <c r="F1475" s="3">
        <v>9</v>
      </c>
      <c r="G1475">
        <f t="shared" si="69"/>
        <v>27000</v>
      </c>
      <c r="H1475" t="s">
        <v>21</v>
      </c>
      <c r="I1475">
        <f t="shared" si="70"/>
        <v>3600</v>
      </c>
      <c r="J1475">
        <f t="shared" si="71"/>
        <v>32400</v>
      </c>
    </row>
    <row r="1476" spans="1:10" x14ac:dyDescent="0.45">
      <c r="A1476" t="s">
        <v>4901</v>
      </c>
      <c r="B1476" s="1">
        <v>45722</v>
      </c>
      <c r="C1476" t="s">
        <v>3979</v>
      </c>
      <c r="D1476" t="s">
        <v>3987</v>
      </c>
      <c r="E1476">
        <v>8000</v>
      </c>
      <c r="F1476" s="3">
        <v>5</v>
      </c>
      <c r="G1476">
        <f t="shared" si="69"/>
        <v>40000</v>
      </c>
      <c r="H1476" t="s">
        <v>21</v>
      </c>
      <c r="I1476">
        <f t="shared" si="70"/>
        <v>9600</v>
      </c>
      <c r="J1476">
        <f t="shared" si="71"/>
        <v>48000</v>
      </c>
    </row>
    <row r="1477" spans="1:10" x14ac:dyDescent="0.45">
      <c r="A1477" t="s">
        <v>4983</v>
      </c>
      <c r="B1477" s="1">
        <v>45722</v>
      </c>
      <c r="C1477" t="s">
        <v>5008</v>
      </c>
      <c r="D1477" t="s">
        <v>3995</v>
      </c>
      <c r="E1477">
        <v>15000</v>
      </c>
      <c r="F1477" s="3">
        <v>2</v>
      </c>
      <c r="G1477">
        <f t="shared" si="69"/>
        <v>30000</v>
      </c>
      <c r="H1477" t="s">
        <v>21</v>
      </c>
      <c r="I1477">
        <f t="shared" si="70"/>
        <v>18000</v>
      </c>
      <c r="J1477">
        <f t="shared" si="71"/>
        <v>36000</v>
      </c>
    </row>
    <row r="1478" spans="1:10" x14ac:dyDescent="0.45">
      <c r="A1478" t="s">
        <v>522</v>
      </c>
      <c r="B1478" s="1">
        <v>45723</v>
      </c>
      <c r="C1478" t="s">
        <v>4007</v>
      </c>
      <c r="D1478" t="s">
        <v>5015</v>
      </c>
      <c r="E1478">
        <v>48000</v>
      </c>
      <c r="F1478">
        <v>6</v>
      </c>
      <c r="G1478">
        <f t="shared" si="69"/>
        <v>288000</v>
      </c>
      <c r="H1478" t="s">
        <v>7</v>
      </c>
      <c r="I1478">
        <f t="shared" si="70"/>
        <v>57600</v>
      </c>
      <c r="J1478">
        <f t="shared" si="71"/>
        <v>345600</v>
      </c>
    </row>
    <row r="1479" spans="1:10" x14ac:dyDescent="0.45">
      <c r="A1479" t="s">
        <v>523</v>
      </c>
      <c r="B1479" s="1">
        <v>45723</v>
      </c>
      <c r="C1479" t="s">
        <v>33</v>
      </c>
      <c r="D1479" t="s">
        <v>42</v>
      </c>
      <c r="E1479">
        <v>6900</v>
      </c>
      <c r="F1479">
        <v>2</v>
      </c>
      <c r="G1479">
        <f t="shared" si="69"/>
        <v>13800</v>
      </c>
      <c r="H1479" t="s">
        <v>21</v>
      </c>
      <c r="I1479">
        <f t="shared" si="70"/>
        <v>8280</v>
      </c>
      <c r="J1479">
        <f t="shared" si="71"/>
        <v>16560</v>
      </c>
    </row>
    <row r="1480" spans="1:10" x14ac:dyDescent="0.45">
      <c r="A1480" t="s">
        <v>524</v>
      </c>
      <c r="B1480" s="1">
        <v>45723</v>
      </c>
      <c r="C1480" t="s">
        <v>4007</v>
      </c>
      <c r="D1480" t="s">
        <v>39</v>
      </c>
      <c r="E1480">
        <v>6000</v>
      </c>
      <c r="F1480">
        <v>9</v>
      </c>
      <c r="G1480">
        <f t="shared" si="69"/>
        <v>54000</v>
      </c>
      <c r="H1480" t="s">
        <v>17</v>
      </c>
      <c r="I1480">
        <f t="shared" si="70"/>
        <v>7200</v>
      </c>
      <c r="J1480">
        <f t="shared" si="71"/>
        <v>64800</v>
      </c>
    </row>
    <row r="1481" spans="1:10" x14ac:dyDescent="0.45">
      <c r="A1481" t="s">
        <v>525</v>
      </c>
      <c r="B1481" s="1">
        <v>45723</v>
      </c>
      <c r="C1481" t="s">
        <v>12</v>
      </c>
      <c r="D1481" t="s">
        <v>5022</v>
      </c>
      <c r="E1481">
        <v>2880</v>
      </c>
      <c r="F1481">
        <v>7</v>
      </c>
      <c r="G1481">
        <f t="shared" si="69"/>
        <v>20160</v>
      </c>
      <c r="H1481" t="s">
        <v>17</v>
      </c>
      <c r="I1481">
        <f t="shared" si="70"/>
        <v>3456</v>
      </c>
      <c r="J1481">
        <f t="shared" si="71"/>
        <v>24192</v>
      </c>
    </row>
    <row r="1482" spans="1:10" x14ac:dyDescent="0.45">
      <c r="A1482" t="s">
        <v>526</v>
      </c>
      <c r="B1482" s="1">
        <v>45723</v>
      </c>
      <c r="C1482" t="s">
        <v>33</v>
      </c>
      <c r="D1482" t="s">
        <v>16</v>
      </c>
      <c r="E1482">
        <v>1200</v>
      </c>
      <c r="F1482">
        <v>5</v>
      </c>
      <c r="G1482">
        <f t="shared" si="69"/>
        <v>6000</v>
      </c>
      <c r="H1482" t="s">
        <v>21</v>
      </c>
      <c r="I1482">
        <f t="shared" si="70"/>
        <v>1440</v>
      </c>
      <c r="J1482">
        <f t="shared" si="71"/>
        <v>7200</v>
      </c>
    </row>
    <row r="1483" spans="1:10" x14ac:dyDescent="0.45">
      <c r="A1483" t="s">
        <v>527</v>
      </c>
      <c r="B1483" s="1">
        <v>45723</v>
      </c>
      <c r="C1483" t="s">
        <v>33</v>
      </c>
      <c r="D1483" t="s">
        <v>16</v>
      </c>
      <c r="E1483">
        <v>1200</v>
      </c>
      <c r="F1483">
        <v>4</v>
      </c>
      <c r="G1483">
        <f t="shared" si="69"/>
        <v>4800</v>
      </c>
      <c r="H1483" t="s">
        <v>17</v>
      </c>
      <c r="I1483">
        <f t="shared" si="70"/>
        <v>1440</v>
      </c>
      <c r="J1483">
        <f t="shared" si="71"/>
        <v>5760</v>
      </c>
    </row>
    <row r="1484" spans="1:10" x14ac:dyDescent="0.45">
      <c r="A1484" t="s">
        <v>3339</v>
      </c>
      <c r="B1484" s="1">
        <v>45723</v>
      </c>
      <c r="C1484" t="s">
        <v>4007</v>
      </c>
      <c r="D1484" t="s">
        <v>28</v>
      </c>
      <c r="E1484">
        <v>500</v>
      </c>
      <c r="F1484">
        <v>4</v>
      </c>
      <c r="G1484">
        <f t="shared" si="69"/>
        <v>2000</v>
      </c>
      <c r="H1484" t="s">
        <v>7</v>
      </c>
      <c r="I1484">
        <f t="shared" si="70"/>
        <v>600</v>
      </c>
      <c r="J1484">
        <f t="shared" si="71"/>
        <v>2400</v>
      </c>
    </row>
    <row r="1485" spans="1:10" x14ac:dyDescent="0.45">
      <c r="A1485" t="s">
        <v>3936</v>
      </c>
      <c r="B1485" s="1">
        <v>45723</v>
      </c>
      <c r="C1485" t="s">
        <v>4007</v>
      </c>
      <c r="D1485" t="s">
        <v>2770</v>
      </c>
      <c r="E1485">
        <v>600</v>
      </c>
      <c r="F1485">
        <v>1</v>
      </c>
      <c r="G1485">
        <f t="shared" si="69"/>
        <v>600</v>
      </c>
      <c r="H1485" t="s">
        <v>7</v>
      </c>
      <c r="I1485">
        <f t="shared" si="70"/>
        <v>720</v>
      </c>
      <c r="J1485">
        <f t="shared" si="71"/>
        <v>720</v>
      </c>
    </row>
    <row r="1486" spans="1:10" x14ac:dyDescent="0.45">
      <c r="A1486" t="s">
        <v>4062</v>
      </c>
      <c r="B1486" s="1">
        <v>45723</v>
      </c>
      <c r="C1486" t="s">
        <v>33</v>
      </c>
      <c r="D1486" t="s">
        <v>3985</v>
      </c>
      <c r="E1486">
        <v>1950</v>
      </c>
      <c r="F1486" s="3">
        <v>2</v>
      </c>
      <c r="G1486">
        <f t="shared" si="69"/>
        <v>3900</v>
      </c>
      <c r="H1486" t="s">
        <v>17</v>
      </c>
      <c r="I1486">
        <f t="shared" si="70"/>
        <v>2340</v>
      </c>
      <c r="J1486">
        <f t="shared" si="71"/>
        <v>4680</v>
      </c>
    </row>
    <row r="1487" spans="1:10" x14ac:dyDescent="0.45">
      <c r="A1487" t="s">
        <v>4165</v>
      </c>
      <c r="B1487" s="1">
        <v>45723</v>
      </c>
      <c r="C1487" t="s">
        <v>33</v>
      </c>
      <c r="D1487" t="s">
        <v>42</v>
      </c>
      <c r="E1487">
        <v>6900</v>
      </c>
      <c r="F1487" s="3">
        <v>5</v>
      </c>
      <c r="G1487">
        <f t="shared" si="69"/>
        <v>34500</v>
      </c>
      <c r="H1487" t="s">
        <v>17</v>
      </c>
      <c r="I1487">
        <f t="shared" si="70"/>
        <v>8280</v>
      </c>
      <c r="J1487">
        <f t="shared" si="71"/>
        <v>41400</v>
      </c>
    </row>
    <row r="1488" spans="1:10" x14ac:dyDescent="0.45">
      <c r="A1488" t="s">
        <v>4269</v>
      </c>
      <c r="B1488" s="1">
        <v>45723</v>
      </c>
      <c r="C1488" t="s">
        <v>5008</v>
      </c>
      <c r="D1488" t="s">
        <v>3995</v>
      </c>
      <c r="E1488">
        <v>15000</v>
      </c>
      <c r="F1488" s="3">
        <v>4</v>
      </c>
      <c r="G1488">
        <f t="shared" si="69"/>
        <v>60000</v>
      </c>
      <c r="H1488" t="s">
        <v>17</v>
      </c>
      <c r="I1488">
        <f t="shared" si="70"/>
        <v>18000</v>
      </c>
      <c r="J1488">
        <f t="shared" si="71"/>
        <v>72000</v>
      </c>
    </row>
    <row r="1489" spans="1:10" x14ac:dyDescent="0.45">
      <c r="A1489" t="s">
        <v>4321</v>
      </c>
      <c r="B1489" s="1">
        <v>45723</v>
      </c>
      <c r="C1489" t="s">
        <v>3977</v>
      </c>
      <c r="D1489" t="s">
        <v>3989</v>
      </c>
      <c r="E1489">
        <v>1000</v>
      </c>
      <c r="F1489" s="3">
        <v>9</v>
      </c>
      <c r="G1489">
        <f t="shared" si="69"/>
        <v>9000</v>
      </c>
      <c r="H1489" t="s">
        <v>17</v>
      </c>
      <c r="I1489">
        <f t="shared" si="70"/>
        <v>1200</v>
      </c>
      <c r="J1489">
        <f t="shared" si="71"/>
        <v>10800</v>
      </c>
    </row>
    <row r="1490" spans="1:10" x14ac:dyDescent="0.45">
      <c r="A1490" t="s">
        <v>4370</v>
      </c>
      <c r="B1490" s="1">
        <v>45723</v>
      </c>
      <c r="C1490" t="s">
        <v>4007</v>
      </c>
      <c r="D1490" t="s">
        <v>3999</v>
      </c>
      <c r="E1490">
        <v>50000</v>
      </c>
      <c r="F1490" s="3">
        <v>2</v>
      </c>
      <c r="G1490">
        <f t="shared" si="69"/>
        <v>100000</v>
      </c>
      <c r="H1490" t="s">
        <v>7</v>
      </c>
      <c r="I1490">
        <f t="shared" si="70"/>
        <v>60000</v>
      </c>
      <c r="J1490">
        <f t="shared" si="71"/>
        <v>120000</v>
      </c>
    </row>
    <row r="1491" spans="1:10" x14ac:dyDescent="0.45">
      <c r="A1491" t="s">
        <v>4485</v>
      </c>
      <c r="B1491" s="1">
        <v>45723</v>
      </c>
      <c r="C1491" t="s">
        <v>3979</v>
      </c>
      <c r="D1491" t="s">
        <v>3980</v>
      </c>
      <c r="E1491">
        <v>500</v>
      </c>
      <c r="F1491" s="3">
        <v>4</v>
      </c>
      <c r="G1491">
        <f t="shared" si="69"/>
        <v>2000</v>
      </c>
      <c r="H1491" t="s">
        <v>17</v>
      </c>
      <c r="I1491">
        <f t="shared" si="70"/>
        <v>600</v>
      </c>
      <c r="J1491">
        <f t="shared" si="71"/>
        <v>2400</v>
      </c>
    </row>
    <row r="1492" spans="1:10" x14ac:dyDescent="0.45">
      <c r="A1492" t="s">
        <v>4545</v>
      </c>
      <c r="B1492" s="1">
        <v>45723</v>
      </c>
      <c r="C1492" t="s">
        <v>33</v>
      </c>
      <c r="D1492" t="s">
        <v>4001</v>
      </c>
      <c r="E1492">
        <v>500</v>
      </c>
      <c r="F1492" s="3">
        <v>1</v>
      </c>
      <c r="G1492">
        <f t="shared" si="69"/>
        <v>500</v>
      </c>
      <c r="H1492" t="s">
        <v>21</v>
      </c>
      <c r="I1492">
        <f t="shared" si="70"/>
        <v>600</v>
      </c>
      <c r="J1492">
        <f t="shared" si="71"/>
        <v>600</v>
      </c>
    </row>
    <row r="1493" spans="1:10" x14ac:dyDescent="0.45">
      <c r="A1493" t="s">
        <v>4561</v>
      </c>
      <c r="B1493" s="1">
        <v>45723</v>
      </c>
      <c r="C1493" t="s">
        <v>3979</v>
      </c>
      <c r="D1493" t="s">
        <v>4006</v>
      </c>
      <c r="E1493">
        <v>2000</v>
      </c>
      <c r="F1493" s="3">
        <v>6</v>
      </c>
      <c r="G1493">
        <f t="shared" si="69"/>
        <v>12000</v>
      </c>
      <c r="H1493" t="s">
        <v>17</v>
      </c>
      <c r="I1493">
        <f t="shared" si="70"/>
        <v>2400</v>
      </c>
      <c r="J1493">
        <f t="shared" si="71"/>
        <v>14400</v>
      </c>
    </row>
    <row r="1494" spans="1:10" x14ac:dyDescent="0.45">
      <c r="A1494" t="s">
        <v>4865</v>
      </c>
      <c r="B1494" s="1">
        <v>45723</v>
      </c>
      <c r="C1494" t="s">
        <v>33</v>
      </c>
      <c r="D1494" t="s">
        <v>4001</v>
      </c>
      <c r="E1494">
        <v>500</v>
      </c>
      <c r="F1494" s="3">
        <v>4</v>
      </c>
      <c r="G1494">
        <f t="shared" si="69"/>
        <v>2000</v>
      </c>
      <c r="H1494" t="s">
        <v>21</v>
      </c>
      <c r="I1494">
        <f t="shared" si="70"/>
        <v>600</v>
      </c>
      <c r="J1494">
        <f t="shared" si="71"/>
        <v>2400</v>
      </c>
    </row>
    <row r="1495" spans="1:10" x14ac:dyDescent="0.45">
      <c r="A1495" t="s">
        <v>528</v>
      </c>
      <c r="B1495" s="1">
        <v>45724</v>
      </c>
      <c r="C1495" t="s">
        <v>33</v>
      </c>
      <c r="D1495" t="s">
        <v>14</v>
      </c>
      <c r="E1495">
        <v>800</v>
      </c>
      <c r="F1495">
        <v>4</v>
      </c>
      <c r="G1495">
        <f t="shared" si="69"/>
        <v>3200</v>
      </c>
      <c r="H1495" t="s">
        <v>21</v>
      </c>
      <c r="I1495">
        <f t="shared" si="70"/>
        <v>960</v>
      </c>
      <c r="J1495">
        <f t="shared" si="71"/>
        <v>3840</v>
      </c>
    </row>
    <row r="1496" spans="1:10" x14ac:dyDescent="0.45">
      <c r="A1496" t="s">
        <v>529</v>
      </c>
      <c r="B1496" s="1">
        <v>45724</v>
      </c>
      <c r="C1496" t="s">
        <v>9</v>
      </c>
      <c r="D1496" t="s">
        <v>19</v>
      </c>
      <c r="E1496">
        <v>3000</v>
      </c>
      <c r="F1496">
        <v>2</v>
      </c>
      <c r="G1496">
        <f t="shared" si="69"/>
        <v>6000</v>
      </c>
      <c r="H1496" t="s">
        <v>7</v>
      </c>
      <c r="I1496">
        <f t="shared" si="70"/>
        <v>3600</v>
      </c>
      <c r="J1496">
        <f t="shared" si="71"/>
        <v>7200</v>
      </c>
    </row>
    <row r="1497" spans="1:10" x14ac:dyDescent="0.45">
      <c r="A1497" t="s">
        <v>530</v>
      </c>
      <c r="B1497" s="1">
        <v>45724</v>
      </c>
      <c r="C1497" t="s">
        <v>4007</v>
      </c>
      <c r="D1497" t="s">
        <v>5015</v>
      </c>
      <c r="E1497">
        <v>48000</v>
      </c>
      <c r="F1497">
        <v>2</v>
      </c>
      <c r="G1497">
        <f t="shared" si="69"/>
        <v>96000</v>
      </c>
      <c r="H1497" t="s">
        <v>21</v>
      </c>
      <c r="I1497">
        <f t="shared" si="70"/>
        <v>57600</v>
      </c>
      <c r="J1497">
        <f t="shared" si="71"/>
        <v>115200</v>
      </c>
    </row>
    <row r="1498" spans="1:10" x14ac:dyDescent="0.45">
      <c r="A1498" t="s">
        <v>531</v>
      </c>
      <c r="B1498" s="1">
        <v>45724</v>
      </c>
      <c r="C1498" t="s">
        <v>12</v>
      </c>
      <c r="D1498" t="s">
        <v>5020</v>
      </c>
      <c r="E1498">
        <v>2880</v>
      </c>
      <c r="F1498">
        <v>9</v>
      </c>
      <c r="G1498">
        <f t="shared" si="69"/>
        <v>25920</v>
      </c>
      <c r="H1498" t="s">
        <v>7</v>
      </c>
      <c r="I1498">
        <f t="shared" si="70"/>
        <v>3456</v>
      </c>
      <c r="J1498">
        <f t="shared" si="71"/>
        <v>31104</v>
      </c>
    </row>
    <row r="1499" spans="1:10" x14ac:dyDescent="0.45">
      <c r="A1499" t="s">
        <v>532</v>
      </c>
      <c r="B1499" s="1">
        <v>45724</v>
      </c>
      <c r="C1499" t="s">
        <v>33</v>
      </c>
      <c r="D1499" t="s">
        <v>42</v>
      </c>
      <c r="E1499">
        <v>6900</v>
      </c>
      <c r="F1499">
        <v>7</v>
      </c>
      <c r="G1499">
        <f t="shared" si="69"/>
        <v>48300</v>
      </c>
      <c r="H1499" t="s">
        <v>7</v>
      </c>
      <c r="I1499">
        <f t="shared" si="70"/>
        <v>8280</v>
      </c>
      <c r="J1499">
        <f t="shared" si="71"/>
        <v>57960</v>
      </c>
    </row>
    <row r="1500" spans="1:10" x14ac:dyDescent="0.45">
      <c r="A1500" t="s">
        <v>2843</v>
      </c>
      <c r="B1500" s="1">
        <v>45724</v>
      </c>
      <c r="C1500" t="s">
        <v>33</v>
      </c>
      <c r="D1500" t="s">
        <v>34</v>
      </c>
      <c r="E1500">
        <v>1700</v>
      </c>
      <c r="F1500">
        <v>5</v>
      </c>
      <c r="G1500">
        <f t="shared" si="69"/>
        <v>8500</v>
      </c>
      <c r="H1500" t="s">
        <v>17</v>
      </c>
      <c r="I1500">
        <f t="shared" si="70"/>
        <v>2040</v>
      </c>
      <c r="J1500">
        <f t="shared" si="71"/>
        <v>10200</v>
      </c>
    </row>
    <row r="1501" spans="1:10" x14ac:dyDescent="0.45">
      <c r="A1501" t="s">
        <v>2871</v>
      </c>
      <c r="B1501" s="1">
        <v>45724</v>
      </c>
      <c r="C1501" t="s">
        <v>2772</v>
      </c>
      <c r="D1501" t="s">
        <v>2771</v>
      </c>
      <c r="E1501">
        <v>120</v>
      </c>
      <c r="F1501">
        <v>1</v>
      </c>
      <c r="G1501">
        <f t="shared" si="69"/>
        <v>120</v>
      </c>
      <c r="H1501" t="s">
        <v>17</v>
      </c>
      <c r="I1501">
        <f t="shared" si="70"/>
        <v>144</v>
      </c>
      <c r="J1501">
        <f t="shared" si="71"/>
        <v>144</v>
      </c>
    </row>
    <row r="1502" spans="1:10" x14ac:dyDescent="0.45">
      <c r="A1502" t="s">
        <v>3643</v>
      </c>
      <c r="B1502" s="1">
        <v>45724</v>
      </c>
      <c r="C1502" t="s">
        <v>4007</v>
      </c>
      <c r="D1502" t="s">
        <v>28</v>
      </c>
      <c r="E1502">
        <v>500</v>
      </c>
      <c r="F1502">
        <v>6</v>
      </c>
      <c r="G1502">
        <f t="shared" si="69"/>
        <v>3000</v>
      </c>
      <c r="H1502" t="s">
        <v>21</v>
      </c>
      <c r="I1502">
        <f t="shared" si="70"/>
        <v>600</v>
      </c>
      <c r="J1502">
        <f t="shared" si="71"/>
        <v>3600</v>
      </c>
    </row>
    <row r="1503" spans="1:10" x14ac:dyDescent="0.45">
      <c r="A1503" t="s">
        <v>3846</v>
      </c>
      <c r="B1503" s="1">
        <v>45724</v>
      </c>
      <c r="C1503" t="s">
        <v>4007</v>
      </c>
      <c r="D1503" t="s">
        <v>2770</v>
      </c>
      <c r="E1503">
        <v>600</v>
      </c>
      <c r="F1503">
        <v>8</v>
      </c>
      <c r="G1503">
        <f t="shared" si="69"/>
        <v>4800</v>
      </c>
      <c r="H1503" t="s">
        <v>21</v>
      </c>
      <c r="I1503">
        <f t="shared" si="70"/>
        <v>720</v>
      </c>
      <c r="J1503">
        <f t="shared" si="71"/>
        <v>5760</v>
      </c>
    </row>
    <row r="1504" spans="1:10" x14ac:dyDescent="0.45">
      <c r="A1504" t="s">
        <v>3866</v>
      </c>
      <c r="B1504" s="1">
        <v>45724</v>
      </c>
      <c r="C1504" t="s">
        <v>2772</v>
      </c>
      <c r="D1504" t="s">
        <v>2775</v>
      </c>
      <c r="E1504">
        <v>9100</v>
      </c>
      <c r="F1504">
        <v>2</v>
      </c>
      <c r="G1504">
        <f t="shared" si="69"/>
        <v>18200</v>
      </c>
      <c r="H1504" t="s">
        <v>17</v>
      </c>
      <c r="I1504">
        <f t="shared" si="70"/>
        <v>10920</v>
      </c>
      <c r="J1504">
        <f t="shared" si="71"/>
        <v>21840</v>
      </c>
    </row>
    <row r="1505" spans="1:10" x14ac:dyDescent="0.45">
      <c r="A1505" t="s">
        <v>4009</v>
      </c>
      <c r="B1505" s="1">
        <v>45724</v>
      </c>
      <c r="C1505" t="s">
        <v>3979</v>
      </c>
      <c r="D1505" t="s">
        <v>3980</v>
      </c>
      <c r="E1505">
        <v>500</v>
      </c>
      <c r="F1505" s="3">
        <v>5</v>
      </c>
      <c r="G1505">
        <f t="shared" si="69"/>
        <v>2500</v>
      </c>
      <c r="H1505" t="s">
        <v>7</v>
      </c>
      <c r="I1505">
        <f t="shared" si="70"/>
        <v>600</v>
      </c>
      <c r="J1505">
        <f t="shared" si="71"/>
        <v>3000</v>
      </c>
    </row>
    <row r="1506" spans="1:10" x14ac:dyDescent="0.45">
      <c r="A1506" t="s">
        <v>4103</v>
      </c>
      <c r="B1506" s="1">
        <v>45724</v>
      </c>
      <c r="C1506" t="s">
        <v>3979</v>
      </c>
      <c r="D1506" t="s">
        <v>4006</v>
      </c>
      <c r="E1506">
        <v>2000</v>
      </c>
      <c r="F1506" s="3">
        <v>1</v>
      </c>
      <c r="G1506">
        <f t="shared" si="69"/>
        <v>2000</v>
      </c>
      <c r="H1506" t="s">
        <v>7</v>
      </c>
      <c r="I1506">
        <f t="shared" si="70"/>
        <v>2400</v>
      </c>
      <c r="J1506">
        <f t="shared" si="71"/>
        <v>2400</v>
      </c>
    </row>
    <row r="1507" spans="1:10" x14ac:dyDescent="0.45">
      <c r="A1507" t="s">
        <v>4142</v>
      </c>
      <c r="B1507" s="1">
        <v>45724</v>
      </c>
      <c r="C1507" t="s">
        <v>3977</v>
      </c>
      <c r="D1507" t="s">
        <v>3989</v>
      </c>
      <c r="E1507">
        <v>1000</v>
      </c>
      <c r="F1507" s="3">
        <v>6</v>
      </c>
      <c r="G1507">
        <f t="shared" si="69"/>
        <v>6000</v>
      </c>
      <c r="H1507" t="s">
        <v>21</v>
      </c>
      <c r="I1507">
        <f t="shared" si="70"/>
        <v>1200</v>
      </c>
      <c r="J1507">
        <f t="shared" si="71"/>
        <v>7200</v>
      </c>
    </row>
    <row r="1508" spans="1:10" x14ac:dyDescent="0.45">
      <c r="A1508" t="s">
        <v>4153</v>
      </c>
      <c r="B1508" s="1">
        <v>45724</v>
      </c>
      <c r="C1508" t="s">
        <v>3977</v>
      </c>
      <c r="D1508" t="s">
        <v>3993</v>
      </c>
      <c r="E1508">
        <v>1000</v>
      </c>
      <c r="F1508" s="3">
        <v>6</v>
      </c>
      <c r="G1508">
        <f t="shared" si="69"/>
        <v>6000</v>
      </c>
      <c r="H1508" t="s">
        <v>7</v>
      </c>
      <c r="I1508">
        <f t="shared" si="70"/>
        <v>1200</v>
      </c>
      <c r="J1508">
        <f t="shared" si="71"/>
        <v>7200</v>
      </c>
    </row>
    <row r="1509" spans="1:10" x14ac:dyDescent="0.45">
      <c r="A1509" t="s">
        <v>4331</v>
      </c>
      <c r="B1509" s="1">
        <v>45724</v>
      </c>
      <c r="C1509" t="s">
        <v>5008</v>
      </c>
      <c r="D1509" t="s">
        <v>4003</v>
      </c>
      <c r="E1509">
        <v>10000</v>
      </c>
      <c r="F1509" s="3">
        <v>5</v>
      </c>
      <c r="G1509">
        <f t="shared" si="69"/>
        <v>50000</v>
      </c>
      <c r="H1509" t="s">
        <v>21</v>
      </c>
      <c r="I1509">
        <f t="shared" si="70"/>
        <v>12000</v>
      </c>
      <c r="J1509">
        <f t="shared" si="71"/>
        <v>60000</v>
      </c>
    </row>
    <row r="1510" spans="1:10" x14ac:dyDescent="0.45">
      <c r="A1510" t="s">
        <v>4364</v>
      </c>
      <c r="B1510" s="1">
        <v>45724</v>
      </c>
      <c r="C1510" t="s">
        <v>5008</v>
      </c>
      <c r="D1510" t="s">
        <v>3995</v>
      </c>
      <c r="E1510">
        <v>15000</v>
      </c>
      <c r="F1510" s="3">
        <v>10</v>
      </c>
      <c r="G1510">
        <f t="shared" si="69"/>
        <v>150000</v>
      </c>
      <c r="H1510" t="s">
        <v>7</v>
      </c>
      <c r="I1510">
        <f t="shared" si="70"/>
        <v>18000</v>
      </c>
      <c r="J1510">
        <f t="shared" si="71"/>
        <v>180000</v>
      </c>
    </row>
    <row r="1511" spans="1:10" x14ac:dyDescent="0.45">
      <c r="A1511" t="s">
        <v>4437</v>
      </c>
      <c r="B1511" s="1">
        <v>45724</v>
      </c>
      <c r="C1511" t="s">
        <v>33</v>
      </c>
      <c r="D1511" t="s">
        <v>4001</v>
      </c>
      <c r="E1511">
        <v>500</v>
      </c>
      <c r="F1511" s="3">
        <v>10</v>
      </c>
      <c r="G1511">
        <f t="shared" si="69"/>
        <v>5000</v>
      </c>
      <c r="H1511" t="s">
        <v>21</v>
      </c>
      <c r="I1511">
        <f t="shared" si="70"/>
        <v>600</v>
      </c>
      <c r="J1511">
        <f t="shared" si="71"/>
        <v>6000</v>
      </c>
    </row>
    <row r="1512" spans="1:10" x14ac:dyDescent="0.45">
      <c r="A1512" t="s">
        <v>4439</v>
      </c>
      <c r="B1512" s="1">
        <v>45724</v>
      </c>
      <c r="C1512" t="s">
        <v>4007</v>
      </c>
      <c r="D1512" t="s">
        <v>3988</v>
      </c>
      <c r="E1512">
        <v>35000</v>
      </c>
      <c r="F1512" s="3">
        <v>2</v>
      </c>
      <c r="G1512">
        <f t="shared" si="69"/>
        <v>70000</v>
      </c>
      <c r="H1512" t="s">
        <v>7</v>
      </c>
      <c r="I1512">
        <f t="shared" si="70"/>
        <v>42000</v>
      </c>
      <c r="J1512">
        <f t="shared" si="71"/>
        <v>84000</v>
      </c>
    </row>
    <row r="1513" spans="1:10" x14ac:dyDescent="0.45">
      <c r="A1513" t="s">
        <v>4445</v>
      </c>
      <c r="B1513" s="1">
        <v>45724</v>
      </c>
      <c r="C1513" t="s">
        <v>33</v>
      </c>
      <c r="D1513" t="s">
        <v>4001</v>
      </c>
      <c r="E1513">
        <v>500</v>
      </c>
      <c r="F1513" s="3">
        <v>6</v>
      </c>
      <c r="G1513">
        <f t="shared" si="69"/>
        <v>3000</v>
      </c>
      <c r="H1513" t="s">
        <v>7</v>
      </c>
      <c r="I1513">
        <f t="shared" si="70"/>
        <v>600</v>
      </c>
      <c r="J1513">
        <f t="shared" si="71"/>
        <v>3600</v>
      </c>
    </row>
    <row r="1514" spans="1:10" x14ac:dyDescent="0.45">
      <c r="A1514" t="s">
        <v>4446</v>
      </c>
      <c r="B1514" s="1">
        <v>45724</v>
      </c>
      <c r="C1514" t="s">
        <v>4007</v>
      </c>
      <c r="D1514" t="s">
        <v>4005</v>
      </c>
      <c r="E1514">
        <v>60000</v>
      </c>
      <c r="F1514" s="3">
        <v>4</v>
      </c>
      <c r="G1514">
        <f t="shared" si="69"/>
        <v>240000</v>
      </c>
      <c r="H1514" t="s">
        <v>7</v>
      </c>
      <c r="I1514">
        <f t="shared" si="70"/>
        <v>72000</v>
      </c>
      <c r="J1514">
        <f t="shared" si="71"/>
        <v>288000</v>
      </c>
    </row>
    <row r="1515" spans="1:10" x14ac:dyDescent="0.45">
      <c r="A1515" t="s">
        <v>4646</v>
      </c>
      <c r="B1515" s="1">
        <v>45724</v>
      </c>
      <c r="C1515" t="s">
        <v>4007</v>
      </c>
      <c r="D1515" t="s">
        <v>5015</v>
      </c>
      <c r="E1515">
        <v>48000</v>
      </c>
      <c r="F1515" s="3">
        <v>5</v>
      </c>
      <c r="G1515">
        <f t="shared" si="69"/>
        <v>240000</v>
      </c>
      <c r="H1515" t="s">
        <v>21</v>
      </c>
      <c r="I1515">
        <f t="shared" si="70"/>
        <v>57600</v>
      </c>
      <c r="J1515">
        <f t="shared" si="71"/>
        <v>288000</v>
      </c>
    </row>
    <row r="1516" spans="1:10" x14ac:dyDescent="0.45">
      <c r="A1516" t="s">
        <v>533</v>
      </c>
      <c r="B1516" s="1">
        <v>45725</v>
      </c>
      <c r="C1516" t="s">
        <v>33</v>
      </c>
      <c r="D1516" t="s">
        <v>16</v>
      </c>
      <c r="E1516">
        <v>1200</v>
      </c>
      <c r="F1516">
        <v>8</v>
      </c>
      <c r="G1516">
        <f t="shared" si="69"/>
        <v>9600</v>
      </c>
      <c r="H1516" t="s">
        <v>7</v>
      </c>
      <c r="I1516">
        <f t="shared" si="70"/>
        <v>1440</v>
      </c>
      <c r="J1516">
        <f t="shared" si="71"/>
        <v>11520</v>
      </c>
    </row>
    <row r="1517" spans="1:10" x14ac:dyDescent="0.45">
      <c r="A1517" t="s">
        <v>534</v>
      </c>
      <c r="B1517" s="1">
        <v>45725</v>
      </c>
      <c r="C1517" t="s">
        <v>12</v>
      </c>
      <c r="D1517" t="s">
        <v>5020</v>
      </c>
      <c r="E1517">
        <v>2880</v>
      </c>
      <c r="F1517">
        <v>8</v>
      </c>
      <c r="G1517">
        <f t="shared" si="69"/>
        <v>23040</v>
      </c>
      <c r="H1517" t="s">
        <v>17</v>
      </c>
      <c r="I1517">
        <f t="shared" si="70"/>
        <v>3456</v>
      </c>
      <c r="J1517">
        <f t="shared" si="71"/>
        <v>27648</v>
      </c>
    </row>
    <row r="1518" spans="1:10" x14ac:dyDescent="0.45">
      <c r="A1518" t="s">
        <v>535</v>
      </c>
      <c r="B1518" s="1">
        <v>45725</v>
      </c>
      <c r="C1518" t="s">
        <v>33</v>
      </c>
      <c r="D1518" t="s">
        <v>16</v>
      </c>
      <c r="E1518">
        <v>1200</v>
      </c>
      <c r="F1518">
        <v>10</v>
      </c>
      <c r="G1518">
        <f t="shared" si="69"/>
        <v>12000</v>
      </c>
      <c r="H1518" t="s">
        <v>7</v>
      </c>
      <c r="I1518">
        <f t="shared" si="70"/>
        <v>1440</v>
      </c>
      <c r="J1518">
        <f t="shared" si="71"/>
        <v>14400</v>
      </c>
    </row>
    <row r="1519" spans="1:10" x14ac:dyDescent="0.45">
      <c r="A1519" t="s">
        <v>536</v>
      </c>
      <c r="B1519" s="1">
        <v>45725</v>
      </c>
      <c r="C1519" t="s">
        <v>12</v>
      </c>
      <c r="D1519" t="s">
        <v>5023</v>
      </c>
      <c r="E1519">
        <v>1750</v>
      </c>
      <c r="F1519">
        <v>2</v>
      </c>
      <c r="G1519">
        <f t="shared" si="69"/>
        <v>3500</v>
      </c>
      <c r="H1519" t="s">
        <v>7</v>
      </c>
      <c r="I1519">
        <f t="shared" si="70"/>
        <v>2100</v>
      </c>
      <c r="J1519">
        <f t="shared" si="71"/>
        <v>4200</v>
      </c>
    </row>
    <row r="1520" spans="1:10" x14ac:dyDescent="0.45">
      <c r="A1520" t="s">
        <v>537</v>
      </c>
      <c r="B1520" s="1">
        <v>45725</v>
      </c>
      <c r="C1520" t="s">
        <v>9</v>
      </c>
      <c r="D1520" t="s">
        <v>10</v>
      </c>
      <c r="E1520">
        <v>400</v>
      </c>
      <c r="F1520">
        <v>2</v>
      </c>
      <c r="G1520">
        <f t="shared" si="69"/>
        <v>800</v>
      </c>
      <c r="H1520" t="s">
        <v>21</v>
      </c>
      <c r="I1520">
        <f t="shared" si="70"/>
        <v>480</v>
      </c>
      <c r="J1520">
        <f t="shared" si="71"/>
        <v>960</v>
      </c>
    </row>
    <row r="1521" spans="1:10" x14ac:dyDescent="0.45">
      <c r="A1521" t="s">
        <v>538</v>
      </c>
      <c r="B1521" s="1">
        <v>45725</v>
      </c>
      <c r="C1521" t="s">
        <v>9</v>
      </c>
      <c r="D1521" t="s">
        <v>10</v>
      </c>
      <c r="E1521">
        <v>400</v>
      </c>
      <c r="F1521">
        <v>6</v>
      </c>
      <c r="G1521">
        <f t="shared" si="69"/>
        <v>2400</v>
      </c>
      <c r="H1521" t="s">
        <v>7</v>
      </c>
      <c r="I1521">
        <f t="shared" si="70"/>
        <v>480</v>
      </c>
      <c r="J1521">
        <f t="shared" si="71"/>
        <v>2880</v>
      </c>
    </row>
    <row r="1522" spans="1:10" x14ac:dyDescent="0.45">
      <c r="A1522" t="s">
        <v>2899</v>
      </c>
      <c r="B1522" s="1">
        <v>45725</v>
      </c>
      <c r="C1522" t="s">
        <v>4007</v>
      </c>
      <c r="D1522" t="s">
        <v>28</v>
      </c>
      <c r="E1522">
        <v>500</v>
      </c>
      <c r="F1522">
        <v>4</v>
      </c>
      <c r="G1522">
        <f t="shared" si="69"/>
        <v>2000</v>
      </c>
      <c r="H1522" t="s">
        <v>7</v>
      </c>
      <c r="I1522">
        <f t="shared" si="70"/>
        <v>600</v>
      </c>
      <c r="J1522">
        <f t="shared" si="71"/>
        <v>2400</v>
      </c>
    </row>
    <row r="1523" spans="1:10" x14ac:dyDescent="0.45">
      <c r="A1523" t="s">
        <v>2914</v>
      </c>
      <c r="B1523" s="1">
        <v>45725</v>
      </c>
      <c r="C1523" t="s">
        <v>4007</v>
      </c>
      <c r="D1523" t="s">
        <v>2773</v>
      </c>
      <c r="E1523">
        <v>3300</v>
      </c>
      <c r="F1523">
        <v>7</v>
      </c>
      <c r="G1523">
        <f t="shared" si="69"/>
        <v>23100</v>
      </c>
      <c r="H1523" t="s">
        <v>17</v>
      </c>
      <c r="I1523">
        <f t="shared" si="70"/>
        <v>3960</v>
      </c>
      <c r="J1523">
        <f t="shared" si="71"/>
        <v>27720</v>
      </c>
    </row>
    <row r="1524" spans="1:10" x14ac:dyDescent="0.45">
      <c r="A1524" t="s">
        <v>3266</v>
      </c>
      <c r="B1524" s="1">
        <v>45725</v>
      </c>
      <c r="C1524" t="s">
        <v>33</v>
      </c>
      <c r="D1524" t="s">
        <v>14</v>
      </c>
      <c r="E1524">
        <v>800</v>
      </c>
      <c r="F1524">
        <v>10</v>
      </c>
      <c r="G1524">
        <f t="shared" si="69"/>
        <v>8000</v>
      </c>
      <c r="H1524" t="s">
        <v>7</v>
      </c>
      <c r="I1524">
        <f t="shared" si="70"/>
        <v>960</v>
      </c>
      <c r="J1524">
        <f t="shared" si="71"/>
        <v>9600</v>
      </c>
    </row>
    <row r="1525" spans="1:10" x14ac:dyDescent="0.45">
      <c r="A1525" t="s">
        <v>3376</v>
      </c>
      <c r="B1525" s="1">
        <v>45725</v>
      </c>
      <c r="C1525" t="s">
        <v>4007</v>
      </c>
      <c r="D1525" t="s">
        <v>5015</v>
      </c>
      <c r="E1525">
        <v>48000</v>
      </c>
      <c r="F1525">
        <v>2</v>
      </c>
      <c r="G1525">
        <f t="shared" si="69"/>
        <v>96000</v>
      </c>
      <c r="H1525" t="s">
        <v>17</v>
      </c>
      <c r="I1525">
        <f t="shared" si="70"/>
        <v>57600</v>
      </c>
      <c r="J1525">
        <f t="shared" si="71"/>
        <v>115200</v>
      </c>
    </row>
    <row r="1526" spans="1:10" x14ac:dyDescent="0.45">
      <c r="A1526" t="s">
        <v>3550</v>
      </c>
      <c r="B1526" s="1">
        <v>45725</v>
      </c>
      <c r="C1526" t="s">
        <v>4007</v>
      </c>
      <c r="D1526" t="s">
        <v>2776</v>
      </c>
      <c r="E1526">
        <v>3600</v>
      </c>
      <c r="F1526">
        <v>4</v>
      </c>
      <c r="G1526">
        <f t="shared" si="69"/>
        <v>14400</v>
      </c>
      <c r="H1526" t="s">
        <v>7</v>
      </c>
      <c r="I1526">
        <f t="shared" si="70"/>
        <v>4320</v>
      </c>
      <c r="J1526">
        <f t="shared" si="71"/>
        <v>17280</v>
      </c>
    </row>
    <row r="1527" spans="1:10" x14ac:dyDescent="0.45">
      <c r="A1527" t="s">
        <v>4019</v>
      </c>
      <c r="B1527" s="1">
        <v>45725</v>
      </c>
      <c r="C1527" t="s">
        <v>3979</v>
      </c>
      <c r="D1527" t="s">
        <v>3983</v>
      </c>
      <c r="E1527">
        <v>1000</v>
      </c>
      <c r="F1527" s="3">
        <v>4</v>
      </c>
      <c r="G1527">
        <f t="shared" si="69"/>
        <v>4000</v>
      </c>
      <c r="H1527" t="s">
        <v>21</v>
      </c>
      <c r="I1527">
        <f t="shared" si="70"/>
        <v>1200</v>
      </c>
      <c r="J1527">
        <f t="shared" si="71"/>
        <v>4800</v>
      </c>
    </row>
    <row r="1528" spans="1:10" x14ac:dyDescent="0.45">
      <c r="A1528" t="s">
        <v>4053</v>
      </c>
      <c r="B1528" s="1">
        <v>45725</v>
      </c>
      <c r="C1528" t="s">
        <v>3979</v>
      </c>
      <c r="D1528" t="s">
        <v>3980</v>
      </c>
      <c r="E1528">
        <v>500</v>
      </c>
      <c r="F1528" s="3">
        <v>4</v>
      </c>
      <c r="G1528">
        <f t="shared" si="69"/>
        <v>2000</v>
      </c>
      <c r="H1528" t="s">
        <v>21</v>
      </c>
      <c r="I1528">
        <f t="shared" si="70"/>
        <v>600</v>
      </c>
      <c r="J1528">
        <f t="shared" si="71"/>
        <v>2400</v>
      </c>
    </row>
    <row r="1529" spans="1:10" x14ac:dyDescent="0.45">
      <c r="A1529" t="s">
        <v>4081</v>
      </c>
      <c r="B1529" s="1">
        <v>45725</v>
      </c>
      <c r="C1529" t="s">
        <v>3979</v>
      </c>
      <c r="D1529" t="s">
        <v>3980</v>
      </c>
      <c r="E1529">
        <v>500</v>
      </c>
      <c r="F1529" s="3">
        <v>6</v>
      </c>
      <c r="G1529">
        <f t="shared" si="69"/>
        <v>3000</v>
      </c>
      <c r="H1529" t="s">
        <v>17</v>
      </c>
      <c r="I1529">
        <f t="shared" si="70"/>
        <v>600</v>
      </c>
      <c r="J1529">
        <f t="shared" si="71"/>
        <v>3600</v>
      </c>
    </row>
    <row r="1530" spans="1:10" x14ac:dyDescent="0.45">
      <c r="A1530" t="s">
        <v>4092</v>
      </c>
      <c r="B1530" s="1">
        <v>45725</v>
      </c>
      <c r="C1530" t="s">
        <v>5009</v>
      </c>
      <c r="D1530" t="s">
        <v>4000</v>
      </c>
      <c r="E1530">
        <v>3000</v>
      </c>
      <c r="F1530" s="3">
        <v>5</v>
      </c>
      <c r="G1530">
        <f t="shared" si="69"/>
        <v>15000</v>
      </c>
      <c r="H1530" t="s">
        <v>7</v>
      </c>
      <c r="I1530">
        <f t="shared" si="70"/>
        <v>3600</v>
      </c>
      <c r="J1530">
        <f t="shared" si="71"/>
        <v>18000</v>
      </c>
    </row>
    <row r="1531" spans="1:10" x14ac:dyDescent="0.45">
      <c r="A1531" t="s">
        <v>4130</v>
      </c>
      <c r="B1531" s="1">
        <v>45725</v>
      </c>
      <c r="C1531" t="s">
        <v>5009</v>
      </c>
      <c r="D1531" t="s">
        <v>3982</v>
      </c>
      <c r="E1531">
        <v>13000</v>
      </c>
      <c r="F1531" s="3">
        <v>9</v>
      </c>
      <c r="G1531">
        <f t="shared" si="69"/>
        <v>117000</v>
      </c>
      <c r="H1531" t="s">
        <v>21</v>
      </c>
      <c r="I1531">
        <f t="shared" si="70"/>
        <v>15600</v>
      </c>
      <c r="J1531">
        <f t="shared" si="71"/>
        <v>140400</v>
      </c>
    </row>
    <row r="1532" spans="1:10" x14ac:dyDescent="0.45">
      <c r="A1532" t="s">
        <v>4132</v>
      </c>
      <c r="B1532" s="1">
        <v>45725</v>
      </c>
      <c r="C1532" t="s">
        <v>5008</v>
      </c>
      <c r="D1532" t="s">
        <v>3998</v>
      </c>
      <c r="E1532">
        <v>8000</v>
      </c>
      <c r="F1532" s="3">
        <v>8</v>
      </c>
      <c r="G1532">
        <f t="shared" si="69"/>
        <v>64000</v>
      </c>
      <c r="H1532" t="s">
        <v>7</v>
      </c>
      <c r="I1532">
        <f t="shared" si="70"/>
        <v>9600</v>
      </c>
      <c r="J1532">
        <f t="shared" si="71"/>
        <v>76800</v>
      </c>
    </row>
    <row r="1533" spans="1:10" x14ac:dyDescent="0.45">
      <c r="A1533" t="s">
        <v>4242</v>
      </c>
      <c r="B1533" s="1">
        <v>45725</v>
      </c>
      <c r="C1533" t="s">
        <v>3977</v>
      </c>
      <c r="D1533" t="s">
        <v>3989</v>
      </c>
      <c r="E1533">
        <v>1000</v>
      </c>
      <c r="F1533" s="3">
        <v>10</v>
      </c>
      <c r="G1533">
        <f t="shared" si="69"/>
        <v>10000</v>
      </c>
      <c r="H1533" t="s">
        <v>17</v>
      </c>
      <c r="I1533">
        <f t="shared" si="70"/>
        <v>1200</v>
      </c>
      <c r="J1533">
        <f t="shared" si="71"/>
        <v>12000</v>
      </c>
    </row>
    <row r="1534" spans="1:10" x14ac:dyDescent="0.45">
      <c r="A1534" t="s">
        <v>4334</v>
      </c>
      <c r="B1534" s="1">
        <v>45725</v>
      </c>
      <c r="C1534" t="s">
        <v>4007</v>
      </c>
      <c r="D1534" t="s">
        <v>3988</v>
      </c>
      <c r="E1534">
        <v>35000</v>
      </c>
      <c r="F1534" s="3">
        <v>5</v>
      </c>
      <c r="G1534">
        <f t="shared" si="69"/>
        <v>175000</v>
      </c>
      <c r="H1534" t="s">
        <v>7</v>
      </c>
      <c r="I1534">
        <f t="shared" si="70"/>
        <v>42000</v>
      </c>
      <c r="J1534">
        <f t="shared" si="71"/>
        <v>210000</v>
      </c>
    </row>
    <row r="1535" spans="1:10" x14ac:dyDescent="0.45">
      <c r="A1535" t="s">
        <v>4401</v>
      </c>
      <c r="B1535" s="1">
        <v>45725</v>
      </c>
      <c r="C1535" t="s">
        <v>5009</v>
      </c>
      <c r="D1535" t="s">
        <v>3990</v>
      </c>
      <c r="E1535">
        <v>2800</v>
      </c>
      <c r="F1535" s="3">
        <v>10</v>
      </c>
      <c r="G1535">
        <f t="shared" si="69"/>
        <v>28000</v>
      </c>
      <c r="H1535" t="s">
        <v>21</v>
      </c>
      <c r="I1535">
        <f t="shared" si="70"/>
        <v>3360</v>
      </c>
      <c r="J1535">
        <f t="shared" si="71"/>
        <v>33600</v>
      </c>
    </row>
    <row r="1536" spans="1:10" x14ac:dyDescent="0.45">
      <c r="A1536" t="s">
        <v>4432</v>
      </c>
      <c r="B1536" s="1">
        <v>45725</v>
      </c>
      <c r="C1536" t="s">
        <v>5008</v>
      </c>
      <c r="D1536" t="s">
        <v>3986</v>
      </c>
      <c r="E1536">
        <v>12000</v>
      </c>
      <c r="F1536" s="3">
        <v>1</v>
      </c>
      <c r="G1536">
        <f t="shared" si="69"/>
        <v>12000</v>
      </c>
      <c r="H1536" t="s">
        <v>17</v>
      </c>
      <c r="I1536">
        <f t="shared" si="70"/>
        <v>14400</v>
      </c>
      <c r="J1536">
        <f t="shared" si="71"/>
        <v>14400</v>
      </c>
    </row>
    <row r="1537" spans="1:10" x14ac:dyDescent="0.45">
      <c r="A1537" t="s">
        <v>4441</v>
      </c>
      <c r="B1537" s="1">
        <v>45725</v>
      </c>
      <c r="C1537" t="s">
        <v>5008</v>
      </c>
      <c r="D1537" t="s">
        <v>3986</v>
      </c>
      <c r="E1537">
        <v>12000</v>
      </c>
      <c r="F1537" s="3">
        <v>7</v>
      </c>
      <c r="G1537">
        <f t="shared" si="69"/>
        <v>84000</v>
      </c>
      <c r="H1537" t="s">
        <v>17</v>
      </c>
      <c r="I1537">
        <f t="shared" si="70"/>
        <v>14400</v>
      </c>
      <c r="J1537">
        <f t="shared" si="71"/>
        <v>100800</v>
      </c>
    </row>
    <row r="1538" spans="1:10" x14ac:dyDescent="0.45">
      <c r="A1538" t="s">
        <v>4593</v>
      </c>
      <c r="B1538" s="1">
        <v>45725</v>
      </c>
      <c r="C1538" t="s">
        <v>3977</v>
      </c>
      <c r="D1538" t="s">
        <v>3978</v>
      </c>
      <c r="E1538">
        <v>2000</v>
      </c>
      <c r="F1538" s="3">
        <v>4</v>
      </c>
      <c r="G1538">
        <f t="shared" ref="G1538:G1601" si="72">E1538*F1538</f>
        <v>8000</v>
      </c>
      <c r="H1538" t="s">
        <v>21</v>
      </c>
      <c r="I1538">
        <f t="shared" ref="I1538:I1601" si="73">E1538*1.2</f>
        <v>2400</v>
      </c>
      <c r="J1538">
        <f t="shared" ref="J1538:J1601" si="74">I1538*F1538</f>
        <v>9600</v>
      </c>
    </row>
    <row r="1539" spans="1:10" x14ac:dyDescent="0.45">
      <c r="A1539" t="s">
        <v>4619</v>
      </c>
      <c r="B1539" s="1">
        <v>45725</v>
      </c>
      <c r="C1539" t="s">
        <v>4007</v>
      </c>
      <c r="D1539" t="s">
        <v>3988</v>
      </c>
      <c r="E1539">
        <v>35000</v>
      </c>
      <c r="F1539" s="3">
        <v>9</v>
      </c>
      <c r="G1539">
        <f t="shared" si="72"/>
        <v>315000</v>
      </c>
      <c r="H1539" t="s">
        <v>7</v>
      </c>
      <c r="I1539">
        <f t="shared" si="73"/>
        <v>42000</v>
      </c>
      <c r="J1539">
        <f t="shared" si="74"/>
        <v>378000</v>
      </c>
    </row>
    <row r="1540" spans="1:10" x14ac:dyDescent="0.45">
      <c r="A1540" t="s">
        <v>4634</v>
      </c>
      <c r="B1540" s="1">
        <v>45725</v>
      </c>
      <c r="C1540" t="s">
        <v>5009</v>
      </c>
      <c r="D1540" t="s">
        <v>3992</v>
      </c>
      <c r="E1540">
        <v>400</v>
      </c>
      <c r="F1540" s="3">
        <v>2</v>
      </c>
      <c r="G1540">
        <f t="shared" si="72"/>
        <v>800</v>
      </c>
      <c r="H1540" t="s">
        <v>7</v>
      </c>
      <c r="I1540">
        <f t="shared" si="73"/>
        <v>480</v>
      </c>
      <c r="J1540">
        <f t="shared" si="74"/>
        <v>960</v>
      </c>
    </row>
    <row r="1541" spans="1:10" x14ac:dyDescent="0.45">
      <c r="A1541" t="s">
        <v>4737</v>
      </c>
      <c r="B1541" s="1">
        <v>45725</v>
      </c>
      <c r="C1541" t="s">
        <v>33</v>
      </c>
      <c r="D1541" t="s">
        <v>42</v>
      </c>
      <c r="E1541">
        <v>6900</v>
      </c>
      <c r="F1541" s="3">
        <v>7</v>
      </c>
      <c r="G1541">
        <f t="shared" si="72"/>
        <v>48300</v>
      </c>
      <c r="H1541" t="s">
        <v>21</v>
      </c>
      <c r="I1541">
        <f t="shared" si="73"/>
        <v>8280</v>
      </c>
      <c r="J1541">
        <f t="shared" si="74"/>
        <v>57960</v>
      </c>
    </row>
    <row r="1542" spans="1:10" x14ac:dyDescent="0.45">
      <c r="A1542" t="s">
        <v>4763</v>
      </c>
      <c r="B1542" s="1">
        <v>45725</v>
      </c>
      <c r="C1542" t="s">
        <v>5008</v>
      </c>
      <c r="D1542" t="s">
        <v>3998</v>
      </c>
      <c r="E1542">
        <v>8000</v>
      </c>
      <c r="F1542" s="3">
        <v>8</v>
      </c>
      <c r="G1542">
        <f t="shared" si="72"/>
        <v>64000</v>
      </c>
      <c r="H1542" t="s">
        <v>7</v>
      </c>
      <c r="I1542">
        <f t="shared" si="73"/>
        <v>9600</v>
      </c>
      <c r="J1542">
        <f t="shared" si="74"/>
        <v>76800</v>
      </c>
    </row>
    <row r="1543" spans="1:10" x14ac:dyDescent="0.45">
      <c r="A1543" t="s">
        <v>539</v>
      </c>
      <c r="B1543" s="1">
        <v>45726</v>
      </c>
      <c r="C1543" t="s">
        <v>33</v>
      </c>
      <c r="D1543" t="s">
        <v>34</v>
      </c>
      <c r="E1543">
        <v>1700</v>
      </c>
      <c r="F1543">
        <v>5</v>
      </c>
      <c r="G1543">
        <f t="shared" si="72"/>
        <v>8500</v>
      </c>
      <c r="H1543" t="s">
        <v>21</v>
      </c>
      <c r="I1543">
        <f t="shared" si="73"/>
        <v>2040</v>
      </c>
      <c r="J1543">
        <f t="shared" si="74"/>
        <v>10200</v>
      </c>
    </row>
    <row r="1544" spans="1:10" x14ac:dyDescent="0.45">
      <c r="A1544" t="s">
        <v>540</v>
      </c>
      <c r="B1544" s="1">
        <v>45726</v>
      </c>
      <c r="C1544" t="s">
        <v>9</v>
      </c>
      <c r="D1544" t="s">
        <v>25</v>
      </c>
      <c r="E1544">
        <v>5200</v>
      </c>
      <c r="F1544">
        <v>7</v>
      </c>
      <c r="G1544">
        <f t="shared" si="72"/>
        <v>36400</v>
      </c>
      <c r="H1544" t="s">
        <v>21</v>
      </c>
      <c r="I1544">
        <f t="shared" si="73"/>
        <v>6240</v>
      </c>
      <c r="J1544">
        <f t="shared" si="74"/>
        <v>43680</v>
      </c>
    </row>
    <row r="1545" spans="1:10" x14ac:dyDescent="0.45">
      <c r="A1545" t="s">
        <v>541</v>
      </c>
      <c r="B1545" s="1">
        <v>45726</v>
      </c>
      <c r="C1545" t="s">
        <v>12</v>
      </c>
      <c r="D1545" t="s">
        <v>5020</v>
      </c>
      <c r="E1545">
        <v>2880</v>
      </c>
      <c r="F1545">
        <v>3</v>
      </c>
      <c r="G1545">
        <f t="shared" si="72"/>
        <v>8640</v>
      </c>
      <c r="H1545" t="s">
        <v>17</v>
      </c>
      <c r="I1545">
        <f t="shared" si="73"/>
        <v>3456</v>
      </c>
      <c r="J1545">
        <f t="shared" si="74"/>
        <v>10368</v>
      </c>
    </row>
    <row r="1546" spans="1:10" x14ac:dyDescent="0.45">
      <c r="A1546" t="s">
        <v>542</v>
      </c>
      <c r="B1546" s="1">
        <v>45726</v>
      </c>
      <c r="C1546" t="s">
        <v>4007</v>
      </c>
      <c r="D1546" t="s">
        <v>39</v>
      </c>
      <c r="E1546">
        <v>6000</v>
      </c>
      <c r="F1546">
        <v>4</v>
      </c>
      <c r="G1546">
        <f t="shared" si="72"/>
        <v>24000</v>
      </c>
      <c r="H1546" t="s">
        <v>7</v>
      </c>
      <c r="I1546">
        <f t="shared" si="73"/>
        <v>7200</v>
      </c>
      <c r="J1546">
        <f t="shared" si="74"/>
        <v>28800</v>
      </c>
    </row>
    <row r="1547" spans="1:10" x14ac:dyDescent="0.45">
      <c r="A1547" t="s">
        <v>543</v>
      </c>
      <c r="B1547" s="1">
        <v>45726</v>
      </c>
      <c r="C1547" t="s">
        <v>12</v>
      </c>
      <c r="D1547" t="s">
        <v>5021</v>
      </c>
      <c r="E1547">
        <v>2880</v>
      </c>
      <c r="F1547">
        <v>10</v>
      </c>
      <c r="G1547">
        <f t="shared" si="72"/>
        <v>28800</v>
      </c>
      <c r="H1547" t="s">
        <v>7</v>
      </c>
      <c r="I1547">
        <f t="shared" si="73"/>
        <v>3456</v>
      </c>
      <c r="J1547">
        <f t="shared" si="74"/>
        <v>34560</v>
      </c>
    </row>
    <row r="1548" spans="1:10" x14ac:dyDescent="0.45">
      <c r="A1548" t="s">
        <v>3294</v>
      </c>
      <c r="B1548" s="1">
        <v>45726</v>
      </c>
      <c r="C1548" t="s">
        <v>4007</v>
      </c>
      <c r="D1548" t="s">
        <v>2776</v>
      </c>
      <c r="E1548">
        <v>3600</v>
      </c>
      <c r="F1548">
        <v>10</v>
      </c>
      <c r="G1548">
        <f t="shared" si="72"/>
        <v>36000</v>
      </c>
      <c r="H1548" t="s">
        <v>7</v>
      </c>
      <c r="I1548">
        <f t="shared" si="73"/>
        <v>4320</v>
      </c>
      <c r="J1548">
        <f t="shared" si="74"/>
        <v>43200</v>
      </c>
    </row>
    <row r="1549" spans="1:10" x14ac:dyDescent="0.45">
      <c r="A1549" t="s">
        <v>4035</v>
      </c>
      <c r="B1549" s="1">
        <v>45726</v>
      </c>
      <c r="C1549" t="s">
        <v>5008</v>
      </c>
      <c r="D1549" t="s">
        <v>3996</v>
      </c>
      <c r="E1549">
        <v>2000</v>
      </c>
      <c r="F1549" s="3">
        <v>2</v>
      </c>
      <c r="G1549">
        <f t="shared" si="72"/>
        <v>4000</v>
      </c>
      <c r="H1549" t="s">
        <v>7</v>
      </c>
      <c r="I1549">
        <f t="shared" si="73"/>
        <v>2400</v>
      </c>
      <c r="J1549">
        <f t="shared" si="74"/>
        <v>4800</v>
      </c>
    </row>
    <row r="1550" spans="1:10" x14ac:dyDescent="0.45">
      <c r="A1550" t="s">
        <v>4044</v>
      </c>
      <c r="B1550" s="1">
        <v>45726</v>
      </c>
      <c r="C1550" t="s">
        <v>5009</v>
      </c>
      <c r="D1550" t="s">
        <v>4000</v>
      </c>
      <c r="E1550">
        <v>3000</v>
      </c>
      <c r="F1550" s="3">
        <v>5</v>
      </c>
      <c r="G1550">
        <f t="shared" si="72"/>
        <v>15000</v>
      </c>
      <c r="H1550" t="s">
        <v>17</v>
      </c>
      <c r="I1550">
        <f t="shared" si="73"/>
        <v>3600</v>
      </c>
      <c r="J1550">
        <f t="shared" si="74"/>
        <v>18000</v>
      </c>
    </row>
    <row r="1551" spans="1:10" x14ac:dyDescent="0.45">
      <c r="A1551" t="s">
        <v>4133</v>
      </c>
      <c r="B1551" s="1">
        <v>45726</v>
      </c>
      <c r="C1551" t="s">
        <v>33</v>
      </c>
      <c r="D1551" t="s">
        <v>3994</v>
      </c>
      <c r="E1551">
        <v>2500</v>
      </c>
      <c r="F1551" s="3">
        <v>7</v>
      </c>
      <c r="G1551">
        <f t="shared" si="72"/>
        <v>17500</v>
      </c>
      <c r="H1551" t="s">
        <v>17</v>
      </c>
      <c r="I1551">
        <f t="shared" si="73"/>
        <v>3000</v>
      </c>
      <c r="J1551">
        <f t="shared" si="74"/>
        <v>21000</v>
      </c>
    </row>
    <row r="1552" spans="1:10" x14ac:dyDescent="0.45">
      <c r="A1552" t="s">
        <v>4227</v>
      </c>
      <c r="B1552" s="1">
        <v>45726</v>
      </c>
      <c r="C1552" t="s">
        <v>4007</v>
      </c>
      <c r="D1552" t="s">
        <v>3988</v>
      </c>
      <c r="E1552">
        <v>35000</v>
      </c>
      <c r="F1552" s="3">
        <v>3</v>
      </c>
      <c r="G1552">
        <f t="shared" si="72"/>
        <v>105000</v>
      </c>
      <c r="H1552" t="s">
        <v>21</v>
      </c>
      <c r="I1552">
        <f t="shared" si="73"/>
        <v>42000</v>
      </c>
      <c r="J1552">
        <f t="shared" si="74"/>
        <v>126000</v>
      </c>
    </row>
    <row r="1553" spans="1:10" x14ac:dyDescent="0.45">
      <c r="A1553" t="s">
        <v>4397</v>
      </c>
      <c r="B1553" s="1">
        <v>45726</v>
      </c>
      <c r="C1553" t="s">
        <v>4007</v>
      </c>
      <c r="D1553" t="s">
        <v>5015</v>
      </c>
      <c r="E1553">
        <v>48000</v>
      </c>
      <c r="F1553" s="3">
        <v>7</v>
      </c>
      <c r="G1553">
        <f t="shared" si="72"/>
        <v>336000</v>
      </c>
      <c r="H1553" t="s">
        <v>17</v>
      </c>
      <c r="I1553">
        <f t="shared" si="73"/>
        <v>57600</v>
      </c>
      <c r="J1553">
        <f t="shared" si="74"/>
        <v>403200</v>
      </c>
    </row>
    <row r="1554" spans="1:10" x14ac:dyDescent="0.45">
      <c r="A1554" t="s">
        <v>4421</v>
      </c>
      <c r="B1554" s="1">
        <v>45726</v>
      </c>
      <c r="C1554" t="s">
        <v>5009</v>
      </c>
      <c r="D1554" t="s">
        <v>3982</v>
      </c>
      <c r="E1554">
        <v>13000</v>
      </c>
      <c r="F1554" s="3">
        <v>3</v>
      </c>
      <c r="G1554">
        <f t="shared" si="72"/>
        <v>39000</v>
      </c>
      <c r="H1554" t="s">
        <v>17</v>
      </c>
      <c r="I1554">
        <f t="shared" si="73"/>
        <v>15600</v>
      </c>
      <c r="J1554">
        <f t="shared" si="74"/>
        <v>46800</v>
      </c>
    </row>
    <row r="1555" spans="1:10" x14ac:dyDescent="0.45">
      <c r="A1555" t="s">
        <v>4455</v>
      </c>
      <c r="B1555" s="1">
        <v>45726</v>
      </c>
      <c r="C1555" t="s">
        <v>5008</v>
      </c>
      <c r="D1555" t="s">
        <v>3986</v>
      </c>
      <c r="E1555">
        <v>12000</v>
      </c>
      <c r="F1555" s="3">
        <v>3</v>
      </c>
      <c r="G1555">
        <f t="shared" si="72"/>
        <v>36000</v>
      </c>
      <c r="H1555" t="s">
        <v>21</v>
      </c>
      <c r="I1555">
        <f t="shared" si="73"/>
        <v>14400</v>
      </c>
      <c r="J1555">
        <f t="shared" si="74"/>
        <v>43200</v>
      </c>
    </row>
    <row r="1556" spans="1:10" x14ac:dyDescent="0.45">
      <c r="A1556" t="s">
        <v>4580</v>
      </c>
      <c r="B1556" s="1">
        <v>45726</v>
      </c>
      <c r="C1556" t="s">
        <v>4007</v>
      </c>
      <c r="D1556" t="s">
        <v>5015</v>
      </c>
      <c r="E1556">
        <v>48000</v>
      </c>
      <c r="F1556" s="3">
        <v>7</v>
      </c>
      <c r="G1556">
        <f t="shared" si="72"/>
        <v>336000</v>
      </c>
      <c r="H1556" t="s">
        <v>7</v>
      </c>
      <c r="I1556">
        <f t="shared" si="73"/>
        <v>57600</v>
      </c>
      <c r="J1556">
        <f t="shared" si="74"/>
        <v>403200</v>
      </c>
    </row>
    <row r="1557" spans="1:10" x14ac:dyDescent="0.45">
      <c r="A1557" t="s">
        <v>4743</v>
      </c>
      <c r="B1557" s="1">
        <v>45726</v>
      </c>
      <c r="C1557" t="s">
        <v>3977</v>
      </c>
      <c r="D1557" t="s">
        <v>3993</v>
      </c>
      <c r="E1557">
        <v>1000</v>
      </c>
      <c r="F1557" s="3">
        <v>10</v>
      </c>
      <c r="G1557">
        <f t="shared" si="72"/>
        <v>10000</v>
      </c>
      <c r="H1557" t="s">
        <v>7</v>
      </c>
      <c r="I1557">
        <f t="shared" si="73"/>
        <v>1200</v>
      </c>
      <c r="J1557">
        <f t="shared" si="74"/>
        <v>12000</v>
      </c>
    </row>
    <row r="1558" spans="1:10" x14ac:dyDescent="0.45">
      <c r="A1558" t="s">
        <v>4928</v>
      </c>
      <c r="B1558" s="1">
        <v>45726</v>
      </c>
      <c r="C1558" t="s">
        <v>33</v>
      </c>
      <c r="D1558" t="s">
        <v>3981</v>
      </c>
      <c r="E1558">
        <v>4000</v>
      </c>
      <c r="F1558" s="3">
        <v>9</v>
      </c>
      <c r="G1558">
        <f t="shared" si="72"/>
        <v>36000</v>
      </c>
      <c r="H1558" t="s">
        <v>7</v>
      </c>
      <c r="I1558">
        <f t="shared" si="73"/>
        <v>4800</v>
      </c>
      <c r="J1558">
        <f t="shared" si="74"/>
        <v>43200</v>
      </c>
    </row>
    <row r="1559" spans="1:10" x14ac:dyDescent="0.45">
      <c r="A1559" t="s">
        <v>4986</v>
      </c>
      <c r="B1559" s="1">
        <v>45726</v>
      </c>
      <c r="C1559" t="s">
        <v>3979</v>
      </c>
      <c r="D1559" t="s">
        <v>3983</v>
      </c>
      <c r="E1559">
        <v>1000</v>
      </c>
      <c r="F1559" s="3">
        <v>1</v>
      </c>
      <c r="G1559">
        <f t="shared" si="72"/>
        <v>1000</v>
      </c>
      <c r="H1559" t="s">
        <v>21</v>
      </c>
      <c r="I1559">
        <f t="shared" si="73"/>
        <v>1200</v>
      </c>
      <c r="J1559">
        <f t="shared" si="74"/>
        <v>1200</v>
      </c>
    </row>
    <row r="1560" spans="1:10" x14ac:dyDescent="0.45">
      <c r="A1560" t="s">
        <v>5000</v>
      </c>
      <c r="B1560" s="1">
        <v>45726</v>
      </c>
      <c r="C1560" t="s">
        <v>3979</v>
      </c>
      <c r="D1560" t="s">
        <v>3987</v>
      </c>
      <c r="E1560">
        <v>8000</v>
      </c>
      <c r="F1560" s="3">
        <v>2</v>
      </c>
      <c r="G1560">
        <f t="shared" si="72"/>
        <v>16000</v>
      </c>
      <c r="H1560" t="s">
        <v>17</v>
      </c>
      <c r="I1560">
        <f t="shared" si="73"/>
        <v>9600</v>
      </c>
      <c r="J1560">
        <f t="shared" si="74"/>
        <v>19200</v>
      </c>
    </row>
    <row r="1561" spans="1:10" x14ac:dyDescent="0.45">
      <c r="A1561" t="s">
        <v>544</v>
      </c>
      <c r="B1561" s="1">
        <v>45727</v>
      </c>
      <c r="C1561" t="s">
        <v>33</v>
      </c>
      <c r="D1561" t="s">
        <v>34</v>
      </c>
      <c r="E1561">
        <v>1700</v>
      </c>
      <c r="F1561">
        <v>8</v>
      </c>
      <c r="G1561">
        <f t="shared" si="72"/>
        <v>13600</v>
      </c>
      <c r="H1561" t="s">
        <v>21</v>
      </c>
      <c r="I1561">
        <f t="shared" si="73"/>
        <v>2040</v>
      </c>
      <c r="J1561">
        <f t="shared" si="74"/>
        <v>16320</v>
      </c>
    </row>
    <row r="1562" spans="1:10" x14ac:dyDescent="0.45">
      <c r="A1562" t="s">
        <v>545</v>
      </c>
      <c r="B1562" s="1">
        <v>45727</v>
      </c>
      <c r="C1562" t="s">
        <v>33</v>
      </c>
      <c r="D1562" t="s">
        <v>42</v>
      </c>
      <c r="E1562">
        <v>6900</v>
      </c>
      <c r="F1562">
        <v>10</v>
      </c>
      <c r="G1562">
        <f t="shared" si="72"/>
        <v>69000</v>
      </c>
      <c r="H1562" t="s">
        <v>21</v>
      </c>
      <c r="I1562">
        <f t="shared" si="73"/>
        <v>8280</v>
      </c>
      <c r="J1562">
        <f t="shared" si="74"/>
        <v>82800</v>
      </c>
    </row>
    <row r="1563" spans="1:10" x14ac:dyDescent="0.45">
      <c r="A1563" t="s">
        <v>546</v>
      </c>
      <c r="B1563" s="1">
        <v>45727</v>
      </c>
      <c r="C1563" t="s">
        <v>33</v>
      </c>
      <c r="D1563" t="s">
        <v>42</v>
      </c>
      <c r="E1563">
        <v>6900</v>
      </c>
      <c r="F1563">
        <v>6</v>
      </c>
      <c r="G1563">
        <f t="shared" si="72"/>
        <v>41400</v>
      </c>
      <c r="H1563" t="s">
        <v>21</v>
      </c>
      <c r="I1563">
        <f t="shared" si="73"/>
        <v>8280</v>
      </c>
      <c r="J1563">
        <f t="shared" si="74"/>
        <v>49680</v>
      </c>
    </row>
    <row r="1564" spans="1:10" x14ac:dyDescent="0.45">
      <c r="A1564" t="s">
        <v>547</v>
      </c>
      <c r="B1564" s="1">
        <v>45727</v>
      </c>
      <c r="C1564" t="s">
        <v>4007</v>
      </c>
      <c r="D1564" t="s">
        <v>39</v>
      </c>
      <c r="E1564">
        <v>6000</v>
      </c>
      <c r="F1564">
        <v>6</v>
      </c>
      <c r="G1564">
        <f t="shared" si="72"/>
        <v>36000</v>
      </c>
      <c r="H1564" t="s">
        <v>17</v>
      </c>
      <c r="I1564">
        <f t="shared" si="73"/>
        <v>7200</v>
      </c>
      <c r="J1564">
        <f t="shared" si="74"/>
        <v>43200</v>
      </c>
    </row>
    <row r="1565" spans="1:10" x14ac:dyDescent="0.45">
      <c r="A1565" t="s">
        <v>548</v>
      </c>
      <c r="B1565" s="1">
        <v>45727</v>
      </c>
      <c r="C1565" t="s">
        <v>33</v>
      </c>
      <c r="D1565" t="s">
        <v>42</v>
      </c>
      <c r="E1565">
        <v>6900</v>
      </c>
      <c r="F1565">
        <v>8</v>
      </c>
      <c r="G1565">
        <f t="shared" si="72"/>
        <v>55200</v>
      </c>
      <c r="H1565" t="s">
        <v>21</v>
      </c>
      <c r="I1565">
        <f t="shared" si="73"/>
        <v>8280</v>
      </c>
      <c r="J1565">
        <f t="shared" si="74"/>
        <v>66240</v>
      </c>
    </row>
    <row r="1566" spans="1:10" x14ac:dyDescent="0.45">
      <c r="A1566" t="s">
        <v>549</v>
      </c>
      <c r="B1566" s="1">
        <v>45727</v>
      </c>
      <c r="C1566" t="s">
        <v>12</v>
      </c>
      <c r="D1566" t="s">
        <v>5021</v>
      </c>
      <c r="E1566">
        <v>2880</v>
      </c>
      <c r="F1566">
        <v>4</v>
      </c>
      <c r="G1566">
        <f t="shared" si="72"/>
        <v>11520</v>
      </c>
      <c r="H1566" t="s">
        <v>17</v>
      </c>
      <c r="I1566">
        <f t="shared" si="73"/>
        <v>3456</v>
      </c>
      <c r="J1566">
        <f t="shared" si="74"/>
        <v>13824</v>
      </c>
    </row>
    <row r="1567" spans="1:10" x14ac:dyDescent="0.45">
      <c r="A1567" t="s">
        <v>550</v>
      </c>
      <c r="B1567" s="1">
        <v>45727</v>
      </c>
      <c r="C1567" t="s">
        <v>4007</v>
      </c>
      <c r="D1567" t="s">
        <v>5015</v>
      </c>
      <c r="E1567">
        <v>48000</v>
      </c>
      <c r="F1567">
        <v>4</v>
      </c>
      <c r="G1567">
        <f t="shared" si="72"/>
        <v>192000</v>
      </c>
      <c r="H1567" t="s">
        <v>21</v>
      </c>
      <c r="I1567">
        <f t="shared" si="73"/>
        <v>57600</v>
      </c>
      <c r="J1567">
        <f t="shared" si="74"/>
        <v>230400</v>
      </c>
    </row>
    <row r="1568" spans="1:10" x14ac:dyDescent="0.45">
      <c r="A1568" t="s">
        <v>3332</v>
      </c>
      <c r="B1568" s="1">
        <v>45727</v>
      </c>
      <c r="C1568" t="s">
        <v>2772</v>
      </c>
      <c r="D1568" t="s">
        <v>2771</v>
      </c>
      <c r="E1568">
        <v>120</v>
      </c>
      <c r="F1568">
        <v>4</v>
      </c>
      <c r="G1568">
        <f t="shared" si="72"/>
        <v>480</v>
      </c>
      <c r="H1568" t="s">
        <v>21</v>
      </c>
      <c r="I1568">
        <f t="shared" si="73"/>
        <v>144</v>
      </c>
      <c r="J1568">
        <f t="shared" si="74"/>
        <v>576</v>
      </c>
    </row>
    <row r="1569" spans="1:10" x14ac:dyDescent="0.45">
      <c r="A1569" t="s">
        <v>3356</v>
      </c>
      <c r="B1569" s="1">
        <v>45727</v>
      </c>
      <c r="C1569" t="s">
        <v>33</v>
      </c>
      <c r="D1569" t="s">
        <v>34</v>
      </c>
      <c r="E1569">
        <v>1700</v>
      </c>
      <c r="F1569">
        <v>7</v>
      </c>
      <c r="G1569">
        <f t="shared" si="72"/>
        <v>11900</v>
      </c>
      <c r="H1569" t="s">
        <v>7</v>
      </c>
      <c r="I1569">
        <f t="shared" si="73"/>
        <v>2040</v>
      </c>
      <c r="J1569">
        <f t="shared" si="74"/>
        <v>14280</v>
      </c>
    </row>
    <row r="1570" spans="1:10" x14ac:dyDescent="0.45">
      <c r="A1570" t="s">
        <v>3504</v>
      </c>
      <c r="B1570" s="1">
        <v>45727</v>
      </c>
      <c r="C1570" t="s">
        <v>4007</v>
      </c>
      <c r="D1570" t="s">
        <v>2770</v>
      </c>
      <c r="E1570">
        <v>600</v>
      </c>
      <c r="F1570">
        <v>3</v>
      </c>
      <c r="G1570">
        <f t="shared" si="72"/>
        <v>1800</v>
      </c>
      <c r="H1570" t="s">
        <v>7</v>
      </c>
      <c r="I1570">
        <f t="shared" si="73"/>
        <v>720</v>
      </c>
      <c r="J1570">
        <f t="shared" si="74"/>
        <v>2160</v>
      </c>
    </row>
    <row r="1571" spans="1:10" x14ac:dyDescent="0.45">
      <c r="A1571" t="s">
        <v>3523</v>
      </c>
      <c r="B1571" s="1">
        <v>45727</v>
      </c>
      <c r="C1571" t="s">
        <v>2772</v>
      </c>
      <c r="D1571" t="s">
        <v>2775</v>
      </c>
      <c r="E1571">
        <v>9100</v>
      </c>
      <c r="F1571">
        <v>4</v>
      </c>
      <c r="G1571">
        <f t="shared" si="72"/>
        <v>36400</v>
      </c>
      <c r="H1571" t="s">
        <v>17</v>
      </c>
      <c r="I1571">
        <f t="shared" si="73"/>
        <v>10920</v>
      </c>
      <c r="J1571">
        <f t="shared" si="74"/>
        <v>43680</v>
      </c>
    </row>
    <row r="1572" spans="1:10" x14ac:dyDescent="0.45">
      <c r="A1572" t="s">
        <v>3611</v>
      </c>
      <c r="B1572" s="1">
        <v>45727</v>
      </c>
      <c r="C1572" t="s">
        <v>4007</v>
      </c>
      <c r="D1572" t="s">
        <v>2773</v>
      </c>
      <c r="E1572">
        <v>3300</v>
      </c>
      <c r="F1572">
        <v>4</v>
      </c>
      <c r="G1572">
        <f t="shared" si="72"/>
        <v>13200</v>
      </c>
      <c r="H1572" t="s">
        <v>21</v>
      </c>
      <c r="I1572">
        <f t="shared" si="73"/>
        <v>3960</v>
      </c>
      <c r="J1572">
        <f t="shared" si="74"/>
        <v>15840</v>
      </c>
    </row>
    <row r="1573" spans="1:10" x14ac:dyDescent="0.45">
      <c r="A1573" t="s">
        <v>4024</v>
      </c>
      <c r="B1573" s="1">
        <v>45727</v>
      </c>
      <c r="C1573" t="s">
        <v>3977</v>
      </c>
      <c r="D1573" t="s">
        <v>3991</v>
      </c>
      <c r="E1573">
        <v>2000</v>
      </c>
      <c r="F1573" s="3">
        <v>7</v>
      </c>
      <c r="G1573">
        <f t="shared" si="72"/>
        <v>14000</v>
      </c>
      <c r="H1573" t="s">
        <v>21</v>
      </c>
      <c r="I1573">
        <f t="shared" si="73"/>
        <v>2400</v>
      </c>
      <c r="J1573">
        <f t="shared" si="74"/>
        <v>16800</v>
      </c>
    </row>
    <row r="1574" spans="1:10" x14ac:dyDescent="0.45">
      <c r="A1574" t="s">
        <v>4027</v>
      </c>
      <c r="B1574" s="1">
        <v>45727</v>
      </c>
      <c r="C1574" t="s">
        <v>33</v>
      </c>
      <c r="D1574" t="s">
        <v>42</v>
      </c>
      <c r="E1574">
        <v>6900</v>
      </c>
      <c r="F1574" s="3">
        <v>2</v>
      </c>
      <c r="G1574">
        <f t="shared" si="72"/>
        <v>13800</v>
      </c>
      <c r="H1574" t="s">
        <v>17</v>
      </c>
      <c r="I1574">
        <f t="shared" si="73"/>
        <v>8280</v>
      </c>
      <c r="J1574">
        <f t="shared" si="74"/>
        <v>16560</v>
      </c>
    </row>
    <row r="1575" spans="1:10" x14ac:dyDescent="0.45">
      <c r="A1575" t="s">
        <v>4159</v>
      </c>
      <c r="B1575" s="1">
        <v>45727</v>
      </c>
      <c r="C1575" t="s">
        <v>5009</v>
      </c>
      <c r="D1575" t="s">
        <v>4004</v>
      </c>
      <c r="E1575">
        <v>15000</v>
      </c>
      <c r="F1575" s="3">
        <v>7</v>
      </c>
      <c r="G1575">
        <f t="shared" si="72"/>
        <v>105000</v>
      </c>
      <c r="H1575" t="s">
        <v>21</v>
      </c>
      <c r="I1575">
        <f t="shared" si="73"/>
        <v>18000</v>
      </c>
      <c r="J1575">
        <f t="shared" si="74"/>
        <v>126000</v>
      </c>
    </row>
    <row r="1576" spans="1:10" x14ac:dyDescent="0.45">
      <c r="A1576" t="s">
        <v>4222</v>
      </c>
      <c r="B1576" s="1">
        <v>45727</v>
      </c>
      <c r="C1576" t="s">
        <v>5009</v>
      </c>
      <c r="D1576" t="s">
        <v>3992</v>
      </c>
      <c r="E1576">
        <v>400</v>
      </c>
      <c r="F1576" s="3">
        <v>7</v>
      </c>
      <c r="G1576">
        <f t="shared" si="72"/>
        <v>2800</v>
      </c>
      <c r="H1576" t="s">
        <v>7</v>
      </c>
      <c r="I1576">
        <f t="shared" si="73"/>
        <v>480</v>
      </c>
      <c r="J1576">
        <f t="shared" si="74"/>
        <v>3360</v>
      </c>
    </row>
    <row r="1577" spans="1:10" x14ac:dyDescent="0.45">
      <c r="A1577" t="s">
        <v>4237</v>
      </c>
      <c r="B1577" s="1">
        <v>45727</v>
      </c>
      <c r="C1577" t="s">
        <v>33</v>
      </c>
      <c r="D1577" t="s">
        <v>4001</v>
      </c>
      <c r="E1577">
        <v>500</v>
      </c>
      <c r="F1577" s="3">
        <v>8</v>
      </c>
      <c r="G1577">
        <f t="shared" si="72"/>
        <v>4000</v>
      </c>
      <c r="H1577" t="s">
        <v>17</v>
      </c>
      <c r="I1577">
        <f t="shared" si="73"/>
        <v>600</v>
      </c>
      <c r="J1577">
        <f t="shared" si="74"/>
        <v>4800</v>
      </c>
    </row>
    <row r="1578" spans="1:10" x14ac:dyDescent="0.45">
      <c r="A1578" t="s">
        <v>4249</v>
      </c>
      <c r="B1578" s="1">
        <v>45727</v>
      </c>
      <c r="C1578" t="s">
        <v>3977</v>
      </c>
      <c r="D1578" t="s">
        <v>3978</v>
      </c>
      <c r="E1578">
        <v>2000</v>
      </c>
      <c r="F1578" s="3">
        <v>2</v>
      </c>
      <c r="G1578">
        <f t="shared" si="72"/>
        <v>4000</v>
      </c>
      <c r="H1578" t="s">
        <v>7</v>
      </c>
      <c r="I1578">
        <f t="shared" si="73"/>
        <v>2400</v>
      </c>
      <c r="J1578">
        <f t="shared" si="74"/>
        <v>4800</v>
      </c>
    </row>
    <row r="1579" spans="1:10" x14ac:dyDescent="0.45">
      <c r="A1579" t="s">
        <v>4326</v>
      </c>
      <c r="B1579" s="1">
        <v>45727</v>
      </c>
      <c r="C1579" t="s">
        <v>3977</v>
      </c>
      <c r="D1579" t="s">
        <v>3989</v>
      </c>
      <c r="E1579">
        <v>1000</v>
      </c>
      <c r="F1579" s="3">
        <v>7</v>
      </c>
      <c r="G1579">
        <f t="shared" si="72"/>
        <v>7000</v>
      </c>
      <c r="H1579" t="s">
        <v>17</v>
      </c>
      <c r="I1579">
        <f t="shared" si="73"/>
        <v>1200</v>
      </c>
      <c r="J1579">
        <f t="shared" si="74"/>
        <v>8400</v>
      </c>
    </row>
    <row r="1580" spans="1:10" x14ac:dyDescent="0.45">
      <c r="A1580" t="s">
        <v>4394</v>
      </c>
      <c r="B1580" s="1">
        <v>45727</v>
      </c>
      <c r="C1580" t="s">
        <v>4007</v>
      </c>
      <c r="D1580" t="s">
        <v>3988</v>
      </c>
      <c r="E1580">
        <v>35000</v>
      </c>
      <c r="F1580" s="3">
        <v>6</v>
      </c>
      <c r="G1580">
        <f t="shared" si="72"/>
        <v>210000</v>
      </c>
      <c r="H1580" t="s">
        <v>17</v>
      </c>
      <c r="I1580">
        <f t="shared" si="73"/>
        <v>42000</v>
      </c>
      <c r="J1580">
        <f t="shared" si="74"/>
        <v>252000</v>
      </c>
    </row>
    <row r="1581" spans="1:10" x14ac:dyDescent="0.45">
      <c r="A1581" t="s">
        <v>4542</v>
      </c>
      <c r="B1581" s="1">
        <v>45727</v>
      </c>
      <c r="C1581" t="s">
        <v>33</v>
      </c>
      <c r="D1581" t="s">
        <v>3981</v>
      </c>
      <c r="E1581">
        <v>4000</v>
      </c>
      <c r="F1581" s="3">
        <v>5</v>
      </c>
      <c r="G1581">
        <f t="shared" si="72"/>
        <v>20000</v>
      </c>
      <c r="H1581" t="s">
        <v>17</v>
      </c>
      <c r="I1581">
        <f t="shared" si="73"/>
        <v>4800</v>
      </c>
      <c r="J1581">
        <f t="shared" si="74"/>
        <v>24000</v>
      </c>
    </row>
    <row r="1582" spans="1:10" x14ac:dyDescent="0.45">
      <c r="A1582" t="s">
        <v>4925</v>
      </c>
      <c r="B1582" s="1">
        <v>45727</v>
      </c>
      <c r="C1582" t="s">
        <v>5008</v>
      </c>
      <c r="D1582" t="s">
        <v>3996</v>
      </c>
      <c r="E1582">
        <v>2000</v>
      </c>
      <c r="F1582" s="3">
        <v>4</v>
      </c>
      <c r="G1582">
        <f t="shared" si="72"/>
        <v>8000</v>
      </c>
      <c r="H1582" t="s">
        <v>17</v>
      </c>
      <c r="I1582">
        <f t="shared" si="73"/>
        <v>2400</v>
      </c>
      <c r="J1582">
        <f t="shared" si="74"/>
        <v>9600</v>
      </c>
    </row>
    <row r="1583" spans="1:10" x14ac:dyDescent="0.45">
      <c r="A1583" t="s">
        <v>4977</v>
      </c>
      <c r="B1583" s="1">
        <v>45727</v>
      </c>
      <c r="C1583" t="s">
        <v>3979</v>
      </c>
      <c r="D1583" t="s">
        <v>4006</v>
      </c>
      <c r="E1583">
        <v>2000</v>
      </c>
      <c r="F1583" s="3">
        <v>5</v>
      </c>
      <c r="G1583">
        <f t="shared" si="72"/>
        <v>10000</v>
      </c>
      <c r="H1583" t="s">
        <v>7</v>
      </c>
      <c r="I1583">
        <f t="shared" si="73"/>
        <v>2400</v>
      </c>
      <c r="J1583">
        <f t="shared" si="74"/>
        <v>12000</v>
      </c>
    </row>
    <row r="1584" spans="1:10" x14ac:dyDescent="0.45">
      <c r="A1584" t="s">
        <v>551</v>
      </c>
      <c r="B1584" s="1">
        <v>45728</v>
      </c>
      <c r="C1584" t="s">
        <v>12</v>
      </c>
      <c r="D1584" t="s">
        <v>5021</v>
      </c>
      <c r="E1584">
        <v>2880</v>
      </c>
      <c r="F1584">
        <v>1</v>
      </c>
      <c r="G1584">
        <f t="shared" si="72"/>
        <v>2880</v>
      </c>
      <c r="H1584" t="s">
        <v>21</v>
      </c>
      <c r="I1584">
        <f t="shared" si="73"/>
        <v>3456</v>
      </c>
      <c r="J1584">
        <f t="shared" si="74"/>
        <v>3456</v>
      </c>
    </row>
    <row r="1585" spans="1:10" x14ac:dyDescent="0.45">
      <c r="A1585" t="s">
        <v>552</v>
      </c>
      <c r="B1585" s="1">
        <v>45728</v>
      </c>
      <c r="C1585" t="s">
        <v>9</v>
      </c>
      <c r="D1585" t="s">
        <v>19</v>
      </c>
      <c r="E1585">
        <v>3000</v>
      </c>
      <c r="F1585">
        <v>3</v>
      </c>
      <c r="G1585">
        <f t="shared" si="72"/>
        <v>9000</v>
      </c>
      <c r="H1585" t="s">
        <v>21</v>
      </c>
      <c r="I1585">
        <f t="shared" si="73"/>
        <v>3600</v>
      </c>
      <c r="J1585">
        <f t="shared" si="74"/>
        <v>10800</v>
      </c>
    </row>
    <row r="1586" spans="1:10" x14ac:dyDescent="0.45">
      <c r="A1586" t="s">
        <v>553</v>
      </c>
      <c r="B1586" s="1">
        <v>45728</v>
      </c>
      <c r="C1586" t="s">
        <v>12</v>
      </c>
      <c r="D1586" t="s">
        <v>5021</v>
      </c>
      <c r="E1586">
        <v>2880</v>
      </c>
      <c r="F1586">
        <v>6</v>
      </c>
      <c r="G1586">
        <f t="shared" si="72"/>
        <v>17280</v>
      </c>
      <c r="H1586" t="s">
        <v>17</v>
      </c>
      <c r="I1586">
        <f t="shared" si="73"/>
        <v>3456</v>
      </c>
      <c r="J1586">
        <f t="shared" si="74"/>
        <v>20736</v>
      </c>
    </row>
    <row r="1587" spans="1:10" x14ac:dyDescent="0.45">
      <c r="A1587" t="s">
        <v>554</v>
      </c>
      <c r="B1587" s="1">
        <v>45728</v>
      </c>
      <c r="C1587" t="s">
        <v>12</v>
      </c>
      <c r="D1587" t="s">
        <v>5020</v>
      </c>
      <c r="E1587">
        <v>2880</v>
      </c>
      <c r="F1587">
        <v>10</v>
      </c>
      <c r="G1587">
        <f t="shared" si="72"/>
        <v>28800</v>
      </c>
      <c r="H1587" t="s">
        <v>7</v>
      </c>
      <c r="I1587">
        <f t="shared" si="73"/>
        <v>3456</v>
      </c>
      <c r="J1587">
        <f t="shared" si="74"/>
        <v>34560</v>
      </c>
    </row>
    <row r="1588" spans="1:10" x14ac:dyDescent="0.45">
      <c r="A1588" t="s">
        <v>555</v>
      </c>
      <c r="B1588" s="1">
        <v>45728</v>
      </c>
      <c r="C1588" t="s">
        <v>12</v>
      </c>
      <c r="D1588" t="s">
        <v>5020</v>
      </c>
      <c r="E1588">
        <v>2880</v>
      </c>
      <c r="F1588">
        <v>10</v>
      </c>
      <c r="G1588">
        <f t="shared" si="72"/>
        <v>28800</v>
      </c>
      <c r="H1588" t="s">
        <v>7</v>
      </c>
      <c r="I1588">
        <f t="shared" si="73"/>
        <v>3456</v>
      </c>
      <c r="J1588">
        <f t="shared" si="74"/>
        <v>34560</v>
      </c>
    </row>
    <row r="1589" spans="1:10" x14ac:dyDescent="0.45">
      <c r="A1589" t="s">
        <v>556</v>
      </c>
      <c r="B1589" s="1">
        <v>45728</v>
      </c>
      <c r="C1589" t="s">
        <v>9</v>
      </c>
      <c r="D1589" t="s">
        <v>10</v>
      </c>
      <c r="E1589">
        <v>400</v>
      </c>
      <c r="F1589">
        <v>5</v>
      </c>
      <c r="G1589">
        <f t="shared" si="72"/>
        <v>2000</v>
      </c>
      <c r="H1589" t="s">
        <v>7</v>
      </c>
      <c r="I1589">
        <f t="shared" si="73"/>
        <v>480</v>
      </c>
      <c r="J1589">
        <f t="shared" si="74"/>
        <v>2400</v>
      </c>
    </row>
    <row r="1590" spans="1:10" x14ac:dyDescent="0.45">
      <c r="A1590" t="s">
        <v>557</v>
      </c>
      <c r="B1590" s="1">
        <v>45728</v>
      </c>
      <c r="C1590" t="s">
        <v>9</v>
      </c>
      <c r="D1590" t="s">
        <v>25</v>
      </c>
      <c r="E1590">
        <v>5200</v>
      </c>
      <c r="F1590">
        <v>8</v>
      </c>
      <c r="G1590">
        <f t="shared" si="72"/>
        <v>41600</v>
      </c>
      <c r="H1590" t="s">
        <v>7</v>
      </c>
      <c r="I1590">
        <f t="shared" si="73"/>
        <v>6240</v>
      </c>
      <c r="J1590">
        <f t="shared" si="74"/>
        <v>49920</v>
      </c>
    </row>
    <row r="1591" spans="1:10" x14ac:dyDescent="0.45">
      <c r="A1591" t="s">
        <v>558</v>
      </c>
      <c r="B1591" s="1">
        <v>45728</v>
      </c>
      <c r="C1591" t="s">
        <v>12</v>
      </c>
      <c r="D1591" t="s">
        <v>5020</v>
      </c>
      <c r="E1591">
        <v>2880</v>
      </c>
      <c r="F1591">
        <v>10</v>
      </c>
      <c r="G1591">
        <f t="shared" si="72"/>
        <v>28800</v>
      </c>
      <c r="H1591" t="s">
        <v>7</v>
      </c>
      <c r="I1591">
        <f t="shared" si="73"/>
        <v>3456</v>
      </c>
      <c r="J1591">
        <f t="shared" si="74"/>
        <v>34560</v>
      </c>
    </row>
    <row r="1592" spans="1:10" x14ac:dyDescent="0.45">
      <c r="A1592" t="s">
        <v>3033</v>
      </c>
      <c r="B1592" s="1">
        <v>45728</v>
      </c>
      <c r="C1592" t="s">
        <v>33</v>
      </c>
      <c r="D1592" t="s">
        <v>14</v>
      </c>
      <c r="E1592">
        <v>800</v>
      </c>
      <c r="F1592">
        <v>6</v>
      </c>
      <c r="G1592">
        <f t="shared" si="72"/>
        <v>4800</v>
      </c>
      <c r="H1592" t="s">
        <v>7</v>
      </c>
      <c r="I1592">
        <f t="shared" si="73"/>
        <v>960</v>
      </c>
      <c r="J1592">
        <f t="shared" si="74"/>
        <v>5760</v>
      </c>
    </row>
    <row r="1593" spans="1:10" x14ac:dyDescent="0.45">
      <c r="A1593" t="s">
        <v>3316</v>
      </c>
      <c r="B1593" s="1">
        <v>45728</v>
      </c>
      <c r="C1593" t="s">
        <v>4007</v>
      </c>
      <c r="D1593" t="s">
        <v>2774</v>
      </c>
      <c r="E1593">
        <v>1900</v>
      </c>
      <c r="F1593">
        <v>10</v>
      </c>
      <c r="G1593">
        <f t="shared" si="72"/>
        <v>19000</v>
      </c>
      <c r="H1593" t="s">
        <v>7</v>
      </c>
      <c r="I1593">
        <f t="shared" si="73"/>
        <v>2280</v>
      </c>
      <c r="J1593">
        <f t="shared" si="74"/>
        <v>22800</v>
      </c>
    </row>
    <row r="1594" spans="1:10" x14ac:dyDescent="0.45">
      <c r="A1594" t="s">
        <v>3568</v>
      </c>
      <c r="B1594" s="1">
        <v>45728</v>
      </c>
      <c r="C1594" t="s">
        <v>2772</v>
      </c>
      <c r="D1594" t="s">
        <v>2771</v>
      </c>
      <c r="E1594">
        <v>120</v>
      </c>
      <c r="F1594">
        <v>2</v>
      </c>
      <c r="G1594">
        <f t="shared" si="72"/>
        <v>240</v>
      </c>
      <c r="H1594" t="s">
        <v>17</v>
      </c>
      <c r="I1594">
        <f t="shared" si="73"/>
        <v>144</v>
      </c>
      <c r="J1594">
        <f t="shared" si="74"/>
        <v>288</v>
      </c>
    </row>
    <row r="1595" spans="1:10" x14ac:dyDescent="0.45">
      <c r="A1595" t="s">
        <v>4067</v>
      </c>
      <c r="B1595" s="1">
        <v>45728</v>
      </c>
      <c r="C1595" t="s">
        <v>3979</v>
      </c>
      <c r="D1595" t="s">
        <v>3983</v>
      </c>
      <c r="E1595">
        <v>1000</v>
      </c>
      <c r="F1595" s="3">
        <v>6</v>
      </c>
      <c r="G1595">
        <f t="shared" si="72"/>
        <v>6000</v>
      </c>
      <c r="H1595" t="s">
        <v>7</v>
      </c>
      <c r="I1595">
        <f t="shared" si="73"/>
        <v>1200</v>
      </c>
      <c r="J1595">
        <f t="shared" si="74"/>
        <v>7200</v>
      </c>
    </row>
    <row r="1596" spans="1:10" x14ac:dyDescent="0.45">
      <c r="A1596" t="s">
        <v>4101</v>
      </c>
      <c r="B1596" s="1">
        <v>45728</v>
      </c>
      <c r="C1596" t="s">
        <v>3977</v>
      </c>
      <c r="D1596" t="s">
        <v>3978</v>
      </c>
      <c r="E1596">
        <v>2000</v>
      </c>
      <c r="F1596" s="3">
        <v>9</v>
      </c>
      <c r="G1596">
        <f t="shared" si="72"/>
        <v>18000</v>
      </c>
      <c r="H1596" t="s">
        <v>17</v>
      </c>
      <c r="I1596">
        <f t="shared" si="73"/>
        <v>2400</v>
      </c>
      <c r="J1596">
        <f t="shared" si="74"/>
        <v>21600</v>
      </c>
    </row>
    <row r="1597" spans="1:10" x14ac:dyDescent="0.45">
      <c r="A1597" t="s">
        <v>4206</v>
      </c>
      <c r="B1597" s="1">
        <v>45728</v>
      </c>
      <c r="C1597" t="s">
        <v>3977</v>
      </c>
      <c r="D1597" t="s">
        <v>3993</v>
      </c>
      <c r="E1597">
        <v>1000</v>
      </c>
      <c r="F1597" s="3">
        <v>4</v>
      </c>
      <c r="G1597">
        <f t="shared" si="72"/>
        <v>4000</v>
      </c>
      <c r="H1597" t="s">
        <v>21</v>
      </c>
      <c r="I1597">
        <f t="shared" si="73"/>
        <v>1200</v>
      </c>
      <c r="J1597">
        <f t="shared" si="74"/>
        <v>4800</v>
      </c>
    </row>
    <row r="1598" spans="1:10" x14ac:dyDescent="0.45">
      <c r="A1598" t="s">
        <v>4239</v>
      </c>
      <c r="B1598" s="1">
        <v>45728</v>
      </c>
      <c r="C1598" t="s">
        <v>3979</v>
      </c>
      <c r="D1598" t="s">
        <v>3980</v>
      </c>
      <c r="E1598">
        <v>500</v>
      </c>
      <c r="F1598" s="3">
        <v>3</v>
      </c>
      <c r="G1598">
        <f t="shared" si="72"/>
        <v>1500</v>
      </c>
      <c r="H1598" t="s">
        <v>21</v>
      </c>
      <c r="I1598">
        <f t="shared" si="73"/>
        <v>600</v>
      </c>
      <c r="J1598">
        <f t="shared" si="74"/>
        <v>1800</v>
      </c>
    </row>
    <row r="1599" spans="1:10" x14ac:dyDescent="0.45">
      <c r="A1599" t="s">
        <v>4273</v>
      </c>
      <c r="B1599" s="1">
        <v>45728</v>
      </c>
      <c r="C1599" t="s">
        <v>5009</v>
      </c>
      <c r="D1599" t="s">
        <v>4004</v>
      </c>
      <c r="E1599">
        <v>15000</v>
      </c>
      <c r="F1599" s="3">
        <v>7</v>
      </c>
      <c r="G1599">
        <f t="shared" si="72"/>
        <v>105000</v>
      </c>
      <c r="H1599" t="s">
        <v>17</v>
      </c>
      <c r="I1599">
        <f t="shared" si="73"/>
        <v>18000</v>
      </c>
      <c r="J1599">
        <f t="shared" si="74"/>
        <v>126000</v>
      </c>
    </row>
    <row r="1600" spans="1:10" x14ac:dyDescent="0.45">
      <c r="A1600" t="s">
        <v>4292</v>
      </c>
      <c r="B1600" s="1">
        <v>45728</v>
      </c>
      <c r="C1600" t="s">
        <v>3977</v>
      </c>
      <c r="D1600" t="s">
        <v>4002</v>
      </c>
      <c r="E1600">
        <v>2500</v>
      </c>
      <c r="F1600" s="3">
        <v>4</v>
      </c>
      <c r="G1600">
        <f t="shared" si="72"/>
        <v>10000</v>
      </c>
      <c r="H1600" t="s">
        <v>7</v>
      </c>
      <c r="I1600">
        <f t="shared" si="73"/>
        <v>3000</v>
      </c>
      <c r="J1600">
        <f t="shared" si="74"/>
        <v>12000</v>
      </c>
    </row>
    <row r="1601" spans="1:10" x14ac:dyDescent="0.45">
      <c r="A1601" t="s">
        <v>4309</v>
      </c>
      <c r="B1601" s="1">
        <v>45728</v>
      </c>
      <c r="C1601" t="s">
        <v>3977</v>
      </c>
      <c r="D1601" t="s">
        <v>3978</v>
      </c>
      <c r="E1601">
        <v>2000</v>
      </c>
      <c r="F1601" s="3">
        <v>1</v>
      </c>
      <c r="G1601">
        <f t="shared" si="72"/>
        <v>2000</v>
      </c>
      <c r="H1601" t="s">
        <v>7</v>
      </c>
      <c r="I1601">
        <f t="shared" si="73"/>
        <v>2400</v>
      </c>
      <c r="J1601">
        <f t="shared" si="74"/>
        <v>2400</v>
      </c>
    </row>
    <row r="1602" spans="1:10" x14ac:dyDescent="0.45">
      <c r="A1602" t="s">
        <v>4333</v>
      </c>
      <c r="B1602" s="1">
        <v>45728</v>
      </c>
      <c r="C1602" t="s">
        <v>5009</v>
      </c>
      <c r="D1602" t="s">
        <v>3992</v>
      </c>
      <c r="E1602">
        <v>400</v>
      </c>
      <c r="F1602" s="3">
        <v>4</v>
      </c>
      <c r="G1602">
        <f t="shared" ref="G1602:G1665" si="75">E1602*F1602</f>
        <v>1600</v>
      </c>
      <c r="H1602" t="s">
        <v>17</v>
      </c>
      <c r="I1602">
        <f t="shared" ref="I1602:I1665" si="76">E1602*1.2</f>
        <v>480</v>
      </c>
      <c r="J1602">
        <f t="shared" ref="J1602:J1665" si="77">I1602*F1602</f>
        <v>1920</v>
      </c>
    </row>
    <row r="1603" spans="1:10" x14ac:dyDescent="0.45">
      <c r="A1603" t="s">
        <v>4335</v>
      </c>
      <c r="B1603" s="1">
        <v>45728</v>
      </c>
      <c r="C1603" t="s">
        <v>4007</v>
      </c>
      <c r="D1603" t="s">
        <v>3997</v>
      </c>
      <c r="E1603">
        <v>62000</v>
      </c>
      <c r="F1603" s="3">
        <v>4</v>
      </c>
      <c r="G1603">
        <f t="shared" si="75"/>
        <v>248000</v>
      </c>
      <c r="H1603" t="s">
        <v>17</v>
      </c>
      <c r="I1603">
        <f t="shared" si="76"/>
        <v>74400</v>
      </c>
      <c r="J1603">
        <f t="shared" si="77"/>
        <v>297600</v>
      </c>
    </row>
    <row r="1604" spans="1:10" x14ac:dyDescent="0.45">
      <c r="A1604" t="s">
        <v>4409</v>
      </c>
      <c r="B1604" s="1">
        <v>45728</v>
      </c>
      <c r="C1604" t="s">
        <v>33</v>
      </c>
      <c r="D1604" t="s">
        <v>3985</v>
      </c>
      <c r="E1604">
        <v>1950</v>
      </c>
      <c r="F1604" s="3">
        <v>4</v>
      </c>
      <c r="G1604">
        <f t="shared" si="75"/>
        <v>7800</v>
      </c>
      <c r="H1604" t="s">
        <v>21</v>
      </c>
      <c r="I1604">
        <f t="shared" si="76"/>
        <v>2340</v>
      </c>
      <c r="J1604">
        <f t="shared" si="77"/>
        <v>9360</v>
      </c>
    </row>
    <row r="1605" spans="1:10" x14ac:dyDescent="0.45">
      <c r="A1605" t="s">
        <v>4699</v>
      </c>
      <c r="B1605" s="1">
        <v>45728</v>
      </c>
      <c r="C1605" t="s">
        <v>4007</v>
      </c>
      <c r="D1605" t="s">
        <v>3997</v>
      </c>
      <c r="E1605">
        <v>62000</v>
      </c>
      <c r="F1605" s="3">
        <v>7</v>
      </c>
      <c r="G1605">
        <f t="shared" si="75"/>
        <v>434000</v>
      </c>
      <c r="H1605" t="s">
        <v>17</v>
      </c>
      <c r="I1605">
        <f t="shared" si="76"/>
        <v>74400</v>
      </c>
      <c r="J1605">
        <f t="shared" si="77"/>
        <v>520800</v>
      </c>
    </row>
    <row r="1606" spans="1:10" x14ac:dyDescent="0.45">
      <c r="A1606" t="s">
        <v>4842</v>
      </c>
      <c r="B1606" s="1">
        <v>45728</v>
      </c>
      <c r="C1606" t="s">
        <v>33</v>
      </c>
      <c r="D1606" t="s">
        <v>42</v>
      </c>
      <c r="E1606">
        <v>6900</v>
      </c>
      <c r="F1606" s="3">
        <v>7</v>
      </c>
      <c r="G1606">
        <f t="shared" si="75"/>
        <v>48300</v>
      </c>
      <c r="H1606" t="s">
        <v>17</v>
      </c>
      <c r="I1606">
        <f t="shared" si="76"/>
        <v>8280</v>
      </c>
      <c r="J1606">
        <f t="shared" si="77"/>
        <v>57960</v>
      </c>
    </row>
    <row r="1607" spans="1:10" x14ac:dyDescent="0.45">
      <c r="A1607" t="s">
        <v>559</v>
      </c>
      <c r="B1607" s="1">
        <v>45729</v>
      </c>
      <c r="C1607" t="s">
        <v>33</v>
      </c>
      <c r="D1607" t="s">
        <v>34</v>
      </c>
      <c r="E1607">
        <v>1700</v>
      </c>
      <c r="F1607">
        <v>7</v>
      </c>
      <c r="G1607">
        <f t="shared" si="75"/>
        <v>11900</v>
      </c>
      <c r="H1607" t="s">
        <v>7</v>
      </c>
      <c r="I1607">
        <f t="shared" si="76"/>
        <v>2040</v>
      </c>
      <c r="J1607">
        <f t="shared" si="77"/>
        <v>14280</v>
      </c>
    </row>
    <row r="1608" spans="1:10" x14ac:dyDescent="0.45">
      <c r="A1608" t="s">
        <v>560</v>
      </c>
      <c r="B1608" s="1">
        <v>45729</v>
      </c>
      <c r="C1608" t="s">
        <v>33</v>
      </c>
      <c r="D1608" t="s">
        <v>42</v>
      </c>
      <c r="E1608">
        <v>6900</v>
      </c>
      <c r="F1608">
        <v>10</v>
      </c>
      <c r="G1608">
        <f t="shared" si="75"/>
        <v>69000</v>
      </c>
      <c r="H1608" t="s">
        <v>7</v>
      </c>
      <c r="I1608">
        <f t="shared" si="76"/>
        <v>8280</v>
      </c>
      <c r="J1608">
        <f t="shared" si="77"/>
        <v>82800</v>
      </c>
    </row>
    <row r="1609" spans="1:10" x14ac:dyDescent="0.45">
      <c r="A1609" t="s">
        <v>561</v>
      </c>
      <c r="B1609" s="1">
        <v>45729</v>
      </c>
      <c r="C1609" t="s">
        <v>12</v>
      </c>
      <c r="D1609" t="s">
        <v>5020</v>
      </c>
      <c r="E1609">
        <v>2880</v>
      </c>
      <c r="F1609">
        <v>3</v>
      </c>
      <c r="G1609">
        <f t="shared" si="75"/>
        <v>8640</v>
      </c>
      <c r="H1609" t="s">
        <v>17</v>
      </c>
      <c r="I1609">
        <f t="shared" si="76"/>
        <v>3456</v>
      </c>
      <c r="J1609">
        <f t="shared" si="77"/>
        <v>10368</v>
      </c>
    </row>
    <row r="1610" spans="1:10" x14ac:dyDescent="0.45">
      <c r="A1610" t="s">
        <v>562</v>
      </c>
      <c r="B1610" s="1">
        <v>45729</v>
      </c>
      <c r="C1610" t="s">
        <v>33</v>
      </c>
      <c r="D1610" t="s">
        <v>42</v>
      </c>
      <c r="E1610">
        <v>6900</v>
      </c>
      <c r="F1610">
        <v>1</v>
      </c>
      <c r="G1610">
        <f t="shared" si="75"/>
        <v>6900</v>
      </c>
      <c r="H1610" t="s">
        <v>21</v>
      </c>
      <c r="I1610">
        <f t="shared" si="76"/>
        <v>8280</v>
      </c>
      <c r="J1610">
        <f t="shared" si="77"/>
        <v>8280</v>
      </c>
    </row>
    <row r="1611" spans="1:10" x14ac:dyDescent="0.45">
      <c r="A1611" t="s">
        <v>563</v>
      </c>
      <c r="B1611" s="1">
        <v>45729</v>
      </c>
      <c r="C1611" t="s">
        <v>33</v>
      </c>
      <c r="D1611" t="s">
        <v>34</v>
      </c>
      <c r="E1611">
        <v>1700</v>
      </c>
      <c r="F1611">
        <v>8</v>
      </c>
      <c r="G1611">
        <f t="shared" si="75"/>
        <v>13600</v>
      </c>
      <c r="H1611" t="s">
        <v>17</v>
      </c>
      <c r="I1611">
        <f t="shared" si="76"/>
        <v>2040</v>
      </c>
      <c r="J1611">
        <f t="shared" si="77"/>
        <v>16320</v>
      </c>
    </row>
    <row r="1612" spans="1:10" x14ac:dyDescent="0.45">
      <c r="A1612" t="s">
        <v>564</v>
      </c>
      <c r="B1612" s="1">
        <v>45729</v>
      </c>
      <c r="C1612" t="s">
        <v>12</v>
      </c>
      <c r="D1612" t="s">
        <v>5020</v>
      </c>
      <c r="E1612">
        <v>2880</v>
      </c>
      <c r="F1612">
        <v>7</v>
      </c>
      <c r="G1612">
        <f t="shared" si="75"/>
        <v>20160</v>
      </c>
      <c r="H1612" t="s">
        <v>7</v>
      </c>
      <c r="I1612">
        <f t="shared" si="76"/>
        <v>3456</v>
      </c>
      <c r="J1612">
        <f t="shared" si="77"/>
        <v>24192</v>
      </c>
    </row>
    <row r="1613" spans="1:10" x14ac:dyDescent="0.45">
      <c r="A1613" t="s">
        <v>565</v>
      </c>
      <c r="B1613" s="1">
        <v>45729</v>
      </c>
      <c r="C1613" t="s">
        <v>12</v>
      </c>
      <c r="D1613" t="s">
        <v>5022</v>
      </c>
      <c r="E1613">
        <v>2880</v>
      </c>
      <c r="F1613">
        <v>6</v>
      </c>
      <c r="G1613">
        <f t="shared" si="75"/>
        <v>17280</v>
      </c>
      <c r="H1613" t="s">
        <v>21</v>
      </c>
      <c r="I1613">
        <f t="shared" si="76"/>
        <v>3456</v>
      </c>
      <c r="J1613">
        <f t="shared" si="77"/>
        <v>20736</v>
      </c>
    </row>
    <row r="1614" spans="1:10" x14ac:dyDescent="0.45">
      <c r="A1614" t="s">
        <v>3347</v>
      </c>
      <c r="B1614" s="1">
        <v>45729</v>
      </c>
      <c r="C1614" t="s">
        <v>2772</v>
      </c>
      <c r="D1614" t="s">
        <v>2775</v>
      </c>
      <c r="E1614">
        <v>9100</v>
      </c>
      <c r="F1614">
        <v>4</v>
      </c>
      <c r="G1614">
        <f t="shared" si="75"/>
        <v>36400</v>
      </c>
      <c r="H1614" t="s">
        <v>21</v>
      </c>
      <c r="I1614">
        <f t="shared" si="76"/>
        <v>10920</v>
      </c>
      <c r="J1614">
        <f t="shared" si="77"/>
        <v>43680</v>
      </c>
    </row>
    <row r="1615" spans="1:10" x14ac:dyDescent="0.45">
      <c r="A1615" t="s">
        <v>3620</v>
      </c>
      <c r="B1615" s="1">
        <v>45729</v>
      </c>
      <c r="C1615" t="s">
        <v>2772</v>
      </c>
      <c r="D1615" t="s">
        <v>2775</v>
      </c>
      <c r="E1615">
        <v>9100</v>
      </c>
      <c r="F1615">
        <v>4</v>
      </c>
      <c r="G1615">
        <f t="shared" si="75"/>
        <v>36400</v>
      </c>
      <c r="H1615" t="s">
        <v>21</v>
      </c>
      <c r="I1615">
        <f t="shared" si="76"/>
        <v>10920</v>
      </c>
      <c r="J1615">
        <f t="shared" si="77"/>
        <v>43680</v>
      </c>
    </row>
    <row r="1616" spans="1:10" x14ac:dyDescent="0.45">
      <c r="A1616" t="s">
        <v>3852</v>
      </c>
      <c r="B1616" s="1">
        <v>45729</v>
      </c>
      <c r="C1616" t="s">
        <v>4007</v>
      </c>
      <c r="D1616" t="s">
        <v>28</v>
      </c>
      <c r="E1616">
        <v>500</v>
      </c>
      <c r="F1616">
        <v>3</v>
      </c>
      <c r="G1616">
        <f t="shared" si="75"/>
        <v>1500</v>
      </c>
      <c r="H1616" t="s">
        <v>7</v>
      </c>
      <c r="I1616">
        <f t="shared" si="76"/>
        <v>600</v>
      </c>
      <c r="J1616">
        <f t="shared" si="77"/>
        <v>1800</v>
      </c>
    </row>
    <row r="1617" spans="1:10" x14ac:dyDescent="0.45">
      <c r="A1617" t="s">
        <v>3926</v>
      </c>
      <c r="B1617" s="1">
        <v>45729</v>
      </c>
      <c r="C1617" t="s">
        <v>4007</v>
      </c>
      <c r="D1617" t="s">
        <v>2770</v>
      </c>
      <c r="E1617">
        <v>600</v>
      </c>
      <c r="F1617">
        <v>10</v>
      </c>
      <c r="G1617">
        <f t="shared" si="75"/>
        <v>6000</v>
      </c>
      <c r="H1617" t="s">
        <v>17</v>
      </c>
      <c r="I1617">
        <f t="shared" si="76"/>
        <v>720</v>
      </c>
      <c r="J1617">
        <f t="shared" si="77"/>
        <v>7200</v>
      </c>
    </row>
    <row r="1618" spans="1:10" x14ac:dyDescent="0.45">
      <c r="A1618" t="s">
        <v>4073</v>
      </c>
      <c r="B1618" s="1">
        <v>45729</v>
      </c>
      <c r="C1618" t="s">
        <v>3977</v>
      </c>
      <c r="D1618" t="s">
        <v>3991</v>
      </c>
      <c r="E1618">
        <v>2000</v>
      </c>
      <c r="F1618" s="3">
        <v>10</v>
      </c>
      <c r="G1618">
        <f t="shared" si="75"/>
        <v>20000</v>
      </c>
      <c r="H1618" t="s">
        <v>7</v>
      </c>
      <c r="I1618">
        <f t="shared" si="76"/>
        <v>2400</v>
      </c>
      <c r="J1618">
        <f t="shared" si="77"/>
        <v>24000</v>
      </c>
    </row>
    <row r="1619" spans="1:10" x14ac:dyDescent="0.45">
      <c r="A1619" t="s">
        <v>4131</v>
      </c>
      <c r="B1619" s="1">
        <v>45729</v>
      </c>
      <c r="C1619" t="s">
        <v>33</v>
      </c>
      <c r="D1619" t="s">
        <v>4001</v>
      </c>
      <c r="E1619">
        <v>500</v>
      </c>
      <c r="F1619" s="3">
        <v>8</v>
      </c>
      <c r="G1619">
        <f t="shared" si="75"/>
        <v>4000</v>
      </c>
      <c r="H1619" t="s">
        <v>7</v>
      </c>
      <c r="I1619">
        <f t="shared" si="76"/>
        <v>600</v>
      </c>
      <c r="J1619">
        <f t="shared" si="77"/>
        <v>4800</v>
      </c>
    </row>
    <row r="1620" spans="1:10" x14ac:dyDescent="0.45">
      <c r="A1620" t="s">
        <v>4170</v>
      </c>
      <c r="B1620" s="1">
        <v>45729</v>
      </c>
      <c r="C1620" t="s">
        <v>4007</v>
      </c>
      <c r="D1620" t="s">
        <v>5015</v>
      </c>
      <c r="E1620">
        <v>48000</v>
      </c>
      <c r="F1620" s="3">
        <v>7</v>
      </c>
      <c r="G1620">
        <f t="shared" si="75"/>
        <v>336000</v>
      </c>
      <c r="H1620" t="s">
        <v>7</v>
      </c>
      <c r="I1620">
        <f t="shared" si="76"/>
        <v>57600</v>
      </c>
      <c r="J1620">
        <f t="shared" si="77"/>
        <v>403200</v>
      </c>
    </row>
    <row r="1621" spans="1:10" x14ac:dyDescent="0.45">
      <c r="A1621" t="s">
        <v>4270</v>
      </c>
      <c r="B1621" s="1">
        <v>45729</v>
      </c>
      <c r="C1621" t="s">
        <v>5008</v>
      </c>
      <c r="D1621" t="s">
        <v>3998</v>
      </c>
      <c r="E1621">
        <v>8000</v>
      </c>
      <c r="F1621" s="3">
        <v>4</v>
      </c>
      <c r="G1621">
        <f t="shared" si="75"/>
        <v>32000</v>
      </c>
      <c r="H1621" t="s">
        <v>7</v>
      </c>
      <c r="I1621">
        <f t="shared" si="76"/>
        <v>9600</v>
      </c>
      <c r="J1621">
        <f t="shared" si="77"/>
        <v>38400</v>
      </c>
    </row>
    <row r="1622" spans="1:10" x14ac:dyDescent="0.45">
      <c r="A1622" t="s">
        <v>4302</v>
      </c>
      <c r="B1622" s="1">
        <v>45729</v>
      </c>
      <c r="C1622" t="s">
        <v>3977</v>
      </c>
      <c r="D1622" t="s">
        <v>3978</v>
      </c>
      <c r="E1622">
        <v>2000</v>
      </c>
      <c r="F1622" s="3">
        <v>10</v>
      </c>
      <c r="G1622">
        <f t="shared" si="75"/>
        <v>20000</v>
      </c>
      <c r="H1622" t="s">
        <v>21</v>
      </c>
      <c r="I1622">
        <f t="shared" si="76"/>
        <v>2400</v>
      </c>
      <c r="J1622">
        <f t="shared" si="77"/>
        <v>24000</v>
      </c>
    </row>
    <row r="1623" spans="1:10" x14ac:dyDescent="0.45">
      <c r="A1623" t="s">
        <v>4404</v>
      </c>
      <c r="B1623" s="1">
        <v>45729</v>
      </c>
      <c r="C1623" t="s">
        <v>4007</v>
      </c>
      <c r="D1623" t="s">
        <v>4005</v>
      </c>
      <c r="E1623">
        <v>60000</v>
      </c>
      <c r="F1623" s="3">
        <v>5</v>
      </c>
      <c r="G1623">
        <f t="shared" si="75"/>
        <v>300000</v>
      </c>
      <c r="H1623" t="s">
        <v>21</v>
      </c>
      <c r="I1623">
        <f t="shared" si="76"/>
        <v>72000</v>
      </c>
      <c r="J1623">
        <f t="shared" si="77"/>
        <v>360000</v>
      </c>
    </row>
    <row r="1624" spans="1:10" x14ac:dyDescent="0.45">
      <c r="A1624" t="s">
        <v>4498</v>
      </c>
      <c r="B1624" s="1">
        <v>45729</v>
      </c>
      <c r="C1624" t="s">
        <v>5008</v>
      </c>
      <c r="D1624" t="s">
        <v>3986</v>
      </c>
      <c r="E1624">
        <v>12000</v>
      </c>
      <c r="F1624" s="3">
        <v>2</v>
      </c>
      <c r="G1624">
        <f t="shared" si="75"/>
        <v>24000</v>
      </c>
      <c r="H1624" t="s">
        <v>21</v>
      </c>
      <c r="I1624">
        <f t="shared" si="76"/>
        <v>14400</v>
      </c>
      <c r="J1624">
        <f t="shared" si="77"/>
        <v>28800</v>
      </c>
    </row>
    <row r="1625" spans="1:10" x14ac:dyDescent="0.45">
      <c r="A1625" t="s">
        <v>4696</v>
      </c>
      <c r="B1625" s="1">
        <v>45729</v>
      </c>
      <c r="C1625" t="s">
        <v>5009</v>
      </c>
      <c r="D1625" t="s">
        <v>3982</v>
      </c>
      <c r="E1625">
        <v>13000</v>
      </c>
      <c r="F1625" s="3">
        <v>2</v>
      </c>
      <c r="G1625">
        <f t="shared" si="75"/>
        <v>26000</v>
      </c>
      <c r="H1625" t="s">
        <v>7</v>
      </c>
      <c r="I1625">
        <f t="shared" si="76"/>
        <v>15600</v>
      </c>
      <c r="J1625">
        <f t="shared" si="77"/>
        <v>31200</v>
      </c>
    </row>
    <row r="1626" spans="1:10" x14ac:dyDescent="0.45">
      <c r="A1626" t="s">
        <v>4879</v>
      </c>
      <c r="B1626" s="1">
        <v>45729</v>
      </c>
      <c r="C1626" t="s">
        <v>5008</v>
      </c>
      <c r="D1626" t="s">
        <v>4003</v>
      </c>
      <c r="E1626">
        <v>10000</v>
      </c>
      <c r="F1626" s="3">
        <v>1</v>
      </c>
      <c r="G1626">
        <f t="shared" si="75"/>
        <v>10000</v>
      </c>
      <c r="H1626" t="s">
        <v>7</v>
      </c>
      <c r="I1626">
        <f t="shared" si="76"/>
        <v>12000</v>
      </c>
      <c r="J1626">
        <f t="shared" si="77"/>
        <v>12000</v>
      </c>
    </row>
    <row r="1627" spans="1:10" x14ac:dyDescent="0.45">
      <c r="A1627" t="s">
        <v>4896</v>
      </c>
      <c r="B1627" s="1">
        <v>45729</v>
      </c>
      <c r="C1627" t="s">
        <v>5008</v>
      </c>
      <c r="D1627" t="s">
        <v>3996</v>
      </c>
      <c r="E1627">
        <v>2000</v>
      </c>
      <c r="F1627" s="3">
        <v>8</v>
      </c>
      <c r="G1627">
        <f t="shared" si="75"/>
        <v>16000</v>
      </c>
      <c r="H1627" t="s">
        <v>21</v>
      </c>
      <c r="I1627">
        <f t="shared" si="76"/>
        <v>2400</v>
      </c>
      <c r="J1627">
        <f t="shared" si="77"/>
        <v>19200</v>
      </c>
    </row>
    <row r="1628" spans="1:10" x14ac:dyDescent="0.45">
      <c r="A1628" t="s">
        <v>566</v>
      </c>
      <c r="B1628" s="1">
        <v>45730</v>
      </c>
      <c r="C1628" t="s">
        <v>9</v>
      </c>
      <c r="D1628" t="s">
        <v>25</v>
      </c>
      <c r="E1628">
        <v>5200</v>
      </c>
      <c r="F1628">
        <v>4</v>
      </c>
      <c r="G1628">
        <f t="shared" si="75"/>
        <v>20800</v>
      </c>
      <c r="H1628" t="s">
        <v>17</v>
      </c>
      <c r="I1628">
        <f t="shared" si="76"/>
        <v>6240</v>
      </c>
      <c r="J1628">
        <f t="shared" si="77"/>
        <v>24960</v>
      </c>
    </row>
    <row r="1629" spans="1:10" x14ac:dyDescent="0.45">
      <c r="A1629" t="s">
        <v>567</v>
      </c>
      <c r="B1629" s="1">
        <v>45730</v>
      </c>
      <c r="C1629" t="s">
        <v>12</v>
      </c>
      <c r="D1629" t="s">
        <v>5021</v>
      </c>
      <c r="E1629">
        <v>2880</v>
      </c>
      <c r="F1629">
        <v>6</v>
      </c>
      <c r="G1629">
        <f t="shared" si="75"/>
        <v>17280</v>
      </c>
      <c r="H1629" t="s">
        <v>21</v>
      </c>
      <c r="I1629">
        <f t="shared" si="76"/>
        <v>3456</v>
      </c>
      <c r="J1629">
        <f t="shared" si="77"/>
        <v>20736</v>
      </c>
    </row>
    <row r="1630" spans="1:10" x14ac:dyDescent="0.45">
      <c r="A1630" t="s">
        <v>568</v>
      </c>
      <c r="B1630" s="1">
        <v>45730</v>
      </c>
      <c r="C1630" t="s">
        <v>4007</v>
      </c>
      <c r="D1630" t="s">
        <v>4005</v>
      </c>
      <c r="E1630">
        <v>60000</v>
      </c>
      <c r="F1630">
        <v>7</v>
      </c>
      <c r="G1630">
        <f t="shared" si="75"/>
        <v>420000</v>
      </c>
      <c r="H1630" t="s">
        <v>21</v>
      </c>
      <c r="I1630">
        <f t="shared" si="76"/>
        <v>72000</v>
      </c>
      <c r="J1630">
        <f t="shared" si="77"/>
        <v>504000</v>
      </c>
    </row>
    <row r="1631" spans="1:10" x14ac:dyDescent="0.45">
      <c r="A1631" t="s">
        <v>569</v>
      </c>
      <c r="B1631" s="1">
        <v>45730</v>
      </c>
      <c r="C1631" t="s">
        <v>12</v>
      </c>
      <c r="D1631" t="s">
        <v>5020</v>
      </c>
      <c r="E1631">
        <v>2880</v>
      </c>
      <c r="F1631">
        <v>2</v>
      </c>
      <c r="G1631">
        <f t="shared" si="75"/>
        <v>5760</v>
      </c>
      <c r="H1631" t="s">
        <v>7</v>
      </c>
      <c r="I1631">
        <f t="shared" si="76"/>
        <v>3456</v>
      </c>
      <c r="J1631">
        <f t="shared" si="77"/>
        <v>6912</v>
      </c>
    </row>
    <row r="1632" spans="1:10" x14ac:dyDescent="0.45">
      <c r="A1632" t="s">
        <v>570</v>
      </c>
      <c r="B1632" s="1">
        <v>45730</v>
      </c>
      <c r="C1632" t="s">
        <v>12</v>
      </c>
      <c r="D1632" t="s">
        <v>5022</v>
      </c>
      <c r="E1632">
        <v>2880</v>
      </c>
      <c r="F1632">
        <v>7</v>
      </c>
      <c r="G1632">
        <f t="shared" si="75"/>
        <v>20160</v>
      </c>
      <c r="H1632" t="s">
        <v>17</v>
      </c>
      <c r="I1632">
        <f t="shared" si="76"/>
        <v>3456</v>
      </c>
      <c r="J1632">
        <f t="shared" si="77"/>
        <v>24192</v>
      </c>
    </row>
    <row r="1633" spans="1:10" x14ac:dyDescent="0.45">
      <c r="A1633" t="s">
        <v>571</v>
      </c>
      <c r="B1633" s="1">
        <v>45730</v>
      </c>
      <c r="C1633" t="s">
        <v>12</v>
      </c>
      <c r="D1633" t="s">
        <v>5020</v>
      </c>
      <c r="E1633">
        <v>2880</v>
      </c>
      <c r="F1633">
        <v>4</v>
      </c>
      <c r="G1633">
        <f t="shared" si="75"/>
        <v>11520</v>
      </c>
      <c r="H1633" t="s">
        <v>7</v>
      </c>
      <c r="I1633">
        <f t="shared" si="76"/>
        <v>3456</v>
      </c>
      <c r="J1633">
        <f t="shared" si="77"/>
        <v>13824</v>
      </c>
    </row>
    <row r="1634" spans="1:10" x14ac:dyDescent="0.45">
      <c r="A1634" t="s">
        <v>572</v>
      </c>
      <c r="B1634" s="1">
        <v>45730</v>
      </c>
      <c r="C1634" t="s">
        <v>9</v>
      </c>
      <c r="D1634" t="s">
        <v>10</v>
      </c>
      <c r="E1634">
        <v>400</v>
      </c>
      <c r="F1634">
        <v>4</v>
      </c>
      <c r="G1634">
        <f t="shared" si="75"/>
        <v>1600</v>
      </c>
      <c r="H1634" t="s">
        <v>7</v>
      </c>
      <c r="I1634">
        <f t="shared" si="76"/>
        <v>480</v>
      </c>
      <c r="J1634">
        <f t="shared" si="77"/>
        <v>1920</v>
      </c>
    </row>
    <row r="1635" spans="1:10" x14ac:dyDescent="0.45">
      <c r="A1635" t="s">
        <v>573</v>
      </c>
      <c r="B1635" s="1">
        <v>45730</v>
      </c>
      <c r="C1635" t="s">
        <v>4007</v>
      </c>
      <c r="D1635" t="s">
        <v>39</v>
      </c>
      <c r="E1635">
        <v>6000</v>
      </c>
      <c r="F1635">
        <v>4</v>
      </c>
      <c r="G1635">
        <f t="shared" si="75"/>
        <v>24000</v>
      </c>
      <c r="H1635" t="s">
        <v>7</v>
      </c>
      <c r="I1635">
        <f t="shared" si="76"/>
        <v>7200</v>
      </c>
      <c r="J1635">
        <f t="shared" si="77"/>
        <v>28800</v>
      </c>
    </row>
    <row r="1636" spans="1:10" x14ac:dyDescent="0.45">
      <c r="A1636" t="s">
        <v>574</v>
      </c>
      <c r="B1636" s="1">
        <v>45730</v>
      </c>
      <c r="C1636" t="s">
        <v>12</v>
      </c>
      <c r="D1636" t="s">
        <v>5022</v>
      </c>
      <c r="E1636">
        <v>2880</v>
      </c>
      <c r="F1636">
        <v>6</v>
      </c>
      <c r="G1636">
        <f t="shared" si="75"/>
        <v>17280</v>
      </c>
      <c r="H1636" t="s">
        <v>21</v>
      </c>
      <c r="I1636">
        <f t="shared" si="76"/>
        <v>3456</v>
      </c>
      <c r="J1636">
        <f t="shared" si="77"/>
        <v>20736</v>
      </c>
    </row>
    <row r="1637" spans="1:10" x14ac:dyDescent="0.45">
      <c r="A1637" t="s">
        <v>2887</v>
      </c>
      <c r="B1637" s="1">
        <v>45730</v>
      </c>
      <c r="C1637" t="s">
        <v>2772</v>
      </c>
      <c r="D1637" t="s">
        <v>2771</v>
      </c>
      <c r="E1637">
        <v>120</v>
      </c>
      <c r="F1637">
        <v>7</v>
      </c>
      <c r="G1637">
        <f t="shared" si="75"/>
        <v>840</v>
      </c>
      <c r="H1637" t="s">
        <v>17</v>
      </c>
      <c r="I1637">
        <f t="shared" si="76"/>
        <v>144</v>
      </c>
      <c r="J1637">
        <f t="shared" si="77"/>
        <v>1008</v>
      </c>
    </row>
    <row r="1638" spans="1:10" x14ac:dyDescent="0.45">
      <c r="A1638" t="s">
        <v>3499</v>
      </c>
      <c r="B1638" s="1">
        <v>45730</v>
      </c>
      <c r="C1638" t="s">
        <v>33</v>
      </c>
      <c r="D1638" t="s">
        <v>34</v>
      </c>
      <c r="E1638">
        <v>1700</v>
      </c>
      <c r="F1638">
        <v>10</v>
      </c>
      <c r="G1638">
        <f t="shared" si="75"/>
        <v>17000</v>
      </c>
      <c r="H1638" t="s">
        <v>21</v>
      </c>
      <c r="I1638">
        <f t="shared" si="76"/>
        <v>2040</v>
      </c>
      <c r="J1638">
        <f t="shared" si="77"/>
        <v>20400</v>
      </c>
    </row>
    <row r="1639" spans="1:10" x14ac:dyDescent="0.45">
      <c r="A1639" t="s">
        <v>4274</v>
      </c>
      <c r="B1639" s="1">
        <v>45730</v>
      </c>
      <c r="C1639" t="s">
        <v>33</v>
      </c>
      <c r="D1639" t="s">
        <v>3985</v>
      </c>
      <c r="E1639">
        <v>1950</v>
      </c>
      <c r="F1639" s="3">
        <v>4</v>
      </c>
      <c r="G1639">
        <f t="shared" si="75"/>
        <v>7800</v>
      </c>
      <c r="H1639" t="s">
        <v>17</v>
      </c>
      <c r="I1639">
        <f t="shared" si="76"/>
        <v>2340</v>
      </c>
      <c r="J1639">
        <f t="shared" si="77"/>
        <v>9360</v>
      </c>
    </row>
    <row r="1640" spans="1:10" x14ac:dyDescent="0.45">
      <c r="A1640" t="s">
        <v>4299</v>
      </c>
      <c r="B1640" s="1">
        <v>45730</v>
      </c>
      <c r="C1640" t="s">
        <v>3979</v>
      </c>
      <c r="D1640" t="s">
        <v>3980</v>
      </c>
      <c r="E1640">
        <v>500</v>
      </c>
      <c r="F1640" s="3">
        <v>7</v>
      </c>
      <c r="G1640">
        <f t="shared" si="75"/>
        <v>3500</v>
      </c>
      <c r="H1640" t="s">
        <v>21</v>
      </c>
      <c r="I1640">
        <f t="shared" si="76"/>
        <v>600</v>
      </c>
      <c r="J1640">
        <f t="shared" si="77"/>
        <v>4200</v>
      </c>
    </row>
    <row r="1641" spans="1:10" x14ac:dyDescent="0.45">
      <c r="A1641" t="s">
        <v>4341</v>
      </c>
      <c r="B1641" s="1">
        <v>45730</v>
      </c>
      <c r="C1641" t="s">
        <v>4007</v>
      </c>
      <c r="D1641" t="s">
        <v>4005</v>
      </c>
      <c r="E1641">
        <v>60000</v>
      </c>
      <c r="F1641" s="3">
        <v>2</v>
      </c>
      <c r="G1641">
        <f t="shared" si="75"/>
        <v>120000</v>
      </c>
      <c r="H1641" t="s">
        <v>7</v>
      </c>
      <c r="I1641">
        <f t="shared" si="76"/>
        <v>72000</v>
      </c>
      <c r="J1641">
        <f t="shared" si="77"/>
        <v>144000</v>
      </c>
    </row>
    <row r="1642" spans="1:10" x14ac:dyDescent="0.45">
      <c r="A1642" t="s">
        <v>4360</v>
      </c>
      <c r="B1642" s="1">
        <v>45730</v>
      </c>
      <c r="C1642" t="s">
        <v>5008</v>
      </c>
      <c r="D1642" t="s">
        <v>3995</v>
      </c>
      <c r="E1642">
        <v>15000</v>
      </c>
      <c r="F1642" s="3">
        <v>7</v>
      </c>
      <c r="G1642">
        <f t="shared" si="75"/>
        <v>105000</v>
      </c>
      <c r="H1642" t="s">
        <v>7</v>
      </c>
      <c r="I1642">
        <f t="shared" si="76"/>
        <v>18000</v>
      </c>
      <c r="J1642">
        <f t="shared" si="77"/>
        <v>126000</v>
      </c>
    </row>
    <row r="1643" spans="1:10" x14ac:dyDescent="0.45">
      <c r="A1643" t="s">
        <v>4374</v>
      </c>
      <c r="B1643" s="1">
        <v>45730</v>
      </c>
      <c r="C1643" t="s">
        <v>3979</v>
      </c>
      <c r="D1643" t="s">
        <v>3983</v>
      </c>
      <c r="E1643">
        <v>1000</v>
      </c>
      <c r="F1643" s="3">
        <v>9</v>
      </c>
      <c r="G1643">
        <f t="shared" si="75"/>
        <v>9000</v>
      </c>
      <c r="H1643" t="s">
        <v>21</v>
      </c>
      <c r="I1643">
        <f t="shared" si="76"/>
        <v>1200</v>
      </c>
      <c r="J1643">
        <f t="shared" si="77"/>
        <v>10800</v>
      </c>
    </row>
    <row r="1644" spans="1:10" x14ac:dyDescent="0.45">
      <c r="A1644" t="s">
        <v>4380</v>
      </c>
      <c r="B1644" s="1">
        <v>45730</v>
      </c>
      <c r="C1644" t="s">
        <v>33</v>
      </c>
      <c r="D1644" t="s">
        <v>42</v>
      </c>
      <c r="E1644">
        <v>6900</v>
      </c>
      <c r="F1644" s="3">
        <v>6</v>
      </c>
      <c r="G1644">
        <f t="shared" si="75"/>
        <v>41400</v>
      </c>
      <c r="H1644" t="s">
        <v>17</v>
      </c>
      <c r="I1644">
        <f t="shared" si="76"/>
        <v>8280</v>
      </c>
      <c r="J1644">
        <f t="shared" si="77"/>
        <v>49680</v>
      </c>
    </row>
    <row r="1645" spans="1:10" x14ac:dyDescent="0.45">
      <c r="A1645" t="s">
        <v>4521</v>
      </c>
      <c r="B1645" s="1">
        <v>45730</v>
      </c>
      <c r="C1645" t="s">
        <v>3979</v>
      </c>
      <c r="D1645" t="s">
        <v>3983</v>
      </c>
      <c r="E1645">
        <v>1000</v>
      </c>
      <c r="F1645" s="3">
        <v>7</v>
      </c>
      <c r="G1645">
        <f t="shared" si="75"/>
        <v>7000</v>
      </c>
      <c r="H1645" t="s">
        <v>7</v>
      </c>
      <c r="I1645">
        <f t="shared" si="76"/>
        <v>1200</v>
      </c>
      <c r="J1645">
        <f t="shared" si="77"/>
        <v>8400</v>
      </c>
    </row>
    <row r="1646" spans="1:10" x14ac:dyDescent="0.45">
      <c r="A1646" t="s">
        <v>4568</v>
      </c>
      <c r="B1646" s="1">
        <v>45730</v>
      </c>
      <c r="C1646" t="s">
        <v>3979</v>
      </c>
      <c r="D1646" t="s">
        <v>3987</v>
      </c>
      <c r="E1646">
        <v>8000</v>
      </c>
      <c r="F1646" s="3">
        <v>9</v>
      </c>
      <c r="G1646">
        <f t="shared" si="75"/>
        <v>72000</v>
      </c>
      <c r="H1646" t="s">
        <v>7</v>
      </c>
      <c r="I1646">
        <f t="shared" si="76"/>
        <v>9600</v>
      </c>
      <c r="J1646">
        <f t="shared" si="77"/>
        <v>86400</v>
      </c>
    </row>
    <row r="1647" spans="1:10" x14ac:dyDescent="0.45">
      <c r="A1647" t="s">
        <v>4596</v>
      </c>
      <c r="B1647" s="1">
        <v>45730</v>
      </c>
      <c r="C1647" t="s">
        <v>5008</v>
      </c>
      <c r="D1647" t="s">
        <v>3995</v>
      </c>
      <c r="E1647">
        <v>15000</v>
      </c>
      <c r="F1647" s="3">
        <v>10</v>
      </c>
      <c r="G1647">
        <f t="shared" si="75"/>
        <v>150000</v>
      </c>
      <c r="H1647" t="s">
        <v>7</v>
      </c>
      <c r="I1647">
        <f t="shared" si="76"/>
        <v>18000</v>
      </c>
      <c r="J1647">
        <f t="shared" si="77"/>
        <v>180000</v>
      </c>
    </row>
    <row r="1648" spans="1:10" x14ac:dyDescent="0.45">
      <c r="A1648" t="s">
        <v>4610</v>
      </c>
      <c r="B1648" s="1">
        <v>45730</v>
      </c>
      <c r="C1648" t="s">
        <v>4007</v>
      </c>
      <c r="D1648" t="s">
        <v>3999</v>
      </c>
      <c r="E1648">
        <v>50000</v>
      </c>
      <c r="F1648" s="3">
        <v>10</v>
      </c>
      <c r="G1648">
        <f t="shared" si="75"/>
        <v>500000</v>
      </c>
      <c r="H1648" t="s">
        <v>21</v>
      </c>
      <c r="I1648">
        <f t="shared" si="76"/>
        <v>60000</v>
      </c>
      <c r="J1648">
        <f t="shared" si="77"/>
        <v>600000</v>
      </c>
    </row>
    <row r="1649" spans="1:10" x14ac:dyDescent="0.45">
      <c r="A1649" t="s">
        <v>4625</v>
      </c>
      <c r="B1649" s="1">
        <v>45730</v>
      </c>
      <c r="C1649" t="s">
        <v>3979</v>
      </c>
      <c r="D1649" t="s">
        <v>3987</v>
      </c>
      <c r="E1649">
        <v>8000</v>
      </c>
      <c r="F1649" s="3">
        <v>5</v>
      </c>
      <c r="G1649">
        <f t="shared" si="75"/>
        <v>40000</v>
      </c>
      <c r="H1649" t="s">
        <v>7</v>
      </c>
      <c r="I1649">
        <f t="shared" si="76"/>
        <v>9600</v>
      </c>
      <c r="J1649">
        <f t="shared" si="77"/>
        <v>48000</v>
      </c>
    </row>
    <row r="1650" spans="1:10" x14ac:dyDescent="0.45">
      <c r="A1650" t="s">
        <v>4635</v>
      </c>
      <c r="B1650" s="1">
        <v>45730</v>
      </c>
      <c r="C1650" t="s">
        <v>3977</v>
      </c>
      <c r="D1650" t="s">
        <v>4002</v>
      </c>
      <c r="E1650">
        <v>2500</v>
      </c>
      <c r="F1650" s="3">
        <v>10</v>
      </c>
      <c r="G1650">
        <f t="shared" si="75"/>
        <v>25000</v>
      </c>
      <c r="H1650" t="s">
        <v>17</v>
      </c>
      <c r="I1650">
        <f t="shared" si="76"/>
        <v>3000</v>
      </c>
      <c r="J1650">
        <f t="shared" si="77"/>
        <v>30000</v>
      </c>
    </row>
    <row r="1651" spans="1:10" x14ac:dyDescent="0.45">
      <c r="A1651" t="s">
        <v>4663</v>
      </c>
      <c r="B1651" s="1">
        <v>45730</v>
      </c>
      <c r="C1651" t="s">
        <v>3979</v>
      </c>
      <c r="D1651" t="s">
        <v>3984</v>
      </c>
      <c r="E1651">
        <v>12000</v>
      </c>
      <c r="F1651" s="3">
        <v>3</v>
      </c>
      <c r="G1651">
        <f t="shared" si="75"/>
        <v>36000</v>
      </c>
      <c r="H1651" t="s">
        <v>21</v>
      </c>
      <c r="I1651">
        <f t="shared" si="76"/>
        <v>14400</v>
      </c>
      <c r="J1651">
        <f t="shared" si="77"/>
        <v>43200</v>
      </c>
    </row>
    <row r="1652" spans="1:10" x14ac:dyDescent="0.45">
      <c r="A1652" t="s">
        <v>4758</v>
      </c>
      <c r="B1652" s="1">
        <v>45730</v>
      </c>
      <c r="C1652" t="s">
        <v>5008</v>
      </c>
      <c r="D1652" t="s">
        <v>3995</v>
      </c>
      <c r="E1652">
        <v>15000</v>
      </c>
      <c r="F1652" s="3">
        <v>4</v>
      </c>
      <c r="G1652">
        <f t="shared" si="75"/>
        <v>60000</v>
      </c>
      <c r="H1652" t="s">
        <v>17</v>
      </c>
      <c r="I1652">
        <f t="shared" si="76"/>
        <v>18000</v>
      </c>
      <c r="J1652">
        <f t="shared" si="77"/>
        <v>72000</v>
      </c>
    </row>
    <row r="1653" spans="1:10" x14ac:dyDescent="0.45">
      <c r="A1653" t="s">
        <v>4823</v>
      </c>
      <c r="B1653" s="1">
        <v>45730</v>
      </c>
      <c r="C1653" t="s">
        <v>4007</v>
      </c>
      <c r="D1653" t="s">
        <v>3999</v>
      </c>
      <c r="E1653">
        <v>50000</v>
      </c>
      <c r="F1653" s="3">
        <v>8</v>
      </c>
      <c r="G1653">
        <f t="shared" si="75"/>
        <v>400000</v>
      </c>
      <c r="H1653" t="s">
        <v>7</v>
      </c>
      <c r="I1653">
        <f t="shared" si="76"/>
        <v>60000</v>
      </c>
      <c r="J1653">
        <f t="shared" si="77"/>
        <v>480000</v>
      </c>
    </row>
    <row r="1654" spans="1:10" x14ac:dyDescent="0.45">
      <c r="A1654" t="s">
        <v>4924</v>
      </c>
      <c r="B1654" s="1">
        <v>45730</v>
      </c>
      <c r="C1654" t="s">
        <v>5009</v>
      </c>
      <c r="D1654" t="s">
        <v>3990</v>
      </c>
      <c r="E1654">
        <v>2800</v>
      </c>
      <c r="F1654" s="3">
        <v>1</v>
      </c>
      <c r="G1654">
        <f t="shared" si="75"/>
        <v>2800</v>
      </c>
      <c r="H1654" t="s">
        <v>17</v>
      </c>
      <c r="I1654">
        <f t="shared" si="76"/>
        <v>3360</v>
      </c>
      <c r="J1654">
        <f t="shared" si="77"/>
        <v>3360</v>
      </c>
    </row>
    <row r="1655" spans="1:10" x14ac:dyDescent="0.45">
      <c r="A1655" t="s">
        <v>4932</v>
      </c>
      <c r="B1655" s="1">
        <v>45730</v>
      </c>
      <c r="C1655" t="s">
        <v>5009</v>
      </c>
      <c r="D1655" t="s">
        <v>4000</v>
      </c>
      <c r="E1655">
        <v>3000</v>
      </c>
      <c r="F1655" s="3">
        <v>6</v>
      </c>
      <c r="G1655">
        <f t="shared" si="75"/>
        <v>18000</v>
      </c>
      <c r="H1655" t="s">
        <v>21</v>
      </c>
      <c r="I1655">
        <f t="shared" si="76"/>
        <v>3600</v>
      </c>
      <c r="J1655">
        <f t="shared" si="77"/>
        <v>21600</v>
      </c>
    </row>
    <row r="1656" spans="1:10" x14ac:dyDescent="0.45">
      <c r="A1656" t="s">
        <v>4990</v>
      </c>
      <c r="B1656" s="1">
        <v>45730</v>
      </c>
      <c r="C1656" t="s">
        <v>5009</v>
      </c>
      <c r="D1656" t="s">
        <v>3990</v>
      </c>
      <c r="E1656">
        <v>2800</v>
      </c>
      <c r="F1656" s="3">
        <v>9</v>
      </c>
      <c r="G1656">
        <f t="shared" si="75"/>
        <v>25200</v>
      </c>
      <c r="H1656" t="s">
        <v>21</v>
      </c>
      <c r="I1656">
        <f t="shared" si="76"/>
        <v>3360</v>
      </c>
      <c r="J1656">
        <f t="shared" si="77"/>
        <v>30240</v>
      </c>
    </row>
    <row r="1657" spans="1:10" x14ac:dyDescent="0.45">
      <c r="A1657" t="s">
        <v>575</v>
      </c>
      <c r="B1657" s="1">
        <v>45731</v>
      </c>
      <c r="C1657" t="s">
        <v>4007</v>
      </c>
      <c r="D1657" t="s">
        <v>39</v>
      </c>
      <c r="E1657">
        <v>6000</v>
      </c>
      <c r="F1657">
        <v>3</v>
      </c>
      <c r="G1657">
        <f t="shared" si="75"/>
        <v>18000</v>
      </c>
      <c r="H1657" t="s">
        <v>17</v>
      </c>
      <c r="I1657">
        <f t="shared" si="76"/>
        <v>7200</v>
      </c>
      <c r="J1657">
        <f t="shared" si="77"/>
        <v>21600</v>
      </c>
    </row>
    <row r="1658" spans="1:10" x14ac:dyDescent="0.45">
      <c r="A1658" t="s">
        <v>576</v>
      </c>
      <c r="B1658" s="1">
        <v>45731</v>
      </c>
      <c r="C1658" t="s">
        <v>12</v>
      </c>
      <c r="D1658" t="s">
        <v>5022</v>
      </c>
      <c r="E1658">
        <v>2880</v>
      </c>
      <c r="F1658">
        <v>8</v>
      </c>
      <c r="G1658">
        <f t="shared" si="75"/>
        <v>23040</v>
      </c>
      <c r="H1658" t="s">
        <v>21</v>
      </c>
      <c r="I1658">
        <f t="shared" si="76"/>
        <v>3456</v>
      </c>
      <c r="J1658">
        <f t="shared" si="77"/>
        <v>27648</v>
      </c>
    </row>
    <row r="1659" spans="1:10" x14ac:dyDescent="0.45">
      <c r="A1659" t="s">
        <v>577</v>
      </c>
      <c r="B1659" s="1">
        <v>45731</v>
      </c>
      <c r="C1659" t="s">
        <v>12</v>
      </c>
      <c r="D1659" t="s">
        <v>5021</v>
      </c>
      <c r="E1659">
        <v>2880</v>
      </c>
      <c r="F1659">
        <v>6</v>
      </c>
      <c r="G1659">
        <f t="shared" si="75"/>
        <v>17280</v>
      </c>
      <c r="H1659" t="s">
        <v>7</v>
      </c>
      <c r="I1659">
        <f t="shared" si="76"/>
        <v>3456</v>
      </c>
      <c r="J1659">
        <f t="shared" si="77"/>
        <v>20736</v>
      </c>
    </row>
    <row r="1660" spans="1:10" x14ac:dyDescent="0.45">
      <c r="A1660" t="s">
        <v>578</v>
      </c>
      <c r="B1660" s="1">
        <v>45731</v>
      </c>
      <c r="C1660" t="s">
        <v>4007</v>
      </c>
      <c r="D1660" t="s">
        <v>5015</v>
      </c>
      <c r="E1660">
        <v>48000</v>
      </c>
      <c r="F1660">
        <v>10</v>
      </c>
      <c r="G1660">
        <f t="shared" si="75"/>
        <v>480000</v>
      </c>
      <c r="H1660" t="s">
        <v>21</v>
      </c>
      <c r="I1660">
        <f t="shared" si="76"/>
        <v>57600</v>
      </c>
      <c r="J1660">
        <f t="shared" si="77"/>
        <v>576000</v>
      </c>
    </row>
    <row r="1661" spans="1:10" x14ac:dyDescent="0.45">
      <c r="A1661" t="s">
        <v>579</v>
      </c>
      <c r="B1661" s="1">
        <v>45731</v>
      </c>
      <c r="C1661" t="s">
        <v>33</v>
      </c>
      <c r="D1661" t="s">
        <v>14</v>
      </c>
      <c r="E1661">
        <v>800</v>
      </c>
      <c r="F1661">
        <v>3</v>
      </c>
      <c r="G1661">
        <f t="shared" si="75"/>
        <v>2400</v>
      </c>
      <c r="H1661" t="s">
        <v>21</v>
      </c>
      <c r="I1661">
        <f t="shared" si="76"/>
        <v>960</v>
      </c>
      <c r="J1661">
        <f t="shared" si="77"/>
        <v>2880</v>
      </c>
    </row>
    <row r="1662" spans="1:10" x14ac:dyDescent="0.45">
      <c r="A1662" t="s">
        <v>580</v>
      </c>
      <c r="B1662" s="1">
        <v>45731</v>
      </c>
      <c r="C1662" t="s">
        <v>12</v>
      </c>
      <c r="D1662" t="s">
        <v>5020</v>
      </c>
      <c r="E1662">
        <v>2880</v>
      </c>
      <c r="F1662">
        <v>4</v>
      </c>
      <c r="G1662">
        <f t="shared" si="75"/>
        <v>11520</v>
      </c>
      <c r="H1662" t="s">
        <v>17</v>
      </c>
      <c r="I1662">
        <f t="shared" si="76"/>
        <v>3456</v>
      </c>
      <c r="J1662">
        <f t="shared" si="77"/>
        <v>13824</v>
      </c>
    </row>
    <row r="1663" spans="1:10" x14ac:dyDescent="0.45">
      <c r="A1663" t="s">
        <v>581</v>
      </c>
      <c r="B1663" s="1">
        <v>45731</v>
      </c>
      <c r="C1663" t="s">
        <v>9</v>
      </c>
      <c r="D1663" t="s">
        <v>19</v>
      </c>
      <c r="E1663">
        <v>3000</v>
      </c>
      <c r="F1663">
        <v>8</v>
      </c>
      <c r="G1663">
        <f t="shared" si="75"/>
        <v>24000</v>
      </c>
      <c r="H1663" t="s">
        <v>7</v>
      </c>
      <c r="I1663">
        <f t="shared" si="76"/>
        <v>3600</v>
      </c>
      <c r="J1663">
        <f t="shared" si="77"/>
        <v>28800</v>
      </c>
    </row>
    <row r="1664" spans="1:10" x14ac:dyDescent="0.45">
      <c r="A1664" t="s">
        <v>582</v>
      </c>
      <c r="B1664" s="1">
        <v>45731</v>
      </c>
      <c r="C1664" t="s">
        <v>9</v>
      </c>
      <c r="D1664" t="s">
        <v>10</v>
      </c>
      <c r="E1664">
        <v>400</v>
      </c>
      <c r="F1664">
        <v>7</v>
      </c>
      <c r="G1664">
        <f t="shared" si="75"/>
        <v>2800</v>
      </c>
      <c r="H1664" t="s">
        <v>17</v>
      </c>
      <c r="I1664">
        <f t="shared" si="76"/>
        <v>480</v>
      </c>
      <c r="J1664">
        <f t="shared" si="77"/>
        <v>3360</v>
      </c>
    </row>
    <row r="1665" spans="1:10" x14ac:dyDescent="0.45">
      <c r="A1665" t="s">
        <v>583</v>
      </c>
      <c r="B1665" s="1">
        <v>45731</v>
      </c>
      <c r="C1665" t="s">
        <v>33</v>
      </c>
      <c r="D1665" t="s">
        <v>42</v>
      </c>
      <c r="E1665">
        <v>6900</v>
      </c>
      <c r="F1665">
        <v>9</v>
      </c>
      <c r="G1665">
        <f t="shared" si="75"/>
        <v>62100</v>
      </c>
      <c r="H1665" t="s">
        <v>7</v>
      </c>
      <c r="I1665">
        <f t="shared" si="76"/>
        <v>8280</v>
      </c>
      <c r="J1665">
        <f t="shared" si="77"/>
        <v>74520</v>
      </c>
    </row>
    <row r="1666" spans="1:10" x14ac:dyDescent="0.45">
      <c r="A1666" t="s">
        <v>584</v>
      </c>
      <c r="B1666" s="1">
        <v>45731</v>
      </c>
      <c r="C1666" t="s">
        <v>33</v>
      </c>
      <c r="D1666" t="s">
        <v>14</v>
      </c>
      <c r="E1666">
        <v>800</v>
      </c>
      <c r="F1666">
        <v>6</v>
      </c>
      <c r="G1666">
        <f t="shared" ref="G1666:G1729" si="78">E1666*F1666</f>
        <v>4800</v>
      </c>
      <c r="H1666" t="s">
        <v>7</v>
      </c>
      <c r="I1666">
        <f t="shared" ref="I1666:I1729" si="79">E1666*1.2</f>
        <v>960</v>
      </c>
      <c r="J1666">
        <f t="shared" ref="J1666:J1729" si="80">I1666*F1666</f>
        <v>5760</v>
      </c>
    </row>
    <row r="1667" spans="1:10" x14ac:dyDescent="0.45">
      <c r="A1667" t="s">
        <v>2918</v>
      </c>
      <c r="B1667" s="1">
        <v>45731</v>
      </c>
      <c r="C1667" t="s">
        <v>4007</v>
      </c>
      <c r="D1667" t="s">
        <v>28</v>
      </c>
      <c r="E1667">
        <v>500</v>
      </c>
      <c r="F1667">
        <v>3</v>
      </c>
      <c r="G1667">
        <f t="shared" si="78"/>
        <v>1500</v>
      </c>
      <c r="H1667" t="s">
        <v>17</v>
      </c>
      <c r="I1667">
        <f t="shared" si="79"/>
        <v>600</v>
      </c>
      <c r="J1667">
        <f t="shared" si="80"/>
        <v>1800</v>
      </c>
    </row>
    <row r="1668" spans="1:10" x14ac:dyDescent="0.45">
      <c r="A1668" t="s">
        <v>3161</v>
      </c>
      <c r="B1668" s="1">
        <v>45731</v>
      </c>
      <c r="C1668" t="s">
        <v>4007</v>
      </c>
      <c r="D1668" t="s">
        <v>2773</v>
      </c>
      <c r="E1668">
        <v>3300</v>
      </c>
      <c r="F1668">
        <v>3</v>
      </c>
      <c r="G1668">
        <f t="shared" si="78"/>
        <v>9900</v>
      </c>
      <c r="H1668" t="s">
        <v>17</v>
      </c>
      <c r="I1668">
        <f t="shared" si="79"/>
        <v>3960</v>
      </c>
      <c r="J1668">
        <f t="shared" si="80"/>
        <v>11880</v>
      </c>
    </row>
    <row r="1669" spans="1:10" x14ac:dyDescent="0.45">
      <c r="A1669" t="s">
        <v>4030</v>
      </c>
      <c r="B1669" s="1">
        <v>45731</v>
      </c>
      <c r="C1669" t="s">
        <v>33</v>
      </c>
      <c r="D1669" t="s">
        <v>3994</v>
      </c>
      <c r="E1669">
        <v>2500</v>
      </c>
      <c r="F1669" s="3">
        <v>2</v>
      </c>
      <c r="G1669">
        <f t="shared" si="78"/>
        <v>5000</v>
      </c>
      <c r="H1669" t="s">
        <v>17</v>
      </c>
      <c r="I1669">
        <f t="shared" si="79"/>
        <v>3000</v>
      </c>
      <c r="J1669">
        <f t="shared" si="80"/>
        <v>6000</v>
      </c>
    </row>
    <row r="1670" spans="1:10" x14ac:dyDescent="0.45">
      <c r="A1670" t="s">
        <v>4037</v>
      </c>
      <c r="B1670" s="1">
        <v>45731</v>
      </c>
      <c r="C1670" t="s">
        <v>3977</v>
      </c>
      <c r="D1670" t="s">
        <v>3989</v>
      </c>
      <c r="E1670">
        <v>1000</v>
      </c>
      <c r="F1670" s="3">
        <v>9</v>
      </c>
      <c r="G1670">
        <f t="shared" si="78"/>
        <v>9000</v>
      </c>
      <c r="H1670" t="s">
        <v>7</v>
      </c>
      <c r="I1670">
        <f t="shared" si="79"/>
        <v>1200</v>
      </c>
      <c r="J1670">
        <f t="shared" si="80"/>
        <v>10800</v>
      </c>
    </row>
    <row r="1671" spans="1:10" x14ac:dyDescent="0.45">
      <c r="A1671" t="s">
        <v>4041</v>
      </c>
      <c r="B1671" s="1">
        <v>45731</v>
      </c>
      <c r="C1671" t="s">
        <v>3977</v>
      </c>
      <c r="D1671" t="s">
        <v>3993</v>
      </c>
      <c r="E1671">
        <v>1000</v>
      </c>
      <c r="F1671" s="3">
        <v>2</v>
      </c>
      <c r="G1671">
        <f t="shared" si="78"/>
        <v>2000</v>
      </c>
      <c r="H1671" t="s">
        <v>21</v>
      </c>
      <c r="I1671">
        <f t="shared" si="79"/>
        <v>1200</v>
      </c>
      <c r="J1671">
        <f t="shared" si="80"/>
        <v>2400</v>
      </c>
    </row>
    <row r="1672" spans="1:10" x14ac:dyDescent="0.45">
      <c r="A1672" t="s">
        <v>4209</v>
      </c>
      <c r="B1672" s="1">
        <v>45731</v>
      </c>
      <c r="C1672" t="s">
        <v>3979</v>
      </c>
      <c r="D1672" t="s">
        <v>3984</v>
      </c>
      <c r="E1672">
        <v>12000</v>
      </c>
      <c r="F1672" s="3">
        <v>4</v>
      </c>
      <c r="G1672">
        <f t="shared" si="78"/>
        <v>48000</v>
      </c>
      <c r="H1672" t="s">
        <v>7</v>
      </c>
      <c r="I1672">
        <f t="shared" si="79"/>
        <v>14400</v>
      </c>
      <c r="J1672">
        <f t="shared" si="80"/>
        <v>57600</v>
      </c>
    </row>
    <row r="1673" spans="1:10" x14ac:dyDescent="0.45">
      <c r="A1673" t="s">
        <v>4405</v>
      </c>
      <c r="B1673" s="1">
        <v>45731</v>
      </c>
      <c r="C1673" t="s">
        <v>33</v>
      </c>
      <c r="D1673" t="s">
        <v>4001</v>
      </c>
      <c r="E1673">
        <v>500</v>
      </c>
      <c r="F1673" s="3">
        <v>9</v>
      </c>
      <c r="G1673">
        <f t="shared" si="78"/>
        <v>4500</v>
      </c>
      <c r="H1673" t="s">
        <v>7</v>
      </c>
      <c r="I1673">
        <f t="shared" si="79"/>
        <v>600</v>
      </c>
      <c r="J1673">
        <f t="shared" si="80"/>
        <v>5400</v>
      </c>
    </row>
    <row r="1674" spans="1:10" x14ac:dyDescent="0.45">
      <c r="A1674" t="s">
        <v>4499</v>
      </c>
      <c r="B1674" s="1">
        <v>45731</v>
      </c>
      <c r="C1674" t="s">
        <v>5008</v>
      </c>
      <c r="D1674" t="s">
        <v>3986</v>
      </c>
      <c r="E1674">
        <v>12000</v>
      </c>
      <c r="F1674" s="3">
        <v>10</v>
      </c>
      <c r="G1674">
        <f t="shared" si="78"/>
        <v>120000</v>
      </c>
      <c r="H1674" t="s">
        <v>21</v>
      </c>
      <c r="I1674">
        <f t="shared" si="79"/>
        <v>14400</v>
      </c>
      <c r="J1674">
        <f t="shared" si="80"/>
        <v>144000</v>
      </c>
    </row>
    <row r="1675" spans="1:10" x14ac:dyDescent="0.45">
      <c r="A1675" t="s">
        <v>4602</v>
      </c>
      <c r="B1675" s="1">
        <v>45731</v>
      </c>
      <c r="C1675" t="s">
        <v>5009</v>
      </c>
      <c r="D1675" t="s">
        <v>3990</v>
      </c>
      <c r="E1675">
        <v>2800</v>
      </c>
      <c r="F1675" s="3">
        <v>3</v>
      </c>
      <c r="G1675">
        <f t="shared" si="78"/>
        <v>8400</v>
      </c>
      <c r="H1675" t="s">
        <v>21</v>
      </c>
      <c r="I1675">
        <f t="shared" si="79"/>
        <v>3360</v>
      </c>
      <c r="J1675">
        <f t="shared" si="80"/>
        <v>10080</v>
      </c>
    </row>
    <row r="1676" spans="1:10" x14ac:dyDescent="0.45">
      <c r="A1676" t="s">
        <v>4803</v>
      </c>
      <c r="B1676" s="1">
        <v>45731</v>
      </c>
      <c r="C1676" t="s">
        <v>5008</v>
      </c>
      <c r="D1676" t="s">
        <v>4003</v>
      </c>
      <c r="E1676">
        <v>10000</v>
      </c>
      <c r="F1676" s="3">
        <v>2</v>
      </c>
      <c r="G1676">
        <f t="shared" si="78"/>
        <v>20000</v>
      </c>
      <c r="H1676" t="s">
        <v>17</v>
      </c>
      <c r="I1676">
        <f t="shared" si="79"/>
        <v>12000</v>
      </c>
      <c r="J1676">
        <f t="shared" si="80"/>
        <v>24000</v>
      </c>
    </row>
    <row r="1677" spans="1:10" x14ac:dyDescent="0.45">
      <c r="A1677" t="s">
        <v>4806</v>
      </c>
      <c r="B1677" s="1">
        <v>45731</v>
      </c>
      <c r="C1677" t="s">
        <v>3977</v>
      </c>
      <c r="D1677" t="s">
        <v>3989</v>
      </c>
      <c r="E1677">
        <v>1000</v>
      </c>
      <c r="F1677" s="3">
        <v>1</v>
      </c>
      <c r="G1677">
        <f t="shared" si="78"/>
        <v>1000</v>
      </c>
      <c r="H1677" t="s">
        <v>17</v>
      </c>
      <c r="I1677">
        <f t="shared" si="79"/>
        <v>1200</v>
      </c>
      <c r="J1677">
        <f t="shared" si="80"/>
        <v>1200</v>
      </c>
    </row>
    <row r="1678" spans="1:10" x14ac:dyDescent="0.45">
      <c r="A1678" t="s">
        <v>4818</v>
      </c>
      <c r="B1678" s="1">
        <v>45731</v>
      </c>
      <c r="C1678" t="s">
        <v>3977</v>
      </c>
      <c r="D1678" t="s">
        <v>3993</v>
      </c>
      <c r="E1678">
        <v>1000</v>
      </c>
      <c r="F1678" s="3">
        <v>8</v>
      </c>
      <c r="G1678">
        <f t="shared" si="78"/>
        <v>8000</v>
      </c>
      <c r="H1678" t="s">
        <v>21</v>
      </c>
      <c r="I1678">
        <f t="shared" si="79"/>
        <v>1200</v>
      </c>
      <c r="J1678">
        <f t="shared" si="80"/>
        <v>9600</v>
      </c>
    </row>
    <row r="1679" spans="1:10" x14ac:dyDescent="0.45">
      <c r="A1679" t="s">
        <v>4874</v>
      </c>
      <c r="B1679" s="1">
        <v>45731</v>
      </c>
      <c r="C1679" t="s">
        <v>5009</v>
      </c>
      <c r="D1679" t="s">
        <v>4000</v>
      </c>
      <c r="E1679">
        <v>3000</v>
      </c>
      <c r="F1679" s="3">
        <v>8</v>
      </c>
      <c r="G1679">
        <f t="shared" si="78"/>
        <v>24000</v>
      </c>
      <c r="H1679" t="s">
        <v>21</v>
      </c>
      <c r="I1679">
        <f t="shared" si="79"/>
        <v>3600</v>
      </c>
      <c r="J1679">
        <f t="shared" si="80"/>
        <v>28800</v>
      </c>
    </row>
    <row r="1680" spans="1:10" x14ac:dyDescent="0.45">
      <c r="A1680" t="s">
        <v>4883</v>
      </c>
      <c r="B1680" s="1">
        <v>45731</v>
      </c>
      <c r="C1680" t="s">
        <v>33</v>
      </c>
      <c r="D1680" t="s">
        <v>42</v>
      </c>
      <c r="E1680">
        <v>6900</v>
      </c>
      <c r="F1680" s="3">
        <v>8</v>
      </c>
      <c r="G1680">
        <f t="shared" si="78"/>
        <v>55200</v>
      </c>
      <c r="H1680" t="s">
        <v>7</v>
      </c>
      <c r="I1680">
        <f t="shared" si="79"/>
        <v>8280</v>
      </c>
      <c r="J1680">
        <f t="shared" si="80"/>
        <v>66240</v>
      </c>
    </row>
    <row r="1681" spans="1:10" x14ac:dyDescent="0.45">
      <c r="A1681" t="s">
        <v>585</v>
      </c>
      <c r="B1681" s="1">
        <v>45732</v>
      </c>
      <c r="C1681" t="s">
        <v>4007</v>
      </c>
      <c r="D1681" t="s">
        <v>4005</v>
      </c>
      <c r="E1681">
        <v>60000</v>
      </c>
      <c r="F1681">
        <v>6</v>
      </c>
      <c r="G1681">
        <f t="shared" si="78"/>
        <v>360000</v>
      </c>
      <c r="H1681" t="s">
        <v>17</v>
      </c>
      <c r="I1681">
        <f t="shared" si="79"/>
        <v>72000</v>
      </c>
      <c r="J1681">
        <f t="shared" si="80"/>
        <v>432000</v>
      </c>
    </row>
    <row r="1682" spans="1:10" x14ac:dyDescent="0.45">
      <c r="A1682" t="s">
        <v>586</v>
      </c>
      <c r="B1682" s="1">
        <v>45732</v>
      </c>
      <c r="C1682" t="s">
        <v>4007</v>
      </c>
      <c r="D1682" t="s">
        <v>4005</v>
      </c>
      <c r="E1682">
        <v>60000</v>
      </c>
      <c r="F1682">
        <v>4</v>
      </c>
      <c r="G1682">
        <f t="shared" si="78"/>
        <v>240000</v>
      </c>
      <c r="H1682" t="s">
        <v>7</v>
      </c>
      <c r="I1682">
        <f t="shared" si="79"/>
        <v>72000</v>
      </c>
      <c r="J1682">
        <f t="shared" si="80"/>
        <v>288000</v>
      </c>
    </row>
    <row r="1683" spans="1:10" x14ac:dyDescent="0.45">
      <c r="A1683" t="s">
        <v>587</v>
      </c>
      <c r="B1683" s="1">
        <v>45732</v>
      </c>
      <c r="C1683" t="s">
        <v>33</v>
      </c>
      <c r="D1683" t="s">
        <v>42</v>
      </c>
      <c r="E1683">
        <v>6900</v>
      </c>
      <c r="F1683">
        <v>6</v>
      </c>
      <c r="G1683">
        <f t="shared" si="78"/>
        <v>41400</v>
      </c>
      <c r="H1683" t="s">
        <v>21</v>
      </c>
      <c r="I1683">
        <f t="shared" si="79"/>
        <v>8280</v>
      </c>
      <c r="J1683">
        <f t="shared" si="80"/>
        <v>49680</v>
      </c>
    </row>
    <row r="1684" spans="1:10" x14ac:dyDescent="0.45">
      <c r="A1684" t="s">
        <v>588</v>
      </c>
      <c r="B1684" s="1">
        <v>45732</v>
      </c>
      <c r="C1684" t="s">
        <v>12</v>
      </c>
      <c r="D1684" t="s">
        <v>5020</v>
      </c>
      <c r="E1684">
        <v>2880</v>
      </c>
      <c r="F1684">
        <v>2</v>
      </c>
      <c r="G1684">
        <f t="shared" si="78"/>
        <v>5760</v>
      </c>
      <c r="H1684" t="s">
        <v>17</v>
      </c>
      <c r="I1684">
        <f t="shared" si="79"/>
        <v>3456</v>
      </c>
      <c r="J1684">
        <f t="shared" si="80"/>
        <v>6912</v>
      </c>
    </row>
    <row r="1685" spans="1:10" x14ac:dyDescent="0.45">
      <c r="A1685" t="s">
        <v>589</v>
      </c>
      <c r="B1685" s="1">
        <v>45732</v>
      </c>
      <c r="C1685" t="s">
        <v>12</v>
      </c>
      <c r="D1685" t="s">
        <v>5020</v>
      </c>
      <c r="E1685">
        <v>2880</v>
      </c>
      <c r="F1685">
        <v>2</v>
      </c>
      <c r="G1685">
        <f t="shared" si="78"/>
        <v>5760</v>
      </c>
      <c r="H1685" t="s">
        <v>17</v>
      </c>
      <c r="I1685">
        <f t="shared" si="79"/>
        <v>3456</v>
      </c>
      <c r="J1685">
        <f t="shared" si="80"/>
        <v>6912</v>
      </c>
    </row>
    <row r="1686" spans="1:10" x14ac:dyDescent="0.45">
      <c r="A1686" t="s">
        <v>590</v>
      </c>
      <c r="B1686" s="1">
        <v>45732</v>
      </c>
      <c r="C1686" t="s">
        <v>33</v>
      </c>
      <c r="D1686" t="s">
        <v>42</v>
      </c>
      <c r="E1686">
        <v>6900</v>
      </c>
      <c r="F1686">
        <v>2</v>
      </c>
      <c r="G1686">
        <f t="shared" si="78"/>
        <v>13800</v>
      </c>
      <c r="H1686" t="s">
        <v>7</v>
      </c>
      <c r="I1686">
        <f t="shared" si="79"/>
        <v>8280</v>
      </c>
      <c r="J1686">
        <f t="shared" si="80"/>
        <v>16560</v>
      </c>
    </row>
    <row r="1687" spans="1:10" x14ac:dyDescent="0.45">
      <c r="A1687" t="s">
        <v>591</v>
      </c>
      <c r="B1687" s="1">
        <v>45732</v>
      </c>
      <c r="C1687" t="s">
        <v>33</v>
      </c>
      <c r="D1687" t="s">
        <v>14</v>
      </c>
      <c r="E1687">
        <v>800</v>
      </c>
      <c r="F1687">
        <v>4</v>
      </c>
      <c r="G1687">
        <f t="shared" si="78"/>
        <v>3200</v>
      </c>
      <c r="H1687" t="s">
        <v>21</v>
      </c>
      <c r="I1687">
        <f t="shared" si="79"/>
        <v>960</v>
      </c>
      <c r="J1687">
        <f t="shared" si="80"/>
        <v>3840</v>
      </c>
    </row>
    <row r="1688" spans="1:10" x14ac:dyDescent="0.45">
      <c r="A1688" t="s">
        <v>592</v>
      </c>
      <c r="B1688" s="1">
        <v>45732</v>
      </c>
      <c r="C1688" t="s">
        <v>12</v>
      </c>
      <c r="D1688" t="s">
        <v>5020</v>
      </c>
      <c r="E1688">
        <v>2880</v>
      </c>
      <c r="F1688">
        <v>7</v>
      </c>
      <c r="G1688">
        <f t="shared" si="78"/>
        <v>20160</v>
      </c>
      <c r="H1688" t="s">
        <v>17</v>
      </c>
      <c r="I1688">
        <f t="shared" si="79"/>
        <v>3456</v>
      </c>
      <c r="J1688">
        <f t="shared" si="80"/>
        <v>24192</v>
      </c>
    </row>
    <row r="1689" spans="1:10" x14ac:dyDescent="0.45">
      <c r="A1689" t="s">
        <v>593</v>
      </c>
      <c r="B1689" s="1">
        <v>45732</v>
      </c>
      <c r="C1689" t="s">
        <v>33</v>
      </c>
      <c r="D1689" t="s">
        <v>14</v>
      </c>
      <c r="E1689">
        <v>800</v>
      </c>
      <c r="F1689">
        <v>6</v>
      </c>
      <c r="G1689">
        <f t="shared" si="78"/>
        <v>4800</v>
      </c>
      <c r="H1689" t="s">
        <v>17</v>
      </c>
      <c r="I1689">
        <f t="shared" si="79"/>
        <v>960</v>
      </c>
      <c r="J1689">
        <f t="shared" si="80"/>
        <v>5760</v>
      </c>
    </row>
    <row r="1690" spans="1:10" x14ac:dyDescent="0.45">
      <c r="A1690" t="s">
        <v>594</v>
      </c>
      <c r="B1690" s="1">
        <v>45732</v>
      </c>
      <c r="C1690" t="s">
        <v>33</v>
      </c>
      <c r="D1690" t="s">
        <v>42</v>
      </c>
      <c r="E1690">
        <v>6900</v>
      </c>
      <c r="F1690">
        <v>3</v>
      </c>
      <c r="G1690">
        <f t="shared" si="78"/>
        <v>20700</v>
      </c>
      <c r="H1690" t="s">
        <v>7</v>
      </c>
      <c r="I1690">
        <f t="shared" si="79"/>
        <v>8280</v>
      </c>
      <c r="J1690">
        <f t="shared" si="80"/>
        <v>24840</v>
      </c>
    </row>
    <row r="1691" spans="1:10" x14ac:dyDescent="0.45">
      <c r="A1691" t="s">
        <v>3146</v>
      </c>
      <c r="B1691" s="1">
        <v>45732</v>
      </c>
      <c r="C1691" t="s">
        <v>4007</v>
      </c>
      <c r="D1691" t="s">
        <v>5015</v>
      </c>
      <c r="E1691">
        <v>48000</v>
      </c>
      <c r="F1691">
        <v>1</v>
      </c>
      <c r="G1691">
        <f t="shared" si="78"/>
        <v>48000</v>
      </c>
      <c r="H1691" t="s">
        <v>17</v>
      </c>
      <c r="I1691">
        <f t="shared" si="79"/>
        <v>57600</v>
      </c>
      <c r="J1691">
        <f t="shared" si="80"/>
        <v>57600</v>
      </c>
    </row>
    <row r="1692" spans="1:10" x14ac:dyDescent="0.45">
      <c r="A1692" t="s">
        <v>3662</v>
      </c>
      <c r="B1692" s="1">
        <v>45732</v>
      </c>
      <c r="C1692" t="s">
        <v>4007</v>
      </c>
      <c r="D1692" t="s">
        <v>2774</v>
      </c>
      <c r="E1692">
        <v>1900</v>
      </c>
      <c r="F1692">
        <v>8</v>
      </c>
      <c r="G1692">
        <f t="shared" si="78"/>
        <v>15200</v>
      </c>
      <c r="H1692" t="s">
        <v>17</v>
      </c>
      <c r="I1692">
        <f t="shared" si="79"/>
        <v>2280</v>
      </c>
      <c r="J1692">
        <f t="shared" si="80"/>
        <v>18240</v>
      </c>
    </row>
    <row r="1693" spans="1:10" x14ac:dyDescent="0.45">
      <c r="A1693" t="s">
        <v>4052</v>
      </c>
      <c r="B1693" s="1">
        <v>45732</v>
      </c>
      <c r="C1693" t="s">
        <v>3977</v>
      </c>
      <c r="D1693" t="s">
        <v>3978</v>
      </c>
      <c r="E1693">
        <v>2000</v>
      </c>
      <c r="F1693" s="3">
        <v>2</v>
      </c>
      <c r="G1693">
        <f t="shared" si="78"/>
        <v>4000</v>
      </c>
      <c r="H1693" t="s">
        <v>7</v>
      </c>
      <c r="I1693">
        <f t="shared" si="79"/>
        <v>2400</v>
      </c>
      <c r="J1693">
        <f t="shared" si="80"/>
        <v>4800</v>
      </c>
    </row>
    <row r="1694" spans="1:10" x14ac:dyDescent="0.45">
      <c r="A1694" t="s">
        <v>4147</v>
      </c>
      <c r="B1694" s="1">
        <v>45732</v>
      </c>
      <c r="C1694" t="s">
        <v>5009</v>
      </c>
      <c r="D1694" t="s">
        <v>4000</v>
      </c>
      <c r="E1694">
        <v>3000</v>
      </c>
      <c r="F1694" s="3">
        <v>8</v>
      </c>
      <c r="G1694">
        <f t="shared" si="78"/>
        <v>24000</v>
      </c>
      <c r="H1694" t="s">
        <v>17</v>
      </c>
      <c r="I1694">
        <f t="shared" si="79"/>
        <v>3600</v>
      </c>
      <c r="J1694">
        <f t="shared" si="80"/>
        <v>28800</v>
      </c>
    </row>
    <row r="1695" spans="1:10" x14ac:dyDescent="0.45">
      <c r="A1695" t="s">
        <v>4200</v>
      </c>
      <c r="B1695" s="1">
        <v>45732</v>
      </c>
      <c r="C1695" t="s">
        <v>4007</v>
      </c>
      <c r="D1695" t="s">
        <v>4005</v>
      </c>
      <c r="E1695">
        <v>60000</v>
      </c>
      <c r="F1695" s="3">
        <v>9</v>
      </c>
      <c r="G1695">
        <f t="shared" si="78"/>
        <v>540000</v>
      </c>
      <c r="H1695" t="s">
        <v>17</v>
      </c>
      <c r="I1695">
        <f t="shared" si="79"/>
        <v>72000</v>
      </c>
      <c r="J1695">
        <f t="shared" si="80"/>
        <v>648000</v>
      </c>
    </row>
    <row r="1696" spans="1:10" x14ac:dyDescent="0.45">
      <c r="A1696" t="s">
        <v>4261</v>
      </c>
      <c r="B1696" s="1">
        <v>45732</v>
      </c>
      <c r="C1696" t="s">
        <v>33</v>
      </c>
      <c r="D1696" t="s">
        <v>3994</v>
      </c>
      <c r="E1696">
        <v>2500</v>
      </c>
      <c r="F1696" s="3">
        <v>4</v>
      </c>
      <c r="G1696">
        <f t="shared" si="78"/>
        <v>10000</v>
      </c>
      <c r="H1696" t="s">
        <v>21</v>
      </c>
      <c r="I1696">
        <f t="shared" si="79"/>
        <v>3000</v>
      </c>
      <c r="J1696">
        <f t="shared" si="80"/>
        <v>12000</v>
      </c>
    </row>
    <row r="1697" spans="1:10" x14ac:dyDescent="0.45">
      <c r="A1697" t="s">
        <v>4367</v>
      </c>
      <c r="B1697" s="1">
        <v>45732</v>
      </c>
      <c r="C1697" t="s">
        <v>5009</v>
      </c>
      <c r="D1697" t="s">
        <v>4000</v>
      </c>
      <c r="E1697">
        <v>3000</v>
      </c>
      <c r="F1697" s="3">
        <v>1</v>
      </c>
      <c r="G1697">
        <f t="shared" si="78"/>
        <v>3000</v>
      </c>
      <c r="H1697" t="s">
        <v>7</v>
      </c>
      <c r="I1697">
        <f t="shared" si="79"/>
        <v>3600</v>
      </c>
      <c r="J1697">
        <f t="shared" si="80"/>
        <v>3600</v>
      </c>
    </row>
    <row r="1698" spans="1:10" x14ac:dyDescent="0.45">
      <c r="A1698" t="s">
        <v>4460</v>
      </c>
      <c r="B1698" s="1">
        <v>45732</v>
      </c>
      <c r="C1698" t="s">
        <v>4007</v>
      </c>
      <c r="D1698" t="s">
        <v>3988</v>
      </c>
      <c r="E1698">
        <v>35000</v>
      </c>
      <c r="F1698" s="3">
        <v>5</v>
      </c>
      <c r="G1698">
        <f t="shared" si="78"/>
        <v>175000</v>
      </c>
      <c r="H1698" t="s">
        <v>17</v>
      </c>
      <c r="I1698">
        <f t="shared" si="79"/>
        <v>42000</v>
      </c>
      <c r="J1698">
        <f t="shared" si="80"/>
        <v>210000</v>
      </c>
    </row>
    <row r="1699" spans="1:10" x14ac:dyDescent="0.45">
      <c r="A1699" t="s">
        <v>4486</v>
      </c>
      <c r="B1699" s="1">
        <v>45732</v>
      </c>
      <c r="C1699" t="s">
        <v>5009</v>
      </c>
      <c r="D1699" t="s">
        <v>4004</v>
      </c>
      <c r="E1699">
        <v>15000</v>
      </c>
      <c r="F1699" s="3">
        <v>10</v>
      </c>
      <c r="G1699">
        <f t="shared" si="78"/>
        <v>150000</v>
      </c>
      <c r="H1699" t="s">
        <v>17</v>
      </c>
      <c r="I1699">
        <f t="shared" si="79"/>
        <v>18000</v>
      </c>
      <c r="J1699">
        <f t="shared" si="80"/>
        <v>180000</v>
      </c>
    </row>
    <row r="1700" spans="1:10" x14ac:dyDescent="0.45">
      <c r="A1700" t="s">
        <v>4736</v>
      </c>
      <c r="B1700" s="1">
        <v>45732</v>
      </c>
      <c r="C1700" t="s">
        <v>5008</v>
      </c>
      <c r="D1700" t="s">
        <v>3986</v>
      </c>
      <c r="E1700">
        <v>12000</v>
      </c>
      <c r="F1700" s="3">
        <v>4</v>
      </c>
      <c r="G1700">
        <f t="shared" si="78"/>
        <v>48000</v>
      </c>
      <c r="H1700" t="s">
        <v>7</v>
      </c>
      <c r="I1700">
        <f t="shared" si="79"/>
        <v>14400</v>
      </c>
      <c r="J1700">
        <f t="shared" si="80"/>
        <v>57600</v>
      </c>
    </row>
    <row r="1701" spans="1:10" x14ac:dyDescent="0.45">
      <c r="A1701" t="s">
        <v>4776</v>
      </c>
      <c r="B1701" s="1">
        <v>45732</v>
      </c>
      <c r="C1701" t="s">
        <v>3979</v>
      </c>
      <c r="D1701" t="s">
        <v>4006</v>
      </c>
      <c r="E1701">
        <v>2000</v>
      </c>
      <c r="F1701" s="3">
        <v>4</v>
      </c>
      <c r="G1701">
        <f t="shared" si="78"/>
        <v>8000</v>
      </c>
      <c r="H1701" t="s">
        <v>7</v>
      </c>
      <c r="I1701">
        <f t="shared" si="79"/>
        <v>2400</v>
      </c>
      <c r="J1701">
        <f t="shared" si="80"/>
        <v>9600</v>
      </c>
    </row>
    <row r="1702" spans="1:10" x14ac:dyDescent="0.45">
      <c r="A1702" t="s">
        <v>595</v>
      </c>
      <c r="B1702" s="1">
        <v>45733</v>
      </c>
      <c r="C1702" t="s">
        <v>33</v>
      </c>
      <c r="D1702" t="s">
        <v>42</v>
      </c>
      <c r="E1702">
        <v>6900</v>
      </c>
      <c r="F1702">
        <v>2</v>
      </c>
      <c r="G1702">
        <f t="shared" si="78"/>
        <v>13800</v>
      </c>
      <c r="H1702" t="s">
        <v>21</v>
      </c>
      <c r="I1702">
        <f t="shared" si="79"/>
        <v>8280</v>
      </c>
      <c r="J1702">
        <f t="shared" si="80"/>
        <v>16560</v>
      </c>
    </row>
    <row r="1703" spans="1:10" x14ac:dyDescent="0.45">
      <c r="A1703" t="s">
        <v>596</v>
      </c>
      <c r="B1703" s="1">
        <v>45733</v>
      </c>
      <c r="C1703" t="s">
        <v>12</v>
      </c>
      <c r="D1703" t="s">
        <v>5020</v>
      </c>
      <c r="E1703">
        <v>2880</v>
      </c>
      <c r="F1703">
        <v>7</v>
      </c>
      <c r="G1703">
        <f t="shared" si="78"/>
        <v>20160</v>
      </c>
      <c r="H1703" t="s">
        <v>21</v>
      </c>
      <c r="I1703">
        <f t="shared" si="79"/>
        <v>3456</v>
      </c>
      <c r="J1703">
        <f t="shared" si="80"/>
        <v>24192</v>
      </c>
    </row>
    <row r="1704" spans="1:10" x14ac:dyDescent="0.45">
      <c r="A1704" t="s">
        <v>597</v>
      </c>
      <c r="B1704" s="1">
        <v>45733</v>
      </c>
      <c r="C1704" t="s">
        <v>4007</v>
      </c>
      <c r="D1704" t="s">
        <v>28</v>
      </c>
      <c r="E1704">
        <v>500</v>
      </c>
      <c r="F1704">
        <v>1</v>
      </c>
      <c r="G1704">
        <f t="shared" si="78"/>
        <v>500</v>
      </c>
      <c r="H1704" t="s">
        <v>17</v>
      </c>
      <c r="I1704">
        <f t="shared" si="79"/>
        <v>600</v>
      </c>
      <c r="J1704">
        <f t="shared" si="80"/>
        <v>600</v>
      </c>
    </row>
    <row r="1705" spans="1:10" x14ac:dyDescent="0.45">
      <c r="A1705" t="s">
        <v>598</v>
      </c>
      <c r="B1705" s="1">
        <v>45733</v>
      </c>
      <c r="C1705" t="s">
        <v>4007</v>
      </c>
      <c r="D1705" t="s">
        <v>28</v>
      </c>
      <c r="E1705">
        <v>500</v>
      </c>
      <c r="F1705">
        <v>9</v>
      </c>
      <c r="G1705">
        <f t="shared" si="78"/>
        <v>4500</v>
      </c>
      <c r="H1705" t="s">
        <v>17</v>
      </c>
      <c r="I1705">
        <f t="shared" si="79"/>
        <v>600</v>
      </c>
      <c r="J1705">
        <f t="shared" si="80"/>
        <v>5400</v>
      </c>
    </row>
    <row r="1706" spans="1:10" x14ac:dyDescent="0.45">
      <c r="A1706" t="s">
        <v>599</v>
      </c>
      <c r="B1706" s="1">
        <v>45733</v>
      </c>
      <c r="C1706" t="s">
        <v>9</v>
      </c>
      <c r="D1706" t="s">
        <v>25</v>
      </c>
      <c r="E1706">
        <v>5200</v>
      </c>
      <c r="F1706">
        <v>6</v>
      </c>
      <c r="G1706">
        <f t="shared" si="78"/>
        <v>31200</v>
      </c>
      <c r="H1706" t="s">
        <v>21</v>
      </c>
      <c r="I1706">
        <f t="shared" si="79"/>
        <v>6240</v>
      </c>
      <c r="J1706">
        <f t="shared" si="80"/>
        <v>37440</v>
      </c>
    </row>
    <row r="1707" spans="1:10" x14ac:dyDescent="0.45">
      <c r="A1707" t="s">
        <v>600</v>
      </c>
      <c r="B1707" s="1">
        <v>45733</v>
      </c>
      <c r="C1707" t="s">
        <v>4007</v>
      </c>
      <c r="D1707" t="s">
        <v>28</v>
      </c>
      <c r="E1707">
        <v>500</v>
      </c>
      <c r="F1707">
        <v>5</v>
      </c>
      <c r="G1707">
        <f t="shared" si="78"/>
        <v>2500</v>
      </c>
      <c r="H1707" t="s">
        <v>7</v>
      </c>
      <c r="I1707">
        <f t="shared" si="79"/>
        <v>600</v>
      </c>
      <c r="J1707">
        <f t="shared" si="80"/>
        <v>3000</v>
      </c>
    </row>
    <row r="1708" spans="1:10" x14ac:dyDescent="0.45">
      <c r="A1708" t="s">
        <v>601</v>
      </c>
      <c r="B1708" s="1">
        <v>45733</v>
      </c>
      <c r="C1708" t="s">
        <v>33</v>
      </c>
      <c r="D1708" t="s">
        <v>34</v>
      </c>
      <c r="E1708">
        <v>1700</v>
      </c>
      <c r="F1708">
        <v>9</v>
      </c>
      <c r="G1708">
        <f t="shared" si="78"/>
        <v>15300</v>
      </c>
      <c r="H1708" t="s">
        <v>7</v>
      </c>
      <c r="I1708">
        <f t="shared" si="79"/>
        <v>2040</v>
      </c>
      <c r="J1708">
        <f t="shared" si="80"/>
        <v>18360</v>
      </c>
    </row>
    <row r="1709" spans="1:10" x14ac:dyDescent="0.45">
      <c r="A1709" t="s">
        <v>602</v>
      </c>
      <c r="B1709" s="1">
        <v>45733</v>
      </c>
      <c r="C1709" t="s">
        <v>4007</v>
      </c>
      <c r="D1709" t="s">
        <v>4005</v>
      </c>
      <c r="E1709">
        <v>60000</v>
      </c>
      <c r="F1709">
        <v>3</v>
      </c>
      <c r="G1709">
        <f t="shared" si="78"/>
        <v>180000</v>
      </c>
      <c r="H1709" t="s">
        <v>21</v>
      </c>
      <c r="I1709">
        <f t="shared" si="79"/>
        <v>72000</v>
      </c>
      <c r="J1709">
        <f t="shared" si="80"/>
        <v>216000</v>
      </c>
    </row>
    <row r="1710" spans="1:10" x14ac:dyDescent="0.45">
      <c r="A1710" t="s">
        <v>3040</v>
      </c>
      <c r="B1710" s="1">
        <v>45733</v>
      </c>
      <c r="C1710" t="s">
        <v>33</v>
      </c>
      <c r="D1710" t="s">
        <v>34</v>
      </c>
      <c r="E1710">
        <v>1700</v>
      </c>
      <c r="F1710">
        <v>9</v>
      </c>
      <c r="G1710">
        <f t="shared" si="78"/>
        <v>15300</v>
      </c>
      <c r="H1710" t="s">
        <v>21</v>
      </c>
      <c r="I1710">
        <f t="shared" si="79"/>
        <v>2040</v>
      </c>
      <c r="J1710">
        <f t="shared" si="80"/>
        <v>18360</v>
      </c>
    </row>
    <row r="1711" spans="1:10" x14ac:dyDescent="0.45">
      <c r="A1711" t="s">
        <v>3745</v>
      </c>
      <c r="B1711" s="1">
        <v>45733</v>
      </c>
      <c r="C1711" t="s">
        <v>2772</v>
      </c>
      <c r="D1711" t="s">
        <v>2775</v>
      </c>
      <c r="E1711">
        <v>9100</v>
      </c>
      <c r="F1711">
        <v>10</v>
      </c>
      <c r="G1711">
        <f t="shared" si="78"/>
        <v>91000</v>
      </c>
      <c r="H1711" t="s">
        <v>21</v>
      </c>
      <c r="I1711">
        <f t="shared" si="79"/>
        <v>10920</v>
      </c>
      <c r="J1711">
        <f t="shared" si="80"/>
        <v>109200</v>
      </c>
    </row>
    <row r="1712" spans="1:10" x14ac:dyDescent="0.45">
      <c r="A1712" t="s">
        <v>4259</v>
      </c>
      <c r="B1712" s="1">
        <v>45733</v>
      </c>
      <c r="C1712" t="s">
        <v>5008</v>
      </c>
      <c r="D1712" t="s">
        <v>4003</v>
      </c>
      <c r="E1712">
        <v>10000</v>
      </c>
      <c r="F1712" s="3">
        <v>10</v>
      </c>
      <c r="G1712">
        <f t="shared" si="78"/>
        <v>100000</v>
      </c>
      <c r="H1712" t="s">
        <v>17</v>
      </c>
      <c r="I1712">
        <f t="shared" si="79"/>
        <v>12000</v>
      </c>
      <c r="J1712">
        <f t="shared" si="80"/>
        <v>120000</v>
      </c>
    </row>
    <row r="1713" spans="1:10" x14ac:dyDescent="0.45">
      <c r="A1713" t="s">
        <v>4471</v>
      </c>
      <c r="B1713" s="1">
        <v>45733</v>
      </c>
      <c r="C1713" t="s">
        <v>4007</v>
      </c>
      <c r="D1713" t="s">
        <v>4005</v>
      </c>
      <c r="E1713">
        <v>60000</v>
      </c>
      <c r="F1713" s="3">
        <v>1</v>
      </c>
      <c r="G1713">
        <f t="shared" si="78"/>
        <v>60000</v>
      </c>
      <c r="H1713" t="s">
        <v>7</v>
      </c>
      <c r="I1713">
        <f t="shared" si="79"/>
        <v>72000</v>
      </c>
      <c r="J1713">
        <f t="shared" si="80"/>
        <v>72000</v>
      </c>
    </row>
    <row r="1714" spans="1:10" x14ac:dyDescent="0.45">
      <c r="A1714" t="s">
        <v>4611</v>
      </c>
      <c r="B1714" s="1">
        <v>45733</v>
      </c>
      <c r="C1714" t="s">
        <v>5009</v>
      </c>
      <c r="D1714" t="s">
        <v>4004</v>
      </c>
      <c r="E1714">
        <v>15000</v>
      </c>
      <c r="F1714" s="3">
        <v>6</v>
      </c>
      <c r="G1714">
        <f t="shared" si="78"/>
        <v>90000</v>
      </c>
      <c r="H1714" t="s">
        <v>7</v>
      </c>
      <c r="I1714">
        <f t="shared" si="79"/>
        <v>18000</v>
      </c>
      <c r="J1714">
        <f t="shared" si="80"/>
        <v>108000</v>
      </c>
    </row>
    <row r="1715" spans="1:10" x14ac:dyDescent="0.45">
      <c r="A1715" t="s">
        <v>4813</v>
      </c>
      <c r="B1715" s="1">
        <v>45733</v>
      </c>
      <c r="C1715" t="s">
        <v>33</v>
      </c>
      <c r="D1715" t="s">
        <v>3994</v>
      </c>
      <c r="E1715">
        <v>2500</v>
      </c>
      <c r="F1715" s="3">
        <v>4</v>
      </c>
      <c r="G1715">
        <f t="shared" si="78"/>
        <v>10000</v>
      </c>
      <c r="H1715" t="s">
        <v>7</v>
      </c>
      <c r="I1715">
        <f t="shared" si="79"/>
        <v>3000</v>
      </c>
      <c r="J1715">
        <f t="shared" si="80"/>
        <v>12000</v>
      </c>
    </row>
    <row r="1716" spans="1:10" x14ac:dyDescent="0.45">
      <c r="A1716" t="s">
        <v>4870</v>
      </c>
      <c r="B1716" s="1">
        <v>45733</v>
      </c>
      <c r="C1716" t="s">
        <v>33</v>
      </c>
      <c r="D1716" t="s">
        <v>3994</v>
      </c>
      <c r="E1716">
        <v>2500</v>
      </c>
      <c r="F1716" s="3">
        <v>9</v>
      </c>
      <c r="G1716">
        <f t="shared" si="78"/>
        <v>22500</v>
      </c>
      <c r="H1716" t="s">
        <v>7</v>
      </c>
      <c r="I1716">
        <f t="shared" si="79"/>
        <v>3000</v>
      </c>
      <c r="J1716">
        <f t="shared" si="80"/>
        <v>27000</v>
      </c>
    </row>
    <row r="1717" spans="1:10" x14ac:dyDescent="0.45">
      <c r="A1717" t="s">
        <v>4897</v>
      </c>
      <c r="B1717" s="1">
        <v>45733</v>
      </c>
      <c r="C1717" t="s">
        <v>5009</v>
      </c>
      <c r="D1717" t="s">
        <v>3982</v>
      </c>
      <c r="E1717">
        <v>13000</v>
      </c>
      <c r="F1717" s="3">
        <v>10</v>
      </c>
      <c r="G1717">
        <f t="shared" si="78"/>
        <v>130000</v>
      </c>
      <c r="H1717" t="s">
        <v>21</v>
      </c>
      <c r="I1717">
        <f t="shared" si="79"/>
        <v>15600</v>
      </c>
      <c r="J1717">
        <f t="shared" si="80"/>
        <v>156000</v>
      </c>
    </row>
    <row r="1718" spans="1:10" x14ac:dyDescent="0.45">
      <c r="A1718" t="s">
        <v>603</v>
      </c>
      <c r="B1718" s="1">
        <v>45734</v>
      </c>
      <c r="C1718" t="s">
        <v>33</v>
      </c>
      <c r="D1718" t="s">
        <v>16</v>
      </c>
      <c r="E1718">
        <v>1200</v>
      </c>
      <c r="F1718">
        <v>6</v>
      </c>
      <c r="G1718">
        <f t="shared" si="78"/>
        <v>7200</v>
      </c>
      <c r="H1718" t="s">
        <v>7</v>
      </c>
      <c r="I1718">
        <f t="shared" si="79"/>
        <v>1440</v>
      </c>
      <c r="J1718">
        <f t="shared" si="80"/>
        <v>8640</v>
      </c>
    </row>
    <row r="1719" spans="1:10" x14ac:dyDescent="0.45">
      <c r="A1719" t="s">
        <v>604</v>
      </c>
      <c r="B1719" s="1">
        <v>45734</v>
      </c>
      <c r="C1719" t="s">
        <v>4007</v>
      </c>
      <c r="D1719" t="s">
        <v>4005</v>
      </c>
      <c r="E1719">
        <v>60000</v>
      </c>
      <c r="F1719">
        <v>7</v>
      </c>
      <c r="G1719">
        <f t="shared" si="78"/>
        <v>420000</v>
      </c>
      <c r="H1719" t="s">
        <v>7</v>
      </c>
      <c r="I1719">
        <f t="shared" si="79"/>
        <v>72000</v>
      </c>
      <c r="J1719">
        <f t="shared" si="80"/>
        <v>504000</v>
      </c>
    </row>
    <row r="1720" spans="1:10" x14ac:dyDescent="0.45">
      <c r="A1720" t="s">
        <v>605</v>
      </c>
      <c r="B1720" s="1">
        <v>45734</v>
      </c>
      <c r="C1720" t="s">
        <v>4007</v>
      </c>
      <c r="D1720" t="s">
        <v>5015</v>
      </c>
      <c r="E1720">
        <v>48000</v>
      </c>
      <c r="F1720">
        <v>5</v>
      </c>
      <c r="G1720">
        <f t="shared" si="78"/>
        <v>240000</v>
      </c>
      <c r="H1720" t="s">
        <v>21</v>
      </c>
      <c r="I1720">
        <f t="shared" si="79"/>
        <v>57600</v>
      </c>
      <c r="J1720">
        <f t="shared" si="80"/>
        <v>288000</v>
      </c>
    </row>
    <row r="1721" spans="1:10" x14ac:dyDescent="0.45">
      <c r="A1721" t="s">
        <v>606</v>
      </c>
      <c r="B1721" s="1">
        <v>45734</v>
      </c>
      <c r="C1721" t="s">
        <v>33</v>
      </c>
      <c r="D1721" t="s">
        <v>16</v>
      </c>
      <c r="E1721">
        <v>1200</v>
      </c>
      <c r="F1721">
        <v>7</v>
      </c>
      <c r="G1721">
        <f t="shared" si="78"/>
        <v>8400</v>
      </c>
      <c r="H1721" t="s">
        <v>17</v>
      </c>
      <c r="I1721">
        <f t="shared" si="79"/>
        <v>1440</v>
      </c>
      <c r="J1721">
        <f t="shared" si="80"/>
        <v>10080</v>
      </c>
    </row>
    <row r="1722" spans="1:10" x14ac:dyDescent="0.45">
      <c r="A1722" t="s">
        <v>607</v>
      </c>
      <c r="B1722" s="1">
        <v>45734</v>
      </c>
      <c r="C1722" t="s">
        <v>4007</v>
      </c>
      <c r="D1722" t="s">
        <v>4005</v>
      </c>
      <c r="E1722">
        <v>60000</v>
      </c>
      <c r="F1722">
        <v>10</v>
      </c>
      <c r="G1722">
        <f t="shared" si="78"/>
        <v>600000</v>
      </c>
      <c r="H1722" t="s">
        <v>21</v>
      </c>
      <c r="I1722">
        <f t="shared" si="79"/>
        <v>72000</v>
      </c>
      <c r="J1722">
        <f t="shared" si="80"/>
        <v>720000</v>
      </c>
    </row>
    <row r="1723" spans="1:10" x14ac:dyDescent="0.45">
      <c r="A1723" t="s">
        <v>608</v>
      </c>
      <c r="B1723" s="1">
        <v>45734</v>
      </c>
      <c r="C1723" t="s">
        <v>12</v>
      </c>
      <c r="D1723" t="s">
        <v>5023</v>
      </c>
      <c r="E1723">
        <v>1750</v>
      </c>
      <c r="F1723">
        <v>10</v>
      </c>
      <c r="G1723">
        <f t="shared" si="78"/>
        <v>17500</v>
      </c>
      <c r="H1723" t="s">
        <v>21</v>
      </c>
      <c r="I1723">
        <f t="shared" si="79"/>
        <v>2100</v>
      </c>
      <c r="J1723">
        <f t="shared" si="80"/>
        <v>21000</v>
      </c>
    </row>
    <row r="1724" spans="1:10" x14ac:dyDescent="0.45">
      <c r="A1724" t="s">
        <v>609</v>
      </c>
      <c r="B1724" s="1">
        <v>45734</v>
      </c>
      <c r="C1724" t="s">
        <v>33</v>
      </c>
      <c r="D1724" t="s">
        <v>14</v>
      </c>
      <c r="E1724">
        <v>800</v>
      </c>
      <c r="F1724">
        <v>7</v>
      </c>
      <c r="G1724">
        <f t="shared" si="78"/>
        <v>5600</v>
      </c>
      <c r="H1724" t="s">
        <v>21</v>
      </c>
      <c r="I1724">
        <f t="shared" si="79"/>
        <v>960</v>
      </c>
      <c r="J1724">
        <f t="shared" si="80"/>
        <v>6720</v>
      </c>
    </row>
    <row r="1725" spans="1:10" x14ac:dyDescent="0.45">
      <c r="A1725" t="s">
        <v>610</v>
      </c>
      <c r="B1725" s="1">
        <v>45734</v>
      </c>
      <c r="C1725" t="s">
        <v>9</v>
      </c>
      <c r="D1725" t="s">
        <v>25</v>
      </c>
      <c r="E1725">
        <v>5200</v>
      </c>
      <c r="F1725">
        <v>6</v>
      </c>
      <c r="G1725">
        <f t="shared" si="78"/>
        <v>31200</v>
      </c>
      <c r="H1725" t="s">
        <v>7</v>
      </c>
      <c r="I1725">
        <f t="shared" si="79"/>
        <v>6240</v>
      </c>
      <c r="J1725">
        <f t="shared" si="80"/>
        <v>37440</v>
      </c>
    </row>
    <row r="1726" spans="1:10" x14ac:dyDescent="0.45">
      <c r="A1726" t="s">
        <v>611</v>
      </c>
      <c r="B1726" s="1">
        <v>45734</v>
      </c>
      <c r="C1726" t="s">
        <v>12</v>
      </c>
      <c r="D1726" t="s">
        <v>5021</v>
      </c>
      <c r="E1726">
        <v>2880</v>
      </c>
      <c r="F1726">
        <v>5</v>
      </c>
      <c r="G1726">
        <f t="shared" si="78"/>
        <v>14400</v>
      </c>
      <c r="H1726" t="s">
        <v>17</v>
      </c>
      <c r="I1726">
        <f t="shared" si="79"/>
        <v>3456</v>
      </c>
      <c r="J1726">
        <f t="shared" si="80"/>
        <v>17280</v>
      </c>
    </row>
    <row r="1727" spans="1:10" x14ac:dyDescent="0.45">
      <c r="A1727" t="s">
        <v>3057</v>
      </c>
      <c r="B1727" s="1">
        <v>45734</v>
      </c>
      <c r="C1727" t="s">
        <v>2772</v>
      </c>
      <c r="D1727" t="s">
        <v>2775</v>
      </c>
      <c r="E1727">
        <v>9100</v>
      </c>
      <c r="F1727">
        <v>10</v>
      </c>
      <c r="G1727">
        <f t="shared" si="78"/>
        <v>91000</v>
      </c>
      <c r="H1727" t="s">
        <v>17</v>
      </c>
      <c r="I1727">
        <f t="shared" si="79"/>
        <v>10920</v>
      </c>
      <c r="J1727">
        <f t="shared" si="80"/>
        <v>109200</v>
      </c>
    </row>
    <row r="1728" spans="1:10" x14ac:dyDescent="0.45">
      <c r="A1728" t="s">
        <v>3302</v>
      </c>
      <c r="B1728" s="1">
        <v>45734</v>
      </c>
      <c r="C1728" t="s">
        <v>4007</v>
      </c>
      <c r="D1728" t="s">
        <v>2774</v>
      </c>
      <c r="E1728">
        <v>1900</v>
      </c>
      <c r="F1728">
        <v>7</v>
      </c>
      <c r="G1728">
        <f t="shared" si="78"/>
        <v>13300</v>
      </c>
      <c r="H1728" t="s">
        <v>21</v>
      </c>
      <c r="I1728">
        <f t="shared" si="79"/>
        <v>2280</v>
      </c>
      <c r="J1728">
        <f t="shared" si="80"/>
        <v>15960</v>
      </c>
    </row>
    <row r="1729" spans="1:10" x14ac:dyDescent="0.45">
      <c r="A1729" t="s">
        <v>3413</v>
      </c>
      <c r="B1729" s="1">
        <v>45734</v>
      </c>
      <c r="C1729" t="s">
        <v>2772</v>
      </c>
      <c r="D1729" t="s">
        <v>2775</v>
      </c>
      <c r="E1729">
        <v>9100</v>
      </c>
      <c r="F1729">
        <v>8</v>
      </c>
      <c r="G1729">
        <f t="shared" si="78"/>
        <v>72800</v>
      </c>
      <c r="H1729" t="s">
        <v>7</v>
      </c>
      <c r="I1729">
        <f t="shared" si="79"/>
        <v>10920</v>
      </c>
      <c r="J1729">
        <f t="shared" si="80"/>
        <v>87360</v>
      </c>
    </row>
    <row r="1730" spans="1:10" x14ac:dyDescent="0.45">
      <c r="A1730" t="s">
        <v>4215</v>
      </c>
      <c r="B1730" s="1">
        <v>45734</v>
      </c>
      <c r="C1730" t="s">
        <v>33</v>
      </c>
      <c r="D1730" t="s">
        <v>42</v>
      </c>
      <c r="E1730">
        <v>6900</v>
      </c>
      <c r="F1730" s="3">
        <v>10</v>
      </c>
      <c r="G1730">
        <f t="shared" ref="G1730:G1793" si="81">E1730*F1730</f>
        <v>69000</v>
      </c>
      <c r="H1730" t="s">
        <v>17</v>
      </c>
      <c r="I1730">
        <f t="shared" ref="I1730:I1793" si="82">E1730*1.2</f>
        <v>8280</v>
      </c>
      <c r="J1730">
        <f t="shared" ref="J1730:J1793" si="83">I1730*F1730</f>
        <v>82800</v>
      </c>
    </row>
    <row r="1731" spans="1:10" x14ac:dyDescent="0.45">
      <c r="A1731" t="s">
        <v>4311</v>
      </c>
      <c r="B1731" s="1">
        <v>45734</v>
      </c>
      <c r="C1731" t="s">
        <v>3979</v>
      </c>
      <c r="D1731" t="s">
        <v>3980</v>
      </c>
      <c r="E1731">
        <v>500</v>
      </c>
      <c r="F1731" s="3">
        <v>4</v>
      </c>
      <c r="G1731">
        <f t="shared" si="81"/>
        <v>2000</v>
      </c>
      <c r="H1731" t="s">
        <v>21</v>
      </c>
      <c r="I1731">
        <f t="shared" si="82"/>
        <v>600</v>
      </c>
      <c r="J1731">
        <f t="shared" si="83"/>
        <v>2400</v>
      </c>
    </row>
    <row r="1732" spans="1:10" x14ac:dyDescent="0.45">
      <c r="A1732" t="s">
        <v>4484</v>
      </c>
      <c r="B1732" s="1">
        <v>45734</v>
      </c>
      <c r="C1732" t="s">
        <v>5009</v>
      </c>
      <c r="D1732" t="s">
        <v>3992</v>
      </c>
      <c r="E1732">
        <v>400</v>
      </c>
      <c r="F1732" s="3">
        <v>5</v>
      </c>
      <c r="G1732">
        <f t="shared" si="81"/>
        <v>2000</v>
      </c>
      <c r="H1732" t="s">
        <v>21</v>
      </c>
      <c r="I1732">
        <f t="shared" si="82"/>
        <v>480</v>
      </c>
      <c r="J1732">
        <f t="shared" si="83"/>
        <v>2400</v>
      </c>
    </row>
    <row r="1733" spans="1:10" x14ac:dyDescent="0.45">
      <c r="A1733" t="s">
        <v>4523</v>
      </c>
      <c r="B1733" s="1">
        <v>45734</v>
      </c>
      <c r="C1733" t="s">
        <v>5008</v>
      </c>
      <c r="D1733" t="s">
        <v>3995</v>
      </c>
      <c r="E1733">
        <v>15000</v>
      </c>
      <c r="F1733" s="3">
        <v>1</v>
      </c>
      <c r="G1733">
        <f t="shared" si="81"/>
        <v>15000</v>
      </c>
      <c r="H1733" t="s">
        <v>17</v>
      </c>
      <c r="I1733">
        <f t="shared" si="82"/>
        <v>18000</v>
      </c>
      <c r="J1733">
        <f t="shared" si="83"/>
        <v>18000</v>
      </c>
    </row>
    <row r="1734" spans="1:10" x14ac:dyDescent="0.45">
      <c r="A1734" t="s">
        <v>4641</v>
      </c>
      <c r="B1734" s="1">
        <v>45734</v>
      </c>
      <c r="C1734" t="s">
        <v>33</v>
      </c>
      <c r="D1734" t="s">
        <v>3981</v>
      </c>
      <c r="E1734">
        <v>4000</v>
      </c>
      <c r="F1734" s="3">
        <v>3</v>
      </c>
      <c r="G1734">
        <f t="shared" si="81"/>
        <v>12000</v>
      </c>
      <c r="H1734" t="s">
        <v>7</v>
      </c>
      <c r="I1734">
        <f t="shared" si="82"/>
        <v>4800</v>
      </c>
      <c r="J1734">
        <f t="shared" si="83"/>
        <v>14400</v>
      </c>
    </row>
    <row r="1735" spans="1:10" x14ac:dyDescent="0.45">
      <c r="A1735" t="s">
        <v>4730</v>
      </c>
      <c r="B1735" s="1">
        <v>45734</v>
      </c>
      <c r="C1735" t="s">
        <v>33</v>
      </c>
      <c r="D1735" t="s">
        <v>4001</v>
      </c>
      <c r="E1735">
        <v>500</v>
      </c>
      <c r="F1735" s="3">
        <v>3</v>
      </c>
      <c r="G1735">
        <f t="shared" si="81"/>
        <v>1500</v>
      </c>
      <c r="H1735" t="s">
        <v>21</v>
      </c>
      <c r="I1735">
        <f t="shared" si="82"/>
        <v>600</v>
      </c>
      <c r="J1735">
        <f t="shared" si="83"/>
        <v>1800</v>
      </c>
    </row>
    <row r="1736" spans="1:10" x14ac:dyDescent="0.45">
      <c r="A1736" t="s">
        <v>4968</v>
      </c>
      <c r="B1736" s="1">
        <v>45734</v>
      </c>
      <c r="C1736" t="s">
        <v>5008</v>
      </c>
      <c r="D1736" t="s">
        <v>3996</v>
      </c>
      <c r="E1736">
        <v>2000</v>
      </c>
      <c r="F1736" s="3">
        <v>1</v>
      </c>
      <c r="G1736">
        <f t="shared" si="81"/>
        <v>2000</v>
      </c>
      <c r="H1736" t="s">
        <v>21</v>
      </c>
      <c r="I1736">
        <f t="shared" si="82"/>
        <v>2400</v>
      </c>
      <c r="J1736">
        <f t="shared" si="83"/>
        <v>2400</v>
      </c>
    </row>
    <row r="1737" spans="1:10" x14ac:dyDescent="0.45">
      <c r="A1737" t="s">
        <v>612</v>
      </c>
      <c r="B1737" s="1">
        <v>45735</v>
      </c>
      <c r="C1737" t="s">
        <v>33</v>
      </c>
      <c r="D1737" t="s">
        <v>16</v>
      </c>
      <c r="E1737">
        <v>1200</v>
      </c>
      <c r="F1737">
        <v>8</v>
      </c>
      <c r="G1737">
        <f t="shared" si="81"/>
        <v>9600</v>
      </c>
      <c r="H1737" t="s">
        <v>7</v>
      </c>
      <c r="I1737">
        <f t="shared" si="82"/>
        <v>1440</v>
      </c>
      <c r="J1737">
        <f t="shared" si="83"/>
        <v>11520</v>
      </c>
    </row>
    <row r="1738" spans="1:10" x14ac:dyDescent="0.45">
      <c r="A1738" t="s">
        <v>613</v>
      </c>
      <c r="B1738" s="1">
        <v>45735</v>
      </c>
      <c r="C1738" t="s">
        <v>33</v>
      </c>
      <c r="D1738" t="s">
        <v>16</v>
      </c>
      <c r="E1738">
        <v>1200</v>
      </c>
      <c r="F1738">
        <v>8</v>
      </c>
      <c r="G1738">
        <f t="shared" si="81"/>
        <v>9600</v>
      </c>
      <c r="H1738" t="s">
        <v>21</v>
      </c>
      <c r="I1738">
        <f t="shared" si="82"/>
        <v>1440</v>
      </c>
      <c r="J1738">
        <f t="shared" si="83"/>
        <v>11520</v>
      </c>
    </row>
    <row r="1739" spans="1:10" x14ac:dyDescent="0.45">
      <c r="A1739" t="s">
        <v>614</v>
      </c>
      <c r="B1739" s="1">
        <v>45735</v>
      </c>
      <c r="C1739" t="s">
        <v>12</v>
      </c>
      <c r="D1739" t="s">
        <v>5022</v>
      </c>
      <c r="E1739">
        <v>2880</v>
      </c>
      <c r="F1739">
        <v>1</v>
      </c>
      <c r="G1739">
        <f t="shared" si="81"/>
        <v>2880</v>
      </c>
      <c r="H1739" t="s">
        <v>21</v>
      </c>
      <c r="I1739">
        <f t="shared" si="82"/>
        <v>3456</v>
      </c>
      <c r="J1739">
        <f t="shared" si="83"/>
        <v>3456</v>
      </c>
    </row>
    <row r="1740" spans="1:10" x14ac:dyDescent="0.45">
      <c r="A1740" t="s">
        <v>615</v>
      </c>
      <c r="B1740" s="1">
        <v>45735</v>
      </c>
      <c r="C1740" t="s">
        <v>12</v>
      </c>
      <c r="D1740" t="s">
        <v>5023</v>
      </c>
      <c r="E1740">
        <v>1750</v>
      </c>
      <c r="F1740">
        <v>1</v>
      </c>
      <c r="G1740">
        <f t="shared" si="81"/>
        <v>1750</v>
      </c>
      <c r="H1740" t="s">
        <v>17</v>
      </c>
      <c r="I1740">
        <f t="shared" si="82"/>
        <v>2100</v>
      </c>
      <c r="J1740">
        <f t="shared" si="83"/>
        <v>2100</v>
      </c>
    </row>
    <row r="1741" spans="1:10" x14ac:dyDescent="0.45">
      <c r="A1741" t="s">
        <v>616</v>
      </c>
      <c r="B1741" s="1">
        <v>45735</v>
      </c>
      <c r="C1741" t="s">
        <v>12</v>
      </c>
      <c r="D1741" t="s">
        <v>5022</v>
      </c>
      <c r="E1741">
        <v>2880</v>
      </c>
      <c r="F1741">
        <v>3</v>
      </c>
      <c r="G1741">
        <f t="shared" si="81"/>
        <v>8640</v>
      </c>
      <c r="H1741" t="s">
        <v>21</v>
      </c>
      <c r="I1741">
        <f t="shared" si="82"/>
        <v>3456</v>
      </c>
      <c r="J1741">
        <f t="shared" si="83"/>
        <v>10368</v>
      </c>
    </row>
    <row r="1742" spans="1:10" x14ac:dyDescent="0.45">
      <c r="A1742" t="s">
        <v>617</v>
      </c>
      <c r="B1742" s="1">
        <v>45735</v>
      </c>
      <c r="C1742" t="s">
        <v>9</v>
      </c>
      <c r="D1742" t="s">
        <v>10</v>
      </c>
      <c r="E1742">
        <v>400</v>
      </c>
      <c r="F1742">
        <v>3</v>
      </c>
      <c r="G1742">
        <f t="shared" si="81"/>
        <v>1200</v>
      </c>
      <c r="H1742" t="s">
        <v>7</v>
      </c>
      <c r="I1742">
        <f t="shared" si="82"/>
        <v>480</v>
      </c>
      <c r="J1742">
        <f t="shared" si="83"/>
        <v>1440</v>
      </c>
    </row>
    <row r="1743" spans="1:10" x14ac:dyDescent="0.45">
      <c r="A1743" t="s">
        <v>618</v>
      </c>
      <c r="B1743" s="1">
        <v>45735</v>
      </c>
      <c r="C1743" t="s">
        <v>4007</v>
      </c>
      <c r="D1743" t="s">
        <v>39</v>
      </c>
      <c r="E1743">
        <v>6000</v>
      </c>
      <c r="F1743">
        <v>7</v>
      </c>
      <c r="G1743">
        <f t="shared" si="81"/>
        <v>42000</v>
      </c>
      <c r="H1743" t="s">
        <v>17</v>
      </c>
      <c r="I1743">
        <f t="shared" si="82"/>
        <v>7200</v>
      </c>
      <c r="J1743">
        <f t="shared" si="83"/>
        <v>50400</v>
      </c>
    </row>
    <row r="1744" spans="1:10" x14ac:dyDescent="0.45">
      <c r="A1744" t="s">
        <v>619</v>
      </c>
      <c r="B1744" s="1">
        <v>45735</v>
      </c>
      <c r="C1744" t="s">
        <v>9</v>
      </c>
      <c r="D1744" t="s">
        <v>19</v>
      </c>
      <c r="E1744">
        <v>3000</v>
      </c>
      <c r="F1744">
        <v>4</v>
      </c>
      <c r="G1744">
        <f t="shared" si="81"/>
        <v>12000</v>
      </c>
      <c r="H1744" t="s">
        <v>17</v>
      </c>
      <c r="I1744">
        <f t="shared" si="82"/>
        <v>3600</v>
      </c>
      <c r="J1744">
        <f t="shared" si="83"/>
        <v>14400</v>
      </c>
    </row>
    <row r="1745" spans="1:10" x14ac:dyDescent="0.45">
      <c r="A1745" t="s">
        <v>620</v>
      </c>
      <c r="B1745" s="1">
        <v>45735</v>
      </c>
      <c r="C1745" t="s">
        <v>9</v>
      </c>
      <c r="D1745" t="s">
        <v>19</v>
      </c>
      <c r="E1745">
        <v>3000</v>
      </c>
      <c r="F1745">
        <v>3</v>
      </c>
      <c r="G1745">
        <f t="shared" si="81"/>
        <v>9000</v>
      </c>
      <c r="H1745" t="s">
        <v>17</v>
      </c>
      <c r="I1745">
        <f t="shared" si="82"/>
        <v>3600</v>
      </c>
      <c r="J1745">
        <f t="shared" si="83"/>
        <v>10800</v>
      </c>
    </row>
    <row r="1746" spans="1:10" x14ac:dyDescent="0.45">
      <c r="A1746" t="s">
        <v>621</v>
      </c>
      <c r="B1746" s="1">
        <v>45735</v>
      </c>
      <c r="C1746" t="s">
        <v>33</v>
      </c>
      <c r="D1746" t="s">
        <v>16</v>
      </c>
      <c r="E1746">
        <v>1200</v>
      </c>
      <c r="F1746">
        <v>5</v>
      </c>
      <c r="G1746">
        <f t="shared" si="81"/>
        <v>6000</v>
      </c>
      <c r="H1746" t="s">
        <v>21</v>
      </c>
      <c r="I1746">
        <f t="shared" si="82"/>
        <v>1440</v>
      </c>
      <c r="J1746">
        <f t="shared" si="83"/>
        <v>7200</v>
      </c>
    </row>
    <row r="1747" spans="1:10" x14ac:dyDescent="0.45">
      <c r="A1747" t="s">
        <v>3093</v>
      </c>
      <c r="B1747" s="1">
        <v>45735</v>
      </c>
      <c r="C1747" t="s">
        <v>2772</v>
      </c>
      <c r="D1747" t="s">
        <v>2771</v>
      </c>
      <c r="E1747">
        <v>120</v>
      </c>
      <c r="F1747">
        <v>4</v>
      </c>
      <c r="G1747">
        <f t="shared" si="81"/>
        <v>480</v>
      </c>
      <c r="H1747" t="s">
        <v>17</v>
      </c>
      <c r="I1747">
        <f t="shared" si="82"/>
        <v>144</v>
      </c>
      <c r="J1747">
        <f t="shared" si="83"/>
        <v>576</v>
      </c>
    </row>
    <row r="1748" spans="1:10" x14ac:dyDescent="0.45">
      <c r="A1748" t="s">
        <v>3442</v>
      </c>
      <c r="B1748" s="1">
        <v>45735</v>
      </c>
      <c r="C1748" t="s">
        <v>4007</v>
      </c>
      <c r="D1748" t="s">
        <v>2776</v>
      </c>
      <c r="E1748">
        <v>3600</v>
      </c>
      <c r="F1748">
        <v>5</v>
      </c>
      <c r="G1748">
        <f t="shared" si="81"/>
        <v>18000</v>
      </c>
      <c r="H1748" t="s">
        <v>17</v>
      </c>
      <c r="I1748">
        <f t="shared" si="82"/>
        <v>4320</v>
      </c>
      <c r="J1748">
        <f t="shared" si="83"/>
        <v>21600</v>
      </c>
    </row>
    <row r="1749" spans="1:10" x14ac:dyDescent="0.45">
      <c r="A1749" t="s">
        <v>4057</v>
      </c>
      <c r="B1749" s="1">
        <v>45735</v>
      </c>
      <c r="C1749" t="s">
        <v>5008</v>
      </c>
      <c r="D1749" t="s">
        <v>3996</v>
      </c>
      <c r="E1749">
        <v>2000</v>
      </c>
      <c r="F1749" s="3">
        <v>10</v>
      </c>
      <c r="G1749">
        <f t="shared" si="81"/>
        <v>20000</v>
      </c>
      <c r="H1749" t="s">
        <v>17</v>
      </c>
      <c r="I1749">
        <f t="shared" si="82"/>
        <v>2400</v>
      </c>
      <c r="J1749">
        <f t="shared" si="83"/>
        <v>24000</v>
      </c>
    </row>
    <row r="1750" spans="1:10" x14ac:dyDescent="0.45">
      <c r="A1750" t="s">
        <v>4112</v>
      </c>
      <c r="B1750" s="1">
        <v>45735</v>
      </c>
      <c r="C1750" t="s">
        <v>3977</v>
      </c>
      <c r="D1750" t="s">
        <v>4002</v>
      </c>
      <c r="E1750">
        <v>2500</v>
      </c>
      <c r="F1750" s="3">
        <v>7</v>
      </c>
      <c r="G1750">
        <f t="shared" si="81"/>
        <v>17500</v>
      </c>
      <c r="H1750" t="s">
        <v>7</v>
      </c>
      <c r="I1750">
        <f t="shared" si="82"/>
        <v>3000</v>
      </c>
      <c r="J1750">
        <f t="shared" si="83"/>
        <v>21000</v>
      </c>
    </row>
    <row r="1751" spans="1:10" x14ac:dyDescent="0.45">
      <c r="A1751" t="s">
        <v>4155</v>
      </c>
      <c r="B1751" s="1">
        <v>45735</v>
      </c>
      <c r="C1751" t="s">
        <v>3977</v>
      </c>
      <c r="D1751" t="s">
        <v>3978</v>
      </c>
      <c r="E1751">
        <v>2000</v>
      </c>
      <c r="F1751" s="3">
        <v>4</v>
      </c>
      <c r="G1751">
        <f t="shared" si="81"/>
        <v>8000</v>
      </c>
      <c r="H1751" t="s">
        <v>17</v>
      </c>
      <c r="I1751">
        <f t="shared" si="82"/>
        <v>2400</v>
      </c>
      <c r="J1751">
        <f t="shared" si="83"/>
        <v>9600</v>
      </c>
    </row>
    <row r="1752" spans="1:10" x14ac:dyDescent="0.45">
      <c r="A1752" t="s">
        <v>4202</v>
      </c>
      <c r="B1752" s="1">
        <v>45735</v>
      </c>
      <c r="C1752" t="s">
        <v>3979</v>
      </c>
      <c r="D1752" t="s">
        <v>3984</v>
      </c>
      <c r="E1752">
        <v>12000</v>
      </c>
      <c r="F1752" s="3">
        <v>5</v>
      </c>
      <c r="G1752">
        <f t="shared" si="81"/>
        <v>60000</v>
      </c>
      <c r="H1752" t="s">
        <v>7</v>
      </c>
      <c r="I1752">
        <f t="shared" si="82"/>
        <v>14400</v>
      </c>
      <c r="J1752">
        <f t="shared" si="83"/>
        <v>72000</v>
      </c>
    </row>
    <row r="1753" spans="1:10" x14ac:dyDescent="0.45">
      <c r="A1753" t="s">
        <v>4268</v>
      </c>
      <c r="B1753" s="1">
        <v>45735</v>
      </c>
      <c r="C1753" t="s">
        <v>3979</v>
      </c>
      <c r="D1753" t="s">
        <v>4006</v>
      </c>
      <c r="E1753">
        <v>2000</v>
      </c>
      <c r="F1753" s="3">
        <v>9</v>
      </c>
      <c r="G1753">
        <f t="shared" si="81"/>
        <v>18000</v>
      </c>
      <c r="H1753" t="s">
        <v>17</v>
      </c>
      <c r="I1753">
        <f t="shared" si="82"/>
        <v>2400</v>
      </c>
      <c r="J1753">
        <f t="shared" si="83"/>
        <v>21600</v>
      </c>
    </row>
    <row r="1754" spans="1:10" x14ac:dyDescent="0.45">
      <c r="A1754" t="s">
        <v>4344</v>
      </c>
      <c r="B1754" s="1">
        <v>45735</v>
      </c>
      <c r="C1754" t="s">
        <v>5008</v>
      </c>
      <c r="D1754" t="s">
        <v>4003</v>
      </c>
      <c r="E1754">
        <v>10000</v>
      </c>
      <c r="F1754" s="3">
        <v>9</v>
      </c>
      <c r="G1754">
        <f t="shared" si="81"/>
        <v>90000</v>
      </c>
      <c r="H1754" t="s">
        <v>21</v>
      </c>
      <c r="I1754">
        <f t="shared" si="82"/>
        <v>12000</v>
      </c>
      <c r="J1754">
        <f t="shared" si="83"/>
        <v>108000</v>
      </c>
    </row>
    <row r="1755" spans="1:10" x14ac:dyDescent="0.45">
      <c r="A1755" t="s">
        <v>4389</v>
      </c>
      <c r="B1755" s="1">
        <v>45735</v>
      </c>
      <c r="C1755" t="s">
        <v>3979</v>
      </c>
      <c r="D1755" t="s">
        <v>3984</v>
      </c>
      <c r="E1755">
        <v>12000</v>
      </c>
      <c r="F1755" s="3">
        <v>2</v>
      </c>
      <c r="G1755">
        <f t="shared" si="81"/>
        <v>24000</v>
      </c>
      <c r="H1755" t="s">
        <v>7</v>
      </c>
      <c r="I1755">
        <f t="shared" si="82"/>
        <v>14400</v>
      </c>
      <c r="J1755">
        <f t="shared" si="83"/>
        <v>28800</v>
      </c>
    </row>
    <row r="1756" spans="1:10" x14ac:dyDescent="0.45">
      <c r="A1756" t="s">
        <v>4431</v>
      </c>
      <c r="B1756" s="1">
        <v>45735</v>
      </c>
      <c r="C1756" t="s">
        <v>5008</v>
      </c>
      <c r="D1756" t="s">
        <v>4003</v>
      </c>
      <c r="E1756">
        <v>10000</v>
      </c>
      <c r="F1756" s="3">
        <v>8</v>
      </c>
      <c r="G1756">
        <f t="shared" si="81"/>
        <v>80000</v>
      </c>
      <c r="H1756" t="s">
        <v>21</v>
      </c>
      <c r="I1756">
        <f t="shared" si="82"/>
        <v>12000</v>
      </c>
      <c r="J1756">
        <f t="shared" si="83"/>
        <v>96000</v>
      </c>
    </row>
    <row r="1757" spans="1:10" x14ac:dyDescent="0.45">
      <c r="A1757" t="s">
        <v>4443</v>
      </c>
      <c r="B1757" s="1">
        <v>45735</v>
      </c>
      <c r="C1757" t="s">
        <v>5009</v>
      </c>
      <c r="D1757" t="s">
        <v>4000</v>
      </c>
      <c r="E1757">
        <v>3000</v>
      </c>
      <c r="F1757" s="3">
        <v>9</v>
      </c>
      <c r="G1757">
        <f t="shared" si="81"/>
        <v>27000</v>
      </c>
      <c r="H1757" t="s">
        <v>7</v>
      </c>
      <c r="I1757">
        <f t="shared" si="82"/>
        <v>3600</v>
      </c>
      <c r="J1757">
        <f t="shared" si="83"/>
        <v>32400</v>
      </c>
    </row>
    <row r="1758" spans="1:10" x14ac:dyDescent="0.45">
      <c r="A1758" t="s">
        <v>4553</v>
      </c>
      <c r="B1758" s="1">
        <v>45735</v>
      </c>
      <c r="C1758" t="s">
        <v>33</v>
      </c>
      <c r="D1758" t="s">
        <v>4001</v>
      </c>
      <c r="E1758">
        <v>500</v>
      </c>
      <c r="F1758" s="3">
        <v>4</v>
      </c>
      <c r="G1758">
        <f t="shared" si="81"/>
        <v>2000</v>
      </c>
      <c r="H1758" t="s">
        <v>17</v>
      </c>
      <c r="I1758">
        <f t="shared" si="82"/>
        <v>600</v>
      </c>
      <c r="J1758">
        <f t="shared" si="83"/>
        <v>2400</v>
      </c>
    </row>
    <row r="1759" spans="1:10" x14ac:dyDescent="0.45">
      <c r="A1759" t="s">
        <v>4645</v>
      </c>
      <c r="B1759" s="1">
        <v>45735</v>
      </c>
      <c r="C1759" t="s">
        <v>3979</v>
      </c>
      <c r="D1759" t="s">
        <v>3983</v>
      </c>
      <c r="E1759">
        <v>1000</v>
      </c>
      <c r="F1759" s="3">
        <v>1</v>
      </c>
      <c r="G1759">
        <f t="shared" si="81"/>
        <v>1000</v>
      </c>
      <c r="H1759" t="s">
        <v>21</v>
      </c>
      <c r="I1759">
        <f t="shared" si="82"/>
        <v>1200</v>
      </c>
      <c r="J1759">
        <f t="shared" si="83"/>
        <v>1200</v>
      </c>
    </row>
    <row r="1760" spans="1:10" x14ac:dyDescent="0.45">
      <c r="A1760" t="s">
        <v>4649</v>
      </c>
      <c r="B1760" s="1">
        <v>45735</v>
      </c>
      <c r="C1760" t="s">
        <v>3979</v>
      </c>
      <c r="D1760" t="s">
        <v>3984</v>
      </c>
      <c r="E1760">
        <v>12000</v>
      </c>
      <c r="F1760" s="3">
        <v>8</v>
      </c>
      <c r="G1760">
        <f t="shared" si="81"/>
        <v>96000</v>
      </c>
      <c r="H1760" t="s">
        <v>7</v>
      </c>
      <c r="I1760">
        <f t="shared" si="82"/>
        <v>14400</v>
      </c>
      <c r="J1760">
        <f t="shared" si="83"/>
        <v>115200</v>
      </c>
    </row>
    <row r="1761" spans="1:10" x14ac:dyDescent="0.45">
      <c r="A1761" t="s">
        <v>4719</v>
      </c>
      <c r="B1761" s="1">
        <v>45735</v>
      </c>
      <c r="C1761" t="s">
        <v>33</v>
      </c>
      <c r="D1761" t="s">
        <v>42</v>
      </c>
      <c r="E1761">
        <v>6900</v>
      </c>
      <c r="F1761" s="3">
        <v>4</v>
      </c>
      <c r="G1761">
        <f t="shared" si="81"/>
        <v>27600</v>
      </c>
      <c r="H1761" t="s">
        <v>17</v>
      </c>
      <c r="I1761">
        <f t="shared" si="82"/>
        <v>8280</v>
      </c>
      <c r="J1761">
        <f t="shared" si="83"/>
        <v>33120</v>
      </c>
    </row>
    <row r="1762" spans="1:10" x14ac:dyDescent="0.45">
      <c r="A1762" t="s">
        <v>4882</v>
      </c>
      <c r="B1762" s="1">
        <v>45735</v>
      </c>
      <c r="C1762" t="s">
        <v>33</v>
      </c>
      <c r="D1762" t="s">
        <v>3981</v>
      </c>
      <c r="E1762">
        <v>4000</v>
      </c>
      <c r="F1762" s="3">
        <v>4</v>
      </c>
      <c r="G1762">
        <f t="shared" si="81"/>
        <v>16000</v>
      </c>
      <c r="H1762" t="s">
        <v>17</v>
      </c>
      <c r="I1762">
        <f t="shared" si="82"/>
        <v>4800</v>
      </c>
      <c r="J1762">
        <f t="shared" si="83"/>
        <v>19200</v>
      </c>
    </row>
    <row r="1763" spans="1:10" x14ac:dyDescent="0.45">
      <c r="A1763" t="s">
        <v>4892</v>
      </c>
      <c r="B1763" s="1">
        <v>45735</v>
      </c>
      <c r="C1763" t="s">
        <v>4007</v>
      </c>
      <c r="D1763" t="s">
        <v>3997</v>
      </c>
      <c r="E1763">
        <v>62000</v>
      </c>
      <c r="F1763" s="3">
        <v>2</v>
      </c>
      <c r="G1763">
        <f t="shared" si="81"/>
        <v>124000</v>
      </c>
      <c r="H1763" t="s">
        <v>21</v>
      </c>
      <c r="I1763">
        <f t="shared" si="82"/>
        <v>74400</v>
      </c>
      <c r="J1763">
        <f t="shared" si="83"/>
        <v>148800</v>
      </c>
    </row>
    <row r="1764" spans="1:10" x14ac:dyDescent="0.45">
      <c r="A1764" t="s">
        <v>4970</v>
      </c>
      <c r="B1764" s="1">
        <v>45735</v>
      </c>
      <c r="C1764" t="s">
        <v>5008</v>
      </c>
      <c r="D1764" t="s">
        <v>3998</v>
      </c>
      <c r="E1764">
        <v>8000</v>
      </c>
      <c r="F1764" s="3">
        <v>1</v>
      </c>
      <c r="G1764">
        <f t="shared" si="81"/>
        <v>8000</v>
      </c>
      <c r="H1764" t="s">
        <v>21</v>
      </c>
      <c r="I1764">
        <f t="shared" si="82"/>
        <v>9600</v>
      </c>
      <c r="J1764">
        <f t="shared" si="83"/>
        <v>9600</v>
      </c>
    </row>
    <row r="1765" spans="1:10" x14ac:dyDescent="0.45">
      <c r="A1765" t="s">
        <v>622</v>
      </c>
      <c r="B1765" s="1">
        <v>45736</v>
      </c>
      <c r="C1765" t="s">
        <v>4007</v>
      </c>
      <c r="D1765" t="s">
        <v>4005</v>
      </c>
      <c r="E1765">
        <v>60000</v>
      </c>
      <c r="F1765">
        <v>4</v>
      </c>
      <c r="G1765">
        <f t="shared" si="81"/>
        <v>240000</v>
      </c>
      <c r="H1765" t="s">
        <v>21</v>
      </c>
      <c r="I1765">
        <f t="shared" si="82"/>
        <v>72000</v>
      </c>
      <c r="J1765">
        <f t="shared" si="83"/>
        <v>288000</v>
      </c>
    </row>
    <row r="1766" spans="1:10" x14ac:dyDescent="0.45">
      <c r="A1766" t="s">
        <v>623</v>
      </c>
      <c r="B1766" s="1">
        <v>45736</v>
      </c>
      <c r="C1766" t="s">
        <v>4007</v>
      </c>
      <c r="D1766" t="s">
        <v>28</v>
      </c>
      <c r="E1766">
        <v>500</v>
      </c>
      <c r="F1766">
        <v>9</v>
      </c>
      <c r="G1766">
        <f t="shared" si="81"/>
        <v>4500</v>
      </c>
      <c r="H1766" t="s">
        <v>21</v>
      </c>
      <c r="I1766">
        <f t="shared" si="82"/>
        <v>600</v>
      </c>
      <c r="J1766">
        <f t="shared" si="83"/>
        <v>5400</v>
      </c>
    </row>
    <row r="1767" spans="1:10" x14ac:dyDescent="0.45">
      <c r="A1767" t="s">
        <v>624</v>
      </c>
      <c r="B1767" s="1">
        <v>45736</v>
      </c>
      <c r="C1767" t="s">
        <v>12</v>
      </c>
      <c r="D1767" t="s">
        <v>5022</v>
      </c>
      <c r="E1767">
        <v>2880</v>
      </c>
      <c r="F1767">
        <v>6</v>
      </c>
      <c r="G1767">
        <f t="shared" si="81"/>
        <v>17280</v>
      </c>
      <c r="H1767" t="s">
        <v>21</v>
      </c>
      <c r="I1767">
        <f t="shared" si="82"/>
        <v>3456</v>
      </c>
      <c r="J1767">
        <f t="shared" si="83"/>
        <v>20736</v>
      </c>
    </row>
    <row r="1768" spans="1:10" x14ac:dyDescent="0.45">
      <c r="A1768" t="s">
        <v>625</v>
      </c>
      <c r="B1768" s="1">
        <v>45736</v>
      </c>
      <c r="C1768" t="s">
        <v>12</v>
      </c>
      <c r="D1768" t="s">
        <v>5023</v>
      </c>
      <c r="E1768">
        <v>1750</v>
      </c>
      <c r="F1768">
        <v>10</v>
      </c>
      <c r="G1768">
        <f t="shared" si="81"/>
        <v>17500</v>
      </c>
      <c r="H1768" t="s">
        <v>17</v>
      </c>
      <c r="I1768">
        <f t="shared" si="82"/>
        <v>2100</v>
      </c>
      <c r="J1768">
        <f t="shared" si="83"/>
        <v>21000</v>
      </c>
    </row>
    <row r="1769" spans="1:10" x14ac:dyDescent="0.45">
      <c r="A1769" t="s">
        <v>626</v>
      </c>
      <c r="B1769" s="1">
        <v>45736</v>
      </c>
      <c r="C1769" t="s">
        <v>4007</v>
      </c>
      <c r="D1769" t="s">
        <v>39</v>
      </c>
      <c r="E1769">
        <v>6000</v>
      </c>
      <c r="F1769">
        <v>7</v>
      </c>
      <c r="G1769">
        <f t="shared" si="81"/>
        <v>42000</v>
      </c>
      <c r="H1769" t="s">
        <v>21</v>
      </c>
      <c r="I1769">
        <f t="shared" si="82"/>
        <v>7200</v>
      </c>
      <c r="J1769">
        <f t="shared" si="83"/>
        <v>50400</v>
      </c>
    </row>
    <row r="1770" spans="1:10" x14ac:dyDescent="0.45">
      <c r="A1770" t="s">
        <v>627</v>
      </c>
      <c r="B1770" s="1">
        <v>45736</v>
      </c>
      <c r="C1770" t="s">
        <v>4007</v>
      </c>
      <c r="D1770" t="s">
        <v>39</v>
      </c>
      <c r="E1770">
        <v>6000</v>
      </c>
      <c r="F1770">
        <v>5</v>
      </c>
      <c r="G1770">
        <f t="shared" si="81"/>
        <v>30000</v>
      </c>
      <c r="H1770" t="s">
        <v>17</v>
      </c>
      <c r="I1770">
        <f t="shared" si="82"/>
        <v>7200</v>
      </c>
      <c r="J1770">
        <f t="shared" si="83"/>
        <v>36000</v>
      </c>
    </row>
    <row r="1771" spans="1:10" x14ac:dyDescent="0.45">
      <c r="A1771" t="s">
        <v>628</v>
      </c>
      <c r="B1771" s="1">
        <v>45736</v>
      </c>
      <c r="C1771" t="s">
        <v>33</v>
      </c>
      <c r="D1771" t="s">
        <v>42</v>
      </c>
      <c r="E1771">
        <v>6900</v>
      </c>
      <c r="F1771">
        <v>6</v>
      </c>
      <c r="G1771">
        <f t="shared" si="81"/>
        <v>41400</v>
      </c>
      <c r="H1771" t="s">
        <v>21</v>
      </c>
      <c r="I1771">
        <f t="shared" si="82"/>
        <v>8280</v>
      </c>
      <c r="J1771">
        <f t="shared" si="83"/>
        <v>49680</v>
      </c>
    </row>
    <row r="1772" spans="1:10" x14ac:dyDescent="0.45">
      <c r="A1772" t="s">
        <v>2874</v>
      </c>
      <c r="B1772" s="1">
        <v>45736</v>
      </c>
      <c r="C1772" t="s">
        <v>4007</v>
      </c>
      <c r="D1772" t="s">
        <v>2774</v>
      </c>
      <c r="E1772">
        <v>1900</v>
      </c>
      <c r="F1772">
        <v>2</v>
      </c>
      <c r="G1772">
        <f t="shared" si="81"/>
        <v>3800</v>
      </c>
      <c r="H1772" t="s">
        <v>17</v>
      </c>
      <c r="I1772">
        <f t="shared" si="82"/>
        <v>2280</v>
      </c>
      <c r="J1772">
        <f t="shared" si="83"/>
        <v>4560</v>
      </c>
    </row>
    <row r="1773" spans="1:10" x14ac:dyDescent="0.45">
      <c r="A1773" t="s">
        <v>2892</v>
      </c>
      <c r="B1773" s="1">
        <v>45736</v>
      </c>
      <c r="C1773" t="s">
        <v>4007</v>
      </c>
      <c r="D1773" t="s">
        <v>2774</v>
      </c>
      <c r="E1773">
        <v>1900</v>
      </c>
      <c r="F1773">
        <v>2</v>
      </c>
      <c r="G1773">
        <f t="shared" si="81"/>
        <v>3800</v>
      </c>
      <c r="H1773" t="s">
        <v>21</v>
      </c>
      <c r="I1773">
        <f t="shared" si="82"/>
        <v>2280</v>
      </c>
      <c r="J1773">
        <f t="shared" si="83"/>
        <v>4560</v>
      </c>
    </row>
    <row r="1774" spans="1:10" x14ac:dyDescent="0.45">
      <c r="A1774" t="s">
        <v>3149</v>
      </c>
      <c r="B1774" s="1">
        <v>45736</v>
      </c>
      <c r="C1774" t="s">
        <v>4007</v>
      </c>
      <c r="D1774" t="s">
        <v>5015</v>
      </c>
      <c r="E1774">
        <v>48000</v>
      </c>
      <c r="F1774">
        <v>8</v>
      </c>
      <c r="G1774">
        <f t="shared" si="81"/>
        <v>384000</v>
      </c>
      <c r="H1774" t="s">
        <v>7</v>
      </c>
      <c r="I1774">
        <f t="shared" si="82"/>
        <v>57600</v>
      </c>
      <c r="J1774">
        <f t="shared" si="83"/>
        <v>460800</v>
      </c>
    </row>
    <row r="1775" spans="1:10" x14ac:dyDescent="0.45">
      <c r="A1775" t="s">
        <v>3248</v>
      </c>
      <c r="B1775" s="1">
        <v>45736</v>
      </c>
      <c r="C1775" t="s">
        <v>4007</v>
      </c>
      <c r="D1775" t="s">
        <v>5015</v>
      </c>
      <c r="E1775">
        <v>48000</v>
      </c>
      <c r="F1775">
        <v>7</v>
      </c>
      <c r="G1775">
        <f t="shared" si="81"/>
        <v>336000</v>
      </c>
      <c r="H1775" t="s">
        <v>7</v>
      </c>
      <c r="I1775">
        <f t="shared" si="82"/>
        <v>57600</v>
      </c>
      <c r="J1775">
        <f t="shared" si="83"/>
        <v>403200</v>
      </c>
    </row>
    <row r="1776" spans="1:10" x14ac:dyDescent="0.45">
      <c r="A1776" t="s">
        <v>3683</v>
      </c>
      <c r="B1776" s="1">
        <v>45736</v>
      </c>
      <c r="C1776" t="s">
        <v>4007</v>
      </c>
      <c r="D1776" t="s">
        <v>2774</v>
      </c>
      <c r="E1776">
        <v>1900</v>
      </c>
      <c r="F1776">
        <v>4</v>
      </c>
      <c r="G1776">
        <f t="shared" si="81"/>
        <v>7600</v>
      </c>
      <c r="H1776" t="s">
        <v>7</v>
      </c>
      <c r="I1776">
        <f t="shared" si="82"/>
        <v>2280</v>
      </c>
      <c r="J1776">
        <f t="shared" si="83"/>
        <v>9120</v>
      </c>
    </row>
    <row r="1777" spans="1:10" x14ac:dyDescent="0.45">
      <c r="A1777" t="s">
        <v>3917</v>
      </c>
      <c r="B1777" s="1">
        <v>45736</v>
      </c>
      <c r="C1777" t="s">
        <v>4007</v>
      </c>
      <c r="D1777" t="s">
        <v>5015</v>
      </c>
      <c r="E1777">
        <v>48000</v>
      </c>
      <c r="F1777">
        <v>4</v>
      </c>
      <c r="G1777">
        <f t="shared" si="81"/>
        <v>192000</v>
      </c>
      <c r="H1777" t="s">
        <v>7</v>
      </c>
      <c r="I1777">
        <f t="shared" si="82"/>
        <v>57600</v>
      </c>
      <c r="J1777">
        <f t="shared" si="83"/>
        <v>230400</v>
      </c>
    </row>
    <row r="1778" spans="1:10" x14ac:dyDescent="0.45">
      <c r="A1778" t="s">
        <v>3928</v>
      </c>
      <c r="B1778" s="1">
        <v>45736</v>
      </c>
      <c r="C1778" t="s">
        <v>4007</v>
      </c>
      <c r="D1778" t="s">
        <v>2773</v>
      </c>
      <c r="E1778">
        <v>3300</v>
      </c>
      <c r="F1778">
        <v>2</v>
      </c>
      <c r="G1778">
        <f t="shared" si="81"/>
        <v>6600</v>
      </c>
      <c r="H1778" t="s">
        <v>7</v>
      </c>
      <c r="I1778">
        <f t="shared" si="82"/>
        <v>3960</v>
      </c>
      <c r="J1778">
        <f t="shared" si="83"/>
        <v>7920</v>
      </c>
    </row>
    <row r="1779" spans="1:10" x14ac:dyDescent="0.45">
      <c r="A1779" t="s">
        <v>4220</v>
      </c>
      <c r="B1779" s="1">
        <v>45736</v>
      </c>
      <c r="C1779" t="s">
        <v>33</v>
      </c>
      <c r="D1779" t="s">
        <v>42</v>
      </c>
      <c r="E1779">
        <v>6900</v>
      </c>
      <c r="F1779" s="3">
        <v>5</v>
      </c>
      <c r="G1779">
        <f t="shared" si="81"/>
        <v>34500</v>
      </c>
      <c r="H1779" t="s">
        <v>17</v>
      </c>
      <c r="I1779">
        <f t="shared" si="82"/>
        <v>8280</v>
      </c>
      <c r="J1779">
        <f t="shared" si="83"/>
        <v>41400</v>
      </c>
    </row>
    <row r="1780" spans="1:10" x14ac:dyDescent="0.45">
      <c r="A1780" t="s">
        <v>4232</v>
      </c>
      <c r="B1780" s="1">
        <v>45736</v>
      </c>
      <c r="C1780" t="s">
        <v>4007</v>
      </c>
      <c r="D1780" t="s">
        <v>5015</v>
      </c>
      <c r="E1780">
        <v>48000</v>
      </c>
      <c r="F1780" s="3">
        <v>2</v>
      </c>
      <c r="G1780">
        <f t="shared" si="81"/>
        <v>96000</v>
      </c>
      <c r="H1780" t="s">
        <v>21</v>
      </c>
      <c r="I1780">
        <f t="shared" si="82"/>
        <v>57600</v>
      </c>
      <c r="J1780">
        <f t="shared" si="83"/>
        <v>115200</v>
      </c>
    </row>
    <row r="1781" spans="1:10" x14ac:dyDescent="0.45">
      <c r="A1781" t="s">
        <v>4286</v>
      </c>
      <c r="B1781" s="1">
        <v>45736</v>
      </c>
      <c r="C1781" t="s">
        <v>5008</v>
      </c>
      <c r="D1781" t="s">
        <v>4003</v>
      </c>
      <c r="E1781">
        <v>10000</v>
      </c>
      <c r="F1781" s="3">
        <v>10</v>
      </c>
      <c r="G1781">
        <f t="shared" si="81"/>
        <v>100000</v>
      </c>
      <c r="H1781" t="s">
        <v>21</v>
      </c>
      <c r="I1781">
        <f t="shared" si="82"/>
        <v>12000</v>
      </c>
      <c r="J1781">
        <f t="shared" si="83"/>
        <v>120000</v>
      </c>
    </row>
    <row r="1782" spans="1:10" x14ac:dyDescent="0.45">
      <c r="A1782" t="s">
        <v>4287</v>
      </c>
      <c r="B1782" s="1">
        <v>45736</v>
      </c>
      <c r="C1782" t="s">
        <v>5009</v>
      </c>
      <c r="D1782" t="s">
        <v>3982</v>
      </c>
      <c r="E1782">
        <v>13000</v>
      </c>
      <c r="F1782" s="3">
        <v>10</v>
      </c>
      <c r="G1782">
        <f t="shared" si="81"/>
        <v>130000</v>
      </c>
      <c r="H1782" t="s">
        <v>7</v>
      </c>
      <c r="I1782">
        <f t="shared" si="82"/>
        <v>15600</v>
      </c>
      <c r="J1782">
        <f t="shared" si="83"/>
        <v>156000</v>
      </c>
    </row>
    <row r="1783" spans="1:10" x14ac:dyDescent="0.45">
      <c r="A1783" t="s">
        <v>4435</v>
      </c>
      <c r="B1783" s="1">
        <v>45736</v>
      </c>
      <c r="C1783" t="s">
        <v>4007</v>
      </c>
      <c r="D1783" t="s">
        <v>4005</v>
      </c>
      <c r="E1783">
        <v>60000</v>
      </c>
      <c r="F1783" s="3">
        <v>3</v>
      </c>
      <c r="G1783">
        <f t="shared" si="81"/>
        <v>180000</v>
      </c>
      <c r="H1783" t="s">
        <v>21</v>
      </c>
      <c r="I1783">
        <f t="shared" si="82"/>
        <v>72000</v>
      </c>
      <c r="J1783">
        <f t="shared" si="83"/>
        <v>216000</v>
      </c>
    </row>
    <row r="1784" spans="1:10" x14ac:dyDescent="0.45">
      <c r="A1784" t="s">
        <v>4503</v>
      </c>
      <c r="B1784" s="1">
        <v>45736</v>
      </c>
      <c r="C1784" t="s">
        <v>5009</v>
      </c>
      <c r="D1784" t="s">
        <v>4004</v>
      </c>
      <c r="E1784">
        <v>15000</v>
      </c>
      <c r="F1784" s="3">
        <v>8</v>
      </c>
      <c r="G1784">
        <f t="shared" si="81"/>
        <v>120000</v>
      </c>
      <c r="H1784" t="s">
        <v>17</v>
      </c>
      <c r="I1784">
        <f t="shared" si="82"/>
        <v>18000</v>
      </c>
      <c r="J1784">
        <f t="shared" si="83"/>
        <v>144000</v>
      </c>
    </row>
    <row r="1785" spans="1:10" x14ac:dyDescent="0.45">
      <c r="A1785" t="s">
        <v>4529</v>
      </c>
      <c r="B1785" s="1">
        <v>45736</v>
      </c>
      <c r="C1785" t="s">
        <v>33</v>
      </c>
      <c r="D1785" t="s">
        <v>3985</v>
      </c>
      <c r="E1785">
        <v>1950</v>
      </c>
      <c r="F1785" s="3">
        <v>6</v>
      </c>
      <c r="G1785">
        <f t="shared" si="81"/>
        <v>11700</v>
      </c>
      <c r="H1785" t="s">
        <v>17</v>
      </c>
      <c r="I1785">
        <f t="shared" si="82"/>
        <v>2340</v>
      </c>
      <c r="J1785">
        <f t="shared" si="83"/>
        <v>14040</v>
      </c>
    </row>
    <row r="1786" spans="1:10" x14ac:dyDescent="0.45">
      <c r="A1786" t="s">
        <v>4571</v>
      </c>
      <c r="B1786" s="1">
        <v>45736</v>
      </c>
      <c r="C1786" t="s">
        <v>3979</v>
      </c>
      <c r="D1786" t="s">
        <v>3980</v>
      </c>
      <c r="E1786">
        <v>500</v>
      </c>
      <c r="F1786" s="3">
        <v>6</v>
      </c>
      <c r="G1786">
        <f t="shared" si="81"/>
        <v>3000</v>
      </c>
      <c r="H1786" t="s">
        <v>21</v>
      </c>
      <c r="I1786">
        <f t="shared" si="82"/>
        <v>600</v>
      </c>
      <c r="J1786">
        <f t="shared" si="83"/>
        <v>3600</v>
      </c>
    </row>
    <row r="1787" spans="1:10" x14ac:dyDescent="0.45">
      <c r="A1787" t="s">
        <v>4572</v>
      </c>
      <c r="B1787" s="1">
        <v>45736</v>
      </c>
      <c r="C1787" t="s">
        <v>5008</v>
      </c>
      <c r="D1787" t="s">
        <v>3996</v>
      </c>
      <c r="E1787">
        <v>2000</v>
      </c>
      <c r="F1787" s="3">
        <v>2</v>
      </c>
      <c r="G1787">
        <f t="shared" si="81"/>
        <v>4000</v>
      </c>
      <c r="H1787" t="s">
        <v>21</v>
      </c>
      <c r="I1787">
        <f t="shared" si="82"/>
        <v>2400</v>
      </c>
      <c r="J1787">
        <f t="shared" si="83"/>
        <v>4800</v>
      </c>
    </row>
    <row r="1788" spans="1:10" x14ac:dyDescent="0.45">
      <c r="A1788" t="s">
        <v>4623</v>
      </c>
      <c r="B1788" s="1">
        <v>45736</v>
      </c>
      <c r="C1788" t="s">
        <v>5009</v>
      </c>
      <c r="D1788" t="s">
        <v>3982</v>
      </c>
      <c r="E1788">
        <v>13000</v>
      </c>
      <c r="F1788" s="3">
        <v>9</v>
      </c>
      <c r="G1788">
        <f t="shared" si="81"/>
        <v>117000</v>
      </c>
      <c r="H1788" t="s">
        <v>7</v>
      </c>
      <c r="I1788">
        <f t="shared" si="82"/>
        <v>15600</v>
      </c>
      <c r="J1788">
        <f t="shared" si="83"/>
        <v>140400</v>
      </c>
    </row>
    <row r="1789" spans="1:10" x14ac:dyDescent="0.45">
      <c r="A1789" t="s">
        <v>4629</v>
      </c>
      <c r="B1789" s="1">
        <v>45736</v>
      </c>
      <c r="C1789" t="s">
        <v>4007</v>
      </c>
      <c r="D1789" t="s">
        <v>3988</v>
      </c>
      <c r="E1789">
        <v>35000</v>
      </c>
      <c r="F1789" s="3">
        <v>1</v>
      </c>
      <c r="G1789">
        <f t="shared" si="81"/>
        <v>35000</v>
      </c>
      <c r="H1789" t="s">
        <v>17</v>
      </c>
      <c r="I1789">
        <f t="shared" si="82"/>
        <v>42000</v>
      </c>
      <c r="J1789">
        <f t="shared" si="83"/>
        <v>42000</v>
      </c>
    </row>
    <row r="1790" spans="1:10" x14ac:dyDescent="0.45">
      <c r="A1790" t="s">
        <v>4642</v>
      </c>
      <c r="B1790" s="1">
        <v>45736</v>
      </c>
      <c r="C1790" t="s">
        <v>4007</v>
      </c>
      <c r="D1790" t="s">
        <v>3999</v>
      </c>
      <c r="E1790">
        <v>50000</v>
      </c>
      <c r="F1790" s="3">
        <v>3</v>
      </c>
      <c r="G1790">
        <f t="shared" si="81"/>
        <v>150000</v>
      </c>
      <c r="H1790" t="s">
        <v>7</v>
      </c>
      <c r="I1790">
        <f t="shared" si="82"/>
        <v>60000</v>
      </c>
      <c r="J1790">
        <f t="shared" si="83"/>
        <v>180000</v>
      </c>
    </row>
    <row r="1791" spans="1:10" x14ac:dyDescent="0.45">
      <c r="A1791" t="s">
        <v>4655</v>
      </c>
      <c r="B1791" s="1">
        <v>45736</v>
      </c>
      <c r="C1791" t="s">
        <v>5008</v>
      </c>
      <c r="D1791" t="s">
        <v>3996</v>
      </c>
      <c r="E1791">
        <v>2000</v>
      </c>
      <c r="F1791" s="3">
        <v>1</v>
      </c>
      <c r="G1791">
        <f t="shared" si="81"/>
        <v>2000</v>
      </c>
      <c r="H1791" t="s">
        <v>21</v>
      </c>
      <c r="I1791">
        <f t="shared" si="82"/>
        <v>2400</v>
      </c>
      <c r="J1791">
        <f t="shared" si="83"/>
        <v>2400</v>
      </c>
    </row>
    <row r="1792" spans="1:10" x14ac:dyDescent="0.45">
      <c r="A1792" t="s">
        <v>4747</v>
      </c>
      <c r="B1792" s="1">
        <v>45736</v>
      </c>
      <c r="C1792" t="s">
        <v>33</v>
      </c>
      <c r="D1792" t="s">
        <v>4001</v>
      </c>
      <c r="E1792">
        <v>500</v>
      </c>
      <c r="F1792" s="3">
        <v>9</v>
      </c>
      <c r="G1792">
        <f t="shared" si="81"/>
        <v>4500</v>
      </c>
      <c r="H1792" t="s">
        <v>7</v>
      </c>
      <c r="I1792">
        <f t="shared" si="82"/>
        <v>600</v>
      </c>
      <c r="J1792">
        <f t="shared" si="83"/>
        <v>5400</v>
      </c>
    </row>
    <row r="1793" spans="1:10" x14ac:dyDescent="0.45">
      <c r="A1793" t="s">
        <v>4786</v>
      </c>
      <c r="B1793" s="1">
        <v>45736</v>
      </c>
      <c r="C1793" t="s">
        <v>5009</v>
      </c>
      <c r="D1793" t="s">
        <v>3982</v>
      </c>
      <c r="E1793">
        <v>13000</v>
      </c>
      <c r="F1793" s="3">
        <v>5</v>
      </c>
      <c r="G1793">
        <f t="shared" si="81"/>
        <v>65000</v>
      </c>
      <c r="H1793" t="s">
        <v>7</v>
      </c>
      <c r="I1793">
        <f t="shared" si="82"/>
        <v>15600</v>
      </c>
      <c r="J1793">
        <f t="shared" si="83"/>
        <v>78000</v>
      </c>
    </row>
    <row r="1794" spans="1:10" x14ac:dyDescent="0.45">
      <c r="A1794" t="s">
        <v>629</v>
      </c>
      <c r="B1794" s="1">
        <v>45737</v>
      </c>
      <c r="C1794" t="s">
        <v>12</v>
      </c>
      <c r="D1794" t="s">
        <v>5021</v>
      </c>
      <c r="E1794">
        <v>2880</v>
      </c>
      <c r="F1794">
        <v>8</v>
      </c>
      <c r="G1794">
        <f t="shared" ref="G1794:G1857" si="84">E1794*F1794</f>
        <v>23040</v>
      </c>
      <c r="H1794" t="s">
        <v>7</v>
      </c>
      <c r="I1794">
        <f t="shared" ref="I1794:I1857" si="85">E1794*1.2</f>
        <v>3456</v>
      </c>
      <c r="J1794">
        <f t="shared" ref="J1794:J1857" si="86">I1794*F1794</f>
        <v>27648</v>
      </c>
    </row>
    <row r="1795" spans="1:10" x14ac:dyDescent="0.45">
      <c r="A1795" t="s">
        <v>630</v>
      </c>
      <c r="B1795" s="1">
        <v>45737</v>
      </c>
      <c r="C1795" t="s">
        <v>33</v>
      </c>
      <c r="D1795" t="s">
        <v>16</v>
      </c>
      <c r="E1795">
        <v>1200</v>
      </c>
      <c r="F1795">
        <v>4</v>
      </c>
      <c r="G1795">
        <f t="shared" si="84"/>
        <v>4800</v>
      </c>
      <c r="H1795" t="s">
        <v>7</v>
      </c>
      <c r="I1795">
        <f t="shared" si="85"/>
        <v>1440</v>
      </c>
      <c r="J1795">
        <f t="shared" si="86"/>
        <v>5760</v>
      </c>
    </row>
    <row r="1796" spans="1:10" x14ac:dyDescent="0.45">
      <c r="A1796" t="s">
        <v>631</v>
      </c>
      <c r="B1796" s="1">
        <v>45737</v>
      </c>
      <c r="C1796" t="s">
        <v>9</v>
      </c>
      <c r="D1796" t="s">
        <v>19</v>
      </c>
      <c r="E1796">
        <v>3000</v>
      </c>
      <c r="F1796">
        <v>1</v>
      </c>
      <c r="G1796">
        <f t="shared" si="84"/>
        <v>3000</v>
      </c>
      <c r="H1796" t="s">
        <v>21</v>
      </c>
      <c r="I1796">
        <f t="shared" si="85"/>
        <v>3600</v>
      </c>
      <c r="J1796">
        <f t="shared" si="86"/>
        <v>3600</v>
      </c>
    </row>
    <row r="1797" spans="1:10" x14ac:dyDescent="0.45">
      <c r="A1797" t="s">
        <v>632</v>
      </c>
      <c r="B1797" s="1">
        <v>45737</v>
      </c>
      <c r="C1797" t="s">
        <v>12</v>
      </c>
      <c r="D1797" t="s">
        <v>5020</v>
      </c>
      <c r="E1797">
        <v>2880</v>
      </c>
      <c r="F1797">
        <v>6</v>
      </c>
      <c r="G1797">
        <f t="shared" si="84"/>
        <v>17280</v>
      </c>
      <c r="H1797" t="s">
        <v>21</v>
      </c>
      <c r="I1797">
        <f t="shared" si="85"/>
        <v>3456</v>
      </c>
      <c r="J1797">
        <f t="shared" si="86"/>
        <v>20736</v>
      </c>
    </row>
    <row r="1798" spans="1:10" x14ac:dyDescent="0.45">
      <c r="A1798" t="s">
        <v>633</v>
      </c>
      <c r="B1798" s="1">
        <v>45737</v>
      </c>
      <c r="C1798" t="s">
        <v>33</v>
      </c>
      <c r="D1798" t="s">
        <v>16</v>
      </c>
      <c r="E1798">
        <v>1200</v>
      </c>
      <c r="F1798">
        <v>8</v>
      </c>
      <c r="G1798">
        <f t="shared" si="84"/>
        <v>9600</v>
      </c>
      <c r="H1798" t="s">
        <v>7</v>
      </c>
      <c r="I1798">
        <f t="shared" si="85"/>
        <v>1440</v>
      </c>
      <c r="J1798">
        <f t="shared" si="86"/>
        <v>11520</v>
      </c>
    </row>
    <row r="1799" spans="1:10" x14ac:dyDescent="0.45">
      <c r="A1799" t="s">
        <v>634</v>
      </c>
      <c r="B1799" s="1">
        <v>45737</v>
      </c>
      <c r="C1799" t="s">
        <v>4007</v>
      </c>
      <c r="D1799" t="s">
        <v>4005</v>
      </c>
      <c r="E1799">
        <v>60000</v>
      </c>
      <c r="F1799">
        <v>9</v>
      </c>
      <c r="G1799">
        <f t="shared" si="84"/>
        <v>540000</v>
      </c>
      <c r="H1799" t="s">
        <v>21</v>
      </c>
      <c r="I1799">
        <f t="shared" si="85"/>
        <v>72000</v>
      </c>
      <c r="J1799">
        <f t="shared" si="86"/>
        <v>648000</v>
      </c>
    </row>
    <row r="1800" spans="1:10" x14ac:dyDescent="0.45">
      <c r="A1800" t="s">
        <v>635</v>
      </c>
      <c r="B1800" s="1">
        <v>45737</v>
      </c>
      <c r="C1800" t="s">
        <v>12</v>
      </c>
      <c r="D1800" t="s">
        <v>5022</v>
      </c>
      <c r="E1800">
        <v>2880</v>
      </c>
      <c r="F1800">
        <v>7</v>
      </c>
      <c r="G1800">
        <f t="shared" si="84"/>
        <v>20160</v>
      </c>
      <c r="H1800" t="s">
        <v>7</v>
      </c>
      <c r="I1800">
        <f t="shared" si="85"/>
        <v>3456</v>
      </c>
      <c r="J1800">
        <f t="shared" si="86"/>
        <v>24192</v>
      </c>
    </row>
    <row r="1801" spans="1:10" x14ac:dyDescent="0.45">
      <c r="A1801" t="s">
        <v>636</v>
      </c>
      <c r="B1801" s="1">
        <v>45737</v>
      </c>
      <c r="C1801" t="s">
        <v>9</v>
      </c>
      <c r="D1801" t="s">
        <v>10</v>
      </c>
      <c r="E1801">
        <v>400</v>
      </c>
      <c r="F1801">
        <v>3</v>
      </c>
      <c r="G1801">
        <f t="shared" si="84"/>
        <v>1200</v>
      </c>
      <c r="H1801" t="s">
        <v>17</v>
      </c>
      <c r="I1801">
        <f t="shared" si="85"/>
        <v>480</v>
      </c>
      <c r="J1801">
        <f t="shared" si="86"/>
        <v>1440</v>
      </c>
    </row>
    <row r="1802" spans="1:10" x14ac:dyDescent="0.45">
      <c r="A1802" t="s">
        <v>637</v>
      </c>
      <c r="B1802" s="1">
        <v>45737</v>
      </c>
      <c r="C1802" t="s">
        <v>4007</v>
      </c>
      <c r="D1802" t="s">
        <v>5015</v>
      </c>
      <c r="E1802">
        <v>48000</v>
      </c>
      <c r="F1802">
        <v>9</v>
      </c>
      <c r="G1802">
        <f t="shared" si="84"/>
        <v>432000</v>
      </c>
      <c r="H1802" t="s">
        <v>7</v>
      </c>
      <c r="I1802">
        <f t="shared" si="85"/>
        <v>57600</v>
      </c>
      <c r="J1802">
        <f t="shared" si="86"/>
        <v>518400</v>
      </c>
    </row>
    <row r="1803" spans="1:10" x14ac:dyDescent="0.45">
      <c r="A1803" t="s">
        <v>638</v>
      </c>
      <c r="B1803" s="1">
        <v>45737</v>
      </c>
      <c r="C1803" t="s">
        <v>4007</v>
      </c>
      <c r="D1803" t="s">
        <v>39</v>
      </c>
      <c r="E1803">
        <v>6000</v>
      </c>
      <c r="F1803">
        <v>8</v>
      </c>
      <c r="G1803">
        <f t="shared" si="84"/>
        <v>48000</v>
      </c>
      <c r="H1803" t="s">
        <v>17</v>
      </c>
      <c r="I1803">
        <f t="shared" si="85"/>
        <v>7200</v>
      </c>
      <c r="J1803">
        <f t="shared" si="86"/>
        <v>57600</v>
      </c>
    </row>
    <row r="1804" spans="1:10" x14ac:dyDescent="0.45">
      <c r="A1804" t="s">
        <v>2888</v>
      </c>
      <c r="B1804" s="1">
        <v>45737</v>
      </c>
      <c r="C1804" t="s">
        <v>33</v>
      </c>
      <c r="D1804" t="s">
        <v>34</v>
      </c>
      <c r="E1804">
        <v>1700</v>
      </c>
      <c r="F1804">
        <v>4</v>
      </c>
      <c r="G1804">
        <f t="shared" si="84"/>
        <v>6800</v>
      </c>
      <c r="H1804" t="s">
        <v>17</v>
      </c>
      <c r="I1804">
        <f t="shared" si="85"/>
        <v>2040</v>
      </c>
      <c r="J1804">
        <f t="shared" si="86"/>
        <v>8160</v>
      </c>
    </row>
    <row r="1805" spans="1:10" x14ac:dyDescent="0.45">
      <c r="A1805" t="s">
        <v>3615</v>
      </c>
      <c r="B1805" s="1">
        <v>45737</v>
      </c>
      <c r="C1805" t="s">
        <v>33</v>
      </c>
      <c r="D1805" t="s">
        <v>14</v>
      </c>
      <c r="E1805">
        <v>800</v>
      </c>
      <c r="F1805">
        <v>3</v>
      </c>
      <c r="G1805">
        <f t="shared" si="84"/>
        <v>2400</v>
      </c>
      <c r="H1805" t="s">
        <v>7</v>
      </c>
      <c r="I1805">
        <f t="shared" si="85"/>
        <v>960</v>
      </c>
      <c r="J1805">
        <f t="shared" si="86"/>
        <v>2880</v>
      </c>
    </row>
    <row r="1806" spans="1:10" x14ac:dyDescent="0.45">
      <c r="A1806" t="s">
        <v>3670</v>
      </c>
      <c r="B1806" s="1">
        <v>45737</v>
      </c>
      <c r="C1806" t="s">
        <v>4007</v>
      </c>
      <c r="D1806" t="s">
        <v>2774</v>
      </c>
      <c r="E1806">
        <v>1900</v>
      </c>
      <c r="F1806">
        <v>8</v>
      </c>
      <c r="G1806">
        <f t="shared" si="84"/>
        <v>15200</v>
      </c>
      <c r="H1806" t="s">
        <v>7</v>
      </c>
      <c r="I1806">
        <f t="shared" si="85"/>
        <v>2280</v>
      </c>
      <c r="J1806">
        <f t="shared" si="86"/>
        <v>18240</v>
      </c>
    </row>
    <row r="1807" spans="1:10" x14ac:dyDescent="0.45">
      <c r="A1807" t="s">
        <v>4183</v>
      </c>
      <c r="B1807" s="1">
        <v>45737</v>
      </c>
      <c r="C1807" t="s">
        <v>33</v>
      </c>
      <c r="D1807" t="s">
        <v>42</v>
      </c>
      <c r="E1807">
        <v>6900</v>
      </c>
      <c r="F1807" s="3">
        <v>9</v>
      </c>
      <c r="G1807">
        <f t="shared" si="84"/>
        <v>62100</v>
      </c>
      <c r="H1807" t="s">
        <v>17</v>
      </c>
      <c r="I1807">
        <f t="shared" si="85"/>
        <v>8280</v>
      </c>
      <c r="J1807">
        <f t="shared" si="86"/>
        <v>74520</v>
      </c>
    </row>
    <row r="1808" spans="1:10" x14ac:dyDescent="0.45">
      <c r="A1808" t="s">
        <v>4316</v>
      </c>
      <c r="B1808" s="1">
        <v>45737</v>
      </c>
      <c r="C1808" t="s">
        <v>3979</v>
      </c>
      <c r="D1808" t="s">
        <v>4006</v>
      </c>
      <c r="E1808">
        <v>2000</v>
      </c>
      <c r="F1808" s="3">
        <v>3</v>
      </c>
      <c r="G1808">
        <f t="shared" si="84"/>
        <v>6000</v>
      </c>
      <c r="H1808" t="s">
        <v>21</v>
      </c>
      <c r="I1808">
        <f t="shared" si="85"/>
        <v>2400</v>
      </c>
      <c r="J1808">
        <f t="shared" si="86"/>
        <v>7200</v>
      </c>
    </row>
    <row r="1809" spans="1:10" x14ac:dyDescent="0.45">
      <c r="A1809" t="s">
        <v>4343</v>
      </c>
      <c r="B1809" s="1">
        <v>45737</v>
      </c>
      <c r="C1809" t="s">
        <v>3979</v>
      </c>
      <c r="D1809" t="s">
        <v>3984</v>
      </c>
      <c r="E1809">
        <v>12000</v>
      </c>
      <c r="F1809" s="3">
        <v>5</v>
      </c>
      <c r="G1809">
        <f t="shared" si="84"/>
        <v>60000</v>
      </c>
      <c r="H1809" t="s">
        <v>17</v>
      </c>
      <c r="I1809">
        <f t="shared" si="85"/>
        <v>14400</v>
      </c>
      <c r="J1809">
        <f t="shared" si="86"/>
        <v>72000</v>
      </c>
    </row>
    <row r="1810" spans="1:10" x14ac:dyDescent="0.45">
      <c r="A1810" t="s">
        <v>4493</v>
      </c>
      <c r="B1810" s="1">
        <v>45737</v>
      </c>
      <c r="C1810" t="s">
        <v>5009</v>
      </c>
      <c r="D1810" t="s">
        <v>3992</v>
      </c>
      <c r="E1810">
        <v>400</v>
      </c>
      <c r="F1810" s="3">
        <v>4</v>
      </c>
      <c r="G1810">
        <f t="shared" si="84"/>
        <v>1600</v>
      </c>
      <c r="H1810" t="s">
        <v>17</v>
      </c>
      <c r="I1810">
        <f t="shared" si="85"/>
        <v>480</v>
      </c>
      <c r="J1810">
        <f t="shared" si="86"/>
        <v>1920</v>
      </c>
    </row>
    <row r="1811" spans="1:10" x14ac:dyDescent="0.45">
      <c r="A1811" t="s">
        <v>4886</v>
      </c>
      <c r="B1811" s="1">
        <v>45737</v>
      </c>
      <c r="C1811" t="s">
        <v>3979</v>
      </c>
      <c r="D1811" t="s">
        <v>3984</v>
      </c>
      <c r="E1811">
        <v>12000</v>
      </c>
      <c r="F1811" s="3">
        <v>8</v>
      </c>
      <c r="G1811">
        <f t="shared" si="84"/>
        <v>96000</v>
      </c>
      <c r="H1811" t="s">
        <v>17</v>
      </c>
      <c r="I1811">
        <f t="shared" si="85"/>
        <v>14400</v>
      </c>
      <c r="J1811">
        <f t="shared" si="86"/>
        <v>115200</v>
      </c>
    </row>
    <row r="1812" spans="1:10" x14ac:dyDescent="0.45">
      <c r="A1812" t="s">
        <v>4947</v>
      </c>
      <c r="B1812" s="1">
        <v>45737</v>
      </c>
      <c r="C1812" t="s">
        <v>4007</v>
      </c>
      <c r="D1812" t="s">
        <v>3999</v>
      </c>
      <c r="E1812">
        <v>50000</v>
      </c>
      <c r="F1812" s="3">
        <v>6</v>
      </c>
      <c r="G1812">
        <f t="shared" si="84"/>
        <v>300000</v>
      </c>
      <c r="H1812" t="s">
        <v>17</v>
      </c>
      <c r="I1812">
        <f t="shared" si="85"/>
        <v>60000</v>
      </c>
      <c r="J1812">
        <f t="shared" si="86"/>
        <v>360000</v>
      </c>
    </row>
    <row r="1813" spans="1:10" x14ac:dyDescent="0.45">
      <c r="A1813" t="s">
        <v>639</v>
      </c>
      <c r="B1813" s="1">
        <v>45738</v>
      </c>
      <c r="C1813" t="s">
        <v>9</v>
      </c>
      <c r="D1813" t="s">
        <v>10</v>
      </c>
      <c r="E1813">
        <v>400</v>
      </c>
      <c r="F1813">
        <v>10</v>
      </c>
      <c r="G1813">
        <f t="shared" si="84"/>
        <v>4000</v>
      </c>
      <c r="H1813" t="s">
        <v>21</v>
      </c>
      <c r="I1813">
        <f t="shared" si="85"/>
        <v>480</v>
      </c>
      <c r="J1813">
        <f t="shared" si="86"/>
        <v>4800</v>
      </c>
    </row>
    <row r="1814" spans="1:10" x14ac:dyDescent="0.45">
      <c r="A1814" t="s">
        <v>640</v>
      </c>
      <c r="B1814" s="1">
        <v>45738</v>
      </c>
      <c r="C1814" t="s">
        <v>4007</v>
      </c>
      <c r="D1814" t="s">
        <v>5015</v>
      </c>
      <c r="E1814">
        <v>48000</v>
      </c>
      <c r="F1814">
        <v>5</v>
      </c>
      <c r="G1814">
        <f t="shared" si="84"/>
        <v>240000</v>
      </c>
      <c r="H1814" t="s">
        <v>17</v>
      </c>
      <c r="I1814">
        <f t="shared" si="85"/>
        <v>57600</v>
      </c>
      <c r="J1814">
        <f t="shared" si="86"/>
        <v>288000</v>
      </c>
    </row>
    <row r="1815" spans="1:10" x14ac:dyDescent="0.45">
      <c r="A1815" t="s">
        <v>641</v>
      </c>
      <c r="B1815" s="1">
        <v>45738</v>
      </c>
      <c r="C1815" t="s">
        <v>12</v>
      </c>
      <c r="D1815" t="s">
        <v>5021</v>
      </c>
      <c r="E1815">
        <v>2880</v>
      </c>
      <c r="F1815">
        <v>4</v>
      </c>
      <c r="G1815">
        <f t="shared" si="84"/>
        <v>11520</v>
      </c>
      <c r="H1815" t="s">
        <v>7</v>
      </c>
      <c r="I1815">
        <f t="shared" si="85"/>
        <v>3456</v>
      </c>
      <c r="J1815">
        <f t="shared" si="86"/>
        <v>13824</v>
      </c>
    </row>
    <row r="1816" spans="1:10" x14ac:dyDescent="0.45">
      <c r="A1816" t="s">
        <v>642</v>
      </c>
      <c r="B1816" s="1">
        <v>45738</v>
      </c>
      <c r="C1816" t="s">
        <v>4007</v>
      </c>
      <c r="D1816" t="s">
        <v>5015</v>
      </c>
      <c r="E1816">
        <v>48000</v>
      </c>
      <c r="F1816">
        <v>3</v>
      </c>
      <c r="G1816">
        <f t="shared" si="84"/>
        <v>144000</v>
      </c>
      <c r="H1816" t="s">
        <v>21</v>
      </c>
      <c r="I1816">
        <f t="shared" si="85"/>
        <v>57600</v>
      </c>
      <c r="J1816">
        <f t="shared" si="86"/>
        <v>172800</v>
      </c>
    </row>
    <row r="1817" spans="1:10" x14ac:dyDescent="0.45">
      <c r="A1817" t="s">
        <v>643</v>
      </c>
      <c r="B1817" s="1">
        <v>45738</v>
      </c>
      <c r="C1817" t="s">
        <v>9</v>
      </c>
      <c r="D1817" t="s">
        <v>25</v>
      </c>
      <c r="E1817">
        <v>5200</v>
      </c>
      <c r="F1817">
        <v>9</v>
      </c>
      <c r="G1817">
        <f t="shared" si="84"/>
        <v>46800</v>
      </c>
      <c r="H1817" t="s">
        <v>21</v>
      </c>
      <c r="I1817">
        <f t="shared" si="85"/>
        <v>6240</v>
      </c>
      <c r="J1817">
        <f t="shared" si="86"/>
        <v>56160</v>
      </c>
    </row>
    <row r="1818" spans="1:10" x14ac:dyDescent="0.45">
      <c r="A1818" t="s">
        <v>3261</v>
      </c>
      <c r="B1818" s="1">
        <v>45738</v>
      </c>
      <c r="C1818" t="s">
        <v>2772</v>
      </c>
      <c r="D1818" t="s">
        <v>2771</v>
      </c>
      <c r="E1818">
        <v>120</v>
      </c>
      <c r="F1818">
        <v>5</v>
      </c>
      <c r="G1818">
        <f t="shared" si="84"/>
        <v>600</v>
      </c>
      <c r="H1818" t="s">
        <v>21</v>
      </c>
      <c r="I1818">
        <f t="shared" si="85"/>
        <v>144</v>
      </c>
      <c r="J1818">
        <f t="shared" si="86"/>
        <v>720</v>
      </c>
    </row>
    <row r="1819" spans="1:10" x14ac:dyDescent="0.45">
      <c r="A1819" t="s">
        <v>3716</v>
      </c>
      <c r="B1819" s="1">
        <v>45738</v>
      </c>
      <c r="C1819" t="s">
        <v>4007</v>
      </c>
      <c r="D1819" t="s">
        <v>5015</v>
      </c>
      <c r="E1819">
        <v>48000</v>
      </c>
      <c r="F1819">
        <v>8</v>
      </c>
      <c r="G1819">
        <f t="shared" si="84"/>
        <v>384000</v>
      </c>
      <c r="H1819" t="s">
        <v>17</v>
      </c>
      <c r="I1819">
        <f t="shared" si="85"/>
        <v>57600</v>
      </c>
      <c r="J1819">
        <f t="shared" si="86"/>
        <v>460800</v>
      </c>
    </row>
    <row r="1820" spans="1:10" x14ac:dyDescent="0.45">
      <c r="A1820" t="s">
        <v>4033</v>
      </c>
      <c r="B1820" s="1">
        <v>45738</v>
      </c>
      <c r="C1820" t="s">
        <v>33</v>
      </c>
      <c r="D1820" t="s">
        <v>3981</v>
      </c>
      <c r="E1820">
        <v>4000</v>
      </c>
      <c r="F1820" s="3">
        <v>8</v>
      </c>
      <c r="G1820">
        <f t="shared" si="84"/>
        <v>32000</v>
      </c>
      <c r="H1820" t="s">
        <v>17</v>
      </c>
      <c r="I1820">
        <f t="shared" si="85"/>
        <v>4800</v>
      </c>
      <c r="J1820">
        <f t="shared" si="86"/>
        <v>38400</v>
      </c>
    </row>
    <row r="1821" spans="1:10" x14ac:dyDescent="0.45">
      <c r="A1821" t="s">
        <v>4060</v>
      </c>
      <c r="B1821" s="1">
        <v>45738</v>
      </c>
      <c r="C1821" t="s">
        <v>5008</v>
      </c>
      <c r="D1821" t="s">
        <v>3996</v>
      </c>
      <c r="E1821">
        <v>2000</v>
      </c>
      <c r="F1821" s="3">
        <v>4</v>
      </c>
      <c r="G1821">
        <f t="shared" si="84"/>
        <v>8000</v>
      </c>
      <c r="H1821" t="s">
        <v>21</v>
      </c>
      <c r="I1821">
        <f t="shared" si="85"/>
        <v>2400</v>
      </c>
      <c r="J1821">
        <f t="shared" si="86"/>
        <v>9600</v>
      </c>
    </row>
    <row r="1822" spans="1:10" x14ac:dyDescent="0.45">
      <c r="A1822" t="s">
        <v>4115</v>
      </c>
      <c r="B1822" s="1">
        <v>45738</v>
      </c>
      <c r="C1822" t="s">
        <v>5009</v>
      </c>
      <c r="D1822" t="s">
        <v>4004</v>
      </c>
      <c r="E1822">
        <v>15000</v>
      </c>
      <c r="F1822" s="3">
        <v>6</v>
      </c>
      <c r="G1822">
        <f t="shared" si="84"/>
        <v>90000</v>
      </c>
      <c r="H1822" t="s">
        <v>7</v>
      </c>
      <c r="I1822">
        <f t="shared" si="85"/>
        <v>18000</v>
      </c>
      <c r="J1822">
        <f t="shared" si="86"/>
        <v>108000</v>
      </c>
    </row>
    <row r="1823" spans="1:10" x14ac:dyDescent="0.45">
      <c r="A1823" t="s">
        <v>4223</v>
      </c>
      <c r="B1823" s="1">
        <v>45738</v>
      </c>
      <c r="C1823" t="s">
        <v>33</v>
      </c>
      <c r="D1823" t="s">
        <v>3985</v>
      </c>
      <c r="E1823">
        <v>1950</v>
      </c>
      <c r="F1823" s="3">
        <v>1</v>
      </c>
      <c r="G1823">
        <f t="shared" si="84"/>
        <v>1950</v>
      </c>
      <c r="H1823" t="s">
        <v>17</v>
      </c>
      <c r="I1823">
        <f t="shared" si="85"/>
        <v>2340</v>
      </c>
      <c r="J1823">
        <f t="shared" si="86"/>
        <v>2340</v>
      </c>
    </row>
    <row r="1824" spans="1:10" x14ac:dyDescent="0.45">
      <c r="A1824" t="s">
        <v>4422</v>
      </c>
      <c r="B1824" s="1">
        <v>45738</v>
      </c>
      <c r="C1824" t="s">
        <v>33</v>
      </c>
      <c r="D1824" t="s">
        <v>4001</v>
      </c>
      <c r="E1824">
        <v>500</v>
      </c>
      <c r="F1824" s="3">
        <v>8</v>
      </c>
      <c r="G1824">
        <f t="shared" si="84"/>
        <v>4000</v>
      </c>
      <c r="H1824" t="s">
        <v>7</v>
      </c>
      <c r="I1824">
        <f t="shared" si="85"/>
        <v>600</v>
      </c>
      <c r="J1824">
        <f t="shared" si="86"/>
        <v>4800</v>
      </c>
    </row>
    <row r="1825" spans="1:10" x14ac:dyDescent="0.45">
      <c r="A1825" t="s">
        <v>4449</v>
      </c>
      <c r="B1825" s="1">
        <v>45738</v>
      </c>
      <c r="C1825" t="s">
        <v>5009</v>
      </c>
      <c r="D1825" t="s">
        <v>3982</v>
      </c>
      <c r="E1825">
        <v>13000</v>
      </c>
      <c r="F1825" s="3">
        <v>8</v>
      </c>
      <c r="G1825">
        <f t="shared" si="84"/>
        <v>104000</v>
      </c>
      <c r="H1825" t="s">
        <v>17</v>
      </c>
      <c r="I1825">
        <f t="shared" si="85"/>
        <v>15600</v>
      </c>
      <c r="J1825">
        <f t="shared" si="86"/>
        <v>124800</v>
      </c>
    </row>
    <row r="1826" spans="1:10" x14ac:dyDescent="0.45">
      <c r="A1826" t="s">
        <v>4475</v>
      </c>
      <c r="B1826" s="1">
        <v>45738</v>
      </c>
      <c r="C1826" t="s">
        <v>5009</v>
      </c>
      <c r="D1826" t="s">
        <v>3990</v>
      </c>
      <c r="E1826">
        <v>2800</v>
      </c>
      <c r="F1826" s="3">
        <v>6</v>
      </c>
      <c r="G1826">
        <f t="shared" si="84"/>
        <v>16800</v>
      </c>
      <c r="H1826" t="s">
        <v>17</v>
      </c>
      <c r="I1826">
        <f t="shared" si="85"/>
        <v>3360</v>
      </c>
      <c r="J1826">
        <f t="shared" si="86"/>
        <v>20160</v>
      </c>
    </row>
    <row r="1827" spans="1:10" x14ac:dyDescent="0.45">
      <c r="A1827" t="s">
        <v>4582</v>
      </c>
      <c r="B1827" s="1">
        <v>45738</v>
      </c>
      <c r="C1827" t="s">
        <v>5009</v>
      </c>
      <c r="D1827" t="s">
        <v>4004</v>
      </c>
      <c r="E1827">
        <v>15000</v>
      </c>
      <c r="F1827" s="3">
        <v>5</v>
      </c>
      <c r="G1827">
        <f t="shared" si="84"/>
        <v>75000</v>
      </c>
      <c r="H1827" t="s">
        <v>21</v>
      </c>
      <c r="I1827">
        <f t="shared" si="85"/>
        <v>18000</v>
      </c>
      <c r="J1827">
        <f t="shared" si="86"/>
        <v>90000</v>
      </c>
    </row>
    <row r="1828" spans="1:10" x14ac:dyDescent="0.45">
      <c r="A1828" t="s">
        <v>4821</v>
      </c>
      <c r="B1828" s="1">
        <v>45738</v>
      </c>
      <c r="C1828" t="s">
        <v>3979</v>
      </c>
      <c r="D1828" t="s">
        <v>3984</v>
      </c>
      <c r="E1828">
        <v>12000</v>
      </c>
      <c r="F1828" s="3">
        <v>1</v>
      </c>
      <c r="G1828">
        <f t="shared" si="84"/>
        <v>12000</v>
      </c>
      <c r="H1828" t="s">
        <v>7</v>
      </c>
      <c r="I1828">
        <f t="shared" si="85"/>
        <v>14400</v>
      </c>
      <c r="J1828">
        <f t="shared" si="86"/>
        <v>14400</v>
      </c>
    </row>
    <row r="1829" spans="1:10" x14ac:dyDescent="0.45">
      <c r="A1829" t="s">
        <v>4998</v>
      </c>
      <c r="B1829" s="1">
        <v>45738</v>
      </c>
      <c r="C1829" t="s">
        <v>4007</v>
      </c>
      <c r="D1829" t="s">
        <v>3999</v>
      </c>
      <c r="E1829">
        <v>50000</v>
      </c>
      <c r="F1829" s="3">
        <v>5</v>
      </c>
      <c r="G1829">
        <f t="shared" si="84"/>
        <v>250000</v>
      </c>
      <c r="H1829" t="s">
        <v>17</v>
      </c>
      <c r="I1829">
        <f t="shared" si="85"/>
        <v>60000</v>
      </c>
      <c r="J1829">
        <f t="shared" si="86"/>
        <v>300000</v>
      </c>
    </row>
    <row r="1830" spans="1:10" x14ac:dyDescent="0.45">
      <c r="A1830" t="s">
        <v>644</v>
      </c>
      <c r="B1830" s="1">
        <v>45739</v>
      </c>
      <c r="C1830" t="s">
        <v>33</v>
      </c>
      <c r="D1830" t="s">
        <v>42</v>
      </c>
      <c r="E1830">
        <v>6900</v>
      </c>
      <c r="F1830">
        <v>4</v>
      </c>
      <c r="G1830">
        <f t="shared" si="84"/>
        <v>27600</v>
      </c>
      <c r="H1830" t="s">
        <v>17</v>
      </c>
      <c r="I1830">
        <f t="shared" si="85"/>
        <v>8280</v>
      </c>
      <c r="J1830">
        <f t="shared" si="86"/>
        <v>33120</v>
      </c>
    </row>
    <row r="1831" spans="1:10" x14ac:dyDescent="0.45">
      <c r="A1831" t="s">
        <v>645</v>
      </c>
      <c r="B1831" s="1">
        <v>45739</v>
      </c>
      <c r="C1831" t="s">
        <v>4007</v>
      </c>
      <c r="D1831" t="s">
        <v>5015</v>
      </c>
      <c r="E1831">
        <v>48000</v>
      </c>
      <c r="F1831">
        <v>7</v>
      </c>
      <c r="G1831">
        <f t="shared" si="84"/>
        <v>336000</v>
      </c>
      <c r="H1831" t="s">
        <v>7</v>
      </c>
      <c r="I1831">
        <f t="shared" si="85"/>
        <v>57600</v>
      </c>
      <c r="J1831">
        <f t="shared" si="86"/>
        <v>403200</v>
      </c>
    </row>
    <row r="1832" spans="1:10" x14ac:dyDescent="0.45">
      <c r="A1832" t="s">
        <v>646</v>
      </c>
      <c r="B1832" s="1">
        <v>45739</v>
      </c>
      <c r="C1832" t="s">
        <v>12</v>
      </c>
      <c r="D1832" t="s">
        <v>5023</v>
      </c>
      <c r="E1832">
        <v>1750</v>
      </c>
      <c r="F1832">
        <v>6</v>
      </c>
      <c r="G1832">
        <f t="shared" si="84"/>
        <v>10500</v>
      </c>
      <c r="H1832" t="s">
        <v>17</v>
      </c>
      <c r="I1832">
        <f t="shared" si="85"/>
        <v>2100</v>
      </c>
      <c r="J1832">
        <f t="shared" si="86"/>
        <v>12600</v>
      </c>
    </row>
    <row r="1833" spans="1:10" x14ac:dyDescent="0.45">
      <c r="A1833" t="s">
        <v>647</v>
      </c>
      <c r="B1833" s="1">
        <v>45739</v>
      </c>
      <c r="C1833" t="s">
        <v>12</v>
      </c>
      <c r="D1833" t="s">
        <v>5021</v>
      </c>
      <c r="E1833">
        <v>2880</v>
      </c>
      <c r="F1833">
        <v>1</v>
      </c>
      <c r="G1833">
        <f t="shared" si="84"/>
        <v>2880</v>
      </c>
      <c r="H1833" t="s">
        <v>17</v>
      </c>
      <c r="I1833">
        <f t="shared" si="85"/>
        <v>3456</v>
      </c>
      <c r="J1833">
        <f t="shared" si="86"/>
        <v>3456</v>
      </c>
    </row>
    <row r="1834" spans="1:10" x14ac:dyDescent="0.45">
      <c r="A1834" t="s">
        <v>648</v>
      </c>
      <c r="B1834" s="1">
        <v>45739</v>
      </c>
      <c r="C1834" t="s">
        <v>33</v>
      </c>
      <c r="D1834" t="s">
        <v>16</v>
      </c>
      <c r="E1834">
        <v>1200</v>
      </c>
      <c r="F1834">
        <v>4</v>
      </c>
      <c r="G1834">
        <f t="shared" si="84"/>
        <v>4800</v>
      </c>
      <c r="H1834" t="s">
        <v>17</v>
      </c>
      <c r="I1834">
        <f t="shared" si="85"/>
        <v>1440</v>
      </c>
      <c r="J1834">
        <f t="shared" si="86"/>
        <v>5760</v>
      </c>
    </row>
    <row r="1835" spans="1:10" x14ac:dyDescent="0.45">
      <c r="A1835" t="s">
        <v>649</v>
      </c>
      <c r="B1835" s="1">
        <v>45739</v>
      </c>
      <c r="C1835" t="s">
        <v>9</v>
      </c>
      <c r="D1835" t="s">
        <v>10</v>
      </c>
      <c r="E1835">
        <v>400</v>
      </c>
      <c r="F1835">
        <v>8</v>
      </c>
      <c r="G1835">
        <f t="shared" si="84"/>
        <v>3200</v>
      </c>
      <c r="H1835" t="s">
        <v>17</v>
      </c>
      <c r="I1835">
        <f t="shared" si="85"/>
        <v>480</v>
      </c>
      <c r="J1835">
        <f t="shared" si="86"/>
        <v>3840</v>
      </c>
    </row>
    <row r="1836" spans="1:10" x14ac:dyDescent="0.45">
      <c r="A1836" t="s">
        <v>650</v>
      </c>
      <c r="B1836" s="1">
        <v>45739</v>
      </c>
      <c r="C1836" t="s">
        <v>4007</v>
      </c>
      <c r="D1836" t="s">
        <v>5015</v>
      </c>
      <c r="E1836">
        <v>48000</v>
      </c>
      <c r="F1836">
        <v>8</v>
      </c>
      <c r="G1836">
        <f t="shared" si="84"/>
        <v>384000</v>
      </c>
      <c r="H1836" t="s">
        <v>7</v>
      </c>
      <c r="I1836">
        <f t="shared" si="85"/>
        <v>57600</v>
      </c>
      <c r="J1836">
        <f t="shared" si="86"/>
        <v>460800</v>
      </c>
    </row>
    <row r="1837" spans="1:10" x14ac:dyDescent="0.45">
      <c r="A1837" t="s">
        <v>3009</v>
      </c>
      <c r="B1837" s="1">
        <v>45739</v>
      </c>
      <c r="C1837" t="s">
        <v>4007</v>
      </c>
      <c r="D1837" t="s">
        <v>5015</v>
      </c>
      <c r="E1837">
        <v>48000</v>
      </c>
      <c r="F1837">
        <v>3</v>
      </c>
      <c r="G1837">
        <f t="shared" si="84"/>
        <v>144000</v>
      </c>
      <c r="H1837" t="s">
        <v>7</v>
      </c>
      <c r="I1837">
        <f t="shared" si="85"/>
        <v>57600</v>
      </c>
      <c r="J1837">
        <f t="shared" si="86"/>
        <v>172800</v>
      </c>
    </row>
    <row r="1838" spans="1:10" x14ac:dyDescent="0.45">
      <c r="A1838" t="s">
        <v>3318</v>
      </c>
      <c r="B1838" s="1">
        <v>45739</v>
      </c>
      <c r="C1838" t="s">
        <v>4007</v>
      </c>
      <c r="D1838" t="s">
        <v>2774</v>
      </c>
      <c r="E1838">
        <v>1900</v>
      </c>
      <c r="F1838">
        <v>6</v>
      </c>
      <c r="G1838">
        <f t="shared" si="84"/>
        <v>11400</v>
      </c>
      <c r="H1838" t="s">
        <v>21</v>
      </c>
      <c r="I1838">
        <f t="shared" si="85"/>
        <v>2280</v>
      </c>
      <c r="J1838">
        <f t="shared" si="86"/>
        <v>13680</v>
      </c>
    </row>
    <row r="1839" spans="1:10" x14ac:dyDescent="0.45">
      <c r="A1839" t="s">
        <v>4046</v>
      </c>
      <c r="B1839" s="1">
        <v>45739</v>
      </c>
      <c r="C1839" t="s">
        <v>3977</v>
      </c>
      <c r="D1839" t="s">
        <v>3991</v>
      </c>
      <c r="E1839">
        <v>2000</v>
      </c>
      <c r="F1839" s="3">
        <v>8</v>
      </c>
      <c r="G1839">
        <f t="shared" si="84"/>
        <v>16000</v>
      </c>
      <c r="H1839" t="s">
        <v>21</v>
      </c>
      <c r="I1839">
        <f t="shared" si="85"/>
        <v>2400</v>
      </c>
      <c r="J1839">
        <f t="shared" si="86"/>
        <v>19200</v>
      </c>
    </row>
    <row r="1840" spans="1:10" x14ac:dyDescent="0.45">
      <c r="A1840" t="s">
        <v>4106</v>
      </c>
      <c r="B1840" s="1">
        <v>45739</v>
      </c>
      <c r="C1840" t="s">
        <v>4007</v>
      </c>
      <c r="D1840" t="s">
        <v>5015</v>
      </c>
      <c r="E1840">
        <v>48000</v>
      </c>
      <c r="F1840" s="3">
        <v>3</v>
      </c>
      <c r="G1840">
        <f t="shared" si="84"/>
        <v>144000</v>
      </c>
      <c r="H1840" t="s">
        <v>7</v>
      </c>
      <c r="I1840">
        <f t="shared" si="85"/>
        <v>57600</v>
      </c>
      <c r="J1840">
        <f t="shared" si="86"/>
        <v>172800</v>
      </c>
    </row>
    <row r="1841" spans="1:10" x14ac:dyDescent="0.45">
      <c r="A1841" t="s">
        <v>4158</v>
      </c>
      <c r="B1841" s="1">
        <v>45739</v>
      </c>
      <c r="C1841" t="s">
        <v>5008</v>
      </c>
      <c r="D1841" t="s">
        <v>3996</v>
      </c>
      <c r="E1841">
        <v>2000</v>
      </c>
      <c r="F1841" s="3">
        <v>4</v>
      </c>
      <c r="G1841">
        <f t="shared" si="84"/>
        <v>8000</v>
      </c>
      <c r="H1841" t="s">
        <v>17</v>
      </c>
      <c r="I1841">
        <f t="shared" si="85"/>
        <v>2400</v>
      </c>
      <c r="J1841">
        <f t="shared" si="86"/>
        <v>9600</v>
      </c>
    </row>
    <row r="1842" spans="1:10" x14ac:dyDescent="0.45">
      <c r="A1842" t="s">
        <v>4186</v>
      </c>
      <c r="B1842" s="1">
        <v>45739</v>
      </c>
      <c r="C1842" t="s">
        <v>4007</v>
      </c>
      <c r="D1842" t="s">
        <v>3997</v>
      </c>
      <c r="E1842">
        <v>62000</v>
      </c>
      <c r="F1842" s="3">
        <v>6</v>
      </c>
      <c r="G1842">
        <f t="shared" si="84"/>
        <v>372000</v>
      </c>
      <c r="H1842" t="s">
        <v>21</v>
      </c>
      <c r="I1842">
        <f t="shared" si="85"/>
        <v>74400</v>
      </c>
      <c r="J1842">
        <f t="shared" si="86"/>
        <v>446400</v>
      </c>
    </row>
    <row r="1843" spans="1:10" x14ac:dyDescent="0.45">
      <c r="A1843" t="s">
        <v>4190</v>
      </c>
      <c r="B1843" s="1">
        <v>45739</v>
      </c>
      <c r="C1843" t="s">
        <v>5009</v>
      </c>
      <c r="D1843" t="s">
        <v>4004</v>
      </c>
      <c r="E1843">
        <v>15000</v>
      </c>
      <c r="F1843" s="3">
        <v>10</v>
      </c>
      <c r="G1843">
        <f t="shared" si="84"/>
        <v>150000</v>
      </c>
      <c r="H1843" t="s">
        <v>21</v>
      </c>
      <c r="I1843">
        <f t="shared" si="85"/>
        <v>18000</v>
      </c>
      <c r="J1843">
        <f t="shared" si="86"/>
        <v>180000</v>
      </c>
    </row>
    <row r="1844" spans="1:10" x14ac:dyDescent="0.45">
      <c r="A1844" t="s">
        <v>4205</v>
      </c>
      <c r="B1844" s="1">
        <v>45739</v>
      </c>
      <c r="C1844" t="s">
        <v>33</v>
      </c>
      <c r="D1844" t="s">
        <v>3985</v>
      </c>
      <c r="E1844">
        <v>1950</v>
      </c>
      <c r="F1844" s="3">
        <v>1</v>
      </c>
      <c r="G1844">
        <f t="shared" si="84"/>
        <v>1950</v>
      </c>
      <c r="H1844" t="s">
        <v>17</v>
      </c>
      <c r="I1844">
        <f t="shared" si="85"/>
        <v>2340</v>
      </c>
      <c r="J1844">
        <f t="shared" si="86"/>
        <v>2340</v>
      </c>
    </row>
    <row r="1845" spans="1:10" x14ac:dyDescent="0.45">
      <c r="A1845" t="s">
        <v>4495</v>
      </c>
      <c r="B1845" s="1">
        <v>45739</v>
      </c>
      <c r="C1845" t="s">
        <v>5008</v>
      </c>
      <c r="D1845" t="s">
        <v>3995</v>
      </c>
      <c r="E1845">
        <v>15000</v>
      </c>
      <c r="F1845" s="3">
        <v>4</v>
      </c>
      <c r="G1845">
        <f t="shared" si="84"/>
        <v>60000</v>
      </c>
      <c r="H1845" t="s">
        <v>7</v>
      </c>
      <c r="I1845">
        <f t="shared" si="85"/>
        <v>18000</v>
      </c>
      <c r="J1845">
        <f t="shared" si="86"/>
        <v>72000</v>
      </c>
    </row>
    <row r="1846" spans="1:10" x14ac:dyDescent="0.45">
      <c r="A1846" t="s">
        <v>4744</v>
      </c>
      <c r="B1846" s="1">
        <v>45739</v>
      </c>
      <c r="C1846" t="s">
        <v>33</v>
      </c>
      <c r="D1846" t="s">
        <v>3981</v>
      </c>
      <c r="E1846">
        <v>4000</v>
      </c>
      <c r="F1846" s="3">
        <v>7</v>
      </c>
      <c r="G1846">
        <f t="shared" si="84"/>
        <v>28000</v>
      </c>
      <c r="H1846" t="s">
        <v>17</v>
      </c>
      <c r="I1846">
        <f t="shared" si="85"/>
        <v>4800</v>
      </c>
      <c r="J1846">
        <f t="shared" si="86"/>
        <v>33600</v>
      </c>
    </row>
    <row r="1847" spans="1:10" x14ac:dyDescent="0.45">
      <c r="A1847" t="s">
        <v>4748</v>
      </c>
      <c r="B1847" s="1">
        <v>45739</v>
      </c>
      <c r="C1847" t="s">
        <v>33</v>
      </c>
      <c r="D1847" t="s">
        <v>3985</v>
      </c>
      <c r="E1847">
        <v>1950</v>
      </c>
      <c r="F1847" s="3">
        <v>7</v>
      </c>
      <c r="G1847">
        <f t="shared" si="84"/>
        <v>13650</v>
      </c>
      <c r="H1847" t="s">
        <v>17</v>
      </c>
      <c r="I1847">
        <f t="shared" si="85"/>
        <v>2340</v>
      </c>
      <c r="J1847">
        <f t="shared" si="86"/>
        <v>16380</v>
      </c>
    </row>
    <row r="1848" spans="1:10" x14ac:dyDescent="0.45">
      <c r="A1848" t="s">
        <v>4810</v>
      </c>
      <c r="B1848" s="1">
        <v>45739</v>
      </c>
      <c r="C1848" t="s">
        <v>5008</v>
      </c>
      <c r="D1848" t="s">
        <v>3995</v>
      </c>
      <c r="E1848">
        <v>15000</v>
      </c>
      <c r="F1848" s="3">
        <v>7</v>
      </c>
      <c r="G1848">
        <f t="shared" si="84"/>
        <v>105000</v>
      </c>
      <c r="H1848" t="s">
        <v>7</v>
      </c>
      <c r="I1848">
        <f t="shared" si="85"/>
        <v>18000</v>
      </c>
      <c r="J1848">
        <f t="shared" si="86"/>
        <v>126000</v>
      </c>
    </row>
    <row r="1849" spans="1:10" x14ac:dyDescent="0.45">
      <c r="A1849" t="s">
        <v>4895</v>
      </c>
      <c r="B1849" s="1">
        <v>45739</v>
      </c>
      <c r="C1849" t="s">
        <v>3979</v>
      </c>
      <c r="D1849" t="s">
        <v>3980</v>
      </c>
      <c r="E1849">
        <v>500</v>
      </c>
      <c r="F1849" s="3">
        <v>10</v>
      </c>
      <c r="G1849">
        <f t="shared" si="84"/>
        <v>5000</v>
      </c>
      <c r="H1849" t="s">
        <v>17</v>
      </c>
      <c r="I1849">
        <f t="shared" si="85"/>
        <v>600</v>
      </c>
      <c r="J1849">
        <f t="shared" si="86"/>
        <v>6000</v>
      </c>
    </row>
    <row r="1850" spans="1:10" x14ac:dyDescent="0.45">
      <c r="A1850" t="s">
        <v>651</v>
      </c>
      <c r="B1850" s="1">
        <v>45740</v>
      </c>
      <c r="C1850" t="s">
        <v>9</v>
      </c>
      <c r="D1850" t="s">
        <v>25</v>
      </c>
      <c r="E1850">
        <v>5200</v>
      </c>
      <c r="F1850">
        <v>5</v>
      </c>
      <c r="G1850">
        <f t="shared" si="84"/>
        <v>26000</v>
      </c>
      <c r="H1850" t="s">
        <v>17</v>
      </c>
      <c r="I1850">
        <f t="shared" si="85"/>
        <v>6240</v>
      </c>
      <c r="J1850">
        <f t="shared" si="86"/>
        <v>31200</v>
      </c>
    </row>
    <row r="1851" spans="1:10" x14ac:dyDescent="0.45">
      <c r="A1851" t="s">
        <v>652</v>
      </c>
      <c r="B1851" s="1">
        <v>45740</v>
      </c>
      <c r="C1851" t="s">
        <v>4007</v>
      </c>
      <c r="D1851" t="s">
        <v>4005</v>
      </c>
      <c r="E1851">
        <v>60000</v>
      </c>
      <c r="F1851">
        <v>7</v>
      </c>
      <c r="G1851">
        <f t="shared" si="84"/>
        <v>420000</v>
      </c>
      <c r="H1851" t="s">
        <v>21</v>
      </c>
      <c r="I1851">
        <f t="shared" si="85"/>
        <v>72000</v>
      </c>
      <c r="J1851">
        <f t="shared" si="86"/>
        <v>504000</v>
      </c>
    </row>
    <row r="1852" spans="1:10" x14ac:dyDescent="0.45">
      <c r="A1852" t="s">
        <v>653</v>
      </c>
      <c r="B1852" s="1">
        <v>45740</v>
      </c>
      <c r="C1852" t="s">
        <v>4007</v>
      </c>
      <c r="D1852" t="s">
        <v>39</v>
      </c>
      <c r="E1852">
        <v>6000</v>
      </c>
      <c r="F1852">
        <v>3</v>
      </c>
      <c r="G1852">
        <f t="shared" si="84"/>
        <v>18000</v>
      </c>
      <c r="H1852" t="s">
        <v>7</v>
      </c>
      <c r="I1852">
        <f t="shared" si="85"/>
        <v>7200</v>
      </c>
      <c r="J1852">
        <f t="shared" si="86"/>
        <v>21600</v>
      </c>
    </row>
    <row r="1853" spans="1:10" x14ac:dyDescent="0.45">
      <c r="A1853" t="s">
        <v>654</v>
      </c>
      <c r="B1853" s="1">
        <v>45740</v>
      </c>
      <c r="C1853" t="s">
        <v>12</v>
      </c>
      <c r="D1853" t="s">
        <v>5020</v>
      </c>
      <c r="E1853">
        <v>2880</v>
      </c>
      <c r="F1853">
        <v>1</v>
      </c>
      <c r="G1853">
        <f t="shared" si="84"/>
        <v>2880</v>
      </c>
      <c r="H1853" t="s">
        <v>7</v>
      </c>
      <c r="I1853">
        <f t="shared" si="85"/>
        <v>3456</v>
      </c>
      <c r="J1853">
        <f t="shared" si="86"/>
        <v>3456</v>
      </c>
    </row>
    <row r="1854" spans="1:10" x14ac:dyDescent="0.45">
      <c r="A1854" t="s">
        <v>655</v>
      </c>
      <c r="B1854" s="1">
        <v>45740</v>
      </c>
      <c r="C1854" t="s">
        <v>33</v>
      </c>
      <c r="D1854" t="s">
        <v>34</v>
      </c>
      <c r="E1854">
        <v>1700</v>
      </c>
      <c r="F1854">
        <v>2</v>
      </c>
      <c r="G1854">
        <f t="shared" si="84"/>
        <v>3400</v>
      </c>
      <c r="H1854" t="s">
        <v>17</v>
      </c>
      <c r="I1854">
        <f t="shared" si="85"/>
        <v>2040</v>
      </c>
      <c r="J1854">
        <f t="shared" si="86"/>
        <v>4080</v>
      </c>
    </row>
    <row r="1855" spans="1:10" x14ac:dyDescent="0.45">
      <c r="A1855" t="s">
        <v>656</v>
      </c>
      <c r="B1855" s="1">
        <v>45740</v>
      </c>
      <c r="C1855" t="s">
        <v>12</v>
      </c>
      <c r="D1855" t="s">
        <v>5022</v>
      </c>
      <c r="E1855">
        <v>2880</v>
      </c>
      <c r="F1855">
        <v>4</v>
      </c>
      <c r="G1855">
        <f t="shared" si="84"/>
        <v>11520</v>
      </c>
      <c r="H1855" t="s">
        <v>7</v>
      </c>
      <c r="I1855">
        <f t="shared" si="85"/>
        <v>3456</v>
      </c>
      <c r="J1855">
        <f t="shared" si="86"/>
        <v>13824</v>
      </c>
    </row>
    <row r="1856" spans="1:10" x14ac:dyDescent="0.45">
      <c r="A1856" t="s">
        <v>657</v>
      </c>
      <c r="B1856" s="1">
        <v>45740</v>
      </c>
      <c r="C1856" t="s">
        <v>33</v>
      </c>
      <c r="D1856" t="s">
        <v>42</v>
      </c>
      <c r="E1856">
        <v>6900</v>
      </c>
      <c r="F1856">
        <v>3</v>
      </c>
      <c r="G1856">
        <f t="shared" si="84"/>
        <v>20700</v>
      </c>
      <c r="H1856" t="s">
        <v>7</v>
      </c>
      <c r="I1856">
        <f t="shared" si="85"/>
        <v>8280</v>
      </c>
      <c r="J1856">
        <f t="shared" si="86"/>
        <v>24840</v>
      </c>
    </row>
    <row r="1857" spans="1:10" x14ac:dyDescent="0.45">
      <c r="A1857" t="s">
        <v>3556</v>
      </c>
      <c r="B1857" s="1">
        <v>45740</v>
      </c>
      <c r="C1857" t="s">
        <v>4007</v>
      </c>
      <c r="D1857" t="s">
        <v>2770</v>
      </c>
      <c r="E1857">
        <v>600</v>
      </c>
      <c r="F1857">
        <v>4</v>
      </c>
      <c r="G1857">
        <f t="shared" si="84"/>
        <v>2400</v>
      </c>
      <c r="H1857" t="s">
        <v>17</v>
      </c>
      <c r="I1857">
        <f t="shared" si="85"/>
        <v>720</v>
      </c>
      <c r="J1857">
        <f t="shared" si="86"/>
        <v>2880</v>
      </c>
    </row>
    <row r="1858" spans="1:10" x14ac:dyDescent="0.45">
      <c r="A1858" t="s">
        <v>3598</v>
      </c>
      <c r="B1858" s="1">
        <v>45740</v>
      </c>
      <c r="C1858" t="s">
        <v>4007</v>
      </c>
      <c r="D1858" t="s">
        <v>2776</v>
      </c>
      <c r="E1858">
        <v>3600</v>
      </c>
      <c r="F1858">
        <v>8</v>
      </c>
      <c r="G1858">
        <f t="shared" ref="G1858:G1921" si="87">E1858*F1858</f>
        <v>28800</v>
      </c>
      <c r="H1858" t="s">
        <v>17</v>
      </c>
      <c r="I1858">
        <f t="shared" ref="I1858:I1921" si="88">E1858*1.2</f>
        <v>4320</v>
      </c>
      <c r="J1858">
        <f t="shared" ref="J1858:J1921" si="89">I1858*F1858</f>
        <v>34560</v>
      </c>
    </row>
    <row r="1859" spans="1:10" x14ac:dyDescent="0.45">
      <c r="A1859" t="s">
        <v>3794</v>
      </c>
      <c r="B1859" s="1">
        <v>45740</v>
      </c>
      <c r="C1859" t="s">
        <v>4007</v>
      </c>
      <c r="D1859" t="s">
        <v>5015</v>
      </c>
      <c r="E1859">
        <v>48000</v>
      </c>
      <c r="F1859">
        <v>2</v>
      </c>
      <c r="G1859">
        <f t="shared" si="87"/>
        <v>96000</v>
      </c>
      <c r="H1859" t="s">
        <v>21</v>
      </c>
      <c r="I1859">
        <f t="shared" si="88"/>
        <v>57600</v>
      </c>
      <c r="J1859">
        <f t="shared" si="89"/>
        <v>115200</v>
      </c>
    </row>
    <row r="1860" spans="1:10" x14ac:dyDescent="0.45">
      <c r="A1860" t="s">
        <v>4116</v>
      </c>
      <c r="B1860" s="1">
        <v>45740</v>
      </c>
      <c r="C1860" t="s">
        <v>4007</v>
      </c>
      <c r="D1860" t="s">
        <v>3997</v>
      </c>
      <c r="E1860">
        <v>62000</v>
      </c>
      <c r="F1860" s="3">
        <v>9</v>
      </c>
      <c r="G1860">
        <f t="shared" si="87"/>
        <v>558000</v>
      </c>
      <c r="H1860" t="s">
        <v>7</v>
      </c>
      <c r="I1860">
        <f t="shared" si="88"/>
        <v>74400</v>
      </c>
      <c r="J1860">
        <f t="shared" si="89"/>
        <v>669600</v>
      </c>
    </row>
    <row r="1861" spans="1:10" x14ac:dyDescent="0.45">
      <c r="A1861" t="s">
        <v>4224</v>
      </c>
      <c r="B1861" s="1">
        <v>45740</v>
      </c>
      <c r="C1861" t="s">
        <v>5009</v>
      </c>
      <c r="D1861" t="s">
        <v>3992</v>
      </c>
      <c r="E1861">
        <v>400</v>
      </c>
      <c r="F1861" s="3">
        <v>5</v>
      </c>
      <c r="G1861">
        <f t="shared" si="87"/>
        <v>2000</v>
      </c>
      <c r="H1861" t="s">
        <v>17</v>
      </c>
      <c r="I1861">
        <f t="shared" si="88"/>
        <v>480</v>
      </c>
      <c r="J1861">
        <f t="shared" si="89"/>
        <v>2400</v>
      </c>
    </row>
    <row r="1862" spans="1:10" x14ac:dyDescent="0.45">
      <c r="A1862" t="s">
        <v>4294</v>
      </c>
      <c r="B1862" s="1">
        <v>45740</v>
      </c>
      <c r="C1862" t="s">
        <v>33</v>
      </c>
      <c r="D1862" t="s">
        <v>3985</v>
      </c>
      <c r="E1862">
        <v>1950</v>
      </c>
      <c r="F1862" s="3">
        <v>1</v>
      </c>
      <c r="G1862">
        <f t="shared" si="87"/>
        <v>1950</v>
      </c>
      <c r="H1862" t="s">
        <v>21</v>
      </c>
      <c r="I1862">
        <f t="shared" si="88"/>
        <v>2340</v>
      </c>
      <c r="J1862">
        <f t="shared" si="89"/>
        <v>2340</v>
      </c>
    </row>
    <row r="1863" spans="1:10" x14ac:dyDescent="0.45">
      <c r="A1863" t="s">
        <v>4342</v>
      </c>
      <c r="B1863" s="1">
        <v>45740</v>
      </c>
      <c r="C1863" t="s">
        <v>5009</v>
      </c>
      <c r="D1863" t="s">
        <v>4000</v>
      </c>
      <c r="E1863">
        <v>3000</v>
      </c>
      <c r="F1863" s="3">
        <v>5</v>
      </c>
      <c r="G1863">
        <f t="shared" si="87"/>
        <v>15000</v>
      </c>
      <c r="H1863" t="s">
        <v>7</v>
      </c>
      <c r="I1863">
        <f t="shared" si="88"/>
        <v>3600</v>
      </c>
      <c r="J1863">
        <f t="shared" si="89"/>
        <v>18000</v>
      </c>
    </row>
    <row r="1864" spans="1:10" x14ac:dyDescent="0.45">
      <c r="A1864" t="s">
        <v>4375</v>
      </c>
      <c r="B1864" s="1">
        <v>45740</v>
      </c>
      <c r="C1864" t="s">
        <v>33</v>
      </c>
      <c r="D1864" t="s">
        <v>3994</v>
      </c>
      <c r="E1864">
        <v>2500</v>
      </c>
      <c r="F1864" s="3">
        <v>4</v>
      </c>
      <c r="G1864">
        <f t="shared" si="87"/>
        <v>10000</v>
      </c>
      <c r="H1864" t="s">
        <v>7</v>
      </c>
      <c r="I1864">
        <f t="shared" si="88"/>
        <v>3000</v>
      </c>
      <c r="J1864">
        <f t="shared" si="89"/>
        <v>12000</v>
      </c>
    </row>
    <row r="1865" spans="1:10" x14ac:dyDescent="0.45">
      <c r="A1865" t="s">
        <v>4607</v>
      </c>
      <c r="B1865" s="1">
        <v>45740</v>
      </c>
      <c r="C1865" t="s">
        <v>33</v>
      </c>
      <c r="D1865" t="s">
        <v>3994</v>
      </c>
      <c r="E1865">
        <v>2500</v>
      </c>
      <c r="F1865" s="3">
        <v>2</v>
      </c>
      <c r="G1865">
        <f t="shared" si="87"/>
        <v>5000</v>
      </c>
      <c r="H1865" t="s">
        <v>17</v>
      </c>
      <c r="I1865">
        <f t="shared" si="88"/>
        <v>3000</v>
      </c>
      <c r="J1865">
        <f t="shared" si="89"/>
        <v>6000</v>
      </c>
    </row>
    <row r="1866" spans="1:10" x14ac:dyDescent="0.45">
      <c r="A1866" t="s">
        <v>4670</v>
      </c>
      <c r="B1866" s="1">
        <v>45740</v>
      </c>
      <c r="C1866" t="s">
        <v>5008</v>
      </c>
      <c r="D1866" t="s">
        <v>4003</v>
      </c>
      <c r="E1866">
        <v>10000</v>
      </c>
      <c r="F1866" s="3">
        <v>6</v>
      </c>
      <c r="G1866">
        <f t="shared" si="87"/>
        <v>60000</v>
      </c>
      <c r="H1866" t="s">
        <v>7</v>
      </c>
      <c r="I1866">
        <f t="shared" si="88"/>
        <v>12000</v>
      </c>
      <c r="J1866">
        <f t="shared" si="89"/>
        <v>72000</v>
      </c>
    </row>
    <row r="1867" spans="1:10" x14ac:dyDescent="0.45">
      <c r="A1867" t="s">
        <v>4836</v>
      </c>
      <c r="B1867" s="1">
        <v>45740</v>
      </c>
      <c r="C1867" t="s">
        <v>3979</v>
      </c>
      <c r="D1867" t="s">
        <v>3980</v>
      </c>
      <c r="E1867">
        <v>500</v>
      </c>
      <c r="F1867" s="3">
        <v>10</v>
      </c>
      <c r="G1867">
        <f t="shared" si="87"/>
        <v>5000</v>
      </c>
      <c r="H1867" t="s">
        <v>7</v>
      </c>
      <c r="I1867">
        <f t="shared" si="88"/>
        <v>600</v>
      </c>
      <c r="J1867">
        <f t="shared" si="89"/>
        <v>6000</v>
      </c>
    </row>
    <row r="1868" spans="1:10" x14ac:dyDescent="0.45">
      <c r="A1868" t="s">
        <v>4913</v>
      </c>
      <c r="B1868" s="1">
        <v>45740</v>
      </c>
      <c r="C1868" t="s">
        <v>33</v>
      </c>
      <c r="D1868" t="s">
        <v>3994</v>
      </c>
      <c r="E1868">
        <v>2500</v>
      </c>
      <c r="F1868" s="3">
        <v>4</v>
      </c>
      <c r="G1868">
        <f t="shared" si="87"/>
        <v>10000</v>
      </c>
      <c r="H1868" t="s">
        <v>7</v>
      </c>
      <c r="I1868">
        <f t="shared" si="88"/>
        <v>3000</v>
      </c>
      <c r="J1868">
        <f t="shared" si="89"/>
        <v>12000</v>
      </c>
    </row>
    <row r="1869" spans="1:10" x14ac:dyDescent="0.45">
      <c r="A1869" t="s">
        <v>4915</v>
      </c>
      <c r="B1869" s="1">
        <v>45740</v>
      </c>
      <c r="C1869" t="s">
        <v>3977</v>
      </c>
      <c r="D1869" t="s">
        <v>3993</v>
      </c>
      <c r="E1869">
        <v>1000</v>
      </c>
      <c r="F1869" s="3">
        <v>5</v>
      </c>
      <c r="G1869">
        <f t="shared" si="87"/>
        <v>5000</v>
      </c>
      <c r="H1869" t="s">
        <v>7</v>
      </c>
      <c r="I1869">
        <f t="shared" si="88"/>
        <v>1200</v>
      </c>
      <c r="J1869">
        <f t="shared" si="89"/>
        <v>6000</v>
      </c>
    </row>
    <row r="1870" spans="1:10" x14ac:dyDescent="0.45">
      <c r="A1870" t="s">
        <v>4938</v>
      </c>
      <c r="B1870" s="1">
        <v>45740</v>
      </c>
      <c r="C1870" t="s">
        <v>33</v>
      </c>
      <c r="D1870" t="s">
        <v>3985</v>
      </c>
      <c r="E1870">
        <v>1950</v>
      </c>
      <c r="F1870" s="3">
        <v>6</v>
      </c>
      <c r="G1870">
        <f t="shared" si="87"/>
        <v>11700</v>
      </c>
      <c r="H1870" t="s">
        <v>7</v>
      </c>
      <c r="I1870">
        <f t="shared" si="88"/>
        <v>2340</v>
      </c>
      <c r="J1870">
        <f t="shared" si="89"/>
        <v>14040</v>
      </c>
    </row>
    <row r="1871" spans="1:10" x14ac:dyDescent="0.45">
      <c r="A1871" t="s">
        <v>658</v>
      </c>
      <c r="B1871" s="1">
        <v>45741</v>
      </c>
      <c r="C1871" t="s">
        <v>9</v>
      </c>
      <c r="D1871" t="s">
        <v>10</v>
      </c>
      <c r="E1871">
        <v>400</v>
      </c>
      <c r="F1871">
        <v>10</v>
      </c>
      <c r="G1871">
        <f t="shared" si="87"/>
        <v>4000</v>
      </c>
      <c r="H1871" t="s">
        <v>21</v>
      </c>
      <c r="I1871">
        <f t="shared" si="88"/>
        <v>480</v>
      </c>
      <c r="J1871">
        <f t="shared" si="89"/>
        <v>4800</v>
      </c>
    </row>
    <row r="1872" spans="1:10" x14ac:dyDescent="0.45">
      <c r="A1872" t="s">
        <v>659</v>
      </c>
      <c r="B1872" s="1">
        <v>45741</v>
      </c>
      <c r="C1872" t="s">
        <v>33</v>
      </c>
      <c r="D1872" t="s">
        <v>14</v>
      </c>
      <c r="E1872">
        <v>800</v>
      </c>
      <c r="F1872">
        <v>10</v>
      </c>
      <c r="G1872">
        <f t="shared" si="87"/>
        <v>8000</v>
      </c>
      <c r="H1872" t="s">
        <v>21</v>
      </c>
      <c r="I1872">
        <f t="shared" si="88"/>
        <v>960</v>
      </c>
      <c r="J1872">
        <f t="shared" si="89"/>
        <v>9600</v>
      </c>
    </row>
    <row r="1873" spans="1:10" x14ac:dyDescent="0.45">
      <c r="A1873" t="s">
        <v>660</v>
      </c>
      <c r="B1873" s="1">
        <v>45741</v>
      </c>
      <c r="C1873" t="s">
        <v>33</v>
      </c>
      <c r="D1873" t="s">
        <v>34</v>
      </c>
      <c r="E1873">
        <v>1700</v>
      </c>
      <c r="F1873">
        <v>8</v>
      </c>
      <c r="G1873">
        <f t="shared" si="87"/>
        <v>13600</v>
      </c>
      <c r="H1873" t="s">
        <v>7</v>
      </c>
      <c r="I1873">
        <f t="shared" si="88"/>
        <v>2040</v>
      </c>
      <c r="J1873">
        <f t="shared" si="89"/>
        <v>16320</v>
      </c>
    </row>
    <row r="1874" spans="1:10" x14ac:dyDescent="0.45">
      <c r="A1874" t="s">
        <v>661</v>
      </c>
      <c r="B1874" s="1">
        <v>45741</v>
      </c>
      <c r="C1874" t="s">
        <v>33</v>
      </c>
      <c r="D1874" t="s">
        <v>16</v>
      </c>
      <c r="E1874">
        <v>1200</v>
      </c>
      <c r="F1874">
        <v>8</v>
      </c>
      <c r="G1874">
        <f t="shared" si="87"/>
        <v>9600</v>
      </c>
      <c r="H1874" t="s">
        <v>17</v>
      </c>
      <c r="I1874">
        <f t="shared" si="88"/>
        <v>1440</v>
      </c>
      <c r="J1874">
        <f t="shared" si="89"/>
        <v>11520</v>
      </c>
    </row>
    <row r="1875" spans="1:10" x14ac:dyDescent="0.45">
      <c r="A1875" t="s">
        <v>662</v>
      </c>
      <c r="B1875" s="1">
        <v>45741</v>
      </c>
      <c r="C1875" t="s">
        <v>12</v>
      </c>
      <c r="D1875" t="s">
        <v>5023</v>
      </c>
      <c r="E1875">
        <v>1750</v>
      </c>
      <c r="F1875">
        <v>10</v>
      </c>
      <c r="G1875">
        <f t="shared" si="87"/>
        <v>17500</v>
      </c>
      <c r="H1875" t="s">
        <v>21</v>
      </c>
      <c r="I1875">
        <f t="shared" si="88"/>
        <v>2100</v>
      </c>
      <c r="J1875">
        <f t="shared" si="89"/>
        <v>21000</v>
      </c>
    </row>
    <row r="1876" spans="1:10" x14ac:dyDescent="0.45">
      <c r="A1876" t="s">
        <v>663</v>
      </c>
      <c r="B1876" s="1">
        <v>45741</v>
      </c>
      <c r="C1876" t="s">
        <v>33</v>
      </c>
      <c r="D1876" t="s">
        <v>34</v>
      </c>
      <c r="E1876">
        <v>1700</v>
      </c>
      <c r="F1876">
        <v>8</v>
      </c>
      <c r="G1876">
        <f t="shared" si="87"/>
        <v>13600</v>
      </c>
      <c r="H1876" t="s">
        <v>7</v>
      </c>
      <c r="I1876">
        <f t="shared" si="88"/>
        <v>2040</v>
      </c>
      <c r="J1876">
        <f t="shared" si="89"/>
        <v>16320</v>
      </c>
    </row>
    <row r="1877" spans="1:10" x14ac:dyDescent="0.45">
      <c r="A1877" t="s">
        <v>664</v>
      </c>
      <c r="B1877" s="1">
        <v>45741</v>
      </c>
      <c r="C1877" t="s">
        <v>12</v>
      </c>
      <c r="D1877" t="s">
        <v>5022</v>
      </c>
      <c r="E1877">
        <v>2880</v>
      </c>
      <c r="F1877">
        <v>1</v>
      </c>
      <c r="G1877">
        <f t="shared" si="87"/>
        <v>2880</v>
      </c>
      <c r="H1877" t="s">
        <v>17</v>
      </c>
      <c r="I1877">
        <f t="shared" si="88"/>
        <v>3456</v>
      </c>
      <c r="J1877">
        <f t="shared" si="89"/>
        <v>3456</v>
      </c>
    </row>
    <row r="1878" spans="1:10" x14ac:dyDescent="0.45">
      <c r="A1878" t="s">
        <v>665</v>
      </c>
      <c r="B1878" s="1">
        <v>45741</v>
      </c>
      <c r="C1878" t="s">
        <v>33</v>
      </c>
      <c r="D1878" t="s">
        <v>16</v>
      </c>
      <c r="E1878">
        <v>1200</v>
      </c>
      <c r="F1878">
        <v>7</v>
      </c>
      <c r="G1878">
        <f t="shared" si="87"/>
        <v>8400</v>
      </c>
      <c r="H1878" t="s">
        <v>7</v>
      </c>
      <c r="I1878">
        <f t="shared" si="88"/>
        <v>1440</v>
      </c>
      <c r="J1878">
        <f t="shared" si="89"/>
        <v>10080</v>
      </c>
    </row>
    <row r="1879" spans="1:10" x14ac:dyDescent="0.45">
      <c r="A1879" t="s">
        <v>666</v>
      </c>
      <c r="B1879" s="1">
        <v>45741</v>
      </c>
      <c r="C1879" t="s">
        <v>12</v>
      </c>
      <c r="D1879" t="s">
        <v>5023</v>
      </c>
      <c r="E1879">
        <v>1750</v>
      </c>
      <c r="F1879">
        <v>2</v>
      </c>
      <c r="G1879">
        <f t="shared" si="87"/>
        <v>3500</v>
      </c>
      <c r="H1879" t="s">
        <v>21</v>
      </c>
      <c r="I1879">
        <f t="shared" si="88"/>
        <v>2100</v>
      </c>
      <c r="J1879">
        <f t="shared" si="89"/>
        <v>4200</v>
      </c>
    </row>
    <row r="1880" spans="1:10" x14ac:dyDescent="0.45">
      <c r="A1880" t="s">
        <v>3102</v>
      </c>
      <c r="B1880" s="1">
        <v>45741</v>
      </c>
      <c r="C1880" t="s">
        <v>4007</v>
      </c>
      <c r="D1880" t="s">
        <v>2773</v>
      </c>
      <c r="E1880">
        <v>3300</v>
      </c>
      <c r="F1880">
        <v>4</v>
      </c>
      <c r="G1880">
        <f t="shared" si="87"/>
        <v>13200</v>
      </c>
      <c r="H1880" t="s">
        <v>17</v>
      </c>
      <c r="I1880">
        <f t="shared" si="88"/>
        <v>3960</v>
      </c>
      <c r="J1880">
        <f t="shared" si="89"/>
        <v>15840</v>
      </c>
    </row>
    <row r="1881" spans="1:10" x14ac:dyDescent="0.45">
      <c r="A1881" t="s">
        <v>4013</v>
      </c>
      <c r="B1881" s="1">
        <v>45741</v>
      </c>
      <c r="C1881" t="s">
        <v>3979</v>
      </c>
      <c r="D1881" t="s">
        <v>3983</v>
      </c>
      <c r="E1881">
        <v>1000</v>
      </c>
      <c r="F1881" s="3">
        <v>7</v>
      </c>
      <c r="G1881">
        <f t="shared" si="87"/>
        <v>7000</v>
      </c>
      <c r="H1881" t="s">
        <v>7</v>
      </c>
      <c r="I1881">
        <f t="shared" si="88"/>
        <v>1200</v>
      </c>
      <c r="J1881">
        <f t="shared" si="89"/>
        <v>8400</v>
      </c>
    </row>
    <row r="1882" spans="1:10" x14ac:dyDescent="0.45">
      <c r="A1882" t="s">
        <v>4094</v>
      </c>
      <c r="B1882" s="1">
        <v>45741</v>
      </c>
      <c r="C1882" t="s">
        <v>5008</v>
      </c>
      <c r="D1882" t="s">
        <v>3998</v>
      </c>
      <c r="E1882">
        <v>8000</v>
      </c>
      <c r="F1882" s="3">
        <v>5</v>
      </c>
      <c r="G1882">
        <f t="shared" si="87"/>
        <v>40000</v>
      </c>
      <c r="H1882" t="s">
        <v>21</v>
      </c>
      <c r="I1882">
        <f t="shared" si="88"/>
        <v>9600</v>
      </c>
      <c r="J1882">
        <f t="shared" si="89"/>
        <v>48000</v>
      </c>
    </row>
    <row r="1883" spans="1:10" x14ac:dyDescent="0.45">
      <c r="A1883" t="s">
        <v>4337</v>
      </c>
      <c r="B1883" s="1">
        <v>45741</v>
      </c>
      <c r="C1883" t="s">
        <v>3979</v>
      </c>
      <c r="D1883" t="s">
        <v>3984</v>
      </c>
      <c r="E1883">
        <v>12000</v>
      </c>
      <c r="F1883" s="3">
        <v>4</v>
      </c>
      <c r="G1883">
        <f t="shared" si="87"/>
        <v>48000</v>
      </c>
      <c r="H1883" t="s">
        <v>21</v>
      </c>
      <c r="I1883">
        <f t="shared" si="88"/>
        <v>14400</v>
      </c>
      <c r="J1883">
        <f t="shared" si="89"/>
        <v>57600</v>
      </c>
    </row>
    <row r="1884" spans="1:10" x14ac:dyDescent="0.45">
      <c r="A1884" t="s">
        <v>4408</v>
      </c>
      <c r="B1884" s="1">
        <v>45741</v>
      </c>
      <c r="C1884" t="s">
        <v>4007</v>
      </c>
      <c r="D1884" t="s">
        <v>4005</v>
      </c>
      <c r="E1884">
        <v>60000</v>
      </c>
      <c r="F1884" s="3">
        <v>6</v>
      </c>
      <c r="G1884">
        <f t="shared" si="87"/>
        <v>360000</v>
      </c>
      <c r="H1884" t="s">
        <v>17</v>
      </c>
      <c r="I1884">
        <f t="shared" si="88"/>
        <v>72000</v>
      </c>
      <c r="J1884">
        <f t="shared" si="89"/>
        <v>432000</v>
      </c>
    </row>
    <row r="1885" spans="1:10" x14ac:dyDescent="0.45">
      <c r="A1885" t="s">
        <v>4511</v>
      </c>
      <c r="B1885" s="1">
        <v>45741</v>
      </c>
      <c r="C1885" t="s">
        <v>5009</v>
      </c>
      <c r="D1885" t="s">
        <v>3992</v>
      </c>
      <c r="E1885">
        <v>400</v>
      </c>
      <c r="F1885" s="3">
        <v>2</v>
      </c>
      <c r="G1885">
        <f t="shared" si="87"/>
        <v>800</v>
      </c>
      <c r="H1885" t="s">
        <v>17</v>
      </c>
      <c r="I1885">
        <f t="shared" si="88"/>
        <v>480</v>
      </c>
      <c r="J1885">
        <f t="shared" si="89"/>
        <v>960</v>
      </c>
    </row>
    <row r="1886" spans="1:10" x14ac:dyDescent="0.45">
      <c r="A1886" t="s">
        <v>4562</v>
      </c>
      <c r="B1886" s="1">
        <v>45741</v>
      </c>
      <c r="C1886" t="s">
        <v>3979</v>
      </c>
      <c r="D1886" t="s">
        <v>4006</v>
      </c>
      <c r="E1886">
        <v>2000</v>
      </c>
      <c r="F1886" s="3">
        <v>7</v>
      </c>
      <c r="G1886">
        <f t="shared" si="87"/>
        <v>14000</v>
      </c>
      <c r="H1886" t="s">
        <v>7</v>
      </c>
      <c r="I1886">
        <f t="shared" si="88"/>
        <v>2400</v>
      </c>
      <c r="J1886">
        <f t="shared" si="89"/>
        <v>16800</v>
      </c>
    </row>
    <row r="1887" spans="1:10" x14ac:dyDescent="0.45">
      <c r="A1887" t="s">
        <v>4767</v>
      </c>
      <c r="B1887" s="1">
        <v>45741</v>
      </c>
      <c r="C1887" t="s">
        <v>4007</v>
      </c>
      <c r="D1887" t="s">
        <v>4005</v>
      </c>
      <c r="E1887">
        <v>60000</v>
      </c>
      <c r="F1887" s="3">
        <v>4</v>
      </c>
      <c r="G1887">
        <f t="shared" si="87"/>
        <v>240000</v>
      </c>
      <c r="H1887" t="s">
        <v>17</v>
      </c>
      <c r="I1887">
        <f t="shared" si="88"/>
        <v>72000</v>
      </c>
      <c r="J1887">
        <f t="shared" si="89"/>
        <v>288000</v>
      </c>
    </row>
    <row r="1888" spans="1:10" x14ac:dyDescent="0.45">
      <c r="A1888" t="s">
        <v>4828</v>
      </c>
      <c r="B1888" s="1">
        <v>45741</v>
      </c>
      <c r="C1888" t="s">
        <v>3979</v>
      </c>
      <c r="D1888" t="s">
        <v>3987</v>
      </c>
      <c r="E1888">
        <v>8000</v>
      </c>
      <c r="F1888" s="3">
        <v>4</v>
      </c>
      <c r="G1888">
        <f t="shared" si="87"/>
        <v>32000</v>
      </c>
      <c r="H1888" t="s">
        <v>17</v>
      </c>
      <c r="I1888">
        <f t="shared" si="88"/>
        <v>9600</v>
      </c>
      <c r="J1888">
        <f t="shared" si="89"/>
        <v>38400</v>
      </c>
    </row>
    <row r="1889" spans="1:10" x14ac:dyDescent="0.45">
      <c r="A1889" t="s">
        <v>4976</v>
      </c>
      <c r="B1889" s="1">
        <v>45741</v>
      </c>
      <c r="C1889" t="s">
        <v>3977</v>
      </c>
      <c r="D1889" t="s">
        <v>3991</v>
      </c>
      <c r="E1889">
        <v>2000</v>
      </c>
      <c r="F1889" s="3">
        <v>3</v>
      </c>
      <c r="G1889">
        <f t="shared" si="87"/>
        <v>6000</v>
      </c>
      <c r="H1889" t="s">
        <v>17</v>
      </c>
      <c r="I1889">
        <f t="shared" si="88"/>
        <v>2400</v>
      </c>
      <c r="J1889">
        <f t="shared" si="89"/>
        <v>7200</v>
      </c>
    </row>
    <row r="1890" spans="1:10" x14ac:dyDescent="0.45">
      <c r="A1890" t="s">
        <v>667</v>
      </c>
      <c r="B1890" s="1">
        <v>45742</v>
      </c>
      <c r="C1890" t="s">
        <v>9</v>
      </c>
      <c r="D1890" t="s">
        <v>19</v>
      </c>
      <c r="E1890">
        <v>3000</v>
      </c>
      <c r="F1890">
        <v>3</v>
      </c>
      <c r="G1890">
        <f t="shared" si="87"/>
        <v>9000</v>
      </c>
      <c r="H1890" t="s">
        <v>21</v>
      </c>
      <c r="I1890">
        <f t="shared" si="88"/>
        <v>3600</v>
      </c>
      <c r="J1890">
        <f t="shared" si="89"/>
        <v>10800</v>
      </c>
    </row>
    <row r="1891" spans="1:10" x14ac:dyDescent="0.45">
      <c r="A1891" t="s">
        <v>668</v>
      </c>
      <c r="B1891" s="1">
        <v>45742</v>
      </c>
      <c r="C1891" t="s">
        <v>33</v>
      </c>
      <c r="D1891" t="s">
        <v>34</v>
      </c>
      <c r="E1891">
        <v>1700</v>
      </c>
      <c r="F1891">
        <v>6</v>
      </c>
      <c r="G1891">
        <f t="shared" si="87"/>
        <v>10200</v>
      </c>
      <c r="H1891" t="s">
        <v>7</v>
      </c>
      <c r="I1891">
        <f t="shared" si="88"/>
        <v>2040</v>
      </c>
      <c r="J1891">
        <f t="shared" si="89"/>
        <v>12240</v>
      </c>
    </row>
    <row r="1892" spans="1:10" x14ac:dyDescent="0.45">
      <c r="A1892" t="s">
        <v>669</v>
      </c>
      <c r="B1892" s="1">
        <v>45742</v>
      </c>
      <c r="C1892" t="s">
        <v>12</v>
      </c>
      <c r="D1892" t="s">
        <v>5022</v>
      </c>
      <c r="E1892">
        <v>2880</v>
      </c>
      <c r="F1892">
        <v>10</v>
      </c>
      <c r="G1892">
        <f t="shared" si="87"/>
        <v>28800</v>
      </c>
      <c r="H1892" t="s">
        <v>17</v>
      </c>
      <c r="I1892">
        <f t="shared" si="88"/>
        <v>3456</v>
      </c>
      <c r="J1892">
        <f t="shared" si="89"/>
        <v>34560</v>
      </c>
    </row>
    <row r="1893" spans="1:10" x14ac:dyDescent="0.45">
      <c r="A1893" t="s">
        <v>670</v>
      </c>
      <c r="B1893" s="1">
        <v>45742</v>
      </c>
      <c r="C1893" t="s">
        <v>33</v>
      </c>
      <c r="D1893" t="s">
        <v>42</v>
      </c>
      <c r="E1893">
        <v>6900</v>
      </c>
      <c r="F1893">
        <v>1</v>
      </c>
      <c r="G1893">
        <f t="shared" si="87"/>
        <v>6900</v>
      </c>
      <c r="H1893" t="s">
        <v>17</v>
      </c>
      <c r="I1893">
        <f t="shared" si="88"/>
        <v>8280</v>
      </c>
      <c r="J1893">
        <f t="shared" si="89"/>
        <v>8280</v>
      </c>
    </row>
    <row r="1894" spans="1:10" x14ac:dyDescent="0.45">
      <c r="A1894" t="s">
        <v>671</v>
      </c>
      <c r="B1894" s="1">
        <v>45742</v>
      </c>
      <c r="C1894" t="s">
        <v>12</v>
      </c>
      <c r="D1894" t="s">
        <v>5021</v>
      </c>
      <c r="E1894">
        <v>2880</v>
      </c>
      <c r="F1894">
        <v>5</v>
      </c>
      <c r="G1894">
        <f t="shared" si="87"/>
        <v>14400</v>
      </c>
      <c r="H1894" t="s">
        <v>7</v>
      </c>
      <c r="I1894">
        <f t="shared" si="88"/>
        <v>3456</v>
      </c>
      <c r="J1894">
        <f t="shared" si="89"/>
        <v>17280</v>
      </c>
    </row>
    <row r="1895" spans="1:10" x14ac:dyDescent="0.45">
      <c r="A1895" t="s">
        <v>4108</v>
      </c>
      <c r="B1895" s="1">
        <v>45742</v>
      </c>
      <c r="C1895" t="s">
        <v>5008</v>
      </c>
      <c r="D1895" t="s">
        <v>3998</v>
      </c>
      <c r="E1895">
        <v>8000</v>
      </c>
      <c r="F1895" s="3">
        <v>1</v>
      </c>
      <c r="G1895">
        <f t="shared" si="87"/>
        <v>8000</v>
      </c>
      <c r="H1895" t="s">
        <v>7</v>
      </c>
      <c r="I1895">
        <f t="shared" si="88"/>
        <v>9600</v>
      </c>
      <c r="J1895">
        <f t="shared" si="89"/>
        <v>9600</v>
      </c>
    </row>
    <row r="1896" spans="1:10" x14ac:dyDescent="0.45">
      <c r="A1896" t="s">
        <v>4204</v>
      </c>
      <c r="B1896" s="1">
        <v>45742</v>
      </c>
      <c r="C1896" t="s">
        <v>3977</v>
      </c>
      <c r="D1896" t="s">
        <v>3978</v>
      </c>
      <c r="E1896">
        <v>2000</v>
      </c>
      <c r="F1896" s="3">
        <v>2</v>
      </c>
      <c r="G1896">
        <f t="shared" si="87"/>
        <v>4000</v>
      </c>
      <c r="H1896" t="s">
        <v>21</v>
      </c>
      <c r="I1896">
        <f t="shared" si="88"/>
        <v>2400</v>
      </c>
      <c r="J1896">
        <f t="shared" si="89"/>
        <v>4800</v>
      </c>
    </row>
    <row r="1897" spans="1:10" x14ac:dyDescent="0.45">
      <c r="A1897" t="s">
        <v>4313</v>
      </c>
      <c r="B1897" s="1">
        <v>45742</v>
      </c>
      <c r="C1897" t="s">
        <v>3979</v>
      </c>
      <c r="D1897" t="s">
        <v>4006</v>
      </c>
      <c r="E1897">
        <v>2000</v>
      </c>
      <c r="F1897" s="3">
        <v>7</v>
      </c>
      <c r="G1897">
        <f t="shared" si="87"/>
        <v>14000</v>
      </c>
      <c r="H1897" t="s">
        <v>21</v>
      </c>
      <c r="I1897">
        <f t="shared" si="88"/>
        <v>2400</v>
      </c>
      <c r="J1897">
        <f t="shared" si="89"/>
        <v>16800</v>
      </c>
    </row>
    <row r="1898" spans="1:10" x14ac:dyDescent="0.45">
      <c r="A1898" t="s">
        <v>4457</v>
      </c>
      <c r="B1898" s="1">
        <v>45742</v>
      </c>
      <c r="C1898" t="s">
        <v>5009</v>
      </c>
      <c r="D1898" t="s">
        <v>4000</v>
      </c>
      <c r="E1898">
        <v>3000</v>
      </c>
      <c r="F1898" s="3">
        <v>1</v>
      </c>
      <c r="G1898">
        <f t="shared" si="87"/>
        <v>3000</v>
      </c>
      <c r="H1898" t="s">
        <v>21</v>
      </c>
      <c r="I1898">
        <f t="shared" si="88"/>
        <v>3600</v>
      </c>
      <c r="J1898">
        <f t="shared" si="89"/>
        <v>3600</v>
      </c>
    </row>
    <row r="1899" spans="1:10" x14ac:dyDescent="0.45">
      <c r="A1899" t="s">
        <v>4528</v>
      </c>
      <c r="B1899" s="1">
        <v>45742</v>
      </c>
      <c r="C1899" t="s">
        <v>3979</v>
      </c>
      <c r="D1899" t="s">
        <v>4006</v>
      </c>
      <c r="E1899">
        <v>2000</v>
      </c>
      <c r="F1899" s="3">
        <v>3</v>
      </c>
      <c r="G1899">
        <f t="shared" si="87"/>
        <v>6000</v>
      </c>
      <c r="H1899" t="s">
        <v>7</v>
      </c>
      <c r="I1899">
        <f t="shared" si="88"/>
        <v>2400</v>
      </c>
      <c r="J1899">
        <f t="shared" si="89"/>
        <v>7200</v>
      </c>
    </row>
    <row r="1900" spans="1:10" x14ac:dyDescent="0.45">
      <c r="A1900" t="s">
        <v>4541</v>
      </c>
      <c r="B1900" s="1">
        <v>45742</v>
      </c>
      <c r="C1900" t="s">
        <v>4007</v>
      </c>
      <c r="D1900" t="s">
        <v>3988</v>
      </c>
      <c r="E1900">
        <v>35000</v>
      </c>
      <c r="F1900" s="3">
        <v>9</v>
      </c>
      <c r="G1900">
        <f t="shared" si="87"/>
        <v>315000</v>
      </c>
      <c r="H1900" t="s">
        <v>21</v>
      </c>
      <c r="I1900">
        <f t="shared" si="88"/>
        <v>42000</v>
      </c>
      <c r="J1900">
        <f t="shared" si="89"/>
        <v>378000</v>
      </c>
    </row>
    <row r="1901" spans="1:10" x14ac:dyDescent="0.45">
      <c r="A1901" t="s">
        <v>4586</v>
      </c>
      <c r="B1901" s="1">
        <v>45742</v>
      </c>
      <c r="C1901" t="s">
        <v>3977</v>
      </c>
      <c r="D1901" t="s">
        <v>3989</v>
      </c>
      <c r="E1901">
        <v>1000</v>
      </c>
      <c r="F1901" s="3">
        <v>4</v>
      </c>
      <c r="G1901">
        <f t="shared" si="87"/>
        <v>4000</v>
      </c>
      <c r="H1901" t="s">
        <v>7</v>
      </c>
      <c r="I1901">
        <f t="shared" si="88"/>
        <v>1200</v>
      </c>
      <c r="J1901">
        <f t="shared" si="89"/>
        <v>4800</v>
      </c>
    </row>
    <row r="1902" spans="1:10" x14ac:dyDescent="0.45">
      <c r="A1902" t="s">
        <v>4756</v>
      </c>
      <c r="B1902" s="1">
        <v>45742</v>
      </c>
      <c r="C1902" t="s">
        <v>33</v>
      </c>
      <c r="D1902" t="s">
        <v>3981</v>
      </c>
      <c r="E1902">
        <v>4000</v>
      </c>
      <c r="F1902" s="3">
        <v>9</v>
      </c>
      <c r="G1902">
        <f t="shared" si="87"/>
        <v>36000</v>
      </c>
      <c r="H1902" t="s">
        <v>7</v>
      </c>
      <c r="I1902">
        <f t="shared" si="88"/>
        <v>4800</v>
      </c>
      <c r="J1902">
        <f t="shared" si="89"/>
        <v>43200</v>
      </c>
    </row>
    <row r="1903" spans="1:10" x14ac:dyDescent="0.45">
      <c r="A1903" t="s">
        <v>4771</v>
      </c>
      <c r="B1903" s="1">
        <v>45742</v>
      </c>
      <c r="C1903" t="s">
        <v>3977</v>
      </c>
      <c r="D1903" t="s">
        <v>4002</v>
      </c>
      <c r="E1903">
        <v>2500</v>
      </c>
      <c r="F1903" s="3">
        <v>5</v>
      </c>
      <c r="G1903">
        <f t="shared" si="87"/>
        <v>12500</v>
      </c>
      <c r="H1903" t="s">
        <v>21</v>
      </c>
      <c r="I1903">
        <f t="shared" si="88"/>
        <v>3000</v>
      </c>
      <c r="J1903">
        <f t="shared" si="89"/>
        <v>15000</v>
      </c>
    </row>
    <row r="1904" spans="1:10" x14ac:dyDescent="0.45">
      <c r="A1904" t="s">
        <v>4835</v>
      </c>
      <c r="B1904" s="1">
        <v>45742</v>
      </c>
      <c r="C1904" t="s">
        <v>5008</v>
      </c>
      <c r="D1904" t="s">
        <v>4003</v>
      </c>
      <c r="E1904">
        <v>10000</v>
      </c>
      <c r="F1904" s="3">
        <v>3</v>
      </c>
      <c r="G1904">
        <f t="shared" si="87"/>
        <v>30000</v>
      </c>
      <c r="H1904" t="s">
        <v>17</v>
      </c>
      <c r="I1904">
        <f t="shared" si="88"/>
        <v>12000</v>
      </c>
      <c r="J1904">
        <f t="shared" si="89"/>
        <v>36000</v>
      </c>
    </row>
    <row r="1905" spans="1:10" x14ac:dyDescent="0.45">
      <c r="A1905" t="s">
        <v>4843</v>
      </c>
      <c r="B1905" s="1">
        <v>45742</v>
      </c>
      <c r="C1905" t="s">
        <v>5008</v>
      </c>
      <c r="D1905" t="s">
        <v>3998</v>
      </c>
      <c r="E1905">
        <v>8000</v>
      </c>
      <c r="F1905" s="3">
        <v>1</v>
      </c>
      <c r="G1905">
        <f t="shared" si="87"/>
        <v>8000</v>
      </c>
      <c r="H1905" t="s">
        <v>21</v>
      </c>
      <c r="I1905">
        <f t="shared" si="88"/>
        <v>9600</v>
      </c>
      <c r="J1905">
        <f t="shared" si="89"/>
        <v>9600</v>
      </c>
    </row>
    <row r="1906" spans="1:10" x14ac:dyDescent="0.45">
      <c r="A1906" t="s">
        <v>4910</v>
      </c>
      <c r="B1906" s="1">
        <v>45742</v>
      </c>
      <c r="C1906" t="s">
        <v>3977</v>
      </c>
      <c r="D1906" t="s">
        <v>3978</v>
      </c>
      <c r="E1906">
        <v>2000</v>
      </c>
      <c r="F1906" s="3">
        <v>5</v>
      </c>
      <c r="G1906">
        <f t="shared" si="87"/>
        <v>10000</v>
      </c>
      <c r="H1906" t="s">
        <v>17</v>
      </c>
      <c r="I1906">
        <f t="shared" si="88"/>
        <v>2400</v>
      </c>
      <c r="J1906">
        <f t="shared" si="89"/>
        <v>12000</v>
      </c>
    </row>
    <row r="1907" spans="1:10" x14ac:dyDescent="0.45">
      <c r="A1907" t="s">
        <v>4954</v>
      </c>
      <c r="B1907" s="1">
        <v>45742</v>
      </c>
      <c r="C1907" t="s">
        <v>3979</v>
      </c>
      <c r="D1907" t="s">
        <v>3980</v>
      </c>
      <c r="E1907">
        <v>500</v>
      </c>
      <c r="F1907" s="3">
        <v>2</v>
      </c>
      <c r="G1907">
        <f t="shared" si="87"/>
        <v>1000</v>
      </c>
      <c r="H1907" t="s">
        <v>7</v>
      </c>
      <c r="I1907">
        <f t="shared" si="88"/>
        <v>600</v>
      </c>
      <c r="J1907">
        <f t="shared" si="89"/>
        <v>1200</v>
      </c>
    </row>
    <row r="1908" spans="1:10" x14ac:dyDescent="0.45">
      <c r="A1908" t="s">
        <v>672</v>
      </c>
      <c r="B1908" s="1">
        <v>45743</v>
      </c>
      <c r="C1908" t="s">
        <v>12</v>
      </c>
      <c r="D1908" t="s">
        <v>5020</v>
      </c>
      <c r="E1908">
        <v>2880</v>
      </c>
      <c r="F1908">
        <v>6</v>
      </c>
      <c r="G1908">
        <f t="shared" si="87"/>
        <v>17280</v>
      </c>
      <c r="H1908" t="s">
        <v>21</v>
      </c>
      <c r="I1908">
        <f t="shared" si="88"/>
        <v>3456</v>
      </c>
      <c r="J1908">
        <f t="shared" si="89"/>
        <v>20736</v>
      </c>
    </row>
    <row r="1909" spans="1:10" x14ac:dyDescent="0.45">
      <c r="A1909" t="s">
        <v>673</v>
      </c>
      <c r="B1909" s="1">
        <v>45743</v>
      </c>
      <c r="C1909" t="s">
        <v>9</v>
      </c>
      <c r="D1909" t="s">
        <v>19</v>
      </c>
      <c r="E1909">
        <v>3000</v>
      </c>
      <c r="F1909">
        <v>5</v>
      </c>
      <c r="G1909">
        <f t="shared" si="87"/>
        <v>15000</v>
      </c>
      <c r="H1909" t="s">
        <v>21</v>
      </c>
      <c r="I1909">
        <f t="shared" si="88"/>
        <v>3600</v>
      </c>
      <c r="J1909">
        <f t="shared" si="89"/>
        <v>18000</v>
      </c>
    </row>
    <row r="1910" spans="1:10" x14ac:dyDescent="0.45">
      <c r="A1910" t="s">
        <v>674</v>
      </c>
      <c r="B1910" s="1">
        <v>45743</v>
      </c>
      <c r="C1910" t="s">
        <v>12</v>
      </c>
      <c r="D1910" t="s">
        <v>5020</v>
      </c>
      <c r="E1910">
        <v>2880</v>
      </c>
      <c r="F1910">
        <v>5</v>
      </c>
      <c r="G1910">
        <f t="shared" si="87"/>
        <v>14400</v>
      </c>
      <c r="H1910" t="s">
        <v>17</v>
      </c>
      <c r="I1910">
        <f t="shared" si="88"/>
        <v>3456</v>
      </c>
      <c r="J1910">
        <f t="shared" si="89"/>
        <v>17280</v>
      </c>
    </row>
    <row r="1911" spans="1:10" x14ac:dyDescent="0.45">
      <c r="A1911" t="s">
        <v>675</v>
      </c>
      <c r="B1911" s="1">
        <v>45743</v>
      </c>
      <c r="C1911" t="s">
        <v>12</v>
      </c>
      <c r="D1911" t="s">
        <v>5022</v>
      </c>
      <c r="E1911">
        <v>2880</v>
      </c>
      <c r="F1911">
        <v>8</v>
      </c>
      <c r="G1911">
        <f t="shared" si="87"/>
        <v>23040</v>
      </c>
      <c r="H1911" t="s">
        <v>17</v>
      </c>
      <c r="I1911">
        <f t="shared" si="88"/>
        <v>3456</v>
      </c>
      <c r="J1911">
        <f t="shared" si="89"/>
        <v>27648</v>
      </c>
    </row>
    <row r="1912" spans="1:10" x14ac:dyDescent="0.45">
      <c r="A1912" t="s">
        <v>676</v>
      </c>
      <c r="B1912" s="1">
        <v>45743</v>
      </c>
      <c r="C1912" t="s">
        <v>12</v>
      </c>
      <c r="D1912" t="s">
        <v>5023</v>
      </c>
      <c r="E1912">
        <v>1750</v>
      </c>
      <c r="F1912">
        <v>10</v>
      </c>
      <c r="G1912">
        <f t="shared" si="87"/>
        <v>17500</v>
      </c>
      <c r="H1912" t="s">
        <v>7</v>
      </c>
      <c r="I1912">
        <f t="shared" si="88"/>
        <v>2100</v>
      </c>
      <c r="J1912">
        <f t="shared" si="89"/>
        <v>21000</v>
      </c>
    </row>
    <row r="1913" spans="1:10" x14ac:dyDescent="0.45">
      <c r="A1913" t="s">
        <v>677</v>
      </c>
      <c r="B1913" s="1">
        <v>45743</v>
      </c>
      <c r="C1913" t="s">
        <v>33</v>
      </c>
      <c r="D1913" t="s">
        <v>34</v>
      </c>
      <c r="E1913">
        <v>1700</v>
      </c>
      <c r="F1913">
        <v>10</v>
      </c>
      <c r="G1913">
        <f t="shared" si="87"/>
        <v>17000</v>
      </c>
      <c r="H1913" t="s">
        <v>7</v>
      </c>
      <c r="I1913">
        <f t="shared" si="88"/>
        <v>2040</v>
      </c>
      <c r="J1913">
        <f t="shared" si="89"/>
        <v>20400</v>
      </c>
    </row>
    <row r="1914" spans="1:10" x14ac:dyDescent="0.45">
      <c r="A1914" t="s">
        <v>3321</v>
      </c>
      <c r="B1914" s="1">
        <v>45743</v>
      </c>
      <c r="C1914" t="s">
        <v>4007</v>
      </c>
      <c r="D1914" t="s">
        <v>2773</v>
      </c>
      <c r="E1914">
        <v>3300</v>
      </c>
      <c r="F1914">
        <v>10</v>
      </c>
      <c r="G1914">
        <f t="shared" si="87"/>
        <v>33000</v>
      </c>
      <c r="H1914" t="s">
        <v>21</v>
      </c>
      <c r="I1914">
        <f t="shared" si="88"/>
        <v>3960</v>
      </c>
      <c r="J1914">
        <f t="shared" si="89"/>
        <v>39600</v>
      </c>
    </row>
    <row r="1915" spans="1:10" x14ac:dyDescent="0.45">
      <c r="A1915" t="s">
        <v>3671</v>
      </c>
      <c r="B1915" s="1">
        <v>45743</v>
      </c>
      <c r="C1915" t="s">
        <v>4007</v>
      </c>
      <c r="D1915" t="s">
        <v>5015</v>
      </c>
      <c r="E1915">
        <v>48000</v>
      </c>
      <c r="F1915">
        <v>3</v>
      </c>
      <c r="G1915">
        <f t="shared" si="87"/>
        <v>144000</v>
      </c>
      <c r="H1915" t="s">
        <v>21</v>
      </c>
      <c r="I1915">
        <f t="shared" si="88"/>
        <v>57600</v>
      </c>
      <c r="J1915">
        <f t="shared" si="89"/>
        <v>172800</v>
      </c>
    </row>
    <row r="1916" spans="1:10" x14ac:dyDescent="0.45">
      <c r="A1916" t="s">
        <v>4064</v>
      </c>
      <c r="B1916" s="1">
        <v>45743</v>
      </c>
      <c r="C1916" t="s">
        <v>33</v>
      </c>
      <c r="D1916" t="s">
        <v>3994</v>
      </c>
      <c r="E1916">
        <v>2500</v>
      </c>
      <c r="F1916" s="3">
        <v>2</v>
      </c>
      <c r="G1916">
        <f t="shared" si="87"/>
        <v>5000</v>
      </c>
      <c r="H1916" t="s">
        <v>21</v>
      </c>
      <c r="I1916">
        <f t="shared" si="88"/>
        <v>3000</v>
      </c>
      <c r="J1916">
        <f t="shared" si="89"/>
        <v>6000</v>
      </c>
    </row>
    <row r="1917" spans="1:10" x14ac:dyDescent="0.45">
      <c r="A1917" t="s">
        <v>4095</v>
      </c>
      <c r="B1917" s="1">
        <v>45743</v>
      </c>
      <c r="C1917" t="s">
        <v>4007</v>
      </c>
      <c r="D1917" t="s">
        <v>3999</v>
      </c>
      <c r="E1917">
        <v>50000</v>
      </c>
      <c r="F1917" s="3">
        <v>7</v>
      </c>
      <c r="G1917">
        <f t="shared" si="87"/>
        <v>350000</v>
      </c>
      <c r="H1917" t="s">
        <v>7</v>
      </c>
      <c r="I1917">
        <f t="shared" si="88"/>
        <v>60000</v>
      </c>
      <c r="J1917">
        <f t="shared" si="89"/>
        <v>420000</v>
      </c>
    </row>
    <row r="1918" spans="1:10" x14ac:dyDescent="0.45">
      <c r="A1918" t="s">
        <v>4157</v>
      </c>
      <c r="B1918" s="1">
        <v>45743</v>
      </c>
      <c r="C1918" t="s">
        <v>3977</v>
      </c>
      <c r="D1918" t="s">
        <v>3989</v>
      </c>
      <c r="E1918">
        <v>1000</v>
      </c>
      <c r="F1918" s="3">
        <v>8</v>
      </c>
      <c r="G1918">
        <f t="shared" si="87"/>
        <v>8000</v>
      </c>
      <c r="H1918" t="s">
        <v>17</v>
      </c>
      <c r="I1918">
        <f t="shared" si="88"/>
        <v>1200</v>
      </c>
      <c r="J1918">
        <f t="shared" si="89"/>
        <v>9600</v>
      </c>
    </row>
    <row r="1919" spans="1:10" x14ac:dyDescent="0.45">
      <c r="A1919" t="s">
        <v>4167</v>
      </c>
      <c r="B1919" s="1">
        <v>45743</v>
      </c>
      <c r="C1919" t="s">
        <v>5009</v>
      </c>
      <c r="D1919" t="s">
        <v>3992</v>
      </c>
      <c r="E1919">
        <v>400</v>
      </c>
      <c r="F1919" s="3">
        <v>6</v>
      </c>
      <c r="G1919">
        <f t="shared" si="87"/>
        <v>2400</v>
      </c>
      <c r="H1919" t="s">
        <v>21</v>
      </c>
      <c r="I1919">
        <f t="shared" si="88"/>
        <v>480</v>
      </c>
      <c r="J1919">
        <f t="shared" si="89"/>
        <v>2880</v>
      </c>
    </row>
    <row r="1920" spans="1:10" x14ac:dyDescent="0.45">
      <c r="A1920" t="s">
        <v>4594</v>
      </c>
      <c r="B1920" s="1">
        <v>45743</v>
      </c>
      <c r="C1920" t="s">
        <v>4007</v>
      </c>
      <c r="D1920" t="s">
        <v>4005</v>
      </c>
      <c r="E1920">
        <v>60000</v>
      </c>
      <c r="F1920" s="3">
        <v>3</v>
      </c>
      <c r="G1920">
        <f t="shared" si="87"/>
        <v>180000</v>
      </c>
      <c r="H1920" t="s">
        <v>7</v>
      </c>
      <c r="I1920">
        <f t="shared" si="88"/>
        <v>72000</v>
      </c>
      <c r="J1920">
        <f t="shared" si="89"/>
        <v>216000</v>
      </c>
    </row>
    <row r="1921" spans="1:10" x14ac:dyDescent="0.45">
      <c r="A1921" t="s">
        <v>4650</v>
      </c>
      <c r="B1921" s="1">
        <v>45743</v>
      </c>
      <c r="C1921" t="s">
        <v>3979</v>
      </c>
      <c r="D1921" t="s">
        <v>4006</v>
      </c>
      <c r="E1921">
        <v>2000</v>
      </c>
      <c r="F1921" s="3">
        <v>2</v>
      </c>
      <c r="G1921">
        <f t="shared" si="87"/>
        <v>4000</v>
      </c>
      <c r="H1921" t="s">
        <v>21</v>
      </c>
      <c r="I1921">
        <f t="shared" si="88"/>
        <v>2400</v>
      </c>
      <c r="J1921">
        <f t="shared" si="89"/>
        <v>4800</v>
      </c>
    </row>
    <row r="1922" spans="1:10" x14ac:dyDescent="0.45">
      <c r="A1922" t="s">
        <v>4709</v>
      </c>
      <c r="B1922" s="1">
        <v>45743</v>
      </c>
      <c r="C1922" t="s">
        <v>4007</v>
      </c>
      <c r="D1922" t="s">
        <v>3999</v>
      </c>
      <c r="E1922">
        <v>50000</v>
      </c>
      <c r="F1922" s="3">
        <v>3</v>
      </c>
      <c r="G1922">
        <f t="shared" ref="G1922:G1985" si="90">E1922*F1922</f>
        <v>150000</v>
      </c>
      <c r="H1922" t="s">
        <v>21</v>
      </c>
      <c r="I1922">
        <f t="shared" ref="I1922:I1985" si="91">E1922*1.2</f>
        <v>60000</v>
      </c>
      <c r="J1922">
        <f t="shared" ref="J1922:J1985" si="92">I1922*F1922</f>
        <v>180000</v>
      </c>
    </row>
    <row r="1923" spans="1:10" x14ac:dyDescent="0.45">
      <c r="A1923" t="s">
        <v>4916</v>
      </c>
      <c r="B1923" s="1">
        <v>45743</v>
      </c>
      <c r="C1923" t="s">
        <v>4007</v>
      </c>
      <c r="D1923" t="s">
        <v>3988</v>
      </c>
      <c r="E1923">
        <v>35000</v>
      </c>
      <c r="F1923" s="3">
        <v>2</v>
      </c>
      <c r="G1923">
        <f t="shared" si="90"/>
        <v>70000</v>
      </c>
      <c r="H1923" t="s">
        <v>7</v>
      </c>
      <c r="I1923">
        <f t="shared" si="91"/>
        <v>42000</v>
      </c>
      <c r="J1923">
        <f t="shared" si="92"/>
        <v>84000</v>
      </c>
    </row>
    <row r="1924" spans="1:10" x14ac:dyDescent="0.45">
      <c r="A1924" t="s">
        <v>4918</v>
      </c>
      <c r="B1924" s="1">
        <v>45743</v>
      </c>
      <c r="C1924" t="s">
        <v>4007</v>
      </c>
      <c r="D1924" t="s">
        <v>3988</v>
      </c>
      <c r="E1924">
        <v>35000</v>
      </c>
      <c r="F1924" s="3">
        <v>3</v>
      </c>
      <c r="G1924">
        <f t="shared" si="90"/>
        <v>105000</v>
      </c>
      <c r="H1924" t="s">
        <v>7</v>
      </c>
      <c r="I1924">
        <f t="shared" si="91"/>
        <v>42000</v>
      </c>
      <c r="J1924">
        <f t="shared" si="92"/>
        <v>126000</v>
      </c>
    </row>
    <row r="1925" spans="1:10" x14ac:dyDescent="0.45">
      <c r="A1925" t="s">
        <v>4949</v>
      </c>
      <c r="B1925" s="1">
        <v>45743</v>
      </c>
      <c r="C1925" t="s">
        <v>5008</v>
      </c>
      <c r="D1925" t="s">
        <v>3998</v>
      </c>
      <c r="E1925">
        <v>8000</v>
      </c>
      <c r="F1925" s="3">
        <v>9</v>
      </c>
      <c r="G1925">
        <f t="shared" si="90"/>
        <v>72000</v>
      </c>
      <c r="H1925" t="s">
        <v>17</v>
      </c>
      <c r="I1925">
        <f t="shared" si="91"/>
        <v>9600</v>
      </c>
      <c r="J1925">
        <f t="shared" si="92"/>
        <v>86400</v>
      </c>
    </row>
    <row r="1926" spans="1:10" x14ac:dyDescent="0.45">
      <c r="A1926" t="s">
        <v>678</v>
      </c>
      <c r="B1926" s="1">
        <v>45744</v>
      </c>
      <c r="C1926" t="s">
        <v>4007</v>
      </c>
      <c r="D1926" t="s">
        <v>5015</v>
      </c>
      <c r="E1926">
        <v>48000</v>
      </c>
      <c r="F1926">
        <v>6</v>
      </c>
      <c r="G1926">
        <f t="shared" si="90"/>
        <v>288000</v>
      </c>
      <c r="H1926" t="s">
        <v>7</v>
      </c>
      <c r="I1926">
        <f t="shared" si="91"/>
        <v>57600</v>
      </c>
      <c r="J1926">
        <f t="shared" si="92"/>
        <v>345600</v>
      </c>
    </row>
    <row r="1927" spans="1:10" x14ac:dyDescent="0.45">
      <c r="A1927" t="s">
        <v>679</v>
      </c>
      <c r="B1927" s="1">
        <v>45744</v>
      </c>
      <c r="C1927" t="s">
        <v>33</v>
      </c>
      <c r="D1927" t="s">
        <v>34</v>
      </c>
      <c r="E1927">
        <v>1700</v>
      </c>
      <c r="F1927">
        <v>10</v>
      </c>
      <c r="G1927">
        <f t="shared" si="90"/>
        <v>17000</v>
      </c>
      <c r="H1927" t="s">
        <v>17</v>
      </c>
      <c r="I1927">
        <f t="shared" si="91"/>
        <v>2040</v>
      </c>
      <c r="J1927">
        <f t="shared" si="92"/>
        <v>20400</v>
      </c>
    </row>
    <row r="1928" spans="1:10" x14ac:dyDescent="0.45">
      <c r="A1928" t="s">
        <v>680</v>
      </c>
      <c r="B1928" s="1">
        <v>45744</v>
      </c>
      <c r="C1928" t="s">
        <v>9</v>
      </c>
      <c r="D1928" t="s">
        <v>19</v>
      </c>
      <c r="E1928">
        <v>3000</v>
      </c>
      <c r="F1928">
        <v>10</v>
      </c>
      <c r="G1928">
        <f t="shared" si="90"/>
        <v>30000</v>
      </c>
      <c r="H1928" t="s">
        <v>21</v>
      </c>
      <c r="I1928">
        <f t="shared" si="91"/>
        <v>3600</v>
      </c>
      <c r="J1928">
        <f t="shared" si="92"/>
        <v>36000</v>
      </c>
    </row>
    <row r="1929" spans="1:10" x14ac:dyDescent="0.45">
      <c r="A1929" t="s">
        <v>681</v>
      </c>
      <c r="B1929" s="1">
        <v>45744</v>
      </c>
      <c r="C1929" t="s">
        <v>12</v>
      </c>
      <c r="D1929" t="s">
        <v>5023</v>
      </c>
      <c r="E1929">
        <v>1750</v>
      </c>
      <c r="F1929">
        <v>2</v>
      </c>
      <c r="G1929">
        <f t="shared" si="90"/>
        <v>3500</v>
      </c>
      <c r="H1929" t="s">
        <v>17</v>
      </c>
      <c r="I1929">
        <f t="shared" si="91"/>
        <v>2100</v>
      </c>
      <c r="J1929">
        <f t="shared" si="92"/>
        <v>4200</v>
      </c>
    </row>
    <row r="1930" spans="1:10" x14ac:dyDescent="0.45">
      <c r="A1930" t="s">
        <v>682</v>
      </c>
      <c r="B1930" s="1">
        <v>45744</v>
      </c>
      <c r="C1930" t="s">
        <v>4007</v>
      </c>
      <c r="D1930" t="s">
        <v>39</v>
      </c>
      <c r="E1930">
        <v>6000</v>
      </c>
      <c r="F1930">
        <v>9</v>
      </c>
      <c r="G1930">
        <f t="shared" si="90"/>
        <v>54000</v>
      </c>
      <c r="H1930" t="s">
        <v>21</v>
      </c>
      <c r="I1930">
        <f t="shared" si="91"/>
        <v>7200</v>
      </c>
      <c r="J1930">
        <f t="shared" si="92"/>
        <v>64800</v>
      </c>
    </row>
    <row r="1931" spans="1:10" x14ac:dyDescent="0.45">
      <c r="A1931" t="s">
        <v>683</v>
      </c>
      <c r="B1931" s="1">
        <v>45744</v>
      </c>
      <c r="C1931" t="s">
        <v>12</v>
      </c>
      <c r="D1931" t="s">
        <v>5020</v>
      </c>
      <c r="E1931">
        <v>2880</v>
      </c>
      <c r="F1931">
        <v>10</v>
      </c>
      <c r="G1931">
        <f t="shared" si="90"/>
        <v>28800</v>
      </c>
      <c r="H1931" t="s">
        <v>7</v>
      </c>
      <c r="I1931">
        <f t="shared" si="91"/>
        <v>3456</v>
      </c>
      <c r="J1931">
        <f t="shared" si="92"/>
        <v>34560</v>
      </c>
    </row>
    <row r="1932" spans="1:10" x14ac:dyDescent="0.45">
      <c r="A1932" t="s">
        <v>684</v>
      </c>
      <c r="B1932" s="1">
        <v>45744</v>
      </c>
      <c r="C1932" t="s">
        <v>4007</v>
      </c>
      <c r="D1932" t="s">
        <v>39</v>
      </c>
      <c r="E1932">
        <v>6000</v>
      </c>
      <c r="F1932">
        <v>7</v>
      </c>
      <c r="G1932">
        <f t="shared" si="90"/>
        <v>42000</v>
      </c>
      <c r="H1932" t="s">
        <v>7</v>
      </c>
      <c r="I1932">
        <f t="shared" si="91"/>
        <v>7200</v>
      </c>
      <c r="J1932">
        <f t="shared" si="92"/>
        <v>50400</v>
      </c>
    </row>
    <row r="1933" spans="1:10" x14ac:dyDescent="0.45">
      <c r="A1933" t="s">
        <v>685</v>
      </c>
      <c r="B1933" s="1">
        <v>45744</v>
      </c>
      <c r="C1933" t="s">
        <v>12</v>
      </c>
      <c r="D1933" t="s">
        <v>5021</v>
      </c>
      <c r="E1933">
        <v>2880</v>
      </c>
      <c r="F1933">
        <v>6</v>
      </c>
      <c r="G1933">
        <f t="shared" si="90"/>
        <v>17280</v>
      </c>
      <c r="H1933" t="s">
        <v>17</v>
      </c>
      <c r="I1933">
        <f t="shared" si="91"/>
        <v>3456</v>
      </c>
      <c r="J1933">
        <f t="shared" si="92"/>
        <v>20736</v>
      </c>
    </row>
    <row r="1934" spans="1:10" x14ac:dyDescent="0.45">
      <c r="A1934" t="s">
        <v>3239</v>
      </c>
      <c r="B1934" s="1">
        <v>45744</v>
      </c>
      <c r="C1934" t="s">
        <v>4007</v>
      </c>
      <c r="D1934" t="s">
        <v>2770</v>
      </c>
      <c r="E1934">
        <v>600</v>
      </c>
      <c r="F1934">
        <v>2</v>
      </c>
      <c r="G1934">
        <f t="shared" si="90"/>
        <v>1200</v>
      </c>
      <c r="H1934" t="s">
        <v>7</v>
      </c>
      <c r="I1934">
        <f t="shared" si="91"/>
        <v>720</v>
      </c>
      <c r="J1934">
        <f t="shared" si="92"/>
        <v>1440</v>
      </c>
    </row>
    <row r="1935" spans="1:10" x14ac:dyDescent="0.45">
      <c r="A1935" t="s">
        <v>3804</v>
      </c>
      <c r="B1935" s="1">
        <v>45744</v>
      </c>
      <c r="C1935" t="s">
        <v>33</v>
      </c>
      <c r="D1935" t="s">
        <v>34</v>
      </c>
      <c r="E1935">
        <v>1700</v>
      </c>
      <c r="F1935">
        <v>9</v>
      </c>
      <c r="G1935">
        <f t="shared" si="90"/>
        <v>15300</v>
      </c>
      <c r="H1935" t="s">
        <v>7</v>
      </c>
      <c r="I1935">
        <f t="shared" si="91"/>
        <v>2040</v>
      </c>
      <c r="J1935">
        <f t="shared" si="92"/>
        <v>18360</v>
      </c>
    </row>
    <row r="1936" spans="1:10" x14ac:dyDescent="0.45">
      <c r="A1936" t="s">
        <v>4111</v>
      </c>
      <c r="B1936" s="1">
        <v>45744</v>
      </c>
      <c r="C1936" t="s">
        <v>4007</v>
      </c>
      <c r="D1936" t="s">
        <v>4005</v>
      </c>
      <c r="E1936">
        <v>60000</v>
      </c>
      <c r="F1936" s="3">
        <v>6</v>
      </c>
      <c r="G1936">
        <f t="shared" si="90"/>
        <v>360000</v>
      </c>
      <c r="H1936" t="s">
        <v>17</v>
      </c>
      <c r="I1936">
        <f t="shared" si="91"/>
        <v>72000</v>
      </c>
      <c r="J1936">
        <f t="shared" si="92"/>
        <v>432000</v>
      </c>
    </row>
    <row r="1937" spans="1:10" x14ac:dyDescent="0.45">
      <c r="A1937" t="s">
        <v>4216</v>
      </c>
      <c r="B1937" s="1">
        <v>45744</v>
      </c>
      <c r="C1937" t="s">
        <v>5008</v>
      </c>
      <c r="D1937" t="s">
        <v>3996</v>
      </c>
      <c r="E1937">
        <v>2000</v>
      </c>
      <c r="F1937" s="3">
        <v>3</v>
      </c>
      <c r="G1937">
        <f t="shared" si="90"/>
        <v>6000</v>
      </c>
      <c r="H1937" t="s">
        <v>17</v>
      </c>
      <c r="I1937">
        <f t="shared" si="91"/>
        <v>2400</v>
      </c>
      <c r="J1937">
        <f t="shared" si="92"/>
        <v>7200</v>
      </c>
    </row>
    <row r="1938" spans="1:10" x14ac:dyDescent="0.45">
      <c r="A1938" t="s">
        <v>4346</v>
      </c>
      <c r="B1938" s="1">
        <v>45744</v>
      </c>
      <c r="C1938" t="s">
        <v>3979</v>
      </c>
      <c r="D1938" t="s">
        <v>3987</v>
      </c>
      <c r="E1938">
        <v>8000</v>
      </c>
      <c r="F1938" s="3">
        <v>3</v>
      </c>
      <c r="G1938">
        <f t="shared" si="90"/>
        <v>24000</v>
      </c>
      <c r="H1938" t="s">
        <v>7</v>
      </c>
      <c r="I1938">
        <f t="shared" si="91"/>
        <v>9600</v>
      </c>
      <c r="J1938">
        <f t="shared" si="92"/>
        <v>28800</v>
      </c>
    </row>
    <row r="1939" spans="1:10" x14ac:dyDescent="0.45">
      <c r="A1939" t="s">
        <v>4356</v>
      </c>
      <c r="B1939" s="1">
        <v>45744</v>
      </c>
      <c r="C1939" t="s">
        <v>3979</v>
      </c>
      <c r="D1939" t="s">
        <v>3983</v>
      </c>
      <c r="E1939">
        <v>1000</v>
      </c>
      <c r="F1939" s="3">
        <v>7</v>
      </c>
      <c r="G1939">
        <f t="shared" si="90"/>
        <v>7000</v>
      </c>
      <c r="H1939" t="s">
        <v>17</v>
      </c>
      <c r="I1939">
        <f t="shared" si="91"/>
        <v>1200</v>
      </c>
      <c r="J1939">
        <f t="shared" si="92"/>
        <v>8400</v>
      </c>
    </row>
    <row r="1940" spans="1:10" x14ac:dyDescent="0.45">
      <c r="A1940" t="s">
        <v>4428</v>
      </c>
      <c r="B1940" s="1">
        <v>45744</v>
      </c>
      <c r="C1940" t="s">
        <v>4007</v>
      </c>
      <c r="D1940" t="s">
        <v>3988</v>
      </c>
      <c r="E1940">
        <v>35000</v>
      </c>
      <c r="F1940" s="3">
        <v>3</v>
      </c>
      <c r="G1940">
        <f t="shared" si="90"/>
        <v>105000</v>
      </c>
      <c r="H1940" t="s">
        <v>21</v>
      </c>
      <c r="I1940">
        <f t="shared" si="91"/>
        <v>42000</v>
      </c>
      <c r="J1940">
        <f t="shared" si="92"/>
        <v>126000</v>
      </c>
    </row>
    <row r="1941" spans="1:10" x14ac:dyDescent="0.45">
      <c r="A1941" t="s">
        <v>4472</v>
      </c>
      <c r="B1941" s="1">
        <v>45744</v>
      </c>
      <c r="C1941" t="s">
        <v>4007</v>
      </c>
      <c r="D1941" t="s">
        <v>3997</v>
      </c>
      <c r="E1941">
        <v>62000</v>
      </c>
      <c r="F1941" s="3">
        <v>5</v>
      </c>
      <c r="G1941">
        <f t="shared" si="90"/>
        <v>310000</v>
      </c>
      <c r="H1941" t="s">
        <v>7</v>
      </c>
      <c r="I1941">
        <f t="shared" si="91"/>
        <v>74400</v>
      </c>
      <c r="J1941">
        <f t="shared" si="92"/>
        <v>372000</v>
      </c>
    </row>
    <row r="1942" spans="1:10" x14ac:dyDescent="0.45">
      <c r="A1942" t="s">
        <v>4615</v>
      </c>
      <c r="B1942" s="1">
        <v>45744</v>
      </c>
      <c r="C1942" t="s">
        <v>4007</v>
      </c>
      <c r="D1942" t="s">
        <v>3997</v>
      </c>
      <c r="E1942">
        <v>62000</v>
      </c>
      <c r="F1942" s="3">
        <v>4</v>
      </c>
      <c r="G1942">
        <f t="shared" si="90"/>
        <v>248000</v>
      </c>
      <c r="H1942" t="s">
        <v>7</v>
      </c>
      <c r="I1942">
        <f t="shared" si="91"/>
        <v>74400</v>
      </c>
      <c r="J1942">
        <f t="shared" si="92"/>
        <v>297600</v>
      </c>
    </row>
    <row r="1943" spans="1:10" x14ac:dyDescent="0.45">
      <c r="A1943" t="s">
        <v>4628</v>
      </c>
      <c r="B1943" s="1">
        <v>45744</v>
      </c>
      <c r="C1943" t="s">
        <v>4007</v>
      </c>
      <c r="D1943" t="s">
        <v>4005</v>
      </c>
      <c r="E1943">
        <v>60000</v>
      </c>
      <c r="F1943" s="3">
        <v>3</v>
      </c>
      <c r="G1943">
        <f t="shared" si="90"/>
        <v>180000</v>
      </c>
      <c r="H1943" t="s">
        <v>7</v>
      </c>
      <c r="I1943">
        <f t="shared" si="91"/>
        <v>72000</v>
      </c>
      <c r="J1943">
        <f t="shared" si="92"/>
        <v>216000</v>
      </c>
    </row>
    <row r="1944" spans="1:10" x14ac:dyDescent="0.45">
      <c r="A1944" t="s">
        <v>4724</v>
      </c>
      <c r="B1944" s="1">
        <v>45744</v>
      </c>
      <c r="C1944" t="s">
        <v>5008</v>
      </c>
      <c r="D1944" t="s">
        <v>4003</v>
      </c>
      <c r="E1944">
        <v>10000</v>
      </c>
      <c r="F1944" s="3">
        <v>7</v>
      </c>
      <c r="G1944">
        <f t="shared" si="90"/>
        <v>70000</v>
      </c>
      <c r="H1944" t="s">
        <v>17</v>
      </c>
      <c r="I1944">
        <f t="shared" si="91"/>
        <v>12000</v>
      </c>
      <c r="J1944">
        <f t="shared" si="92"/>
        <v>84000</v>
      </c>
    </row>
    <row r="1945" spans="1:10" x14ac:dyDescent="0.45">
      <c r="A1945" t="s">
        <v>4952</v>
      </c>
      <c r="B1945" s="1">
        <v>45744</v>
      </c>
      <c r="C1945" t="s">
        <v>3977</v>
      </c>
      <c r="D1945" t="s">
        <v>4002</v>
      </c>
      <c r="E1945">
        <v>2500</v>
      </c>
      <c r="F1945" s="3">
        <v>7</v>
      </c>
      <c r="G1945">
        <f t="shared" si="90"/>
        <v>17500</v>
      </c>
      <c r="H1945" t="s">
        <v>21</v>
      </c>
      <c r="I1945">
        <f t="shared" si="91"/>
        <v>3000</v>
      </c>
      <c r="J1945">
        <f t="shared" si="92"/>
        <v>21000</v>
      </c>
    </row>
    <row r="1946" spans="1:10" x14ac:dyDescent="0.45">
      <c r="A1946" t="s">
        <v>686</v>
      </c>
      <c r="B1946" s="1">
        <v>45745</v>
      </c>
      <c r="C1946" t="s">
        <v>9</v>
      </c>
      <c r="D1946" t="s">
        <v>19</v>
      </c>
      <c r="E1946">
        <v>3000</v>
      </c>
      <c r="F1946">
        <v>8</v>
      </c>
      <c r="G1946">
        <f t="shared" si="90"/>
        <v>24000</v>
      </c>
      <c r="H1946" t="s">
        <v>17</v>
      </c>
      <c r="I1946">
        <f t="shared" si="91"/>
        <v>3600</v>
      </c>
      <c r="J1946">
        <f t="shared" si="92"/>
        <v>28800</v>
      </c>
    </row>
    <row r="1947" spans="1:10" x14ac:dyDescent="0.45">
      <c r="A1947" t="s">
        <v>687</v>
      </c>
      <c r="B1947" s="1">
        <v>45745</v>
      </c>
      <c r="C1947" t="s">
        <v>33</v>
      </c>
      <c r="D1947" t="s">
        <v>14</v>
      </c>
      <c r="E1947">
        <v>800</v>
      </c>
      <c r="F1947">
        <v>4</v>
      </c>
      <c r="G1947">
        <f t="shared" si="90"/>
        <v>3200</v>
      </c>
      <c r="H1947" t="s">
        <v>7</v>
      </c>
      <c r="I1947">
        <f t="shared" si="91"/>
        <v>960</v>
      </c>
      <c r="J1947">
        <f t="shared" si="92"/>
        <v>3840</v>
      </c>
    </row>
    <row r="1948" spans="1:10" x14ac:dyDescent="0.45">
      <c r="A1948" t="s">
        <v>688</v>
      </c>
      <c r="B1948" s="1">
        <v>45745</v>
      </c>
      <c r="C1948" t="s">
        <v>12</v>
      </c>
      <c r="D1948" t="s">
        <v>5021</v>
      </c>
      <c r="E1948">
        <v>2880</v>
      </c>
      <c r="F1948">
        <v>1</v>
      </c>
      <c r="G1948">
        <f t="shared" si="90"/>
        <v>2880</v>
      </c>
      <c r="H1948" t="s">
        <v>7</v>
      </c>
      <c r="I1948">
        <f t="shared" si="91"/>
        <v>3456</v>
      </c>
      <c r="J1948">
        <f t="shared" si="92"/>
        <v>3456</v>
      </c>
    </row>
    <row r="1949" spans="1:10" x14ac:dyDescent="0.45">
      <c r="A1949" t="s">
        <v>689</v>
      </c>
      <c r="B1949" s="1">
        <v>45745</v>
      </c>
      <c r="C1949" t="s">
        <v>33</v>
      </c>
      <c r="D1949" t="s">
        <v>34</v>
      </c>
      <c r="E1949">
        <v>1700</v>
      </c>
      <c r="F1949">
        <v>7</v>
      </c>
      <c r="G1949">
        <f t="shared" si="90"/>
        <v>11900</v>
      </c>
      <c r="H1949" t="s">
        <v>17</v>
      </c>
      <c r="I1949">
        <f t="shared" si="91"/>
        <v>2040</v>
      </c>
      <c r="J1949">
        <f t="shared" si="92"/>
        <v>14280</v>
      </c>
    </row>
    <row r="1950" spans="1:10" x14ac:dyDescent="0.45">
      <c r="A1950" t="s">
        <v>690</v>
      </c>
      <c r="B1950" s="1">
        <v>45745</v>
      </c>
      <c r="C1950" t="s">
        <v>4007</v>
      </c>
      <c r="D1950" t="s">
        <v>28</v>
      </c>
      <c r="E1950">
        <v>500</v>
      </c>
      <c r="F1950">
        <v>7</v>
      </c>
      <c r="G1950">
        <f t="shared" si="90"/>
        <v>3500</v>
      </c>
      <c r="H1950" t="s">
        <v>17</v>
      </c>
      <c r="I1950">
        <f t="shared" si="91"/>
        <v>600</v>
      </c>
      <c r="J1950">
        <f t="shared" si="92"/>
        <v>4200</v>
      </c>
    </row>
    <row r="1951" spans="1:10" x14ac:dyDescent="0.45">
      <c r="A1951" t="s">
        <v>691</v>
      </c>
      <c r="B1951" s="1">
        <v>45745</v>
      </c>
      <c r="C1951" t="s">
        <v>12</v>
      </c>
      <c r="D1951" t="s">
        <v>5021</v>
      </c>
      <c r="E1951">
        <v>2880</v>
      </c>
      <c r="F1951">
        <v>2</v>
      </c>
      <c r="G1951">
        <f t="shared" si="90"/>
        <v>5760</v>
      </c>
      <c r="H1951" t="s">
        <v>17</v>
      </c>
      <c r="I1951">
        <f t="shared" si="91"/>
        <v>3456</v>
      </c>
      <c r="J1951">
        <f t="shared" si="92"/>
        <v>6912</v>
      </c>
    </row>
    <row r="1952" spans="1:10" x14ac:dyDescent="0.45">
      <c r="A1952" t="s">
        <v>692</v>
      </c>
      <c r="B1952" s="1">
        <v>45745</v>
      </c>
      <c r="C1952" t="s">
        <v>33</v>
      </c>
      <c r="D1952" t="s">
        <v>34</v>
      </c>
      <c r="E1952">
        <v>1700</v>
      </c>
      <c r="F1952">
        <v>9</v>
      </c>
      <c r="G1952">
        <f t="shared" si="90"/>
        <v>15300</v>
      </c>
      <c r="H1952" t="s">
        <v>21</v>
      </c>
      <c r="I1952">
        <f t="shared" si="91"/>
        <v>2040</v>
      </c>
      <c r="J1952">
        <f t="shared" si="92"/>
        <v>18360</v>
      </c>
    </row>
    <row r="1953" spans="1:10" x14ac:dyDescent="0.45">
      <c r="A1953" t="s">
        <v>693</v>
      </c>
      <c r="B1953" s="1">
        <v>45745</v>
      </c>
      <c r="C1953" t="s">
        <v>33</v>
      </c>
      <c r="D1953" t="s">
        <v>34</v>
      </c>
      <c r="E1953">
        <v>1700</v>
      </c>
      <c r="F1953">
        <v>9</v>
      </c>
      <c r="G1953">
        <f t="shared" si="90"/>
        <v>15300</v>
      </c>
      <c r="H1953" t="s">
        <v>7</v>
      </c>
      <c r="I1953">
        <f t="shared" si="91"/>
        <v>2040</v>
      </c>
      <c r="J1953">
        <f t="shared" si="92"/>
        <v>18360</v>
      </c>
    </row>
    <row r="1954" spans="1:10" x14ac:dyDescent="0.45">
      <c r="A1954" t="s">
        <v>3338</v>
      </c>
      <c r="B1954" s="1">
        <v>45745</v>
      </c>
      <c r="C1954" t="s">
        <v>4007</v>
      </c>
      <c r="D1954" t="s">
        <v>2773</v>
      </c>
      <c r="E1954">
        <v>3300</v>
      </c>
      <c r="F1954">
        <v>10</v>
      </c>
      <c r="G1954">
        <f t="shared" si="90"/>
        <v>33000</v>
      </c>
      <c r="H1954" t="s">
        <v>17</v>
      </c>
      <c r="I1954">
        <f t="shared" si="91"/>
        <v>3960</v>
      </c>
      <c r="J1954">
        <f t="shared" si="92"/>
        <v>39600</v>
      </c>
    </row>
    <row r="1955" spans="1:10" x14ac:dyDescent="0.45">
      <c r="A1955" t="s">
        <v>3361</v>
      </c>
      <c r="B1955" s="1">
        <v>45745</v>
      </c>
      <c r="C1955" t="s">
        <v>33</v>
      </c>
      <c r="D1955" t="s">
        <v>34</v>
      </c>
      <c r="E1955">
        <v>1700</v>
      </c>
      <c r="F1955">
        <v>7</v>
      </c>
      <c r="G1955">
        <f t="shared" si="90"/>
        <v>11900</v>
      </c>
      <c r="H1955" t="s">
        <v>21</v>
      </c>
      <c r="I1955">
        <f t="shared" si="91"/>
        <v>2040</v>
      </c>
      <c r="J1955">
        <f t="shared" si="92"/>
        <v>14280</v>
      </c>
    </row>
    <row r="1956" spans="1:10" x14ac:dyDescent="0.45">
      <c r="A1956" t="s">
        <v>3543</v>
      </c>
      <c r="B1956" s="1">
        <v>45745</v>
      </c>
      <c r="C1956" t="s">
        <v>33</v>
      </c>
      <c r="D1956" t="s">
        <v>34</v>
      </c>
      <c r="E1956">
        <v>1700</v>
      </c>
      <c r="F1956">
        <v>3</v>
      </c>
      <c r="G1956">
        <f t="shared" si="90"/>
        <v>5100</v>
      </c>
      <c r="H1956" t="s">
        <v>17</v>
      </c>
      <c r="I1956">
        <f t="shared" si="91"/>
        <v>2040</v>
      </c>
      <c r="J1956">
        <f t="shared" si="92"/>
        <v>6120</v>
      </c>
    </row>
    <row r="1957" spans="1:10" x14ac:dyDescent="0.45">
      <c r="A1957" t="s">
        <v>3569</v>
      </c>
      <c r="B1957" s="1">
        <v>45745</v>
      </c>
      <c r="C1957" t="s">
        <v>33</v>
      </c>
      <c r="D1957" t="s">
        <v>14</v>
      </c>
      <c r="E1957">
        <v>800</v>
      </c>
      <c r="F1957">
        <v>6</v>
      </c>
      <c r="G1957">
        <f t="shared" si="90"/>
        <v>4800</v>
      </c>
      <c r="H1957" t="s">
        <v>17</v>
      </c>
      <c r="I1957">
        <f t="shared" si="91"/>
        <v>960</v>
      </c>
      <c r="J1957">
        <f t="shared" si="92"/>
        <v>5760</v>
      </c>
    </row>
    <row r="1958" spans="1:10" x14ac:dyDescent="0.45">
      <c r="A1958" t="s">
        <v>3604</v>
      </c>
      <c r="B1958" s="1">
        <v>45745</v>
      </c>
      <c r="C1958" t="s">
        <v>4007</v>
      </c>
      <c r="D1958" t="s">
        <v>5015</v>
      </c>
      <c r="E1958">
        <v>48000</v>
      </c>
      <c r="F1958">
        <v>1</v>
      </c>
      <c r="G1958">
        <f t="shared" si="90"/>
        <v>48000</v>
      </c>
      <c r="H1958" t="s">
        <v>21</v>
      </c>
      <c r="I1958">
        <f t="shared" si="91"/>
        <v>57600</v>
      </c>
      <c r="J1958">
        <f t="shared" si="92"/>
        <v>57600</v>
      </c>
    </row>
    <row r="1959" spans="1:10" x14ac:dyDescent="0.45">
      <c r="A1959" t="s">
        <v>3843</v>
      </c>
      <c r="B1959" s="1">
        <v>45745</v>
      </c>
      <c r="C1959" t="s">
        <v>2772</v>
      </c>
      <c r="D1959" t="s">
        <v>2771</v>
      </c>
      <c r="E1959">
        <v>120</v>
      </c>
      <c r="F1959">
        <v>10</v>
      </c>
      <c r="G1959">
        <f t="shared" si="90"/>
        <v>1200</v>
      </c>
      <c r="H1959" t="s">
        <v>17</v>
      </c>
      <c r="I1959">
        <f t="shared" si="91"/>
        <v>144</v>
      </c>
      <c r="J1959">
        <f t="shared" si="92"/>
        <v>1440</v>
      </c>
    </row>
    <row r="1960" spans="1:10" x14ac:dyDescent="0.45">
      <c r="A1960" t="s">
        <v>4022</v>
      </c>
      <c r="B1960" s="1">
        <v>45745</v>
      </c>
      <c r="C1960" t="s">
        <v>3977</v>
      </c>
      <c r="D1960" t="s">
        <v>3989</v>
      </c>
      <c r="E1960">
        <v>1000</v>
      </c>
      <c r="F1960" s="3">
        <v>10</v>
      </c>
      <c r="G1960">
        <f t="shared" si="90"/>
        <v>10000</v>
      </c>
      <c r="H1960" t="s">
        <v>7</v>
      </c>
      <c r="I1960">
        <f t="shared" si="91"/>
        <v>1200</v>
      </c>
      <c r="J1960">
        <f t="shared" si="92"/>
        <v>12000</v>
      </c>
    </row>
    <row r="1961" spans="1:10" x14ac:dyDescent="0.45">
      <c r="A1961" t="s">
        <v>4104</v>
      </c>
      <c r="B1961" s="1">
        <v>45745</v>
      </c>
      <c r="C1961" t="s">
        <v>3977</v>
      </c>
      <c r="D1961" t="s">
        <v>3978</v>
      </c>
      <c r="E1961">
        <v>2000</v>
      </c>
      <c r="F1961" s="3">
        <v>10</v>
      </c>
      <c r="G1961">
        <f t="shared" si="90"/>
        <v>20000</v>
      </c>
      <c r="H1961" t="s">
        <v>17</v>
      </c>
      <c r="I1961">
        <f t="shared" si="91"/>
        <v>2400</v>
      </c>
      <c r="J1961">
        <f t="shared" si="92"/>
        <v>24000</v>
      </c>
    </row>
    <row r="1962" spans="1:10" x14ac:dyDescent="0.45">
      <c r="A1962" t="s">
        <v>4304</v>
      </c>
      <c r="B1962" s="1">
        <v>45745</v>
      </c>
      <c r="C1962" t="s">
        <v>3979</v>
      </c>
      <c r="D1962" t="s">
        <v>3984</v>
      </c>
      <c r="E1962">
        <v>12000</v>
      </c>
      <c r="F1962" s="3">
        <v>4</v>
      </c>
      <c r="G1962">
        <f t="shared" si="90"/>
        <v>48000</v>
      </c>
      <c r="H1962" t="s">
        <v>17</v>
      </c>
      <c r="I1962">
        <f t="shared" si="91"/>
        <v>14400</v>
      </c>
      <c r="J1962">
        <f t="shared" si="92"/>
        <v>57600</v>
      </c>
    </row>
    <row r="1963" spans="1:10" x14ac:dyDescent="0.45">
      <c r="A1963" t="s">
        <v>4516</v>
      </c>
      <c r="B1963" s="1">
        <v>45745</v>
      </c>
      <c r="C1963" t="s">
        <v>3977</v>
      </c>
      <c r="D1963" t="s">
        <v>3989</v>
      </c>
      <c r="E1963">
        <v>1000</v>
      </c>
      <c r="F1963" s="3">
        <v>5</v>
      </c>
      <c r="G1963">
        <f t="shared" si="90"/>
        <v>5000</v>
      </c>
      <c r="H1963" t="s">
        <v>21</v>
      </c>
      <c r="I1963">
        <f t="shared" si="91"/>
        <v>1200</v>
      </c>
      <c r="J1963">
        <f t="shared" si="92"/>
        <v>6000</v>
      </c>
    </row>
    <row r="1964" spans="1:10" x14ac:dyDescent="0.45">
      <c r="A1964" t="s">
        <v>4524</v>
      </c>
      <c r="B1964" s="1">
        <v>45745</v>
      </c>
      <c r="C1964" t="s">
        <v>3977</v>
      </c>
      <c r="D1964" t="s">
        <v>4002</v>
      </c>
      <c r="E1964">
        <v>2500</v>
      </c>
      <c r="F1964" s="3">
        <v>5</v>
      </c>
      <c r="G1964">
        <f t="shared" si="90"/>
        <v>12500</v>
      </c>
      <c r="H1964" t="s">
        <v>21</v>
      </c>
      <c r="I1964">
        <f t="shared" si="91"/>
        <v>3000</v>
      </c>
      <c r="J1964">
        <f t="shared" si="92"/>
        <v>15000</v>
      </c>
    </row>
    <row r="1965" spans="1:10" x14ac:dyDescent="0.45">
      <c r="A1965" t="s">
        <v>4567</v>
      </c>
      <c r="B1965" s="1">
        <v>45745</v>
      </c>
      <c r="C1965" t="s">
        <v>33</v>
      </c>
      <c r="D1965" t="s">
        <v>3994</v>
      </c>
      <c r="E1965">
        <v>2500</v>
      </c>
      <c r="F1965" s="3">
        <v>3</v>
      </c>
      <c r="G1965">
        <f t="shared" si="90"/>
        <v>7500</v>
      </c>
      <c r="H1965" t="s">
        <v>17</v>
      </c>
      <c r="I1965">
        <f t="shared" si="91"/>
        <v>3000</v>
      </c>
      <c r="J1965">
        <f t="shared" si="92"/>
        <v>9000</v>
      </c>
    </row>
    <row r="1966" spans="1:10" x14ac:dyDescent="0.45">
      <c r="A1966" t="s">
        <v>4713</v>
      </c>
      <c r="B1966" s="1">
        <v>45745</v>
      </c>
      <c r="C1966" t="s">
        <v>3977</v>
      </c>
      <c r="D1966" t="s">
        <v>4002</v>
      </c>
      <c r="E1966">
        <v>2500</v>
      </c>
      <c r="F1966" s="3">
        <v>7</v>
      </c>
      <c r="G1966">
        <f t="shared" si="90"/>
        <v>17500</v>
      </c>
      <c r="H1966" t="s">
        <v>21</v>
      </c>
      <c r="I1966">
        <f t="shared" si="91"/>
        <v>3000</v>
      </c>
      <c r="J1966">
        <f t="shared" si="92"/>
        <v>21000</v>
      </c>
    </row>
    <row r="1967" spans="1:10" x14ac:dyDescent="0.45">
      <c r="A1967" t="s">
        <v>4996</v>
      </c>
      <c r="B1967" s="1">
        <v>45745</v>
      </c>
      <c r="C1967" t="s">
        <v>3979</v>
      </c>
      <c r="D1967" t="s">
        <v>3987</v>
      </c>
      <c r="E1967">
        <v>8000</v>
      </c>
      <c r="F1967" s="3">
        <v>10</v>
      </c>
      <c r="G1967">
        <f t="shared" si="90"/>
        <v>80000</v>
      </c>
      <c r="H1967" t="s">
        <v>21</v>
      </c>
      <c r="I1967">
        <f t="shared" si="91"/>
        <v>9600</v>
      </c>
      <c r="J1967">
        <f t="shared" si="92"/>
        <v>96000</v>
      </c>
    </row>
    <row r="1968" spans="1:10" x14ac:dyDescent="0.45">
      <c r="A1968" t="s">
        <v>694</v>
      </c>
      <c r="B1968" s="1">
        <v>45746</v>
      </c>
      <c r="C1968" t="s">
        <v>12</v>
      </c>
      <c r="D1968" t="s">
        <v>5021</v>
      </c>
      <c r="E1968">
        <v>2880</v>
      </c>
      <c r="F1968">
        <v>5</v>
      </c>
      <c r="G1968">
        <f t="shared" si="90"/>
        <v>14400</v>
      </c>
      <c r="H1968" t="s">
        <v>17</v>
      </c>
      <c r="I1968">
        <f t="shared" si="91"/>
        <v>3456</v>
      </c>
      <c r="J1968">
        <f t="shared" si="92"/>
        <v>17280</v>
      </c>
    </row>
    <row r="1969" spans="1:10" x14ac:dyDescent="0.45">
      <c r="A1969" t="s">
        <v>695</v>
      </c>
      <c r="B1969" s="1">
        <v>45746</v>
      </c>
      <c r="C1969" t="s">
        <v>33</v>
      </c>
      <c r="D1969" t="s">
        <v>34</v>
      </c>
      <c r="E1969">
        <v>1700</v>
      </c>
      <c r="F1969">
        <v>2</v>
      </c>
      <c r="G1969">
        <f t="shared" si="90"/>
        <v>3400</v>
      </c>
      <c r="H1969" t="s">
        <v>21</v>
      </c>
      <c r="I1969">
        <f t="shared" si="91"/>
        <v>2040</v>
      </c>
      <c r="J1969">
        <f t="shared" si="92"/>
        <v>4080</v>
      </c>
    </row>
    <row r="1970" spans="1:10" x14ac:dyDescent="0.45">
      <c r="A1970" t="s">
        <v>696</v>
      </c>
      <c r="B1970" s="1">
        <v>45746</v>
      </c>
      <c r="C1970" t="s">
        <v>12</v>
      </c>
      <c r="D1970" t="s">
        <v>5020</v>
      </c>
      <c r="E1970">
        <v>2880</v>
      </c>
      <c r="F1970">
        <v>3</v>
      </c>
      <c r="G1970">
        <f t="shared" si="90"/>
        <v>8640</v>
      </c>
      <c r="H1970" t="s">
        <v>21</v>
      </c>
      <c r="I1970">
        <f t="shared" si="91"/>
        <v>3456</v>
      </c>
      <c r="J1970">
        <f t="shared" si="92"/>
        <v>10368</v>
      </c>
    </row>
    <row r="1971" spans="1:10" x14ac:dyDescent="0.45">
      <c r="A1971" t="s">
        <v>697</v>
      </c>
      <c r="B1971" s="1">
        <v>45746</v>
      </c>
      <c r="C1971" t="s">
        <v>9</v>
      </c>
      <c r="D1971" t="s">
        <v>19</v>
      </c>
      <c r="E1971">
        <v>3000</v>
      </c>
      <c r="F1971">
        <v>6</v>
      </c>
      <c r="G1971">
        <f t="shared" si="90"/>
        <v>18000</v>
      </c>
      <c r="H1971" t="s">
        <v>17</v>
      </c>
      <c r="I1971">
        <f t="shared" si="91"/>
        <v>3600</v>
      </c>
      <c r="J1971">
        <f t="shared" si="92"/>
        <v>21600</v>
      </c>
    </row>
    <row r="1972" spans="1:10" x14ac:dyDescent="0.45">
      <c r="A1972" t="s">
        <v>698</v>
      </c>
      <c r="B1972" s="1">
        <v>45746</v>
      </c>
      <c r="C1972" t="s">
        <v>9</v>
      </c>
      <c r="D1972" t="s">
        <v>19</v>
      </c>
      <c r="E1972">
        <v>3000</v>
      </c>
      <c r="F1972">
        <v>6</v>
      </c>
      <c r="G1972">
        <f t="shared" si="90"/>
        <v>18000</v>
      </c>
      <c r="H1972" t="s">
        <v>17</v>
      </c>
      <c r="I1972">
        <f t="shared" si="91"/>
        <v>3600</v>
      </c>
      <c r="J1972">
        <f t="shared" si="92"/>
        <v>21600</v>
      </c>
    </row>
    <row r="1973" spans="1:10" x14ac:dyDescent="0.45">
      <c r="A1973" t="s">
        <v>699</v>
      </c>
      <c r="B1973" s="1">
        <v>45746</v>
      </c>
      <c r="C1973" t="s">
        <v>33</v>
      </c>
      <c r="D1973" t="s">
        <v>14</v>
      </c>
      <c r="E1973">
        <v>800</v>
      </c>
      <c r="F1973">
        <v>9</v>
      </c>
      <c r="G1973">
        <f t="shared" si="90"/>
        <v>7200</v>
      </c>
      <c r="H1973" t="s">
        <v>7</v>
      </c>
      <c r="I1973">
        <f t="shared" si="91"/>
        <v>960</v>
      </c>
      <c r="J1973">
        <f t="shared" si="92"/>
        <v>8640</v>
      </c>
    </row>
    <row r="1974" spans="1:10" x14ac:dyDescent="0.45">
      <c r="A1974" t="s">
        <v>700</v>
      </c>
      <c r="B1974" s="1">
        <v>45746</v>
      </c>
      <c r="C1974" t="s">
        <v>12</v>
      </c>
      <c r="D1974" t="s">
        <v>5023</v>
      </c>
      <c r="E1974">
        <v>1750</v>
      </c>
      <c r="F1974">
        <v>6</v>
      </c>
      <c r="G1974">
        <f t="shared" si="90"/>
        <v>10500</v>
      </c>
      <c r="H1974" t="s">
        <v>7</v>
      </c>
      <c r="I1974">
        <f t="shared" si="91"/>
        <v>2100</v>
      </c>
      <c r="J1974">
        <f t="shared" si="92"/>
        <v>12600</v>
      </c>
    </row>
    <row r="1975" spans="1:10" x14ac:dyDescent="0.45">
      <c r="A1975" t="s">
        <v>701</v>
      </c>
      <c r="B1975" s="1">
        <v>45746</v>
      </c>
      <c r="C1975" t="s">
        <v>9</v>
      </c>
      <c r="D1975" t="s">
        <v>19</v>
      </c>
      <c r="E1975">
        <v>3000</v>
      </c>
      <c r="F1975">
        <v>2</v>
      </c>
      <c r="G1975">
        <f t="shared" si="90"/>
        <v>6000</v>
      </c>
      <c r="H1975" t="s">
        <v>21</v>
      </c>
      <c r="I1975">
        <f t="shared" si="91"/>
        <v>3600</v>
      </c>
      <c r="J1975">
        <f t="shared" si="92"/>
        <v>7200</v>
      </c>
    </row>
    <row r="1976" spans="1:10" x14ac:dyDescent="0.45">
      <c r="A1976" t="s">
        <v>2867</v>
      </c>
      <c r="B1976" s="1">
        <v>45746</v>
      </c>
      <c r="C1976" t="s">
        <v>4007</v>
      </c>
      <c r="D1976" t="s">
        <v>2774</v>
      </c>
      <c r="E1976">
        <v>1900</v>
      </c>
      <c r="F1976">
        <v>6</v>
      </c>
      <c r="G1976">
        <f t="shared" si="90"/>
        <v>11400</v>
      </c>
      <c r="H1976" t="s">
        <v>17</v>
      </c>
      <c r="I1976">
        <f t="shared" si="91"/>
        <v>2280</v>
      </c>
      <c r="J1976">
        <f t="shared" si="92"/>
        <v>13680</v>
      </c>
    </row>
    <row r="1977" spans="1:10" x14ac:dyDescent="0.45">
      <c r="A1977" t="s">
        <v>3190</v>
      </c>
      <c r="B1977" s="1">
        <v>45746</v>
      </c>
      <c r="C1977" t="s">
        <v>2772</v>
      </c>
      <c r="D1977" t="s">
        <v>2771</v>
      </c>
      <c r="E1977">
        <v>120</v>
      </c>
      <c r="F1977">
        <v>4</v>
      </c>
      <c r="G1977">
        <f t="shared" si="90"/>
        <v>480</v>
      </c>
      <c r="H1977" t="s">
        <v>7</v>
      </c>
      <c r="I1977">
        <f t="shared" si="91"/>
        <v>144</v>
      </c>
      <c r="J1977">
        <f t="shared" si="92"/>
        <v>576</v>
      </c>
    </row>
    <row r="1978" spans="1:10" x14ac:dyDescent="0.45">
      <c r="A1978" t="s">
        <v>3265</v>
      </c>
      <c r="B1978" s="1">
        <v>45746</v>
      </c>
      <c r="C1978" t="s">
        <v>4007</v>
      </c>
      <c r="D1978" t="s">
        <v>2770</v>
      </c>
      <c r="E1978">
        <v>600</v>
      </c>
      <c r="F1978">
        <v>7</v>
      </c>
      <c r="G1978">
        <f t="shared" si="90"/>
        <v>4200</v>
      </c>
      <c r="H1978" t="s">
        <v>7</v>
      </c>
      <c r="I1978">
        <f t="shared" si="91"/>
        <v>720</v>
      </c>
      <c r="J1978">
        <f t="shared" si="92"/>
        <v>5040</v>
      </c>
    </row>
    <row r="1979" spans="1:10" x14ac:dyDescent="0.45">
      <c r="A1979" t="s">
        <v>3369</v>
      </c>
      <c r="B1979" s="1">
        <v>45746</v>
      </c>
      <c r="C1979" t="s">
        <v>4007</v>
      </c>
      <c r="D1979" t="s">
        <v>28</v>
      </c>
      <c r="E1979">
        <v>500</v>
      </c>
      <c r="F1979">
        <v>9</v>
      </c>
      <c r="G1979">
        <f t="shared" si="90"/>
        <v>4500</v>
      </c>
      <c r="H1979" t="s">
        <v>21</v>
      </c>
      <c r="I1979">
        <f t="shared" si="91"/>
        <v>600</v>
      </c>
      <c r="J1979">
        <f t="shared" si="92"/>
        <v>5400</v>
      </c>
    </row>
    <row r="1980" spans="1:10" x14ac:dyDescent="0.45">
      <c r="A1980" t="s">
        <v>4166</v>
      </c>
      <c r="B1980" s="1">
        <v>45746</v>
      </c>
      <c r="C1980" t="s">
        <v>3977</v>
      </c>
      <c r="D1980" t="s">
        <v>3989</v>
      </c>
      <c r="E1980">
        <v>1000</v>
      </c>
      <c r="F1980" s="3">
        <v>9</v>
      </c>
      <c r="G1980">
        <f t="shared" si="90"/>
        <v>9000</v>
      </c>
      <c r="H1980" t="s">
        <v>21</v>
      </c>
      <c r="I1980">
        <f t="shared" si="91"/>
        <v>1200</v>
      </c>
      <c r="J1980">
        <f t="shared" si="92"/>
        <v>10800</v>
      </c>
    </row>
    <row r="1981" spans="1:10" x14ac:dyDescent="0.45">
      <c r="A1981" t="s">
        <v>4314</v>
      </c>
      <c r="B1981" s="1">
        <v>45746</v>
      </c>
      <c r="C1981" t="s">
        <v>5009</v>
      </c>
      <c r="D1981" t="s">
        <v>3982</v>
      </c>
      <c r="E1981">
        <v>13000</v>
      </c>
      <c r="F1981" s="3">
        <v>7</v>
      </c>
      <c r="G1981">
        <f t="shared" si="90"/>
        <v>91000</v>
      </c>
      <c r="H1981" t="s">
        <v>21</v>
      </c>
      <c r="I1981">
        <f t="shared" si="91"/>
        <v>15600</v>
      </c>
      <c r="J1981">
        <f t="shared" si="92"/>
        <v>109200</v>
      </c>
    </row>
    <row r="1982" spans="1:10" x14ac:dyDescent="0.45">
      <c r="A1982" t="s">
        <v>4481</v>
      </c>
      <c r="B1982" s="1">
        <v>45746</v>
      </c>
      <c r="C1982" t="s">
        <v>3977</v>
      </c>
      <c r="D1982" t="s">
        <v>3993</v>
      </c>
      <c r="E1982">
        <v>1000</v>
      </c>
      <c r="F1982" s="3">
        <v>8</v>
      </c>
      <c r="G1982">
        <f t="shared" si="90"/>
        <v>8000</v>
      </c>
      <c r="H1982" t="s">
        <v>7</v>
      </c>
      <c r="I1982">
        <f t="shared" si="91"/>
        <v>1200</v>
      </c>
      <c r="J1982">
        <f t="shared" si="92"/>
        <v>9600</v>
      </c>
    </row>
    <row r="1983" spans="1:10" x14ac:dyDescent="0.45">
      <c r="A1983" t="s">
        <v>4482</v>
      </c>
      <c r="B1983" s="1">
        <v>45746</v>
      </c>
      <c r="C1983" t="s">
        <v>3979</v>
      </c>
      <c r="D1983" t="s">
        <v>4006</v>
      </c>
      <c r="E1983">
        <v>2000</v>
      </c>
      <c r="F1983" s="3">
        <v>5</v>
      </c>
      <c r="G1983">
        <f t="shared" si="90"/>
        <v>10000</v>
      </c>
      <c r="H1983" t="s">
        <v>7</v>
      </c>
      <c r="I1983">
        <f t="shared" si="91"/>
        <v>2400</v>
      </c>
      <c r="J1983">
        <f t="shared" si="92"/>
        <v>12000</v>
      </c>
    </row>
    <row r="1984" spans="1:10" x14ac:dyDescent="0.45">
      <c r="A1984" t="s">
        <v>4651</v>
      </c>
      <c r="B1984" s="1">
        <v>45746</v>
      </c>
      <c r="C1984" t="s">
        <v>4007</v>
      </c>
      <c r="D1984" t="s">
        <v>3997</v>
      </c>
      <c r="E1984">
        <v>62000</v>
      </c>
      <c r="F1984" s="3">
        <v>8</v>
      </c>
      <c r="G1984">
        <f t="shared" si="90"/>
        <v>496000</v>
      </c>
      <c r="H1984" t="s">
        <v>7</v>
      </c>
      <c r="I1984">
        <f t="shared" si="91"/>
        <v>74400</v>
      </c>
      <c r="J1984">
        <f t="shared" si="92"/>
        <v>595200</v>
      </c>
    </row>
    <row r="1985" spans="1:10" x14ac:dyDescent="0.45">
      <c r="A1985" t="s">
        <v>4654</v>
      </c>
      <c r="B1985" s="1">
        <v>45746</v>
      </c>
      <c r="C1985" t="s">
        <v>3977</v>
      </c>
      <c r="D1985" t="s">
        <v>3991</v>
      </c>
      <c r="E1985">
        <v>2000</v>
      </c>
      <c r="F1985" s="3">
        <v>6</v>
      </c>
      <c r="G1985">
        <f t="shared" si="90"/>
        <v>12000</v>
      </c>
      <c r="H1985" t="s">
        <v>21</v>
      </c>
      <c r="I1985">
        <f t="shared" si="91"/>
        <v>2400</v>
      </c>
      <c r="J1985">
        <f t="shared" si="92"/>
        <v>14400</v>
      </c>
    </row>
    <row r="1986" spans="1:10" x14ac:dyDescent="0.45">
      <c r="A1986" t="s">
        <v>4679</v>
      </c>
      <c r="B1986" s="1">
        <v>45746</v>
      </c>
      <c r="C1986" t="s">
        <v>4007</v>
      </c>
      <c r="D1986" t="s">
        <v>4005</v>
      </c>
      <c r="E1986">
        <v>60000</v>
      </c>
      <c r="F1986" s="3">
        <v>2</v>
      </c>
      <c r="G1986">
        <f t="shared" ref="G1986:G2049" si="93">E1986*F1986</f>
        <v>120000</v>
      </c>
      <c r="H1986" t="s">
        <v>7</v>
      </c>
      <c r="I1986">
        <f t="shared" ref="I1986:I2049" si="94">E1986*1.2</f>
        <v>72000</v>
      </c>
      <c r="J1986">
        <f t="shared" ref="J1986:J2049" si="95">I1986*F1986</f>
        <v>144000</v>
      </c>
    </row>
    <row r="1987" spans="1:10" x14ac:dyDescent="0.45">
      <c r="A1987" t="s">
        <v>4889</v>
      </c>
      <c r="B1987" s="1">
        <v>45746</v>
      </c>
      <c r="C1987" t="s">
        <v>5008</v>
      </c>
      <c r="D1987" t="s">
        <v>4003</v>
      </c>
      <c r="E1987">
        <v>10000</v>
      </c>
      <c r="F1987" s="3">
        <v>8</v>
      </c>
      <c r="G1987">
        <f t="shared" si="93"/>
        <v>80000</v>
      </c>
      <c r="H1987" t="s">
        <v>7</v>
      </c>
      <c r="I1987">
        <f t="shared" si="94"/>
        <v>12000</v>
      </c>
      <c r="J1987">
        <f t="shared" si="95"/>
        <v>96000</v>
      </c>
    </row>
    <row r="1988" spans="1:10" x14ac:dyDescent="0.45">
      <c r="A1988" t="s">
        <v>4891</v>
      </c>
      <c r="B1988" s="1">
        <v>45746</v>
      </c>
      <c r="C1988" t="s">
        <v>33</v>
      </c>
      <c r="D1988" t="s">
        <v>3985</v>
      </c>
      <c r="E1988">
        <v>1950</v>
      </c>
      <c r="F1988" s="3">
        <v>6</v>
      </c>
      <c r="G1988">
        <f t="shared" si="93"/>
        <v>11700</v>
      </c>
      <c r="H1988" t="s">
        <v>17</v>
      </c>
      <c r="I1988">
        <f t="shared" si="94"/>
        <v>2340</v>
      </c>
      <c r="J1988">
        <f t="shared" si="95"/>
        <v>14040</v>
      </c>
    </row>
    <row r="1989" spans="1:10" x14ac:dyDescent="0.45">
      <c r="A1989" t="s">
        <v>4945</v>
      </c>
      <c r="B1989" s="1">
        <v>45746</v>
      </c>
      <c r="C1989" t="s">
        <v>5009</v>
      </c>
      <c r="D1989" t="s">
        <v>3990</v>
      </c>
      <c r="E1989">
        <v>2800</v>
      </c>
      <c r="F1989" s="3">
        <v>5</v>
      </c>
      <c r="G1989">
        <f t="shared" si="93"/>
        <v>14000</v>
      </c>
      <c r="H1989" t="s">
        <v>21</v>
      </c>
      <c r="I1989">
        <f t="shared" si="94"/>
        <v>3360</v>
      </c>
      <c r="J1989">
        <f t="shared" si="95"/>
        <v>16800</v>
      </c>
    </row>
    <row r="1990" spans="1:10" x14ac:dyDescent="0.45">
      <c r="A1990" t="s">
        <v>4971</v>
      </c>
      <c r="B1990" s="1">
        <v>45746</v>
      </c>
      <c r="C1990" t="s">
        <v>3979</v>
      </c>
      <c r="D1990" t="s">
        <v>3987</v>
      </c>
      <c r="E1990">
        <v>8000</v>
      </c>
      <c r="F1990" s="3">
        <v>3</v>
      </c>
      <c r="G1990">
        <f t="shared" si="93"/>
        <v>24000</v>
      </c>
      <c r="H1990" t="s">
        <v>21</v>
      </c>
      <c r="I1990">
        <f t="shared" si="94"/>
        <v>9600</v>
      </c>
      <c r="J1990">
        <f t="shared" si="95"/>
        <v>28800</v>
      </c>
    </row>
    <row r="1991" spans="1:10" x14ac:dyDescent="0.45">
      <c r="A1991" t="s">
        <v>702</v>
      </c>
      <c r="B1991" s="1">
        <v>45747</v>
      </c>
      <c r="C1991" t="s">
        <v>4007</v>
      </c>
      <c r="D1991" t="s">
        <v>4005</v>
      </c>
      <c r="E1991">
        <v>60000</v>
      </c>
      <c r="F1991">
        <v>5</v>
      </c>
      <c r="G1991">
        <f t="shared" si="93"/>
        <v>300000</v>
      </c>
      <c r="H1991" t="s">
        <v>7</v>
      </c>
      <c r="I1991">
        <f t="shared" si="94"/>
        <v>72000</v>
      </c>
      <c r="J1991">
        <f t="shared" si="95"/>
        <v>360000</v>
      </c>
    </row>
    <row r="1992" spans="1:10" x14ac:dyDescent="0.45">
      <c r="A1992" t="s">
        <v>703</v>
      </c>
      <c r="B1992" s="1">
        <v>45747</v>
      </c>
      <c r="C1992" t="s">
        <v>12</v>
      </c>
      <c r="D1992" t="s">
        <v>5023</v>
      </c>
      <c r="E1992">
        <v>1750</v>
      </c>
      <c r="F1992">
        <v>3</v>
      </c>
      <c r="G1992">
        <f t="shared" si="93"/>
        <v>5250</v>
      </c>
      <c r="H1992" t="s">
        <v>17</v>
      </c>
      <c r="I1992">
        <f t="shared" si="94"/>
        <v>2100</v>
      </c>
      <c r="J1992">
        <f t="shared" si="95"/>
        <v>6300</v>
      </c>
    </row>
    <row r="1993" spans="1:10" x14ac:dyDescent="0.45">
      <c r="A1993" t="s">
        <v>704</v>
      </c>
      <c r="B1993" s="1">
        <v>45747</v>
      </c>
      <c r="C1993" t="s">
        <v>12</v>
      </c>
      <c r="D1993" t="s">
        <v>5020</v>
      </c>
      <c r="E1993">
        <v>2880</v>
      </c>
      <c r="F1993">
        <v>10</v>
      </c>
      <c r="G1993">
        <f t="shared" si="93"/>
        <v>28800</v>
      </c>
      <c r="H1993" t="s">
        <v>21</v>
      </c>
      <c r="I1993">
        <f t="shared" si="94"/>
        <v>3456</v>
      </c>
      <c r="J1993">
        <f t="shared" si="95"/>
        <v>34560</v>
      </c>
    </row>
    <row r="1994" spans="1:10" x14ac:dyDescent="0.45">
      <c r="A1994" t="s">
        <v>705</v>
      </c>
      <c r="B1994" s="1">
        <v>45747</v>
      </c>
      <c r="C1994" t="s">
        <v>33</v>
      </c>
      <c r="D1994" t="s">
        <v>34</v>
      </c>
      <c r="E1994">
        <v>1700</v>
      </c>
      <c r="F1994">
        <v>8</v>
      </c>
      <c r="G1994">
        <f t="shared" si="93"/>
        <v>13600</v>
      </c>
      <c r="H1994" t="s">
        <v>17</v>
      </c>
      <c r="I1994">
        <f t="shared" si="94"/>
        <v>2040</v>
      </c>
      <c r="J1994">
        <f t="shared" si="95"/>
        <v>16320</v>
      </c>
    </row>
    <row r="1995" spans="1:10" x14ac:dyDescent="0.45">
      <c r="A1995" t="s">
        <v>706</v>
      </c>
      <c r="B1995" s="1">
        <v>45747</v>
      </c>
      <c r="C1995" t="s">
        <v>12</v>
      </c>
      <c r="D1995" t="s">
        <v>5022</v>
      </c>
      <c r="E1995">
        <v>2880</v>
      </c>
      <c r="F1995">
        <v>8</v>
      </c>
      <c r="G1995">
        <f t="shared" si="93"/>
        <v>23040</v>
      </c>
      <c r="H1995" t="s">
        <v>7</v>
      </c>
      <c r="I1995">
        <f t="shared" si="94"/>
        <v>3456</v>
      </c>
      <c r="J1995">
        <f t="shared" si="95"/>
        <v>27648</v>
      </c>
    </row>
    <row r="1996" spans="1:10" x14ac:dyDescent="0.45">
      <c r="A1996" t="s">
        <v>707</v>
      </c>
      <c r="B1996" s="1">
        <v>45747</v>
      </c>
      <c r="C1996" t="s">
        <v>4007</v>
      </c>
      <c r="D1996" t="s">
        <v>4005</v>
      </c>
      <c r="E1996">
        <v>60000</v>
      </c>
      <c r="F1996">
        <v>5</v>
      </c>
      <c r="G1996">
        <f t="shared" si="93"/>
        <v>300000</v>
      </c>
      <c r="H1996" t="s">
        <v>21</v>
      </c>
      <c r="I1996">
        <f t="shared" si="94"/>
        <v>72000</v>
      </c>
      <c r="J1996">
        <f t="shared" si="95"/>
        <v>360000</v>
      </c>
    </row>
    <row r="1997" spans="1:10" x14ac:dyDescent="0.45">
      <c r="A1997" t="s">
        <v>708</v>
      </c>
      <c r="B1997" s="1">
        <v>45747</v>
      </c>
      <c r="C1997" t="s">
        <v>12</v>
      </c>
      <c r="D1997" t="s">
        <v>5020</v>
      </c>
      <c r="E1997">
        <v>2880</v>
      </c>
      <c r="F1997">
        <v>7</v>
      </c>
      <c r="G1997">
        <f t="shared" si="93"/>
        <v>20160</v>
      </c>
      <c r="H1997" t="s">
        <v>17</v>
      </c>
      <c r="I1997">
        <f t="shared" si="94"/>
        <v>3456</v>
      </c>
      <c r="J1997">
        <f t="shared" si="95"/>
        <v>24192</v>
      </c>
    </row>
    <row r="1998" spans="1:10" x14ac:dyDescent="0.45">
      <c r="A1998" t="s">
        <v>709</v>
      </c>
      <c r="B1998" s="1">
        <v>45748</v>
      </c>
      <c r="C1998" t="s">
        <v>12</v>
      </c>
      <c r="D1998" t="s">
        <v>5022</v>
      </c>
      <c r="E1998">
        <v>2880</v>
      </c>
      <c r="F1998">
        <v>8</v>
      </c>
      <c r="G1998">
        <f t="shared" si="93"/>
        <v>23040</v>
      </c>
      <c r="H1998" t="s">
        <v>21</v>
      </c>
      <c r="I1998">
        <f t="shared" si="94"/>
        <v>3456</v>
      </c>
      <c r="J1998">
        <f t="shared" si="95"/>
        <v>27648</v>
      </c>
    </row>
    <row r="1999" spans="1:10" x14ac:dyDescent="0.45">
      <c r="A1999" t="s">
        <v>710</v>
      </c>
      <c r="B1999" s="1">
        <v>45748</v>
      </c>
      <c r="C1999" t="s">
        <v>12</v>
      </c>
      <c r="D1999" t="s">
        <v>5020</v>
      </c>
      <c r="E1999">
        <v>2880</v>
      </c>
      <c r="F1999">
        <v>9</v>
      </c>
      <c r="G1999">
        <f t="shared" si="93"/>
        <v>25920</v>
      </c>
      <c r="H1999" t="s">
        <v>21</v>
      </c>
      <c r="I1999">
        <f t="shared" si="94"/>
        <v>3456</v>
      </c>
      <c r="J1999">
        <f t="shared" si="95"/>
        <v>31104</v>
      </c>
    </row>
    <row r="2000" spans="1:10" x14ac:dyDescent="0.45">
      <c r="A2000" t="s">
        <v>711</v>
      </c>
      <c r="B2000" s="1">
        <v>45748</v>
      </c>
      <c r="C2000" t="s">
        <v>33</v>
      </c>
      <c r="D2000" t="s">
        <v>42</v>
      </c>
      <c r="E2000">
        <v>6900</v>
      </c>
      <c r="F2000">
        <v>7</v>
      </c>
      <c r="G2000">
        <f t="shared" si="93"/>
        <v>48300</v>
      </c>
      <c r="H2000" t="s">
        <v>17</v>
      </c>
      <c r="I2000">
        <f t="shared" si="94"/>
        <v>8280</v>
      </c>
      <c r="J2000">
        <f t="shared" si="95"/>
        <v>57960</v>
      </c>
    </row>
    <row r="2001" spans="1:10" x14ac:dyDescent="0.45">
      <c r="A2001" t="s">
        <v>712</v>
      </c>
      <c r="B2001" s="1">
        <v>45748</v>
      </c>
      <c r="C2001" t="s">
        <v>12</v>
      </c>
      <c r="D2001" t="s">
        <v>5023</v>
      </c>
      <c r="E2001">
        <v>1750</v>
      </c>
      <c r="F2001">
        <v>5</v>
      </c>
      <c r="G2001">
        <f t="shared" si="93"/>
        <v>8750</v>
      </c>
      <c r="H2001" t="s">
        <v>21</v>
      </c>
      <c r="I2001">
        <f t="shared" si="94"/>
        <v>2100</v>
      </c>
      <c r="J2001">
        <f t="shared" si="95"/>
        <v>10500</v>
      </c>
    </row>
    <row r="2002" spans="1:10" x14ac:dyDescent="0.45">
      <c r="A2002" t="s">
        <v>713</v>
      </c>
      <c r="B2002" s="1">
        <v>45748</v>
      </c>
      <c r="C2002" t="s">
        <v>12</v>
      </c>
      <c r="D2002" t="s">
        <v>5022</v>
      </c>
      <c r="E2002">
        <v>2880</v>
      </c>
      <c r="F2002">
        <v>8</v>
      </c>
      <c r="G2002">
        <f t="shared" si="93"/>
        <v>23040</v>
      </c>
      <c r="H2002" t="s">
        <v>17</v>
      </c>
      <c r="I2002">
        <f t="shared" si="94"/>
        <v>3456</v>
      </c>
      <c r="J2002">
        <f t="shared" si="95"/>
        <v>27648</v>
      </c>
    </row>
    <row r="2003" spans="1:10" x14ac:dyDescent="0.45">
      <c r="A2003" t="s">
        <v>714</v>
      </c>
      <c r="B2003" s="1">
        <v>45748</v>
      </c>
      <c r="C2003" t="s">
        <v>4007</v>
      </c>
      <c r="D2003" t="s">
        <v>28</v>
      </c>
      <c r="E2003">
        <v>500</v>
      </c>
      <c r="F2003">
        <v>9</v>
      </c>
      <c r="G2003">
        <f t="shared" si="93"/>
        <v>4500</v>
      </c>
      <c r="H2003" t="s">
        <v>21</v>
      </c>
      <c r="I2003">
        <f t="shared" si="94"/>
        <v>600</v>
      </c>
      <c r="J2003">
        <f t="shared" si="95"/>
        <v>5400</v>
      </c>
    </row>
    <row r="2004" spans="1:10" x14ac:dyDescent="0.45">
      <c r="A2004" t="s">
        <v>715</v>
      </c>
      <c r="B2004" s="1">
        <v>45748</v>
      </c>
      <c r="C2004" t="s">
        <v>12</v>
      </c>
      <c r="D2004" t="s">
        <v>5020</v>
      </c>
      <c r="E2004">
        <v>2880</v>
      </c>
      <c r="F2004">
        <v>5</v>
      </c>
      <c r="G2004">
        <f t="shared" si="93"/>
        <v>14400</v>
      </c>
      <c r="H2004" t="s">
        <v>17</v>
      </c>
      <c r="I2004">
        <f t="shared" si="94"/>
        <v>3456</v>
      </c>
      <c r="J2004">
        <f t="shared" si="95"/>
        <v>17280</v>
      </c>
    </row>
    <row r="2005" spans="1:10" x14ac:dyDescent="0.45">
      <c r="A2005" t="s">
        <v>716</v>
      </c>
      <c r="B2005" s="1">
        <v>45748</v>
      </c>
      <c r="C2005" t="s">
        <v>33</v>
      </c>
      <c r="D2005" t="s">
        <v>16</v>
      </c>
      <c r="E2005">
        <v>1200</v>
      </c>
      <c r="F2005">
        <v>3</v>
      </c>
      <c r="G2005">
        <f t="shared" si="93"/>
        <v>3600</v>
      </c>
      <c r="H2005" t="s">
        <v>17</v>
      </c>
      <c r="I2005">
        <f t="shared" si="94"/>
        <v>1440</v>
      </c>
      <c r="J2005">
        <f t="shared" si="95"/>
        <v>4320</v>
      </c>
    </row>
    <row r="2006" spans="1:10" x14ac:dyDescent="0.45">
      <c r="A2006" t="s">
        <v>3147</v>
      </c>
      <c r="B2006" s="1">
        <v>45748</v>
      </c>
      <c r="C2006" t="s">
        <v>2772</v>
      </c>
      <c r="D2006" t="s">
        <v>2771</v>
      </c>
      <c r="E2006">
        <v>120</v>
      </c>
      <c r="F2006">
        <v>2</v>
      </c>
      <c r="G2006">
        <f t="shared" si="93"/>
        <v>240</v>
      </c>
      <c r="H2006" t="s">
        <v>7</v>
      </c>
      <c r="I2006">
        <f t="shared" si="94"/>
        <v>144</v>
      </c>
      <c r="J2006">
        <f t="shared" si="95"/>
        <v>288</v>
      </c>
    </row>
    <row r="2007" spans="1:10" x14ac:dyDescent="0.45">
      <c r="A2007" t="s">
        <v>3209</v>
      </c>
      <c r="B2007" s="1">
        <v>45748</v>
      </c>
      <c r="C2007" t="s">
        <v>4007</v>
      </c>
      <c r="D2007" t="s">
        <v>2770</v>
      </c>
      <c r="E2007">
        <v>600</v>
      </c>
      <c r="F2007">
        <v>3</v>
      </c>
      <c r="G2007">
        <f t="shared" si="93"/>
        <v>1800</v>
      </c>
      <c r="H2007" t="s">
        <v>21</v>
      </c>
      <c r="I2007">
        <f t="shared" si="94"/>
        <v>720</v>
      </c>
      <c r="J2007">
        <f t="shared" si="95"/>
        <v>2160</v>
      </c>
    </row>
    <row r="2008" spans="1:10" x14ac:dyDescent="0.45">
      <c r="A2008" t="s">
        <v>3892</v>
      </c>
      <c r="B2008" s="1">
        <v>45748</v>
      </c>
      <c r="C2008" t="s">
        <v>4007</v>
      </c>
      <c r="D2008" t="s">
        <v>2774</v>
      </c>
      <c r="E2008">
        <v>1900</v>
      </c>
      <c r="F2008">
        <v>10</v>
      </c>
      <c r="G2008">
        <f t="shared" si="93"/>
        <v>19000</v>
      </c>
      <c r="H2008" t="s">
        <v>21</v>
      </c>
      <c r="I2008">
        <f t="shared" si="94"/>
        <v>2280</v>
      </c>
      <c r="J2008">
        <f t="shared" si="95"/>
        <v>22800</v>
      </c>
    </row>
    <row r="2009" spans="1:10" x14ac:dyDescent="0.45">
      <c r="A2009" t="s">
        <v>717</v>
      </c>
      <c r="B2009" s="1">
        <v>45749</v>
      </c>
      <c r="C2009" t="s">
        <v>9</v>
      </c>
      <c r="D2009" t="s">
        <v>10</v>
      </c>
      <c r="E2009">
        <v>400</v>
      </c>
      <c r="F2009">
        <v>8</v>
      </c>
      <c r="G2009">
        <f t="shared" si="93"/>
        <v>3200</v>
      </c>
      <c r="H2009" t="s">
        <v>21</v>
      </c>
      <c r="I2009">
        <f t="shared" si="94"/>
        <v>480</v>
      </c>
      <c r="J2009">
        <f t="shared" si="95"/>
        <v>3840</v>
      </c>
    </row>
    <row r="2010" spans="1:10" x14ac:dyDescent="0.45">
      <c r="A2010" t="s">
        <v>718</v>
      </c>
      <c r="B2010" s="1">
        <v>45749</v>
      </c>
      <c r="C2010" t="s">
        <v>4007</v>
      </c>
      <c r="D2010" t="s">
        <v>4005</v>
      </c>
      <c r="E2010">
        <v>60000</v>
      </c>
      <c r="F2010">
        <v>9</v>
      </c>
      <c r="G2010">
        <f t="shared" si="93"/>
        <v>540000</v>
      </c>
      <c r="H2010" t="s">
        <v>21</v>
      </c>
      <c r="I2010">
        <f t="shared" si="94"/>
        <v>72000</v>
      </c>
      <c r="J2010">
        <f t="shared" si="95"/>
        <v>648000</v>
      </c>
    </row>
    <row r="2011" spans="1:10" x14ac:dyDescent="0.45">
      <c r="A2011" t="s">
        <v>719</v>
      </c>
      <c r="B2011" s="1">
        <v>45749</v>
      </c>
      <c r="C2011" t="s">
        <v>9</v>
      </c>
      <c r="D2011" t="s">
        <v>19</v>
      </c>
      <c r="E2011">
        <v>3000</v>
      </c>
      <c r="F2011">
        <v>7</v>
      </c>
      <c r="G2011">
        <f t="shared" si="93"/>
        <v>21000</v>
      </c>
      <c r="H2011" t="s">
        <v>17</v>
      </c>
      <c r="I2011">
        <f t="shared" si="94"/>
        <v>3600</v>
      </c>
      <c r="J2011">
        <f t="shared" si="95"/>
        <v>25200</v>
      </c>
    </row>
    <row r="2012" spans="1:10" x14ac:dyDescent="0.45">
      <c r="A2012" t="s">
        <v>720</v>
      </c>
      <c r="B2012" s="1">
        <v>45749</v>
      </c>
      <c r="C2012" t="s">
        <v>12</v>
      </c>
      <c r="D2012" t="s">
        <v>5022</v>
      </c>
      <c r="E2012">
        <v>2880</v>
      </c>
      <c r="F2012">
        <v>6</v>
      </c>
      <c r="G2012">
        <f t="shared" si="93"/>
        <v>17280</v>
      </c>
      <c r="H2012" t="s">
        <v>17</v>
      </c>
      <c r="I2012">
        <f t="shared" si="94"/>
        <v>3456</v>
      </c>
      <c r="J2012">
        <f t="shared" si="95"/>
        <v>20736</v>
      </c>
    </row>
    <row r="2013" spans="1:10" x14ac:dyDescent="0.45">
      <c r="A2013" t="s">
        <v>721</v>
      </c>
      <c r="B2013" s="1">
        <v>45749</v>
      </c>
      <c r="C2013" t="s">
        <v>33</v>
      </c>
      <c r="D2013" t="s">
        <v>14</v>
      </c>
      <c r="E2013">
        <v>800</v>
      </c>
      <c r="F2013">
        <v>10</v>
      </c>
      <c r="G2013">
        <f t="shared" si="93"/>
        <v>8000</v>
      </c>
      <c r="H2013" t="s">
        <v>7</v>
      </c>
      <c r="I2013">
        <f t="shared" si="94"/>
        <v>960</v>
      </c>
      <c r="J2013">
        <f t="shared" si="95"/>
        <v>9600</v>
      </c>
    </row>
    <row r="2014" spans="1:10" x14ac:dyDescent="0.45">
      <c r="A2014" t="s">
        <v>722</v>
      </c>
      <c r="B2014" s="1">
        <v>45749</v>
      </c>
      <c r="C2014" t="s">
        <v>33</v>
      </c>
      <c r="D2014" t="s">
        <v>42</v>
      </c>
      <c r="E2014">
        <v>6900</v>
      </c>
      <c r="F2014">
        <v>2</v>
      </c>
      <c r="G2014">
        <f t="shared" si="93"/>
        <v>13800</v>
      </c>
      <c r="H2014" t="s">
        <v>21</v>
      </c>
      <c r="I2014">
        <f t="shared" si="94"/>
        <v>8280</v>
      </c>
      <c r="J2014">
        <f t="shared" si="95"/>
        <v>16560</v>
      </c>
    </row>
    <row r="2015" spans="1:10" x14ac:dyDescent="0.45">
      <c r="A2015" t="s">
        <v>723</v>
      </c>
      <c r="B2015" s="1">
        <v>45749</v>
      </c>
      <c r="C2015" t="s">
        <v>33</v>
      </c>
      <c r="D2015" t="s">
        <v>42</v>
      </c>
      <c r="E2015">
        <v>6900</v>
      </c>
      <c r="F2015">
        <v>1</v>
      </c>
      <c r="G2015">
        <f t="shared" si="93"/>
        <v>6900</v>
      </c>
      <c r="H2015" t="s">
        <v>17</v>
      </c>
      <c r="I2015">
        <f t="shared" si="94"/>
        <v>8280</v>
      </c>
      <c r="J2015">
        <f t="shared" si="95"/>
        <v>8280</v>
      </c>
    </row>
    <row r="2016" spans="1:10" x14ac:dyDescent="0.45">
      <c r="A2016" t="s">
        <v>2830</v>
      </c>
      <c r="B2016" s="1">
        <v>45749</v>
      </c>
      <c r="C2016" t="s">
        <v>4007</v>
      </c>
      <c r="D2016" t="s">
        <v>2774</v>
      </c>
      <c r="E2016">
        <v>1900</v>
      </c>
      <c r="F2016">
        <v>7</v>
      </c>
      <c r="G2016">
        <f t="shared" si="93"/>
        <v>13300</v>
      </c>
      <c r="H2016" t="s">
        <v>21</v>
      </c>
      <c r="I2016">
        <f t="shared" si="94"/>
        <v>2280</v>
      </c>
      <c r="J2016">
        <f t="shared" si="95"/>
        <v>15960</v>
      </c>
    </row>
    <row r="2017" spans="1:10" x14ac:dyDescent="0.45">
      <c r="A2017" t="s">
        <v>2947</v>
      </c>
      <c r="B2017" s="1">
        <v>45749</v>
      </c>
      <c r="C2017" t="s">
        <v>33</v>
      </c>
      <c r="D2017" t="s">
        <v>34</v>
      </c>
      <c r="E2017">
        <v>1700</v>
      </c>
      <c r="F2017">
        <v>10</v>
      </c>
      <c r="G2017">
        <f t="shared" si="93"/>
        <v>17000</v>
      </c>
      <c r="H2017" t="s">
        <v>17</v>
      </c>
      <c r="I2017">
        <f t="shared" si="94"/>
        <v>2040</v>
      </c>
      <c r="J2017">
        <f t="shared" si="95"/>
        <v>20400</v>
      </c>
    </row>
    <row r="2018" spans="1:10" x14ac:dyDescent="0.45">
      <c r="A2018" t="s">
        <v>3348</v>
      </c>
      <c r="B2018" s="1">
        <v>45749</v>
      </c>
      <c r="C2018" t="s">
        <v>4007</v>
      </c>
      <c r="D2018" t="s">
        <v>2776</v>
      </c>
      <c r="E2018">
        <v>3600</v>
      </c>
      <c r="F2018">
        <v>6</v>
      </c>
      <c r="G2018">
        <f t="shared" si="93"/>
        <v>21600</v>
      </c>
      <c r="H2018" t="s">
        <v>17</v>
      </c>
      <c r="I2018">
        <f t="shared" si="94"/>
        <v>4320</v>
      </c>
      <c r="J2018">
        <f t="shared" si="95"/>
        <v>25920</v>
      </c>
    </row>
    <row r="2019" spans="1:10" x14ac:dyDescent="0.45">
      <c r="A2019" t="s">
        <v>3417</v>
      </c>
      <c r="B2019" s="1">
        <v>45749</v>
      </c>
      <c r="C2019" t="s">
        <v>4007</v>
      </c>
      <c r="D2019" t="s">
        <v>28</v>
      </c>
      <c r="E2019">
        <v>500</v>
      </c>
      <c r="F2019">
        <v>8</v>
      </c>
      <c r="G2019">
        <f t="shared" si="93"/>
        <v>4000</v>
      </c>
      <c r="H2019" t="s">
        <v>17</v>
      </c>
      <c r="I2019">
        <f t="shared" si="94"/>
        <v>600</v>
      </c>
      <c r="J2019">
        <f t="shared" si="95"/>
        <v>4800</v>
      </c>
    </row>
    <row r="2020" spans="1:10" x14ac:dyDescent="0.45">
      <c r="A2020" t="s">
        <v>3877</v>
      </c>
      <c r="B2020" s="1">
        <v>45749</v>
      </c>
      <c r="C2020" t="s">
        <v>2772</v>
      </c>
      <c r="D2020" t="s">
        <v>2775</v>
      </c>
      <c r="E2020">
        <v>9100</v>
      </c>
      <c r="F2020">
        <v>6</v>
      </c>
      <c r="G2020">
        <f t="shared" si="93"/>
        <v>54600</v>
      </c>
      <c r="H2020" t="s">
        <v>21</v>
      </c>
      <c r="I2020">
        <f t="shared" si="94"/>
        <v>10920</v>
      </c>
      <c r="J2020">
        <f t="shared" si="95"/>
        <v>65520</v>
      </c>
    </row>
    <row r="2021" spans="1:10" x14ac:dyDescent="0.45">
      <c r="A2021" t="s">
        <v>724</v>
      </c>
      <c r="B2021" s="1">
        <v>45750</v>
      </c>
      <c r="C2021" t="s">
        <v>12</v>
      </c>
      <c r="D2021" t="s">
        <v>5023</v>
      </c>
      <c r="E2021">
        <v>1750</v>
      </c>
      <c r="F2021">
        <v>7</v>
      </c>
      <c r="G2021">
        <f t="shared" si="93"/>
        <v>12250</v>
      </c>
      <c r="H2021" t="s">
        <v>17</v>
      </c>
      <c r="I2021">
        <f t="shared" si="94"/>
        <v>2100</v>
      </c>
      <c r="J2021">
        <f t="shared" si="95"/>
        <v>14700</v>
      </c>
    </row>
    <row r="2022" spans="1:10" x14ac:dyDescent="0.45">
      <c r="A2022" t="s">
        <v>725</v>
      </c>
      <c r="B2022" s="1">
        <v>45750</v>
      </c>
      <c r="C2022" t="s">
        <v>9</v>
      </c>
      <c r="D2022" t="s">
        <v>25</v>
      </c>
      <c r="E2022">
        <v>5200</v>
      </c>
      <c r="F2022">
        <v>5</v>
      </c>
      <c r="G2022">
        <f t="shared" si="93"/>
        <v>26000</v>
      </c>
      <c r="H2022" t="s">
        <v>21</v>
      </c>
      <c r="I2022">
        <f t="shared" si="94"/>
        <v>6240</v>
      </c>
      <c r="J2022">
        <f t="shared" si="95"/>
        <v>31200</v>
      </c>
    </row>
    <row r="2023" spans="1:10" x14ac:dyDescent="0.45">
      <c r="A2023" t="s">
        <v>726</v>
      </c>
      <c r="B2023" s="1">
        <v>45750</v>
      </c>
      <c r="C2023" t="s">
        <v>4007</v>
      </c>
      <c r="D2023" t="s">
        <v>39</v>
      </c>
      <c r="E2023">
        <v>6000</v>
      </c>
      <c r="F2023">
        <v>3</v>
      </c>
      <c r="G2023">
        <f t="shared" si="93"/>
        <v>18000</v>
      </c>
      <c r="H2023" t="s">
        <v>21</v>
      </c>
      <c r="I2023">
        <f t="shared" si="94"/>
        <v>7200</v>
      </c>
      <c r="J2023">
        <f t="shared" si="95"/>
        <v>21600</v>
      </c>
    </row>
    <row r="2024" spans="1:10" x14ac:dyDescent="0.45">
      <c r="A2024" t="s">
        <v>727</v>
      </c>
      <c r="B2024" s="1">
        <v>45750</v>
      </c>
      <c r="C2024" t="s">
        <v>33</v>
      </c>
      <c r="D2024" t="s">
        <v>42</v>
      </c>
      <c r="E2024">
        <v>6900</v>
      </c>
      <c r="F2024">
        <v>2</v>
      </c>
      <c r="G2024">
        <f t="shared" si="93"/>
        <v>13800</v>
      </c>
      <c r="H2024" t="s">
        <v>21</v>
      </c>
      <c r="I2024">
        <f t="shared" si="94"/>
        <v>8280</v>
      </c>
      <c r="J2024">
        <f t="shared" si="95"/>
        <v>16560</v>
      </c>
    </row>
    <row r="2025" spans="1:10" x14ac:dyDescent="0.45">
      <c r="A2025" t="s">
        <v>728</v>
      </c>
      <c r="B2025" s="1">
        <v>45750</v>
      </c>
      <c r="C2025" t="s">
        <v>33</v>
      </c>
      <c r="D2025" t="s">
        <v>42</v>
      </c>
      <c r="E2025">
        <v>6900</v>
      </c>
      <c r="F2025">
        <v>3</v>
      </c>
      <c r="G2025">
        <f t="shared" si="93"/>
        <v>20700</v>
      </c>
      <c r="H2025" t="s">
        <v>21</v>
      </c>
      <c r="I2025">
        <f t="shared" si="94"/>
        <v>8280</v>
      </c>
      <c r="J2025">
        <f t="shared" si="95"/>
        <v>24840</v>
      </c>
    </row>
    <row r="2026" spans="1:10" x14ac:dyDescent="0.45">
      <c r="A2026" t="s">
        <v>3580</v>
      </c>
      <c r="B2026" s="1">
        <v>45750</v>
      </c>
      <c r="C2026" t="s">
        <v>33</v>
      </c>
      <c r="D2026" t="s">
        <v>34</v>
      </c>
      <c r="E2026">
        <v>1700</v>
      </c>
      <c r="F2026">
        <v>7</v>
      </c>
      <c r="G2026">
        <f t="shared" si="93"/>
        <v>11900</v>
      </c>
      <c r="H2026" t="s">
        <v>21</v>
      </c>
      <c r="I2026">
        <f t="shared" si="94"/>
        <v>2040</v>
      </c>
      <c r="J2026">
        <f t="shared" si="95"/>
        <v>14280</v>
      </c>
    </row>
    <row r="2027" spans="1:10" x14ac:dyDescent="0.45">
      <c r="A2027" t="s">
        <v>3634</v>
      </c>
      <c r="B2027" s="1">
        <v>45750</v>
      </c>
      <c r="C2027" t="s">
        <v>33</v>
      </c>
      <c r="D2027" t="s">
        <v>34</v>
      </c>
      <c r="E2027">
        <v>1700</v>
      </c>
      <c r="F2027">
        <v>10</v>
      </c>
      <c r="G2027">
        <f t="shared" si="93"/>
        <v>17000</v>
      </c>
      <c r="H2027" t="s">
        <v>7</v>
      </c>
      <c r="I2027">
        <f t="shared" si="94"/>
        <v>2040</v>
      </c>
      <c r="J2027">
        <f t="shared" si="95"/>
        <v>20400</v>
      </c>
    </row>
    <row r="2028" spans="1:10" x14ac:dyDescent="0.45">
      <c r="A2028" t="s">
        <v>729</v>
      </c>
      <c r="B2028" s="1">
        <v>45751</v>
      </c>
      <c r="C2028" t="s">
        <v>9</v>
      </c>
      <c r="D2028" t="s">
        <v>19</v>
      </c>
      <c r="E2028">
        <v>3000</v>
      </c>
      <c r="F2028">
        <v>10</v>
      </c>
      <c r="G2028">
        <f t="shared" si="93"/>
        <v>30000</v>
      </c>
      <c r="H2028" t="s">
        <v>17</v>
      </c>
      <c r="I2028">
        <f t="shared" si="94"/>
        <v>3600</v>
      </c>
      <c r="J2028">
        <f t="shared" si="95"/>
        <v>36000</v>
      </c>
    </row>
    <row r="2029" spans="1:10" x14ac:dyDescent="0.45">
      <c r="A2029" t="s">
        <v>730</v>
      </c>
      <c r="B2029" s="1">
        <v>45751</v>
      </c>
      <c r="C2029" t="s">
        <v>33</v>
      </c>
      <c r="D2029" t="s">
        <v>16</v>
      </c>
      <c r="E2029">
        <v>1200</v>
      </c>
      <c r="F2029">
        <v>8</v>
      </c>
      <c r="G2029">
        <f t="shared" si="93"/>
        <v>9600</v>
      </c>
      <c r="H2029" t="s">
        <v>17</v>
      </c>
      <c r="I2029">
        <f t="shared" si="94"/>
        <v>1440</v>
      </c>
      <c r="J2029">
        <f t="shared" si="95"/>
        <v>11520</v>
      </c>
    </row>
    <row r="2030" spans="1:10" x14ac:dyDescent="0.45">
      <c r="A2030" t="s">
        <v>731</v>
      </c>
      <c r="B2030" s="1">
        <v>45751</v>
      </c>
      <c r="C2030" t="s">
        <v>4007</v>
      </c>
      <c r="D2030" t="s">
        <v>28</v>
      </c>
      <c r="E2030">
        <v>500</v>
      </c>
      <c r="F2030">
        <v>7</v>
      </c>
      <c r="G2030">
        <f t="shared" si="93"/>
        <v>3500</v>
      </c>
      <c r="H2030" t="s">
        <v>17</v>
      </c>
      <c r="I2030">
        <f t="shared" si="94"/>
        <v>600</v>
      </c>
      <c r="J2030">
        <f t="shared" si="95"/>
        <v>4200</v>
      </c>
    </row>
    <row r="2031" spans="1:10" x14ac:dyDescent="0.45">
      <c r="A2031" t="s">
        <v>732</v>
      </c>
      <c r="B2031" s="1">
        <v>45751</v>
      </c>
      <c r="C2031" t="s">
        <v>4007</v>
      </c>
      <c r="D2031" t="s">
        <v>39</v>
      </c>
      <c r="E2031">
        <v>6000</v>
      </c>
      <c r="F2031">
        <v>3</v>
      </c>
      <c r="G2031">
        <f t="shared" si="93"/>
        <v>18000</v>
      </c>
      <c r="H2031" t="s">
        <v>21</v>
      </c>
      <c r="I2031">
        <f t="shared" si="94"/>
        <v>7200</v>
      </c>
      <c r="J2031">
        <f t="shared" si="95"/>
        <v>21600</v>
      </c>
    </row>
    <row r="2032" spans="1:10" x14ac:dyDescent="0.45">
      <c r="A2032" t="s">
        <v>733</v>
      </c>
      <c r="B2032" s="1">
        <v>45751</v>
      </c>
      <c r="C2032" t="s">
        <v>9</v>
      </c>
      <c r="D2032" t="s">
        <v>19</v>
      </c>
      <c r="E2032">
        <v>3000</v>
      </c>
      <c r="F2032">
        <v>1</v>
      </c>
      <c r="G2032">
        <f t="shared" si="93"/>
        <v>3000</v>
      </c>
      <c r="H2032" t="s">
        <v>17</v>
      </c>
      <c r="I2032">
        <f t="shared" si="94"/>
        <v>3600</v>
      </c>
      <c r="J2032">
        <f t="shared" si="95"/>
        <v>3600</v>
      </c>
    </row>
    <row r="2033" spans="1:10" x14ac:dyDescent="0.45">
      <c r="A2033" t="s">
        <v>734</v>
      </c>
      <c r="B2033" s="1">
        <v>45751</v>
      </c>
      <c r="C2033" t="s">
        <v>33</v>
      </c>
      <c r="D2033" t="s">
        <v>14</v>
      </c>
      <c r="E2033">
        <v>800</v>
      </c>
      <c r="F2033">
        <v>4</v>
      </c>
      <c r="G2033">
        <f t="shared" si="93"/>
        <v>3200</v>
      </c>
      <c r="H2033" t="s">
        <v>7</v>
      </c>
      <c r="I2033">
        <f t="shared" si="94"/>
        <v>960</v>
      </c>
      <c r="J2033">
        <f t="shared" si="95"/>
        <v>3840</v>
      </c>
    </row>
    <row r="2034" spans="1:10" x14ac:dyDescent="0.45">
      <c r="A2034" t="s">
        <v>3113</v>
      </c>
      <c r="B2034" s="1">
        <v>45751</v>
      </c>
      <c r="C2034" t="s">
        <v>4007</v>
      </c>
      <c r="D2034" t="s">
        <v>28</v>
      </c>
      <c r="E2034">
        <v>500</v>
      </c>
      <c r="F2034">
        <v>3</v>
      </c>
      <c r="G2034">
        <f t="shared" si="93"/>
        <v>1500</v>
      </c>
      <c r="H2034" t="s">
        <v>7</v>
      </c>
      <c r="I2034">
        <f t="shared" si="94"/>
        <v>600</v>
      </c>
      <c r="J2034">
        <f t="shared" si="95"/>
        <v>1800</v>
      </c>
    </row>
    <row r="2035" spans="1:10" x14ac:dyDescent="0.45">
      <c r="A2035" t="s">
        <v>3286</v>
      </c>
      <c r="B2035" s="1">
        <v>45751</v>
      </c>
      <c r="C2035" t="s">
        <v>4007</v>
      </c>
      <c r="D2035" t="s">
        <v>2773</v>
      </c>
      <c r="E2035">
        <v>3300</v>
      </c>
      <c r="F2035">
        <v>7</v>
      </c>
      <c r="G2035">
        <f t="shared" si="93"/>
        <v>23100</v>
      </c>
      <c r="H2035" t="s">
        <v>21</v>
      </c>
      <c r="I2035">
        <f t="shared" si="94"/>
        <v>3960</v>
      </c>
      <c r="J2035">
        <f t="shared" si="95"/>
        <v>27720</v>
      </c>
    </row>
    <row r="2036" spans="1:10" x14ac:dyDescent="0.45">
      <c r="A2036" t="s">
        <v>3296</v>
      </c>
      <c r="B2036" s="1">
        <v>45751</v>
      </c>
      <c r="C2036" t="s">
        <v>2772</v>
      </c>
      <c r="D2036" t="s">
        <v>2775</v>
      </c>
      <c r="E2036">
        <v>9100</v>
      </c>
      <c r="F2036">
        <v>8</v>
      </c>
      <c r="G2036">
        <f t="shared" si="93"/>
        <v>72800</v>
      </c>
      <c r="H2036" t="s">
        <v>21</v>
      </c>
      <c r="I2036">
        <f t="shared" si="94"/>
        <v>10920</v>
      </c>
      <c r="J2036">
        <f t="shared" si="95"/>
        <v>87360</v>
      </c>
    </row>
    <row r="2037" spans="1:10" x14ac:dyDescent="0.45">
      <c r="A2037" t="s">
        <v>3448</v>
      </c>
      <c r="B2037" s="1">
        <v>45751</v>
      </c>
      <c r="C2037" t="s">
        <v>4007</v>
      </c>
      <c r="D2037" t="s">
        <v>2774</v>
      </c>
      <c r="E2037">
        <v>1900</v>
      </c>
      <c r="F2037">
        <v>4</v>
      </c>
      <c r="G2037">
        <f t="shared" si="93"/>
        <v>7600</v>
      </c>
      <c r="H2037" t="s">
        <v>21</v>
      </c>
      <c r="I2037">
        <f t="shared" si="94"/>
        <v>2280</v>
      </c>
      <c r="J2037">
        <f t="shared" si="95"/>
        <v>9120</v>
      </c>
    </row>
    <row r="2038" spans="1:10" x14ac:dyDescent="0.45">
      <c r="A2038" t="s">
        <v>735</v>
      </c>
      <c r="B2038" s="1">
        <v>45752</v>
      </c>
      <c r="C2038" t="s">
        <v>4007</v>
      </c>
      <c r="D2038" t="s">
        <v>28</v>
      </c>
      <c r="E2038">
        <v>500</v>
      </c>
      <c r="F2038">
        <v>1</v>
      </c>
      <c r="G2038">
        <f t="shared" si="93"/>
        <v>500</v>
      </c>
      <c r="H2038" t="s">
        <v>7</v>
      </c>
      <c r="I2038">
        <f t="shared" si="94"/>
        <v>600</v>
      </c>
      <c r="J2038">
        <f t="shared" si="95"/>
        <v>600</v>
      </c>
    </row>
    <row r="2039" spans="1:10" x14ac:dyDescent="0.45">
      <c r="A2039" t="s">
        <v>736</v>
      </c>
      <c r="B2039" s="1">
        <v>45752</v>
      </c>
      <c r="C2039" t="s">
        <v>33</v>
      </c>
      <c r="D2039" t="s">
        <v>34</v>
      </c>
      <c r="E2039">
        <v>1700</v>
      </c>
      <c r="F2039">
        <v>6</v>
      </c>
      <c r="G2039">
        <f t="shared" si="93"/>
        <v>10200</v>
      </c>
      <c r="H2039" t="s">
        <v>17</v>
      </c>
      <c r="I2039">
        <f t="shared" si="94"/>
        <v>2040</v>
      </c>
      <c r="J2039">
        <f t="shared" si="95"/>
        <v>12240</v>
      </c>
    </row>
    <row r="2040" spans="1:10" x14ac:dyDescent="0.45">
      <c r="A2040" t="s">
        <v>737</v>
      </c>
      <c r="B2040" s="1">
        <v>45752</v>
      </c>
      <c r="C2040" t="s">
        <v>33</v>
      </c>
      <c r="D2040" t="s">
        <v>34</v>
      </c>
      <c r="E2040">
        <v>1700</v>
      </c>
      <c r="F2040">
        <v>3</v>
      </c>
      <c r="G2040">
        <f t="shared" si="93"/>
        <v>5100</v>
      </c>
      <c r="H2040" t="s">
        <v>21</v>
      </c>
      <c r="I2040">
        <f t="shared" si="94"/>
        <v>2040</v>
      </c>
      <c r="J2040">
        <f t="shared" si="95"/>
        <v>6120</v>
      </c>
    </row>
    <row r="2041" spans="1:10" x14ac:dyDescent="0.45">
      <c r="A2041" t="s">
        <v>738</v>
      </c>
      <c r="B2041" s="1">
        <v>45752</v>
      </c>
      <c r="C2041" t="s">
        <v>33</v>
      </c>
      <c r="D2041" t="s">
        <v>16</v>
      </c>
      <c r="E2041">
        <v>1200</v>
      </c>
      <c r="F2041">
        <v>7</v>
      </c>
      <c r="G2041">
        <f t="shared" si="93"/>
        <v>8400</v>
      </c>
      <c r="H2041" t="s">
        <v>7</v>
      </c>
      <c r="I2041">
        <f t="shared" si="94"/>
        <v>1440</v>
      </c>
      <c r="J2041">
        <f t="shared" si="95"/>
        <v>10080</v>
      </c>
    </row>
    <row r="2042" spans="1:10" x14ac:dyDescent="0.45">
      <c r="A2042" t="s">
        <v>739</v>
      </c>
      <c r="B2042" s="1">
        <v>45752</v>
      </c>
      <c r="C2042" t="s">
        <v>4007</v>
      </c>
      <c r="D2042" t="s">
        <v>4005</v>
      </c>
      <c r="E2042">
        <v>60000</v>
      </c>
      <c r="F2042">
        <v>7</v>
      </c>
      <c r="G2042">
        <f t="shared" si="93"/>
        <v>420000</v>
      </c>
      <c r="H2042" t="s">
        <v>21</v>
      </c>
      <c r="I2042">
        <f t="shared" si="94"/>
        <v>72000</v>
      </c>
      <c r="J2042">
        <f t="shared" si="95"/>
        <v>504000</v>
      </c>
    </row>
    <row r="2043" spans="1:10" x14ac:dyDescent="0.45">
      <c r="A2043" t="s">
        <v>740</v>
      </c>
      <c r="B2043" s="1">
        <v>45752</v>
      </c>
      <c r="C2043" t="s">
        <v>4007</v>
      </c>
      <c r="D2043" t="s">
        <v>28</v>
      </c>
      <c r="E2043">
        <v>500</v>
      </c>
      <c r="F2043">
        <v>8</v>
      </c>
      <c r="G2043">
        <f t="shared" si="93"/>
        <v>4000</v>
      </c>
      <c r="H2043" t="s">
        <v>7</v>
      </c>
      <c r="I2043">
        <f t="shared" si="94"/>
        <v>600</v>
      </c>
      <c r="J2043">
        <f t="shared" si="95"/>
        <v>4800</v>
      </c>
    </row>
    <row r="2044" spans="1:10" x14ac:dyDescent="0.45">
      <c r="A2044" t="s">
        <v>741</v>
      </c>
      <c r="B2044" s="1">
        <v>45752</v>
      </c>
      <c r="C2044" t="s">
        <v>9</v>
      </c>
      <c r="D2044" t="s">
        <v>25</v>
      </c>
      <c r="E2044">
        <v>5200</v>
      </c>
      <c r="F2044">
        <v>1</v>
      </c>
      <c r="G2044">
        <f t="shared" si="93"/>
        <v>5200</v>
      </c>
      <c r="H2044" t="s">
        <v>21</v>
      </c>
      <c r="I2044">
        <f t="shared" si="94"/>
        <v>6240</v>
      </c>
      <c r="J2044">
        <f t="shared" si="95"/>
        <v>6240</v>
      </c>
    </row>
    <row r="2045" spans="1:10" x14ac:dyDescent="0.45">
      <c r="A2045" t="s">
        <v>3663</v>
      </c>
      <c r="B2045" s="1">
        <v>45752</v>
      </c>
      <c r="C2045" t="s">
        <v>4007</v>
      </c>
      <c r="D2045" t="s">
        <v>2774</v>
      </c>
      <c r="E2045">
        <v>1900</v>
      </c>
      <c r="F2045">
        <v>9</v>
      </c>
      <c r="G2045">
        <f t="shared" si="93"/>
        <v>17100</v>
      </c>
      <c r="H2045" t="s">
        <v>17</v>
      </c>
      <c r="I2045">
        <f t="shared" si="94"/>
        <v>2280</v>
      </c>
      <c r="J2045">
        <f t="shared" si="95"/>
        <v>20520</v>
      </c>
    </row>
    <row r="2046" spans="1:10" x14ac:dyDescent="0.45">
      <c r="A2046" t="s">
        <v>3736</v>
      </c>
      <c r="B2046" s="1">
        <v>45752</v>
      </c>
      <c r="C2046" t="s">
        <v>4007</v>
      </c>
      <c r="D2046" t="s">
        <v>2776</v>
      </c>
      <c r="E2046">
        <v>3600</v>
      </c>
      <c r="F2046">
        <v>7</v>
      </c>
      <c r="G2046">
        <f t="shared" si="93"/>
        <v>25200</v>
      </c>
      <c r="H2046" t="s">
        <v>17</v>
      </c>
      <c r="I2046">
        <f t="shared" si="94"/>
        <v>4320</v>
      </c>
      <c r="J2046">
        <f t="shared" si="95"/>
        <v>30240</v>
      </c>
    </row>
    <row r="2047" spans="1:10" x14ac:dyDescent="0.45">
      <c r="A2047" t="s">
        <v>3953</v>
      </c>
      <c r="B2047" s="1">
        <v>45752</v>
      </c>
      <c r="C2047" t="s">
        <v>4007</v>
      </c>
      <c r="D2047" t="s">
        <v>28</v>
      </c>
      <c r="E2047">
        <v>500</v>
      </c>
      <c r="F2047">
        <v>2</v>
      </c>
      <c r="G2047">
        <f t="shared" si="93"/>
        <v>1000</v>
      </c>
      <c r="H2047" t="s">
        <v>7</v>
      </c>
      <c r="I2047">
        <f t="shared" si="94"/>
        <v>600</v>
      </c>
      <c r="J2047">
        <f t="shared" si="95"/>
        <v>1200</v>
      </c>
    </row>
    <row r="2048" spans="1:10" x14ac:dyDescent="0.45">
      <c r="A2048" t="s">
        <v>742</v>
      </c>
      <c r="B2048" s="1">
        <v>45753</v>
      </c>
      <c r="C2048" t="s">
        <v>12</v>
      </c>
      <c r="D2048" t="s">
        <v>5023</v>
      </c>
      <c r="E2048">
        <v>1750</v>
      </c>
      <c r="F2048">
        <v>5</v>
      </c>
      <c r="G2048">
        <f t="shared" si="93"/>
        <v>8750</v>
      </c>
      <c r="H2048" t="s">
        <v>21</v>
      </c>
      <c r="I2048">
        <f t="shared" si="94"/>
        <v>2100</v>
      </c>
      <c r="J2048">
        <f t="shared" si="95"/>
        <v>10500</v>
      </c>
    </row>
    <row r="2049" spans="1:10" x14ac:dyDescent="0.45">
      <c r="A2049" t="s">
        <v>743</v>
      </c>
      <c r="B2049" s="1">
        <v>45753</v>
      </c>
      <c r="C2049" t="s">
        <v>4007</v>
      </c>
      <c r="D2049" t="s">
        <v>28</v>
      </c>
      <c r="E2049">
        <v>500</v>
      </c>
      <c r="F2049">
        <v>7</v>
      </c>
      <c r="G2049">
        <f t="shared" si="93"/>
        <v>3500</v>
      </c>
      <c r="H2049" t="s">
        <v>21</v>
      </c>
      <c r="I2049">
        <f t="shared" si="94"/>
        <v>600</v>
      </c>
      <c r="J2049">
        <f t="shared" si="95"/>
        <v>4200</v>
      </c>
    </row>
    <row r="2050" spans="1:10" x14ac:dyDescent="0.45">
      <c r="A2050" t="s">
        <v>744</v>
      </c>
      <c r="B2050" s="1">
        <v>45753</v>
      </c>
      <c r="C2050" t="s">
        <v>9</v>
      </c>
      <c r="D2050" t="s">
        <v>19</v>
      </c>
      <c r="E2050">
        <v>3000</v>
      </c>
      <c r="F2050">
        <v>7</v>
      </c>
      <c r="G2050">
        <f t="shared" ref="G2050:G2113" si="96">E2050*F2050</f>
        <v>21000</v>
      </c>
      <c r="H2050" t="s">
        <v>17</v>
      </c>
      <c r="I2050">
        <f t="shared" ref="I2050:I2113" si="97">E2050*1.2</f>
        <v>3600</v>
      </c>
      <c r="J2050">
        <f t="shared" ref="J2050:J2113" si="98">I2050*F2050</f>
        <v>25200</v>
      </c>
    </row>
    <row r="2051" spans="1:10" x14ac:dyDescent="0.45">
      <c r="A2051" t="s">
        <v>745</v>
      </c>
      <c r="B2051" s="1">
        <v>45753</v>
      </c>
      <c r="C2051" t="s">
        <v>4007</v>
      </c>
      <c r="D2051" t="s">
        <v>5015</v>
      </c>
      <c r="E2051">
        <v>48000</v>
      </c>
      <c r="F2051">
        <v>10</v>
      </c>
      <c r="G2051">
        <f t="shared" si="96"/>
        <v>480000</v>
      </c>
      <c r="H2051" t="s">
        <v>17</v>
      </c>
      <c r="I2051">
        <f t="shared" si="97"/>
        <v>57600</v>
      </c>
      <c r="J2051">
        <f t="shared" si="98"/>
        <v>576000</v>
      </c>
    </row>
    <row r="2052" spans="1:10" x14ac:dyDescent="0.45">
      <c r="A2052" t="s">
        <v>746</v>
      </c>
      <c r="B2052" s="1">
        <v>45753</v>
      </c>
      <c r="C2052" t="s">
        <v>12</v>
      </c>
      <c r="D2052" t="s">
        <v>5022</v>
      </c>
      <c r="E2052">
        <v>2880</v>
      </c>
      <c r="F2052">
        <v>5</v>
      </c>
      <c r="G2052">
        <f t="shared" si="96"/>
        <v>14400</v>
      </c>
      <c r="H2052" t="s">
        <v>7</v>
      </c>
      <c r="I2052">
        <f t="shared" si="97"/>
        <v>3456</v>
      </c>
      <c r="J2052">
        <f t="shared" si="98"/>
        <v>17280</v>
      </c>
    </row>
    <row r="2053" spans="1:10" x14ac:dyDescent="0.45">
      <c r="A2053" t="s">
        <v>747</v>
      </c>
      <c r="B2053" s="1">
        <v>45753</v>
      </c>
      <c r="C2053" t="s">
        <v>12</v>
      </c>
      <c r="D2053" t="s">
        <v>5020</v>
      </c>
      <c r="E2053">
        <v>2880</v>
      </c>
      <c r="F2053">
        <v>2</v>
      </c>
      <c r="G2053">
        <f t="shared" si="96"/>
        <v>5760</v>
      </c>
      <c r="H2053" t="s">
        <v>21</v>
      </c>
      <c r="I2053">
        <f t="shared" si="97"/>
        <v>3456</v>
      </c>
      <c r="J2053">
        <f t="shared" si="98"/>
        <v>6912</v>
      </c>
    </row>
    <row r="2054" spans="1:10" x14ac:dyDescent="0.45">
      <c r="A2054" t="s">
        <v>748</v>
      </c>
      <c r="B2054" s="1">
        <v>45753</v>
      </c>
      <c r="C2054" t="s">
        <v>33</v>
      </c>
      <c r="D2054" t="s">
        <v>14</v>
      </c>
      <c r="E2054">
        <v>800</v>
      </c>
      <c r="F2054">
        <v>3</v>
      </c>
      <c r="G2054">
        <f t="shared" si="96"/>
        <v>2400</v>
      </c>
      <c r="H2054" t="s">
        <v>7</v>
      </c>
      <c r="I2054">
        <f t="shared" si="97"/>
        <v>960</v>
      </c>
      <c r="J2054">
        <f t="shared" si="98"/>
        <v>2880</v>
      </c>
    </row>
    <row r="2055" spans="1:10" x14ac:dyDescent="0.45">
      <c r="A2055" t="s">
        <v>749</v>
      </c>
      <c r="B2055" s="1">
        <v>45753</v>
      </c>
      <c r="C2055" t="s">
        <v>33</v>
      </c>
      <c r="D2055" t="s">
        <v>14</v>
      </c>
      <c r="E2055">
        <v>800</v>
      </c>
      <c r="F2055">
        <v>9</v>
      </c>
      <c r="G2055">
        <f t="shared" si="96"/>
        <v>7200</v>
      </c>
      <c r="H2055" t="s">
        <v>17</v>
      </c>
      <c r="I2055">
        <f t="shared" si="97"/>
        <v>960</v>
      </c>
      <c r="J2055">
        <f t="shared" si="98"/>
        <v>8640</v>
      </c>
    </row>
    <row r="2056" spans="1:10" x14ac:dyDescent="0.45">
      <c r="A2056" t="s">
        <v>750</v>
      </c>
      <c r="B2056" s="1">
        <v>45753</v>
      </c>
      <c r="C2056" t="s">
        <v>4007</v>
      </c>
      <c r="D2056" t="s">
        <v>28</v>
      </c>
      <c r="E2056">
        <v>500</v>
      </c>
      <c r="F2056">
        <v>5</v>
      </c>
      <c r="G2056">
        <f t="shared" si="96"/>
        <v>2500</v>
      </c>
      <c r="H2056" t="s">
        <v>21</v>
      </c>
      <c r="I2056">
        <f t="shared" si="97"/>
        <v>600</v>
      </c>
      <c r="J2056">
        <f t="shared" si="98"/>
        <v>3000</v>
      </c>
    </row>
    <row r="2057" spans="1:10" x14ac:dyDescent="0.45">
      <c r="A2057" t="s">
        <v>2982</v>
      </c>
      <c r="B2057" s="1">
        <v>45753</v>
      </c>
      <c r="C2057" t="s">
        <v>4007</v>
      </c>
      <c r="D2057" t="s">
        <v>2774</v>
      </c>
      <c r="E2057">
        <v>1900</v>
      </c>
      <c r="F2057">
        <v>6</v>
      </c>
      <c r="G2057">
        <f t="shared" si="96"/>
        <v>11400</v>
      </c>
      <c r="H2057" t="s">
        <v>7</v>
      </c>
      <c r="I2057">
        <f t="shared" si="97"/>
        <v>2280</v>
      </c>
      <c r="J2057">
        <f t="shared" si="98"/>
        <v>13680</v>
      </c>
    </row>
    <row r="2058" spans="1:10" x14ac:dyDescent="0.45">
      <c r="A2058" t="s">
        <v>3735</v>
      </c>
      <c r="B2058" s="1">
        <v>45753</v>
      </c>
      <c r="C2058" t="s">
        <v>4007</v>
      </c>
      <c r="D2058" t="s">
        <v>2770</v>
      </c>
      <c r="E2058">
        <v>600</v>
      </c>
      <c r="F2058">
        <v>4</v>
      </c>
      <c r="G2058">
        <f t="shared" si="96"/>
        <v>2400</v>
      </c>
      <c r="H2058" t="s">
        <v>17</v>
      </c>
      <c r="I2058">
        <f t="shared" si="97"/>
        <v>720</v>
      </c>
      <c r="J2058">
        <f t="shared" si="98"/>
        <v>2880</v>
      </c>
    </row>
    <row r="2059" spans="1:10" x14ac:dyDescent="0.45">
      <c r="A2059" t="s">
        <v>3778</v>
      </c>
      <c r="B2059" s="1">
        <v>45753</v>
      </c>
      <c r="C2059" t="s">
        <v>4007</v>
      </c>
      <c r="D2059" t="s">
        <v>5015</v>
      </c>
      <c r="E2059">
        <v>48000</v>
      </c>
      <c r="F2059">
        <v>9</v>
      </c>
      <c r="G2059">
        <f t="shared" si="96"/>
        <v>432000</v>
      </c>
      <c r="H2059" t="s">
        <v>21</v>
      </c>
      <c r="I2059">
        <f t="shared" si="97"/>
        <v>57600</v>
      </c>
      <c r="J2059">
        <f t="shared" si="98"/>
        <v>518400</v>
      </c>
    </row>
    <row r="2060" spans="1:10" x14ac:dyDescent="0.45">
      <c r="A2060" t="s">
        <v>751</v>
      </c>
      <c r="B2060" s="1">
        <v>45754</v>
      </c>
      <c r="C2060" t="s">
        <v>12</v>
      </c>
      <c r="D2060" t="s">
        <v>5023</v>
      </c>
      <c r="E2060">
        <v>1750</v>
      </c>
      <c r="F2060">
        <v>2</v>
      </c>
      <c r="G2060">
        <f t="shared" si="96"/>
        <v>3500</v>
      </c>
      <c r="H2060" t="s">
        <v>21</v>
      </c>
      <c r="I2060">
        <f t="shared" si="97"/>
        <v>2100</v>
      </c>
      <c r="J2060">
        <f t="shared" si="98"/>
        <v>4200</v>
      </c>
    </row>
    <row r="2061" spans="1:10" x14ac:dyDescent="0.45">
      <c r="A2061" t="s">
        <v>752</v>
      </c>
      <c r="B2061" s="1">
        <v>45754</v>
      </c>
      <c r="C2061" t="s">
        <v>9</v>
      </c>
      <c r="D2061" t="s">
        <v>25</v>
      </c>
      <c r="E2061">
        <v>5200</v>
      </c>
      <c r="F2061">
        <v>1</v>
      </c>
      <c r="G2061">
        <f t="shared" si="96"/>
        <v>5200</v>
      </c>
      <c r="H2061" t="s">
        <v>7</v>
      </c>
      <c r="I2061">
        <f t="shared" si="97"/>
        <v>6240</v>
      </c>
      <c r="J2061">
        <f t="shared" si="98"/>
        <v>6240</v>
      </c>
    </row>
    <row r="2062" spans="1:10" x14ac:dyDescent="0.45">
      <c r="A2062" t="s">
        <v>753</v>
      </c>
      <c r="B2062" s="1">
        <v>45754</v>
      </c>
      <c r="C2062" t="s">
        <v>4007</v>
      </c>
      <c r="D2062" t="s">
        <v>28</v>
      </c>
      <c r="E2062">
        <v>500</v>
      </c>
      <c r="F2062">
        <v>1</v>
      </c>
      <c r="G2062">
        <f t="shared" si="96"/>
        <v>500</v>
      </c>
      <c r="H2062" t="s">
        <v>17</v>
      </c>
      <c r="I2062">
        <f t="shared" si="97"/>
        <v>600</v>
      </c>
      <c r="J2062">
        <f t="shared" si="98"/>
        <v>600</v>
      </c>
    </row>
    <row r="2063" spans="1:10" x14ac:dyDescent="0.45">
      <c r="A2063" t="s">
        <v>754</v>
      </c>
      <c r="B2063" s="1">
        <v>45754</v>
      </c>
      <c r="C2063" t="s">
        <v>33</v>
      </c>
      <c r="D2063" t="s">
        <v>14</v>
      </c>
      <c r="E2063">
        <v>800</v>
      </c>
      <c r="F2063">
        <v>9</v>
      </c>
      <c r="G2063">
        <f t="shared" si="96"/>
        <v>7200</v>
      </c>
      <c r="H2063" t="s">
        <v>17</v>
      </c>
      <c r="I2063">
        <f t="shared" si="97"/>
        <v>960</v>
      </c>
      <c r="J2063">
        <f t="shared" si="98"/>
        <v>8640</v>
      </c>
    </row>
    <row r="2064" spans="1:10" x14ac:dyDescent="0.45">
      <c r="A2064" t="s">
        <v>755</v>
      </c>
      <c r="B2064" s="1">
        <v>45754</v>
      </c>
      <c r="C2064" t="s">
        <v>12</v>
      </c>
      <c r="D2064" t="s">
        <v>5021</v>
      </c>
      <c r="E2064">
        <v>2880</v>
      </c>
      <c r="F2064">
        <v>3</v>
      </c>
      <c r="G2064">
        <f t="shared" si="96"/>
        <v>8640</v>
      </c>
      <c r="H2064" t="s">
        <v>21</v>
      </c>
      <c r="I2064">
        <f t="shared" si="97"/>
        <v>3456</v>
      </c>
      <c r="J2064">
        <f t="shared" si="98"/>
        <v>10368</v>
      </c>
    </row>
    <row r="2065" spans="1:10" x14ac:dyDescent="0.45">
      <c r="A2065" t="s">
        <v>756</v>
      </c>
      <c r="B2065" s="1">
        <v>45754</v>
      </c>
      <c r="C2065" t="s">
        <v>9</v>
      </c>
      <c r="D2065" t="s">
        <v>10</v>
      </c>
      <c r="E2065">
        <v>400</v>
      </c>
      <c r="F2065">
        <v>9</v>
      </c>
      <c r="G2065">
        <f t="shared" si="96"/>
        <v>3600</v>
      </c>
      <c r="H2065" t="s">
        <v>17</v>
      </c>
      <c r="I2065">
        <f t="shared" si="97"/>
        <v>480</v>
      </c>
      <c r="J2065">
        <f t="shared" si="98"/>
        <v>4320</v>
      </c>
    </row>
    <row r="2066" spans="1:10" x14ac:dyDescent="0.45">
      <c r="A2066" t="s">
        <v>2791</v>
      </c>
      <c r="B2066" s="1">
        <v>45754</v>
      </c>
      <c r="C2066" t="s">
        <v>4007</v>
      </c>
      <c r="D2066" t="s">
        <v>2773</v>
      </c>
      <c r="E2066">
        <v>3300</v>
      </c>
      <c r="F2066">
        <v>7</v>
      </c>
      <c r="G2066">
        <f t="shared" si="96"/>
        <v>23100</v>
      </c>
      <c r="H2066" t="s">
        <v>17</v>
      </c>
      <c r="I2066">
        <f t="shared" si="97"/>
        <v>3960</v>
      </c>
      <c r="J2066">
        <f t="shared" si="98"/>
        <v>27720</v>
      </c>
    </row>
    <row r="2067" spans="1:10" x14ac:dyDescent="0.45">
      <c r="A2067" t="s">
        <v>3330</v>
      </c>
      <c r="B2067" s="1">
        <v>45754</v>
      </c>
      <c r="C2067" t="s">
        <v>33</v>
      </c>
      <c r="D2067" t="s">
        <v>34</v>
      </c>
      <c r="E2067">
        <v>1700</v>
      </c>
      <c r="F2067">
        <v>7</v>
      </c>
      <c r="G2067">
        <f t="shared" si="96"/>
        <v>11900</v>
      </c>
      <c r="H2067" t="s">
        <v>21</v>
      </c>
      <c r="I2067">
        <f t="shared" si="97"/>
        <v>2040</v>
      </c>
      <c r="J2067">
        <f t="shared" si="98"/>
        <v>14280</v>
      </c>
    </row>
    <row r="2068" spans="1:10" x14ac:dyDescent="0.45">
      <c r="A2068" t="s">
        <v>3477</v>
      </c>
      <c r="B2068" s="1">
        <v>45754</v>
      </c>
      <c r="C2068" t="s">
        <v>33</v>
      </c>
      <c r="D2068" t="s">
        <v>34</v>
      </c>
      <c r="E2068">
        <v>1700</v>
      </c>
      <c r="F2068">
        <v>10</v>
      </c>
      <c r="G2068">
        <f t="shared" si="96"/>
        <v>17000</v>
      </c>
      <c r="H2068" t="s">
        <v>7</v>
      </c>
      <c r="I2068">
        <f t="shared" si="97"/>
        <v>2040</v>
      </c>
      <c r="J2068">
        <f t="shared" si="98"/>
        <v>20400</v>
      </c>
    </row>
    <row r="2069" spans="1:10" x14ac:dyDescent="0.45">
      <c r="A2069" t="s">
        <v>3480</v>
      </c>
      <c r="B2069" s="1">
        <v>45754</v>
      </c>
      <c r="C2069" t="s">
        <v>33</v>
      </c>
      <c r="D2069" t="s">
        <v>34</v>
      </c>
      <c r="E2069">
        <v>1700</v>
      </c>
      <c r="F2069">
        <v>1</v>
      </c>
      <c r="G2069">
        <f t="shared" si="96"/>
        <v>1700</v>
      </c>
      <c r="H2069" t="s">
        <v>17</v>
      </c>
      <c r="I2069">
        <f t="shared" si="97"/>
        <v>2040</v>
      </c>
      <c r="J2069">
        <f t="shared" si="98"/>
        <v>2040</v>
      </c>
    </row>
    <row r="2070" spans="1:10" x14ac:dyDescent="0.45">
      <c r="A2070" t="s">
        <v>757</v>
      </c>
      <c r="B2070" s="1">
        <v>45755</v>
      </c>
      <c r="C2070" t="s">
        <v>12</v>
      </c>
      <c r="D2070" t="s">
        <v>5022</v>
      </c>
      <c r="E2070">
        <v>2880</v>
      </c>
      <c r="F2070">
        <v>7</v>
      </c>
      <c r="G2070">
        <f t="shared" si="96"/>
        <v>20160</v>
      </c>
      <c r="H2070" t="s">
        <v>17</v>
      </c>
      <c r="I2070">
        <f t="shared" si="97"/>
        <v>3456</v>
      </c>
      <c r="J2070">
        <f t="shared" si="98"/>
        <v>24192</v>
      </c>
    </row>
    <row r="2071" spans="1:10" x14ac:dyDescent="0.45">
      <c r="A2071" t="s">
        <v>758</v>
      </c>
      <c r="B2071" s="1">
        <v>45755</v>
      </c>
      <c r="C2071" t="s">
        <v>33</v>
      </c>
      <c r="D2071" t="s">
        <v>16</v>
      </c>
      <c r="E2071">
        <v>1200</v>
      </c>
      <c r="F2071">
        <v>10</v>
      </c>
      <c r="G2071">
        <f t="shared" si="96"/>
        <v>12000</v>
      </c>
      <c r="H2071" t="s">
        <v>17</v>
      </c>
      <c r="I2071">
        <f t="shared" si="97"/>
        <v>1440</v>
      </c>
      <c r="J2071">
        <f t="shared" si="98"/>
        <v>14400</v>
      </c>
    </row>
    <row r="2072" spans="1:10" x14ac:dyDescent="0.45">
      <c r="A2072" t="s">
        <v>759</v>
      </c>
      <c r="B2072" s="1">
        <v>45755</v>
      </c>
      <c r="C2072" t="s">
        <v>33</v>
      </c>
      <c r="D2072" t="s">
        <v>34</v>
      </c>
      <c r="E2072">
        <v>1700</v>
      </c>
      <c r="F2072">
        <v>2</v>
      </c>
      <c r="G2072">
        <f t="shared" si="96"/>
        <v>3400</v>
      </c>
      <c r="H2072" t="s">
        <v>7</v>
      </c>
      <c r="I2072">
        <f t="shared" si="97"/>
        <v>2040</v>
      </c>
      <c r="J2072">
        <f t="shared" si="98"/>
        <v>4080</v>
      </c>
    </row>
    <row r="2073" spans="1:10" x14ac:dyDescent="0.45">
      <c r="A2073" t="s">
        <v>760</v>
      </c>
      <c r="B2073" s="1">
        <v>45755</v>
      </c>
      <c r="C2073" t="s">
        <v>4007</v>
      </c>
      <c r="D2073" t="s">
        <v>28</v>
      </c>
      <c r="E2073">
        <v>500</v>
      </c>
      <c r="F2073">
        <v>6</v>
      </c>
      <c r="G2073">
        <f t="shared" si="96"/>
        <v>3000</v>
      </c>
      <c r="H2073" t="s">
        <v>17</v>
      </c>
      <c r="I2073">
        <f t="shared" si="97"/>
        <v>600</v>
      </c>
      <c r="J2073">
        <f t="shared" si="98"/>
        <v>3600</v>
      </c>
    </row>
    <row r="2074" spans="1:10" x14ac:dyDescent="0.45">
      <c r="A2074" t="s">
        <v>761</v>
      </c>
      <c r="B2074" s="1">
        <v>45755</v>
      </c>
      <c r="C2074" t="s">
        <v>12</v>
      </c>
      <c r="D2074" t="s">
        <v>5021</v>
      </c>
      <c r="E2074">
        <v>2880</v>
      </c>
      <c r="F2074">
        <v>6</v>
      </c>
      <c r="G2074">
        <f t="shared" si="96"/>
        <v>17280</v>
      </c>
      <c r="H2074" t="s">
        <v>7</v>
      </c>
      <c r="I2074">
        <f t="shared" si="97"/>
        <v>3456</v>
      </c>
      <c r="J2074">
        <f t="shared" si="98"/>
        <v>20736</v>
      </c>
    </row>
    <row r="2075" spans="1:10" x14ac:dyDescent="0.45">
      <c r="A2075" t="s">
        <v>762</v>
      </c>
      <c r="B2075" s="1">
        <v>45755</v>
      </c>
      <c r="C2075" t="s">
        <v>4007</v>
      </c>
      <c r="D2075" t="s">
        <v>4005</v>
      </c>
      <c r="E2075">
        <v>60000</v>
      </c>
      <c r="F2075">
        <v>10</v>
      </c>
      <c r="G2075">
        <f t="shared" si="96"/>
        <v>600000</v>
      </c>
      <c r="H2075" t="s">
        <v>7</v>
      </c>
      <c r="I2075">
        <f t="shared" si="97"/>
        <v>72000</v>
      </c>
      <c r="J2075">
        <f t="shared" si="98"/>
        <v>720000</v>
      </c>
    </row>
    <row r="2076" spans="1:10" x14ac:dyDescent="0.45">
      <c r="A2076" t="s">
        <v>3020</v>
      </c>
      <c r="B2076" s="1">
        <v>45755</v>
      </c>
      <c r="C2076" t="s">
        <v>33</v>
      </c>
      <c r="D2076" t="s">
        <v>34</v>
      </c>
      <c r="E2076">
        <v>1700</v>
      </c>
      <c r="F2076">
        <v>1</v>
      </c>
      <c r="G2076">
        <f t="shared" si="96"/>
        <v>1700</v>
      </c>
      <c r="H2076" t="s">
        <v>17</v>
      </c>
      <c r="I2076">
        <f t="shared" si="97"/>
        <v>2040</v>
      </c>
      <c r="J2076">
        <f t="shared" si="98"/>
        <v>2040</v>
      </c>
    </row>
    <row r="2077" spans="1:10" x14ac:dyDescent="0.45">
      <c r="A2077" t="s">
        <v>3089</v>
      </c>
      <c r="B2077" s="1">
        <v>45755</v>
      </c>
      <c r="C2077" t="s">
        <v>4007</v>
      </c>
      <c r="D2077" t="s">
        <v>2776</v>
      </c>
      <c r="E2077">
        <v>3600</v>
      </c>
      <c r="F2077">
        <v>8</v>
      </c>
      <c r="G2077">
        <f t="shared" si="96"/>
        <v>28800</v>
      </c>
      <c r="H2077" t="s">
        <v>21</v>
      </c>
      <c r="I2077">
        <f t="shared" si="97"/>
        <v>4320</v>
      </c>
      <c r="J2077">
        <f t="shared" si="98"/>
        <v>34560</v>
      </c>
    </row>
    <row r="2078" spans="1:10" x14ac:dyDescent="0.45">
      <c r="A2078" t="s">
        <v>3335</v>
      </c>
      <c r="B2078" s="1">
        <v>45755</v>
      </c>
      <c r="C2078" t="s">
        <v>2772</v>
      </c>
      <c r="D2078" t="s">
        <v>2771</v>
      </c>
      <c r="E2078">
        <v>120</v>
      </c>
      <c r="F2078">
        <v>5</v>
      </c>
      <c r="G2078">
        <f t="shared" si="96"/>
        <v>600</v>
      </c>
      <c r="H2078" t="s">
        <v>21</v>
      </c>
      <c r="I2078">
        <f t="shared" si="97"/>
        <v>144</v>
      </c>
      <c r="J2078">
        <f t="shared" si="98"/>
        <v>720</v>
      </c>
    </row>
    <row r="2079" spans="1:10" x14ac:dyDescent="0.45">
      <c r="A2079" t="s">
        <v>763</v>
      </c>
      <c r="B2079" s="1">
        <v>45756</v>
      </c>
      <c r="C2079" t="s">
        <v>4007</v>
      </c>
      <c r="D2079" t="s">
        <v>28</v>
      </c>
      <c r="E2079">
        <v>500</v>
      </c>
      <c r="F2079">
        <v>4</v>
      </c>
      <c r="G2079">
        <f t="shared" si="96"/>
        <v>2000</v>
      </c>
      <c r="H2079" t="s">
        <v>17</v>
      </c>
      <c r="I2079">
        <f t="shared" si="97"/>
        <v>600</v>
      </c>
      <c r="J2079">
        <f t="shared" si="98"/>
        <v>2400</v>
      </c>
    </row>
    <row r="2080" spans="1:10" x14ac:dyDescent="0.45">
      <c r="A2080" t="s">
        <v>764</v>
      </c>
      <c r="B2080" s="1">
        <v>45756</v>
      </c>
      <c r="C2080" t="s">
        <v>12</v>
      </c>
      <c r="D2080" t="s">
        <v>5020</v>
      </c>
      <c r="E2080">
        <v>2880</v>
      </c>
      <c r="F2080">
        <v>5</v>
      </c>
      <c r="G2080">
        <f t="shared" si="96"/>
        <v>14400</v>
      </c>
      <c r="H2080" t="s">
        <v>21</v>
      </c>
      <c r="I2080">
        <f t="shared" si="97"/>
        <v>3456</v>
      </c>
      <c r="J2080">
        <f t="shared" si="98"/>
        <v>17280</v>
      </c>
    </row>
    <row r="2081" spans="1:10" x14ac:dyDescent="0.45">
      <c r="A2081" t="s">
        <v>765</v>
      </c>
      <c r="B2081" s="1">
        <v>45756</v>
      </c>
      <c r="C2081" t="s">
        <v>9</v>
      </c>
      <c r="D2081" t="s">
        <v>19</v>
      </c>
      <c r="E2081">
        <v>3000</v>
      </c>
      <c r="F2081">
        <v>1</v>
      </c>
      <c r="G2081">
        <f t="shared" si="96"/>
        <v>3000</v>
      </c>
      <c r="H2081" t="s">
        <v>17</v>
      </c>
      <c r="I2081">
        <f t="shared" si="97"/>
        <v>3600</v>
      </c>
      <c r="J2081">
        <f t="shared" si="98"/>
        <v>3600</v>
      </c>
    </row>
    <row r="2082" spans="1:10" x14ac:dyDescent="0.45">
      <c r="A2082" t="s">
        <v>766</v>
      </c>
      <c r="B2082" s="1">
        <v>45756</v>
      </c>
      <c r="C2082" t="s">
        <v>33</v>
      </c>
      <c r="D2082" t="s">
        <v>16</v>
      </c>
      <c r="E2082">
        <v>1200</v>
      </c>
      <c r="F2082">
        <v>6</v>
      </c>
      <c r="G2082">
        <f t="shared" si="96"/>
        <v>7200</v>
      </c>
      <c r="H2082" t="s">
        <v>17</v>
      </c>
      <c r="I2082">
        <f t="shared" si="97"/>
        <v>1440</v>
      </c>
      <c r="J2082">
        <f t="shared" si="98"/>
        <v>8640</v>
      </c>
    </row>
    <row r="2083" spans="1:10" x14ac:dyDescent="0.45">
      <c r="A2083" t="s">
        <v>767</v>
      </c>
      <c r="B2083" s="1">
        <v>45756</v>
      </c>
      <c r="C2083" t="s">
        <v>4007</v>
      </c>
      <c r="D2083" t="s">
        <v>39</v>
      </c>
      <c r="E2083">
        <v>6000</v>
      </c>
      <c r="F2083">
        <v>5</v>
      </c>
      <c r="G2083">
        <f t="shared" si="96"/>
        <v>30000</v>
      </c>
      <c r="H2083" t="s">
        <v>17</v>
      </c>
      <c r="I2083">
        <f t="shared" si="97"/>
        <v>7200</v>
      </c>
      <c r="J2083">
        <f t="shared" si="98"/>
        <v>36000</v>
      </c>
    </row>
    <row r="2084" spans="1:10" x14ac:dyDescent="0.45">
      <c r="A2084" t="s">
        <v>768</v>
      </c>
      <c r="B2084" s="1">
        <v>45756</v>
      </c>
      <c r="C2084" t="s">
        <v>4007</v>
      </c>
      <c r="D2084" t="s">
        <v>28</v>
      </c>
      <c r="E2084">
        <v>500</v>
      </c>
      <c r="F2084">
        <v>4</v>
      </c>
      <c r="G2084">
        <f t="shared" si="96"/>
        <v>2000</v>
      </c>
      <c r="H2084" t="s">
        <v>7</v>
      </c>
      <c r="I2084">
        <f t="shared" si="97"/>
        <v>600</v>
      </c>
      <c r="J2084">
        <f t="shared" si="98"/>
        <v>2400</v>
      </c>
    </row>
    <row r="2085" spans="1:10" x14ac:dyDescent="0.45">
      <c r="A2085" t="s">
        <v>2894</v>
      </c>
      <c r="B2085" s="1">
        <v>45756</v>
      </c>
      <c r="C2085" t="s">
        <v>4007</v>
      </c>
      <c r="D2085" t="s">
        <v>2774</v>
      </c>
      <c r="E2085">
        <v>1900</v>
      </c>
      <c r="F2085">
        <v>7</v>
      </c>
      <c r="G2085">
        <f t="shared" si="96"/>
        <v>13300</v>
      </c>
      <c r="H2085" t="s">
        <v>7</v>
      </c>
      <c r="I2085">
        <f t="shared" si="97"/>
        <v>2280</v>
      </c>
      <c r="J2085">
        <f t="shared" si="98"/>
        <v>15960</v>
      </c>
    </row>
    <row r="2086" spans="1:10" x14ac:dyDescent="0.45">
      <c r="A2086" t="s">
        <v>3249</v>
      </c>
      <c r="B2086" s="1">
        <v>45756</v>
      </c>
      <c r="C2086" t="s">
        <v>4007</v>
      </c>
      <c r="D2086" t="s">
        <v>2774</v>
      </c>
      <c r="E2086">
        <v>1900</v>
      </c>
      <c r="F2086">
        <v>1</v>
      </c>
      <c r="G2086">
        <f t="shared" si="96"/>
        <v>1900</v>
      </c>
      <c r="H2086" t="s">
        <v>17</v>
      </c>
      <c r="I2086">
        <f t="shared" si="97"/>
        <v>2280</v>
      </c>
      <c r="J2086">
        <f t="shared" si="98"/>
        <v>2280</v>
      </c>
    </row>
    <row r="2087" spans="1:10" x14ac:dyDescent="0.45">
      <c r="A2087" t="s">
        <v>769</v>
      </c>
      <c r="B2087" s="1">
        <v>45757</v>
      </c>
      <c r="C2087" t="s">
        <v>9</v>
      </c>
      <c r="D2087" t="s">
        <v>10</v>
      </c>
      <c r="E2087">
        <v>400</v>
      </c>
      <c r="F2087">
        <v>4</v>
      </c>
      <c r="G2087">
        <f t="shared" si="96"/>
        <v>1600</v>
      </c>
      <c r="H2087" t="s">
        <v>17</v>
      </c>
      <c r="I2087">
        <f t="shared" si="97"/>
        <v>480</v>
      </c>
      <c r="J2087">
        <f t="shared" si="98"/>
        <v>1920</v>
      </c>
    </row>
    <row r="2088" spans="1:10" x14ac:dyDescent="0.45">
      <c r="A2088" t="s">
        <v>770</v>
      </c>
      <c r="B2088" s="1">
        <v>45757</v>
      </c>
      <c r="C2088" t="s">
        <v>4007</v>
      </c>
      <c r="D2088" t="s">
        <v>5015</v>
      </c>
      <c r="E2088">
        <v>48000</v>
      </c>
      <c r="F2088">
        <v>7</v>
      </c>
      <c r="G2088">
        <f t="shared" si="96"/>
        <v>336000</v>
      </c>
      <c r="H2088" t="s">
        <v>17</v>
      </c>
      <c r="I2088">
        <f t="shared" si="97"/>
        <v>57600</v>
      </c>
      <c r="J2088">
        <f t="shared" si="98"/>
        <v>403200</v>
      </c>
    </row>
    <row r="2089" spans="1:10" x14ac:dyDescent="0.45">
      <c r="A2089" t="s">
        <v>771</v>
      </c>
      <c r="B2089" s="1">
        <v>45757</v>
      </c>
      <c r="C2089" t="s">
        <v>9</v>
      </c>
      <c r="D2089" t="s">
        <v>19</v>
      </c>
      <c r="E2089">
        <v>3000</v>
      </c>
      <c r="F2089">
        <v>2</v>
      </c>
      <c r="G2089">
        <f t="shared" si="96"/>
        <v>6000</v>
      </c>
      <c r="H2089" t="s">
        <v>17</v>
      </c>
      <c r="I2089">
        <f t="shared" si="97"/>
        <v>3600</v>
      </c>
      <c r="J2089">
        <f t="shared" si="98"/>
        <v>7200</v>
      </c>
    </row>
    <row r="2090" spans="1:10" x14ac:dyDescent="0.45">
      <c r="A2090" t="s">
        <v>772</v>
      </c>
      <c r="B2090" s="1">
        <v>45757</v>
      </c>
      <c r="C2090" t="s">
        <v>9</v>
      </c>
      <c r="D2090" t="s">
        <v>19</v>
      </c>
      <c r="E2090">
        <v>3000</v>
      </c>
      <c r="F2090">
        <v>7</v>
      </c>
      <c r="G2090">
        <f t="shared" si="96"/>
        <v>21000</v>
      </c>
      <c r="H2090" t="s">
        <v>7</v>
      </c>
      <c r="I2090">
        <f t="shared" si="97"/>
        <v>3600</v>
      </c>
      <c r="J2090">
        <f t="shared" si="98"/>
        <v>25200</v>
      </c>
    </row>
    <row r="2091" spans="1:10" x14ac:dyDescent="0.45">
      <c r="A2091" t="s">
        <v>773</v>
      </c>
      <c r="B2091" s="1">
        <v>45757</v>
      </c>
      <c r="C2091" t="s">
        <v>4007</v>
      </c>
      <c r="D2091" t="s">
        <v>39</v>
      </c>
      <c r="E2091">
        <v>6000</v>
      </c>
      <c r="F2091">
        <v>3</v>
      </c>
      <c r="G2091">
        <f t="shared" si="96"/>
        <v>18000</v>
      </c>
      <c r="H2091" t="s">
        <v>21</v>
      </c>
      <c r="I2091">
        <f t="shared" si="97"/>
        <v>7200</v>
      </c>
      <c r="J2091">
        <f t="shared" si="98"/>
        <v>21600</v>
      </c>
    </row>
    <row r="2092" spans="1:10" x14ac:dyDescent="0.45">
      <c r="A2092" t="s">
        <v>774</v>
      </c>
      <c r="B2092" s="1">
        <v>45757</v>
      </c>
      <c r="C2092" t="s">
        <v>12</v>
      </c>
      <c r="D2092" t="s">
        <v>5023</v>
      </c>
      <c r="E2092">
        <v>1750</v>
      </c>
      <c r="F2092">
        <v>4</v>
      </c>
      <c r="G2092">
        <f t="shared" si="96"/>
        <v>7000</v>
      </c>
      <c r="H2092" t="s">
        <v>7</v>
      </c>
      <c r="I2092">
        <f t="shared" si="97"/>
        <v>2100</v>
      </c>
      <c r="J2092">
        <f t="shared" si="98"/>
        <v>8400</v>
      </c>
    </row>
    <row r="2093" spans="1:10" x14ac:dyDescent="0.45">
      <c r="A2093" t="s">
        <v>775</v>
      </c>
      <c r="B2093" s="1">
        <v>45757</v>
      </c>
      <c r="C2093" t="s">
        <v>4007</v>
      </c>
      <c r="D2093" t="s">
        <v>39</v>
      </c>
      <c r="E2093">
        <v>6000</v>
      </c>
      <c r="F2093">
        <v>1</v>
      </c>
      <c r="G2093">
        <f t="shared" si="96"/>
        <v>6000</v>
      </c>
      <c r="H2093" t="s">
        <v>21</v>
      </c>
      <c r="I2093">
        <f t="shared" si="97"/>
        <v>7200</v>
      </c>
      <c r="J2093">
        <f t="shared" si="98"/>
        <v>7200</v>
      </c>
    </row>
    <row r="2094" spans="1:10" x14ac:dyDescent="0.45">
      <c r="A2094" t="s">
        <v>776</v>
      </c>
      <c r="B2094" s="1">
        <v>45757</v>
      </c>
      <c r="C2094" t="s">
        <v>4007</v>
      </c>
      <c r="D2094" t="s">
        <v>5015</v>
      </c>
      <c r="E2094">
        <v>48000</v>
      </c>
      <c r="F2094">
        <v>4</v>
      </c>
      <c r="G2094">
        <f t="shared" si="96"/>
        <v>192000</v>
      </c>
      <c r="H2094" t="s">
        <v>7</v>
      </c>
      <c r="I2094">
        <f t="shared" si="97"/>
        <v>57600</v>
      </c>
      <c r="J2094">
        <f t="shared" si="98"/>
        <v>230400</v>
      </c>
    </row>
    <row r="2095" spans="1:10" x14ac:dyDescent="0.45">
      <c r="A2095" t="s">
        <v>3252</v>
      </c>
      <c r="B2095" s="1">
        <v>45757</v>
      </c>
      <c r="C2095" t="s">
        <v>4007</v>
      </c>
      <c r="D2095" t="s">
        <v>2774</v>
      </c>
      <c r="E2095">
        <v>1900</v>
      </c>
      <c r="F2095">
        <v>3</v>
      </c>
      <c r="G2095">
        <f t="shared" si="96"/>
        <v>5700</v>
      </c>
      <c r="H2095" t="s">
        <v>21</v>
      </c>
      <c r="I2095">
        <f t="shared" si="97"/>
        <v>2280</v>
      </c>
      <c r="J2095">
        <f t="shared" si="98"/>
        <v>6840</v>
      </c>
    </row>
    <row r="2096" spans="1:10" x14ac:dyDescent="0.45">
      <c r="A2096" t="s">
        <v>3495</v>
      </c>
      <c r="B2096" s="1">
        <v>45757</v>
      </c>
      <c r="C2096" t="s">
        <v>4007</v>
      </c>
      <c r="D2096" t="s">
        <v>5015</v>
      </c>
      <c r="E2096">
        <v>48000</v>
      </c>
      <c r="F2096">
        <v>2</v>
      </c>
      <c r="G2096">
        <f t="shared" si="96"/>
        <v>96000</v>
      </c>
      <c r="H2096" t="s">
        <v>21</v>
      </c>
      <c r="I2096">
        <f t="shared" si="97"/>
        <v>57600</v>
      </c>
      <c r="J2096">
        <f t="shared" si="98"/>
        <v>115200</v>
      </c>
    </row>
    <row r="2097" spans="1:10" x14ac:dyDescent="0.45">
      <c r="A2097" t="s">
        <v>3565</v>
      </c>
      <c r="B2097" s="1">
        <v>45757</v>
      </c>
      <c r="C2097" t="s">
        <v>4007</v>
      </c>
      <c r="D2097" t="s">
        <v>2770</v>
      </c>
      <c r="E2097">
        <v>600</v>
      </c>
      <c r="F2097">
        <v>1</v>
      </c>
      <c r="G2097">
        <f t="shared" si="96"/>
        <v>600</v>
      </c>
      <c r="H2097" t="s">
        <v>17</v>
      </c>
      <c r="I2097">
        <f t="shared" si="97"/>
        <v>720</v>
      </c>
      <c r="J2097">
        <f t="shared" si="98"/>
        <v>720</v>
      </c>
    </row>
    <row r="2098" spans="1:10" x14ac:dyDescent="0.45">
      <c r="A2098" t="s">
        <v>777</v>
      </c>
      <c r="B2098" s="1">
        <v>45758</v>
      </c>
      <c r="C2098" t="s">
        <v>4007</v>
      </c>
      <c r="D2098" t="s">
        <v>28</v>
      </c>
      <c r="E2098">
        <v>500</v>
      </c>
      <c r="F2098">
        <v>2</v>
      </c>
      <c r="G2098">
        <f t="shared" si="96"/>
        <v>1000</v>
      </c>
      <c r="H2098" t="s">
        <v>7</v>
      </c>
      <c r="I2098">
        <f t="shared" si="97"/>
        <v>600</v>
      </c>
      <c r="J2098">
        <f t="shared" si="98"/>
        <v>1200</v>
      </c>
    </row>
    <row r="2099" spans="1:10" x14ac:dyDescent="0.45">
      <c r="A2099" t="s">
        <v>778</v>
      </c>
      <c r="B2099" s="1">
        <v>45758</v>
      </c>
      <c r="C2099" t="s">
        <v>12</v>
      </c>
      <c r="D2099" t="s">
        <v>5022</v>
      </c>
      <c r="E2099">
        <v>2880</v>
      </c>
      <c r="F2099">
        <v>4</v>
      </c>
      <c r="G2099">
        <f t="shared" si="96"/>
        <v>11520</v>
      </c>
      <c r="H2099" t="s">
        <v>21</v>
      </c>
      <c r="I2099">
        <f t="shared" si="97"/>
        <v>3456</v>
      </c>
      <c r="J2099">
        <f t="shared" si="98"/>
        <v>13824</v>
      </c>
    </row>
    <row r="2100" spans="1:10" x14ac:dyDescent="0.45">
      <c r="A2100" t="s">
        <v>779</v>
      </c>
      <c r="B2100" s="1">
        <v>45758</v>
      </c>
      <c r="C2100" t="s">
        <v>9</v>
      </c>
      <c r="D2100" t="s">
        <v>10</v>
      </c>
      <c r="E2100">
        <v>400</v>
      </c>
      <c r="F2100">
        <v>7</v>
      </c>
      <c r="G2100">
        <f t="shared" si="96"/>
        <v>2800</v>
      </c>
      <c r="H2100" t="s">
        <v>21</v>
      </c>
      <c r="I2100">
        <f t="shared" si="97"/>
        <v>480</v>
      </c>
      <c r="J2100">
        <f t="shared" si="98"/>
        <v>3360</v>
      </c>
    </row>
    <row r="2101" spans="1:10" x14ac:dyDescent="0.45">
      <c r="A2101" t="s">
        <v>780</v>
      </c>
      <c r="B2101" s="1">
        <v>45758</v>
      </c>
      <c r="C2101" t="s">
        <v>9</v>
      </c>
      <c r="D2101" t="s">
        <v>25</v>
      </c>
      <c r="E2101">
        <v>5200</v>
      </c>
      <c r="F2101">
        <v>10</v>
      </c>
      <c r="G2101">
        <f t="shared" si="96"/>
        <v>52000</v>
      </c>
      <c r="H2101" t="s">
        <v>17</v>
      </c>
      <c r="I2101">
        <f t="shared" si="97"/>
        <v>6240</v>
      </c>
      <c r="J2101">
        <f t="shared" si="98"/>
        <v>62400</v>
      </c>
    </row>
    <row r="2102" spans="1:10" x14ac:dyDescent="0.45">
      <c r="A2102" t="s">
        <v>781</v>
      </c>
      <c r="B2102" s="1">
        <v>45758</v>
      </c>
      <c r="C2102" t="s">
        <v>12</v>
      </c>
      <c r="D2102" t="s">
        <v>5020</v>
      </c>
      <c r="E2102">
        <v>2880</v>
      </c>
      <c r="F2102">
        <v>10</v>
      </c>
      <c r="G2102">
        <f t="shared" si="96"/>
        <v>28800</v>
      </c>
      <c r="H2102" t="s">
        <v>21</v>
      </c>
      <c r="I2102">
        <f t="shared" si="97"/>
        <v>3456</v>
      </c>
      <c r="J2102">
        <f t="shared" si="98"/>
        <v>34560</v>
      </c>
    </row>
    <row r="2103" spans="1:10" x14ac:dyDescent="0.45">
      <c r="A2103" t="s">
        <v>782</v>
      </c>
      <c r="B2103" s="1">
        <v>45758</v>
      </c>
      <c r="C2103" t="s">
        <v>33</v>
      </c>
      <c r="D2103" t="s">
        <v>34</v>
      </c>
      <c r="E2103">
        <v>1700</v>
      </c>
      <c r="F2103">
        <v>9</v>
      </c>
      <c r="G2103">
        <f t="shared" si="96"/>
        <v>15300</v>
      </c>
      <c r="H2103" t="s">
        <v>7</v>
      </c>
      <c r="I2103">
        <f t="shared" si="97"/>
        <v>2040</v>
      </c>
      <c r="J2103">
        <f t="shared" si="98"/>
        <v>18360</v>
      </c>
    </row>
    <row r="2104" spans="1:10" x14ac:dyDescent="0.45">
      <c r="A2104" t="s">
        <v>783</v>
      </c>
      <c r="B2104" s="1">
        <v>45758</v>
      </c>
      <c r="C2104" t="s">
        <v>33</v>
      </c>
      <c r="D2104" t="s">
        <v>34</v>
      </c>
      <c r="E2104">
        <v>1700</v>
      </c>
      <c r="F2104">
        <v>1</v>
      </c>
      <c r="G2104">
        <f t="shared" si="96"/>
        <v>1700</v>
      </c>
      <c r="H2104" t="s">
        <v>7</v>
      </c>
      <c r="I2104">
        <f t="shared" si="97"/>
        <v>2040</v>
      </c>
      <c r="J2104">
        <f t="shared" si="98"/>
        <v>2040</v>
      </c>
    </row>
    <row r="2105" spans="1:10" x14ac:dyDescent="0.45">
      <c r="A2105" t="s">
        <v>784</v>
      </c>
      <c r="B2105" s="1">
        <v>45758</v>
      </c>
      <c r="C2105" t="s">
        <v>33</v>
      </c>
      <c r="D2105" t="s">
        <v>42</v>
      </c>
      <c r="E2105">
        <v>6900</v>
      </c>
      <c r="F2105">
        <v>4</v>
      </c>
      <c r="G2105">
        <f t="shared" si="96"/>
        <v>27600</v>
      </c>
      <c r="H2105" t="s">
        <v>17</v>
      </c>
      <c r="I2105">
        <f t="shared" si="97"/>
        <v>8280</v>
      </c>
      <c r="J2105">
        <f t="shared" si="98"/>
        <v>33120</v>
      </c>
    </row>
    <row r="2106" spans="1:10" x14ac:dyDescent="0.45">
      <c r="A2106" t="s">
        <v>785</v>
      </c>
      <c r="B2106" s="1">
        <v>45758</v>
      </c>
      <c r="C2106" t="s">
        <v>4007</v>
      </c>
      <c r="D2106" t="s">
        <v>5015</v>
      </c>
      <c r="E2106">
        <v>48000</v>
      </c>
      <c r="F2106">
        <v>5</v>
      </c>
      <c r="G2106">
        <f t="shared" si="96"/>
        <v>240000</v>
      </c>
      <c r="H2106" t="s">
        <v>21</v>
      </c>
      <c r="I2106">
        <f t="shared" si="97"/>
        <v>57600</v>
      </c>
      <c r="J2106">
        <f t="shared" si="98"/>
        <v>288000</v>
      </c>
    </row>
    <row r="2107" spans="1:10" x14ac:dyDescent="0.45">
      <c r="A2107" t="s">
        <v>2800</v>
      </c>
      <c r="B2107" s="1">
        <v>45758</v>
      </c>
      <c r="C2107" t="s">
        <v>4007</v>
      </c>
      <c r="D2107" t="s">
        <v>2774</v>
      </c>
      <c r="E2107">
        <v>1900</v>
      </c>
      <c r="F2107">
        <v>6</v>
      </c>
      <c r="G2107">
        <f t="shared" si="96"/>
        <v>11400</v>
      </c>
      <c r="H2107" t="s">
        <v>17</v>
      </c>
      <c r="I2107">
        <f t="shared" si="97"/>
        <v>2280</v>
      </c>
      <c r="J2107">
        <f t="shared" si="98"/>
        <v>13680</v>
      </c>
    </row>
    <row r="2108" spans="1:10" x14ac:dyDescent="0.45">
      <c r="A2108" t="s">
        <v>3002</v>
      </c>
      <c r="B2108" s="1">
        <v>45758</v>
      </c>
      <c r="C2108" t="s">
        <v>4007</v>
      </c>
      <c r="D2108" t="s">
        <v>28</v>
      </c>
      <c r="E2108">
        <v>500</v>
      </c>
      <c r="F2108">
        <v>9</v>
      </c>
      <c r="G2108">
        <f t="shared" si="96"/>
        <v>4500</v>
      </c>
      <c r="H2108" t="s">
        <v>21</v>
      </c>
      <c r="I2108">
        <f t="shared" si="97"/>
        <v>600</v>
      </c>
      <c r="J2108">
        <f t="shared" si="98"/>
        <v>5400</v>
      </c>
    </row>
    <row r="2109" spans="1:10" x14ac:dyDescent="0.45">
      <c r="A2109" t="s">
        <v>3104</v>
      </c>
      <c r="B2109" s="1">
        <v>45758</v>
      </c>
      <c r="C2109" t="s">
        <v>4007</v>
      </c>
      <c r="D2109" t="s">
        <v>5015</v>
      </c>
      <c r="E2109">
        <v>48000</v>
      </c>
      <c r="F2109">
        <v>3</v>
      </c>
      <c r="G2109">
        <f t="shared" si="96"/>
        <v>144000</v>
      </c>
      <c r="H2109" t="s">
        <v>21</v>
      </c>
      <c r="I2109">
        <f t="shared" si="97"/>
        <v>57600</v>
      </c>
      <c r="J2109">
        <f t="shared" si="98"/>
        <v>172800</v>
      </c>
    </row>
    <row r="2110" spans="1:10" x14ac:dyDescent="0.45">
      <c r="A2110" t="s">
        <v>3184</v>
      </c>
      <c r="B2110" s="1">
        <v>45758</v>
      </c>
      <c r="C2110" t="s">
        <v>2772</v>
      </c>
      <c r="D2110" t="s">
        <v>2775</v>
      </c>
      <c r="E2110">
        <v>9100</v>
      </c>
      <c r="F2110">
        <v>7</v>
      </c>
      <c r="G2110">
        <f t="shared" si="96"/>
        <v>63700</v>
      </c>
      <c r="H2110" t="s">
        <v>21</v>
      </c>
      <c r="I2110">
        <f t="shared" si="97"/>
        <v>10920</v>
      </c>
      <c r="J2110">
        <f t="shared" si="98"/>
        <v>76440</v>
      </c>
    </row>
    <row r="2111" spans="1:10" x14ac:dyDescent="0.45">
      <c r="A2111" t="s">
        <v>3254</v>
      </c>
      <c r="B2111" s="1">
        <v>45758</v>
      </c>
      <c r="C2111" t="s">
        <v>4007</v>
      </c>
      <c r="D2111" t="s">
        <v>2773</v>
      </c>
      <c r="E2111">
        <v>3300</v>
      </c>
      <c r="F2111">
        <v>3</v>
      </c>
      <c r="G2111">
        <f t="shared" si="96"/>
        <v>9900</v>
      </c>
      <c r="H2111" t="s">
        <v>17</v>
      </c>
      <c r="I2111">
        <f t="shared" si="97"/>
        <v>3960</v>
      </c>
      <c r="J2111">
        <f t="shared" si="98"/>
        <v>11880</v>
      </c>
    </row>
    <row r="2112" spans="1:10" x14ac:dyDescent="0.45">
      <c r="A2112" t="s">
        <v>786</v>
      </c>
      <c r="B2112" s="1">
        <v>45759</v>
      </c>
      <c r="C2112" t="s">
        <v>12</v>
      </c>
      <c r="D2112" t="s">
        <v>5021</v>
      </c>
      <c r="E2112">
        <v>2880</v>
      </c>
      <c r="F2112">
        <v>10</v>
      </c>
      <c r="G2112">
        <f t="shared" si="96"/>
        <v>28800</v>
      </c>
      <c r="H2112" t="s">
        <v>17</v>
      </c>
      <c r="I2112">
        <f t="shared" si="97"/>
        <v>3456</v>
      </c>
      <c r="J2112">
        <f t="shared" si="98"/>
        <v>34560</v>
      </c>
    </row>
    <row r="2113" spans="1:10" x14ac:dyDescent="0.45">
      <c r="A2113" t="s">
        <v>787</v>
      </c>
      <c r="B2113" s="1">
        <v>45759</v>
      </c>
      <c r="C2113" t="s">
        <v>4007</v>
      </c>
      <c r="D2113" t="s">
        <v>39</v>
      </c>
      <c r="E2113">
        <v>6000</v>
      </c>
      <c r="F2113">
        <v>10</v>
      </c>
      <c r="G2113">
        <f t="shared" si="96"/>
        <v>60000</v>
      </c>
      <c r="H2113" t="s">
        <v>17</v>
      </c>
      <c r="I2113">
        <f t="shared" si="97"/>
        <v>7200</v>
      </c>
      <c r="J2113">
        <f t="shared" si="98"/>
        <v>72000</v>
      </c>
    </row>
    <row r="2114" spans="1:10" x14ac:dyDescent="0.45">
      <c r="A2114" t="s">
        <v>788</v>
      </c>
      <c r="B2114" s="1">
        <v>45759</v>
      </c>
      <c r="C2114" t="s">
        <v>4007</v>
      </c>
      <c r="D2114" t="s">
        <v>39</v>
      </c>
      <c r="E2114">
        <v>6000</v>
      </c>
      <c r="F2114">
        <v>7</v>
      </c>
      <c r="G2114">
        <f t="shared" ref="G2114:G2177" si="99">E2114*F2114</f>
        <v>42000</v>
      </c>
      <c r="H2114" t="s">
        <v>17</v>
      </c>
      <c r="I2114">
        <f t="shared" ref="I2114:I2177" si="100">E2114*1.2</f>
        <v>7200</v>
      </c>
      <c r="J2114">
        <f t="shared" ref="J2114:J2177" si="101">I2114*F2114</f>
        <v>50400</v>
      </c>
    </row>
    <row r="2115" spans="1:10" x14ac:dyDescent="0.45">
      <c r="A2115" t="s">
        <v>789</v>
      </c>
      <c r="B2115" s="1">
        <v>45759</v>
      </c>
      <c r="C2115" t="s">
        <v>9</v>
      </c>
      <c r="D2115" t="s">
        <v>25</v>
      </c>
      <c r="E2115">
        <v>5200</v>
      </c>
      <c r="F2115">
        <v>2</v>
      </c>
      <c r="G2115">
        <f t="shared" si="99"/>
        <v>10400</v>
      </c>
      <c r="H2115" t="s">
        <v>21</v>
      </c>
      <c r="I2115">
        <f t="shared" si="100"/>
        <v>6240</v>
      </c>
      <c r="J2115">
        <f t="shared" si="101"/>
        <v>12480</v>
      </c>
    </row>
    <row r="2116" spans="1:10" x14ac:dyDescent="0.45">
      <c r="A2116" t="s">
        <v>790</v>
      </c>
      <c r="B2116" s="1">
        <v>45759</v>
      </c>
      <c r="C2116" t="s">
        <v>12</v>
      </c>
      <c r="D2116" t="s">
        <v>5023</v>
      </c>
      <c r="E2116">
        <v>1750</v>
      </c>
      <c r="F2116">
        <v>10</v>
      </c>
      <c r="G2116">
        <f t="shared" si="99"/>
        <v>17500</v>
      </c>
      <c r="H2116" t="s">
        <v>7</v>
      </c>
      <c r="I2116">
        <f t="shared" si="100"/>
        <v>2100</v>
      </c>
      <c r="J2116">
        <f t="shared" si="101"/>
        <v>21000</v>
      </c>
    </row>
    <row r="2117" spans="1:10" x14ac:dyDescent="0.45">
      <c r="A2117" t="s">
        <v>791</v>
      </c>
      <c r="B2117" s="1">
        <v>45759</v>
      </c>
      <c r="C2117" t="s">
        <v>9</v>
      </c>
      <c r="D2117" t="s">
        <v>25</v>
      </c>
      <c r="E2117">
        <v>5200</v>
      </c>
      <c r="F2117">
        <v>10</v>
      </c>
      <c r="G2117">
        <f t="shared" si="99"/>
        <v>52000</v>
      </c>
      <c r="H2117" t="s">
        <v>17</v>
      </c>
      <c r="I2117">
        <f t="shared" si="100"/>
        <v>6240</v>
      </c>
      <c r="J2117">
        <f t="shared" si="101"/>
        <v>62400</v>
      </c>
    </row>
    <row r="2118" spans="1:10" x14ac:dyDescent="0.45">
      <c r="A2118" t="s">
        <v>792</v>
      </c>
      <c r="B2118" s="1">
        <v>45759</v>
      </c>
      <c r="C2118" t="s">
        <v>4007</v>
      </c>
      <c r="D2118" t="s">
        <v>39</v>
      </c>
      <c r="E2118">
        <v>6000</v>
      </c>
      <c r="F2118">
        <v>8</v>
      </c>
      <c r="G2118">
        <f t="shared" si="99"/>
        <v>48000</v>
      </c>
      <c r="H2118" t="s">
        <v>21</v>
      </c>
      <c r="I2118">
        <f t="shared" si="100"/>
        <v>7200</v>
      </c>
      <c r="J2118">
        <f t="shared" si="101"/>
        <v>57600</v>
      </c>
    </row>
    <row r="2119" spans="1:10" x14ac:dyDescent="0.45">
      <c r="A2119" t="s">
        <v>3950</v>
      </c>
      <c r="B2119" s="1">
        <v>45759</v>
      </c>
      <c r="C2119" t="s">
        <v>4007</v>
      </c>
      <c r="D2119" t="s">
        <v>28</v>
      </c>
      <c r="E2119">
        <v>500</v>
      </c>
      <c r="F2119">
        <v>2</v>
      </c>
      <c r="G2119">
        <f t="shared" si="99"/>
        <v>1000</v>
      </c>
      <c r="H2119" t="s">
        <v>7</v>
      </c>
      <c r="I2119">
        <f t="shared" si="100"/>
        <v>600</v>
      </c>
      <c r="J2119">
        <f t="shared" si="101"/>
        <v>1200</v>
      </c>
    </row>
    <row r="2120" spans="1:10" x14ac:dyDescent="0.45">
      <c r="A2120" t="s">
        <v>793</v>
      </c>
      <c r="B2120" s="1">
        <v>45760</v>
      </c>
      <c r="C2120" t="s">
        <v>12</v>
      </c>
      <c r="D2120" t="s">
        <v>5023</v>
      </c>
      <c r="E2120">
        <v>1750</v>
      </c>
      <c r="F2120">
        <v>1</v>
      </c>
      <c r="G2120">
        <f t="shared" si="99"/>
        <v>1750</v>
      </c>
      <c r="H2120" t="s">
        <v>17</v>
      </c>
      <c r="I2120">
        <f t="shared" si="100"/>
        <v>2100</v>
      </c>
      <c r="J2120">
        <f t="shared" si="101"/>
        <v>2100</v>
      </c>
    </row>
    <row r="2121" spans="1:10" x14ac:dyDescent="0.45">
      <c r="A2121" t="s">
        <v>794</v>
      </c>
      <c r="B2121" s="1">
        <v>45760</v>
      </c>
      <c r="C2121" t="s">
        <v>9</v>
      </c>
      <c r="D2121" t="s">
        <v>10</v>
      </c>
      <c r="E2121">
        <v>400</v>
      </c>
      <c r="F2121">
        <v>3</v>
      </c>
      <c r="G2121">
        <f t="shared" si="99"/>
        <v>1200</v>
      </c>
      <c r="H2121" t="s">
        <v>7</v>
      </c>
      <c r="I2121">
        <f t="shared" si="100"/>
        <v>480</v>
      </c>
      <c r="J2121">
        <f t="shared" si="101"/>
        <v>1440</v>
      </c>
    </row>
    <row r="2122" spans="1:10" x14ac:dyDescent="0.45">
      <c r="A2122" t="s">
        <v>795</v>
      </c>
      <c r="B2122" s="1">
        <v>45760</v>
      </c>
      <c r="C2122" t="s">
        <v>12</v>
      </c>
      <c r="D2122" t="s">
        <v>5022</v>
      </c>
      <c r="E2122">
        <v>2880</v>
      </c>
      <c r="F2122">
        <v>10</v>
      </c>
      <c r="G2122">
        <f t="shared" si="99"/>
        <v>28800</v>
      </c>
      <c r="H2122" t="s">
        <v>7</v>
      </c>
      <c r="I2122">
        <f t="shared" si="100"/>
        <v>3456</v>
      </c>
      <c r="J2122">
        <f t="shared" si="101"/>
        <v>34560</v>
      </c>
    </row>
    <row r="2123" spans="1:10" x14ac:dyDescent="0.45">
      <c r="A2123" t="s">
        <v>796</v>
      </c>
      <c r="B2123" s="1">
        <v>45760</v>
      </c>
      <c r="C2123" t="s">
        <v>4007</v>
      </c>
      <c r="D2123" t="s">
        <v>5015</v>
      </c>
      <c r="E2123">
        <v>48000</v>
      </c>
      <c r="F2123">
        <v>2</v>
      </c>
      <c r="G2123">
        <f t="shared" si="99"/>
        <v>96000</v>
      </c>
      <c r="H2123" t="s">
        <v>7</v>
      </c>
      <c r="I2123">
        <f t="shared" si="100"/>
        <v>57600</v>
      </c>
      <c r="J2123">
        <f t="shared" si="101"/>
        <v>115200</v>
      </c>
    </row>
    <row r="2124" spans="1:10" x14ac:dyDescent="0.45">
      <c r="A2124" t="s">
        <v>797</v>
      </c>
      <c r="B2124" s="1">
        <v>45760</v>
      </c>
      <c r="C2124" t="s">
        <v>9</v>
      </c>
      <c r="D2124" t="s">
        <v>25</v>
      </c>
      <c r="E2124">
        <v>5200</v>
      </c>
      <c r="F2124">
        <v>1</v>
      </c>
      <c r="G2124">
        <f t="shared" si="99"/>
        <v>5200</v>
      </c>
      <c r="H2124" t="s">
        <v>17</v>
      </c>
      <c r="I2124">
        <f t="shared" si="100"/>
        <v>6240</v>
      </c>
      <c r="J2124">
        <f t="shared" si="101"/>
        <v>6240</v>
      </c>
    </row>
    <row r="2125" spans="1:10" x14ac:dyDescent="0.45">
      <c r="A2125" t="s">
        <v>798</v>
      </c>
      <c r="B2125" s="1">
        <v>45760</v>
      </c>
      <c r="C2125" t="s">
        <v>33</v>
      </c>
      <c r="D2125" t="s">
        <v>16</v>
      </c>
      <c r="E2125">
        <v>1200</v>
      </c>
      <c r="F2125">
        <v>8</v>
      </c>
      <c r="G2125">
        <f t="shared" si="99"/>
        <v>9600</v>
      </c>
      <c r="H2125" t="s">
        <v>17</v>
      </c>
      <c r="I2125">
        <f t="shared" si="100"/>
        <v>1440</v>
      </c>
      <c r="J2125">
        <f t="shared" si="101"/>
        <v>11520</v>
      </c>
    </row>
    <row r="2126" spans="1:10" x14ac:dyDescent="0.45">
      <c r="A2126" t="s">
        <v>799</v>
      </c>
      <c r="B2126" s="1">
        <v>45760</v>
      </c>
      <c r="C2126" t="s">
        <v>9</v>
      </c>
      <c r="D2126" t="s">
        <v>10</v>
      </c>
      <c r="E2126">
        <v>400</v>
      </c>
      <c r="F2126">
        <v>2</v>
      </c>
      <c r="G2126">
        <f t="shared" si="99"/>
        <v>800</v>
      </c>
      <c r="H2126" t="s">
        <v>17</v>
      </c>
      <c r="I2126">
        <f t="shared" si="100"/>
        <v>480</v>
      </c>
      <c r="J2126">
        <f t="shared" si="101"/>
        <v>960</v>
      </c>
    </row>
    <row r="2127" spans="1:10" x14ac:dyDescent="0.45">
      <c r="A2127" t="s">
        <v>800</v>
      </c>
      <c r="B2127" s="1">
        <v>45760</v>
      </c>
      <c r="C2127" t="s">
        <v>12</v>
      </c>
      <c r="D2127" t="s">
        <v>5021</v>
      </c>
      <c r="E2127">
        <v>2880</v>
      </c>
      <c r="F2127">
        <v>10</v>
      </c>
      <c r="G2127">
        <f t="shared" si="99"/>
        <v>28800</v>
      </c>
      <c r="H2127" t="s">
        <v>17</v>
      </c>
      <c r="I2127">
        <f t="shared" si="100"/>
        <v>3456</v>
      </c>
      <c r="J2127">
        <f t="shared" si="101"/>
        <v>34560</v>
      </c>
    </row>
    <row r="2128" spans="1:10" x14ac:dyDescent="0.45">
      <c r="A2128" t="s">
        <v>801</v>
      </c>
      <c r="B2128" s="1">
        <v>45760</v>
      </c>
      <c r="C2128" t="s">
        <v>9</v>
      </c>
      <c r="D2128" t="s">
        <v>19</v>
      </c>
      <c r="E2128">
        <v>3000</v>
      </c>
      <c r="F2128">
        <v>8</v>
      </c>
      <c r="G2128">
        <f t="shared" si="99"/>
        <v>24000</v>
      </c>
      <c r="H2128" t="s">
        <v>21</v>
      </c>
      <c r="I2128">
        <f t="shared" si="100"/>
        <v>3600</v>
      </c>
      <c r="J2128">
        <f t="shared" si="101"/>
        <v>28800</v>
      </c>
    </row>
    <row r="2129" spans="1:10" x14ac:dyDescent="0.45">
      <c r="A2129" t="s">
        <v>2981</v>
      </c>
      <c r="B2129" s="1">
        <v>45760</v>
      </c>
      <c r="C2129" t="s">
        <v>4007</v>
      </c>
      <c r="D2129" t="s">
        <v>28</v>
      </c>
      <c r="E2129">
        <v>500</v>
      </c>
      <c r="F2129">
        <v>8</v>
      </c>
      <c r="G2129">
        <f t="shared" si="99"/>
        <v>4000</v>
      </c>
      <c r="H2129" t="s">
        <v>7</v>
      </c>
      <c r="I2129">
        <f t="shared" si="100"/>
        <v>600</v>
      </c>
      <c r="J2129">
        <f t="shared" si="101"/>
        <v>4800</v>
      </c>
    </row>
    <row r="2130" spans="1:10" x14ac:dyDescent="0.45">
      <c r="A2130" t="s">
        <v>3314</v>
      </c>
      <c r="B2130" s="1">
        <v>45760</v>
      </c>
      <c r="C2130" t="s">
        <v>2772</v>
      </c>
      <c r="D2130" t="s">
        <v>2775</v>
      </c>
      <c r="E2130">
        <v>9100</v>
      </c>
      <c r="F2130">
        <v>10</v>
      </c>
      <c r="G2130">
        <f t="shared" si="99"/>
        <v>91000</v>
      </c>
      <c r="H2130" t="s">
        <v>7</v>
      </c>
      <c r="I2130">
        <f t="shared" si="100"/>
        <v>10920</v>
      </c>
      <c r="J2130">
        <f t="shared" si="101"/>
        <v>109200</v>
      </c>
    </row>
    <row r="2131" spans="1:10" x14ac:dyDescent="0.45">
      <c r="A2131" t="s">
        <v>3667</v>
      </c>
      <c r="B2131" s="1">
        <v>45760</v>
      </c>
      <c r="C2131" t="s">
        <v>4007</v>
      </c>
      <c r="D2131" t="s">
        <v>2770</v>
      </c>
      <c r="E2131">
        <v>600</v>
      </c>
      <c r="F2131">
        <v>2</v>
      </c>
      <c r="G2131">
        <f t="shared" si="99"/>
        <v>1200</v>
      </c>
      <c r="H2131" t="s">
        <v>7</v>
      </c>
      <c r="I2131">
        <f t="shared" si="100"/>
        <v>720</v>
      </c>
      <c r="J2131">
        <f t="shared" si="101"/>
        <v>1440</v>
      </c>
    </row>
    <row r="2132" spans="1:10" x14ac:dyDescent="0.45">
      <c r="A2132" t="s">
        <v>3798</v>
      </c>
      <c r="B2132" s="1">
        <v>45760</v>
      </c>
      <c r="C2132" t="s">
        <v>33</v>
      </c>
      <c r="D2132" t="s">
        <v>34</v>
      </c>
      <c r="E2132">
        <v>1700</v>
      </c>
      <c r="F2132">
        <v>10</v>
      </c>
      <c r="G2132">
        <f t="shared" si="99"/>
        <v>17000</v>
      </c>
      <c r="H2132" t="s">
        <v>17</v>
      </c>
      <c r="I2132">
        <f t="shared" si="100"/>
        <v>2040</v>
      </c>
      <c r="J2132">
        <f t="shared" si="101"/>
        <v>20400</v>
      </c>
    </row>
    <row r="2133" spans="1:10" x14ac:dyDescent="0.45">
      <c r="A2133" t="s">
        <v>3854</v>
      </c>
      <c r="B2133" s="1">
        <v>45760</v>
      </c>
      <c r="C2133" t="s">
        <v>33</v>
      </c>
      <c r="D2133" t="s">
        <v>14</v>
      </c>
      <c r="E2133">
        <v>800</v>
      </c>
      <c r="F2133">
        <v>4</v>
      </c>
      <c r="G2133">
        <f t="shared" si="99"/>
        <v>3200</v>
      </c>
      <c r="H2133" t="s">
        <v>21</v>
      </c>
      <c r="I2133">
        <f t="shared" si="100"/>
        <v>960</v>
      </c>
      <c r="J2133">
        <f t="shared" si="101"/>
        <v>3840</v>
      </c>
    </row>
    <row r="2134" spans="1:10" x14ac:dyDescent="0.45">
      <c r="A2134" t="s">
        <v>802</v>
      </c>
      <c r="B2134" s="1">
        <v>45761</v>
      </c>
      <c r="C2134" t="s">
        <v>12</v>
      </c>
      <c r="D2134" t="s">
        <v>5021</v>
      </c>
      <c r="E2134">
        <v>2880</v>
      </c>
      <c r="F2134">
        <v>3</v>
      </c>
      <c r="G2134">
        <f t="shared" si="99"/>
        <v>8640</v>
      </c>
      <c r="H2134" t="s">
        <v>21</v>
      </c>
      <c r="I2134">
        <f t="shared" si="100"/>
        <v>3456</v>
      </c>
      <c r="J2134">
        <f t="shared" si="101"/>
        <v>10368</v>
      </c>
    </row>
    <row r="2135" spans="1:10" x14ac:dyDescent="0.45">
      <c r="A2135" t="s">
        <v>803</v>
      </c>
      <c r="B2135" s="1">
        <v>45761</v>
      </c>
      <c r="C2135" t="s">
        <v>33</v>
      </c>
      <c r="D2135" t="s">
        <v>42</v>
      </c>
      <c r="E2135">
        <v>6900</v>
      </c>
      <c r="F2135">
        <v>3</v>
      </c>
      <c r="G2135">
        <f t="shared" si="99"/>
        <v>20700</v>
      </c>
      <c r="H2135" t="s">
        <v>7</v>
      </c>
      <c r="I2135">
        <f t="shared" si="100"/>
        <v>8280</v>
      </c>
      <c r="J2135">
        <f t="shared" si="101"/>
        <v>24840</v>
      </c>
    </row>
    <row r="2136" spans="1:10" x14ac:dyDescent="0.45">
      <c r="A2136" t="s">
        <v>804</v>
      </c>
      <c r="B2136" s="1">
        <v>45761</v>
      </c>
      <c r="C2136" t="s">
        <v>9</v>
      </c>
      <c r="D2136" t="s">
        <v>19</v>
      </c>
      <c r="E2136">
        <v>3000</v>
      </c>
      <c r="F2136">
        <v>9</v>
      </c>
      <c r="G2136">
        <f t="shared" si="99"/>
        <v>27000</v>
      </c>
      <c r="H2136" t="s">
        <v>17</v>
      </c>
      <c r="I2136">
        <f t="shared" si="100"/>
        <v>3600</v>
      </c>
      <c r="J2136">
        <f t="shared" si="101"/>
        <v>32400</v>
      </c>
    </row>
    <row r="2137" spans="1:10" x14ac:dyDescent="0.45">
      <c r="A2137" t="s">
        <v>805</v>
      </c>
      <c r="B2137" s="1">
        <v>45761</v>
      </c>
      <c r="C2137" t="s">
        <v>12</v>
      </c>
      <c r="D2137" t="s">
        <v>5021</v>
      </c>
      <c r="E2137">
        <v>2880</v>
      </c>
      <c r="F2137">
        <v>5</v>
      </c>
      <c r="G2137">
        <f t="shared" si="99"/>
        <v>14400</v>
      </c>
      <c r="H2137" t="s">
        <v>21</v>
      </c>
      <c r="I2137">
        <f t="shared" si="100"/>
        <v>3456</v>
      </c>
      <c r="J2137">
        <f t="shared" si="101"/>
        <v>17280</v>
      </c>
    </row>
    <row r="2138" spans="1:10" x14ac:dyDescent="0.45">
      <c r="A2138" t="s">
        <v>806</v>
      </c>
      <c r="B2138" s="1">
        <v>45761</v>
      </c>
      <c r="C2138" t="s">
        <v>9</v>
      </c>
      <c r="D2138" t="s">
        <v>10</v>
      </c>
      <c r="E2138">
        <v>400</v>
      </c>
      <c r="F2138">
        <v>10</v>
      </c>
      <c r="G2138">
        <f t="shared" si="99"/>
        <v>4000</v>
      </c>
      <c r="H2138" t="s">
        <v>17</v>
      </c>
      <c r="I2138">
        <f t="shared" si="100"/>
        <v>480</v>
      </c>
      <c r="J2138">
        <f t="shared" si="101"/>
        <v>4800</v>
      </c>
    </row>
    <row r="2139" spans="1:10" x14ac:dyDescent="0.45">
      <c r="A2139" t="s">
        <v>807</v>
      </c>
      <c r="B2139" s="1">
        <v>45761</v>
      </c>
      <c r="C2139" t="s">
        <v>33</v>
      </c>
      <c r="D2139" t="s">
        <v>14</v>
      </c>
      <c r="E2139">
        <v>800</v>
      </c>
      <c r="F2139">
        <v>2</v>
      </c>
      <c r="G2139">
        <f t="shared" si="99"/>
        <v>1600</v>
      </c>
      <c r="H2139" t="s">
        <v>21</v>
      </c>
      <c r="I2139">
        <f t="shared" si="100"/>
        <v>960</v>
      </c>
      <c r="J2139">
        <f t="shared" si="101"/>
        <v>1920</v>
      </c>
    </row>
    <row r="2140" spans="1:10" x14ac:dyDescent="0.45">
      <c r="A2140" t="s">
        <v>808</v>
      </c>
      <c r="B2140" s="1">
        <v>45761</v>
      </c>
      <c r="C2140" t="s">
        <v>4007</v>
      </c>
      <c r="D2140" t="s">
        <v>28</v>
      </c>
      <c r="E2140">
        <v>500</v>
      </c>
      <c r="F2140">
        <v>2</v>
      </c>
      <c r="G2140">
        <f t="shared" si="99"/>
        <v>1000</v>
      </c>
      <c r="H2140" t="s">
        <v>17</v>
      </c>
      <c r="I2140">
        <f t="shared" si="100"/>
        <v>600</v>
      </c>
      <c r="J2140">
        <f t="shared" si="101"/>
        <v>1200</v>
      </c>
    </row>
    <row r="2141" spans="1:10" x14ac:dyDescent="0.45">
      <c r="A2141" t="s">
        <v>809</v>
      </c>
      <c r="B2141" s="1">
        <v>45761</v>
      </c>
      <c r="C2141" t="s">
        <v>4007</v>
      </c>
      <c r="D2141" t="s">
        <v>28</v>
      </c>
      <c r="E2141">
        <v>500</v>
      </c>
      <c r="F2141">
        <v>9</v>
      </c>
      <c r="G2141">
        <f t="shared" si="99"/>
        <v>4500</v>
      </c>
      <c r="H2141" t="s">
        <v>17</v>
      </c>
      <c r="I2141">
        <f t="shared" si="100"/>
        <v>600</v>
      </c>
      <c r="J2141">
        <f t="shared" si="101"/>
        <v>5400</v>
      </c>
    </row>
    <row r="2142" spans="1:10" x14ac:dyDescent="0.45">
      <c r="A2142" t="s">
        <v>2977</v>
      </c>
      <c r="B2142" s="1">
        <v>45761</v>
      </c>
      <c r="C2142" t="s">
        <v>33</v>
      </c>
      <c r="D2142" t="s">
        <v>34</v>
      </c>
      <c r="E2142">
        <v>1700</v>
      </c>
      <c r="F2142">
        <v>7</v>
      </c>
      <c r="G2142">
        <f t="shared" si="99"/>
        <v>11900</v>
      </c>
      <c r="H2142" t="s">
        <v>21</v>
      </c>
      <c r="I2142">
        <f t="shared" si="100"/>
        <v>2040</v>
      </c>
      <c r="J2142">
        <f t="shared" si="101"/>
        <v>14280</v>
      </c>
    </row>
    <row r="2143" spans="1:10" x14ac:dyDescent="0.45">
      <c r="A2143" t="s">
        <v>3055</v>
      </c>
      <c r="B2143" s="1">
        <v>45761</v>
      </c>
      <c r="C2143" t="s">
        <v>4007</v>
      </c>
      <c r="D2143" t="s">
        <v>2774</v>
      </c>
      <c r="E2143">
        <v>1900</v>
      </c>
      <c r="F2143">
        <v>2</v>
      </c>
      <c r="G2143">
        <f t="shared" si="99"/>
        <v>3800</v>
      </c>
      <c r="H2143" t="s">
        <v>21</v>
      </c>
      <c r="I2143">
        <f t="shared" si="100"/>
        <v>2280</v>
      </c>
      <c r="J2143">
        <f t="shared" si="101"/>
        <v>4560</v>
      </c>
    </row>
    <row r="2144" spans="1:10" x14ac:dyDescent="0.45">
      <c r="A2144" t="s">
        <v>3440</v>
      </c>
      <c r="B2144" s="1">
        <v>45761</v>
      </c>
      <c r="C2144" t="s">
        <v>2772</v>
      </c>
      <c r="D2144" t="s">
        <v>2775</v>
      </c>
      <c r="E2144">
        <v>9100</v>
      </c>
      <c r="F2144">
        <v>8</v>
      </c>
      <c r="G2144">
        <f t="shared" si="99"/>
        <v>72800</v>
      </c>
      <c r="H2144" t="s">
        <v>7</v>
      </c>
      <c r="I2144">
        <f t="shared" si="100"/>
        <v>10920</v>
      </c>
      <c r="J2144">
        <f t="shared" si="101"/>
        <v>87360</v>
      </c>
    </row>
    <row r="2145" spans="1:10" x14ac:dyDescent="0.45">
      <c r="A2145" t="s">
        <v>810</v>
      </c>
      <c r="B2145" s="1">
        <v>45762</v>
      </c>
      <c r="C2145" t="s">
        <v>33</v>
      </c>
      <c r="D2145" t="s">
        <v>42</v>
      </c>
      <c r="E2145">
        <v>6900</v>
      </c>
      <c r="F2145">
        <v>4</v>
      </c>
      <c r="G2145">
        <f t="shared" si="99"/>
        <v>27600</v>
      </c>
      <c r="H2145" t="s">
        <v>21</v>
      </c>
      <c r="I2145">
        <f t="shared" si="100"/>
        <v>8280</v>
      </c>
      <c r="J2145">
        <f t="shared" si="101"/>
        <v>33120</v>
      </c>
    </row>
    <row r="2146" spans="1:10" x14ac:dyDescent="0.45">
      <c r="A2146" t="s">
        <v>811</v>
      </c>
      <c r="B2146" s="1">
        <v>45762</v>
      </c>
      <c r="C2146" t="s">
        <v>4007</v>
      </c>
      <c r="D2146" t="s">
        <v>28</v>
      </c>
      <c r="E2146">
        <v>500</v>
      </c>
      <c r="F2146">
        <v>2</v>
      </c>
      <c r="G2146">
        <f t="shared" si="99"/>
        <v>1000</v>
      </c>
      <c r="H2146" t="s">
        <v>21</v>
      </c>
      <c r="I2146">
        <f t="shared" si="100"/>
        <v>600</v>
      </c>
      <c r="J2146">
        <f t="shared" si="101"/>
        <v>1200</v>
      </c>
    </row>
    <row r="2147" spans="1:10" x14ac:dyDescent="0.45">
      <c r="A2147" t="s">
        <v>812</v>
      </c>
      <c r="B2147" s="1">
        <v>45762</v>
      </c>
      <c r="C2147" t="s">
        <v>4007</v>
      </c>
      <c r="D2147" t="s">
        <v>39</v>
      </c>
      <c r="E2147">
        <v>6000</v>
      </c>
      <c r="F2147">
        <v>10</v>
      </c>
      <c r="G2147">
        <f t="shared" si="99"/>
        <v>60000</v>
      </c>
      <c r="H2147" t="s">
        <v>17</v>
      </c>
      <c r="I2147">
        <f t="shared" si="100"/>
        <v>7200</v>
      </c>
      <c r="J2147">
        <f t="shared" si="101"/>
        <v>72000</v>
      </c>
    </row>
    <row r="2148" spans="1:10" x14ac:dyDescent="0.45">
      <c r="A2148" t="s">
        <v>813</v>
      </c>
      <c r="B2148" s="1">
        <v>45762</v>
      </c>
      <c r="C2148" t="s">
        <v>33</v>
      </c>
      <c r="D2148" t="s">
        <v>34</v>
      </c>
      <c r="E2148">
        <v>1700</v>
      </c>
      <c r="F2148">
        <v>2</v>
      </c>
      <c r="G2148">
        <f t="shared" si="99"/>
        <v>3400</v>
      </c>
      <c r="H2148" t="s">
        <v>17</v>
      </c>
      <c r="I2148">
        <f t="shared" si="100"/>
        <v>2040</v>
      </c>
      <c r="J2148">
        <f t="shared" si="101"/>
        <v>4080</v>
      </c>
    </row>
    <row r="2149" spans="1:10" x14ac:dyDescent="0.45">
      <c r="A2149" t="s">
        <v>814</v>
      </c>
      <c r="B2149" s="1">
        <v>45762</v>
      </c>
      <c r="C2149" t="s">
        <v>33</v>
      </c>
      <c r="D2149" t="s">
        <v>14</v>
      </c>
      <c r="E2149">
        <v>800</v>
      </c>
      <c r="F2149">
        <v>9</v>
      </c>
      <c r="G2149">
        <f t="shared" si="99"/>
        <v>7200</v>
      </c>
      <c r="H2149" t="s">
        <v>7</v>
      </c>
      <c r="I2149">
        <f t="shared" si="100"/>
        <v>960</v>
      </c>
      <c r="J2149">
        <f t="shared" si="101"/>
        <v>8640</v>
      </c>
    </row>
    <row r="2150" spans="1:10" x14ac:dyDescent="0.45">
      <c r="A2150" t="s">
        <v>815</v>
      </c>
      <c r="B2150" s="1">
        <v>45762</v>
      </c>
      <c r="C2150" t="s">
        <v>12</v>
      </c>
      <c r="D2150" t="s">
        <v>5022</v>
      </c>
      <c r="E2150">
        <v>2880</v>
      </c>
      <c r="F2150">
        <v>9</v>
      </c>
      <c r="G2150">
        <f t="shared" si="99"/>
        <v>25920</v>
      </c>
      <c r="H2150" t="s">
        <v>21</v>
      </c>
      <c r="I2150">
        <f t="shared" si="100"/>
        <v>3456</v>
      </c>
      <c r="J2150">
        <f t="shared" si="101"/>
        <v>31104</v>
      </c>
    </row>
    <row r="2151" spans="1:10" x14ac:dyDescent="0.45">
      <c r="A2151" t="s">
        <v>816</v>
      </c>
      <c r="B2151" s="1">
        <v>45762</v>
      </c>
      <c r="C2151" t="s">
        <v>33</v>
      </c>
      <c r="D2151" t="s">
        <v>34</v>
      </c>
      <c r="E2151">
        <v>1700</v>
      </c>
      <c r="F2151">
        <v>9</v>
      </c>
      <c r="G2151">
        <f t="shared" si="99"/>
        <v>15300</v>
      </c>
      <c r="H2151" t="s">
        <v>21</v>
      </c>
      <c r="I2151">
        <f t="shared" si="100"/>
        <v>2040</v>
      </c>
      <c r="J2151">
        <f t="shared" si="101"/>
        <v>18360</v>
      </c>
    </row>
    <row r="2152" spans="1:10" x14ac:dyDescent="0.45">
      <c r="A2152" t="s">
        <v>3026</v>
      </c>
      <c r="B2152" s="1">
        <v>45762</v>
      </c>
      <c r="C2152" t="s">
        <v>4007</v>
      </c>
      <c r="D2152" t="s">
        <v>5015</v>
      </c>
      <c r="E2152">
        <v>48000</v>
      </c>
      <c r="F2152">
        <v>8</v>
      </c>
      <c r="G2152">
        <f t="shared" si="99"/>
        <v>384000</v>
      </c>
      <c r="H2152" t="s">
        <v>7</v>
      </c>
      <c r="I2152">
        <f t="shared" si="100"/>
        <v>57600</v>
      </c>
      <c r="J2152">
        <f t="shared" si="101"/>
        <v>460800</v>
      </c>
    </row>
    <row r="2153" spans="1:10" x14ac:dyDescent="0.45">
      <c r="A2153" t="s">
        <v>817</v>
      </c>
      <c r="B2153" s="1">
        <v>45763</v>
      </c>
      <c r="C2153" t="s">
        <v>9</v>
      </c>
      <c r="D2153" t="s">
        <v>25</v>
      </c>
      <c r="E2153">
        <v>5200</v>
      </c>
      <c r="F2153">
        <v>10</v>
      </c>
      <c r="G2153">
        <f t="shared" si="99"/>
        <v>52000</v>
      </c>
      <c r="H2153" t="s">
        <v>7</v>
      </c>
      <c r="I2153">
        <f t="shared" si="100"/>
        <v>6240</v>
      </c>
      <c r="J2153">
        <f t="shared" si="101"/>
        <v>62400</v>
      </c>
    </row>
    <row r="2154" spans="1:10" x14ac:dyDescent="0.45">
      <c r="A2154" t="s">
        <v>818</v>
      </c>
      <c r="B2154" s="1">
        <v>45763</v>
      </c>
      <c r="C2154" t="s">
        <v>33</v>
      </c>
      <c r="D2154" t="s">
        <v>42</v>
      </c>
      <c r="E2154">
        <v>6900</v>
      </c>
      <c r="F2154">
        <v>2</v>
      </c>
      <c r="G2154">
        <f t="shared" si="99"/>
        <v>13800</v>
      </c>
      <c r="H2154" t="s">
        <v>17</v>
      </c>
      <c r="I2154">
        <f t="shared" si="100"/>
        <v>8280</v>
      </c>
      <c r="J2154">
        <f t="shared" si="101"/>
        <v>16560</v>
      </c>
    </row>
    <row r="2155" spans="1:10" x14ac:dyDescent="0.45">
      <c r="A2155" t="s">
        <v>819</v>
      </c>
      <c r="B2155" s="1">
        <v>45763</v>
      </c>
      <c r="C2155" t="s">
        <v>33</v>
      </c>
      <c r="D2155" t="s">
        <v>14</v>
      </c>
      <c r="E2155">
        <v>800</v>
      </c>
      <c r="F2155">
        <v>7</v>
      </c>
      <c r="G2155">
        <f t="shared" si="99"/>
        <v>5600</v>
      </c>
      <c r="H2155" t="s">
        <v>21</v>
      </c>
      <c r="I2155">
        <f t="shared" si="100"/>
        <v>960</v>
      </c>
      <c r="J2155">
        <f t="shared" si="101"/>
        <v>6720</v>
      </c>
    </row>
    <row r="2156" spans="1:10" x14ac:dyDescent="0.45">
      <c r="A2156" t="s">
        <v>820</v>
      </c>
      <c r="B2156" s="1">
        <v>45763</v>
      </c>
      <c r="C2156" t="s">
        <v>9</v>
      </c>
      <c r="D2156" t="s">
        <v>25</v>
      </c>
      <c r="E2156">
        <v>5200</v>
      </c>
      <c r="F2156">
        <v>10</v>
      </c>
      <c r="G2156">
        <f t="shared" si="99"/>
        <v>52000</v>
      </c>
      <c r="H2156" t="s">
        <v>17</v>
      </c>
      <c r="I2156">
        <f t="shared" si="100"/>
        <v>6240</v>
      </c>
      <c r="J2156">
        <f t="shared" si="101"/>
        <v>62400</v>
      </c>
    </row>
    <row r="2157" spans="1:10" x14ac:dyDescent="0.45">
      <c r="A2157" t="s">
        <v>821</v>
      </c>
      <c r="B2157" s="1">
        <v>45763</v>
      </c>
      <c r="C2157" t="s">
        <v>4007</v>
      </c>
      <c r="D2157" t="s">
        <v>5015</v>
      </c>
      <c r="E2157">
        <v>48000</v>
      </c>
      <c r="F2157">
        <v>1</v>
      </c>
      <c r="G2157">
        <f t="shared" si="99"/>
        <v>48000</v>
      </c>
      <c r="H2157" t="s">
        <v>7</v>
      </c>
      <c r="I2157">
        <f t="shared" si="100"/>
        <v>57600</v>
      </c>
      <c r="J2157">
        <f t="shared" si="101"/>
        <v>57600</v>
      </c>
    </row>
    <row r="2158" spans="1:10" x14ac:dyDescent="0.45">
      <c r="A2158" t="s">
        <v>822</v>
      </c>
      <c r="B2158" s="1">
        <v>45763</v>
      </c>
      <c r="C2158" t="s">
        <v>4007</v>
      </c>
      <c r="D2158" t="s">
        <v>4005</v>
      </c>
      <c r="E2158">
        <v>60000</v>
      </c>
      <c r="F2158">
        <v>3</v>
      </c>
      <c r="G2158">
        <f t="shared" si="99"/>
        <v>180000</v>
      </c>
      <c r="H2158" t="s">
        <v>21</v>
      </c>
      <c r="I2158">
        <f t="shared" si="100"/>
        <v>72000</v>
      </c>
      <c r="J2158">
        <f t="shared" si="101"/>
        <v>216000</v>
      </c>
    </row>
    <row r="2159" spans="1:10" x14ac:dyDescent="0.45">
      <c r="A2159" t="s">
        <v>823</v>
      </c>
      <c r="B2159" s="1">
        <v>45763</v>
      </c>
      <c r="C2159" t="s">
        <v>12</v>
      </c>
      <c r="D2159" t="s">
        <v>5020</v>
      </c>
      <c r="E2159">
        <v>2880</v>
      </c>
      <c r="F2159">
        <v>7</v>
      </c>
      <c r="G2159">
        <f t="shared" si="99"/>
        <v>20160</v>
      </c>
      <c r="H2159" t="s">
        <v>7</v>
      </c>
      <c r="I2159">
        <f t="shared" si="100"/>
        <v>3456</v>
      </c>
      <c r="J2159">
        <f t="shared" si="101"/>
        <v>24192</v>
      </c>
    </row>
    <row r="2160" spans="1:10" x14ac:dyDescent="0.45">
      <c r="A2160" t="s">
        <v>3646</v>
      </c>
      <c r="B2160" s="1">
        <v>45763</v>
      </c>
      <c r="C2160" t="s">
        <v>33</v>
      </c>
      <c r="D2160" t="s">
        <v>14</v>
      </c>
      <c r="E2160">
        <v>800</v>
      </c>
      <c r="F2160">
        <v>2</v>
      </c>
      <c r="G2160">
        <f t="shared" si="99"/>
        <v>1600</v>
      </c>
      <c r="H2160" t="s">
        <v>17</v>
      </c>
      <c r="I2160">
        <f t="shared" si="100"/>
        <v>960</v>
      </c>
      <c r="J2160">
        <f t="shared" si="101"/>
        <v>1920</v>
      </c>
    </row>
    <row r="2161" spans="1:10" x14ac:dyDescent="0.45">
      <c r="A2161" t="s">
        <v>3839</v>
      </c>
      <c r="B2161" s="1">
        <v>45763</v>
      </c>
      <c r="C2161" t="s">
        <v>4007</v>
      </c>
      <c r="D2161" t="s">
        <v>28</v>
      </c>
      <c r="E2161">
        <v>500</v>
      </c>
      <c r="F2161">
        <v>9</v>
      </c>
      <c r="G2161">
        <f t="shared" si="99"/>
        <v>4500</v>
      </c>
      <c r="H2161" t="s">
        <v>17</v>
      </c>
      <c r="I2161">
        <f t="shared" si="100"/>
        <v>600</v>
      </c>
      <c r="J2161">
        <f t="shared" si="101"/>
        <v>5400</v>
      </c>
    </row>
    <row r="2162" spans="1:10" x14ac:dyDescent="0.45">
      <c r="A2162" t="s">
        <v>3970</v>
      </c>
      <c r="B2162" s="1">
        <v>45763</v>
      </c>
      <c r="C2162" t="s">
        <v>4007</v>
      </c>
      <c r="D2162" t="s">
        <v>2774</v>
      </c>
      <c r="E2162">
        <v>1900</v>
      </c>
      <c r="F2162">
        <v>9</v>
      </c>
      <c r="G2162">
        <f t="shared" si="99"/>
        <v>17100</v>
      </c>
      <c r="H2162" t="s">
        <v>21</v>
      </c>
      <c r="I2162">
        <f t="shared" si="100"/>
        <v>2280</v>
      </c>
      <c r="J2162">
        <f t="shared" si="101"/>
        <v>20520</v>
      </c>
    </row>
    <row r="2163" spans="1:10" x14ac:dyDescent="0.45">
      <c r="A2163" t="s">
        <v>824</v>
      </c>
      <c r="B2163" s="1">
        <v>45764</v>
      </c>
      <c r="C2163" t="s">
        <v>4007</v>
      </c>
      <c r="D2163" t="s">
        <v>39</v>
      </c>
      <c r="E2163">
        <v>6000</v>
      </c>
      <c r="F2163">
        <v>1</v>
      </c>
      <c r="G2163">
        <f t="shared" si="99"/>
        <v>6000</v>
      </c>
      <c r="H2163" t="s">
        <v>21</v>
      </c>
      <c r="I2163">
        <f t="shared" si="100"/>
        <v>7200</v>
      </c>
      <c r="J2163">
        <f t="shared" si="101"/>
        <v>7200</v>
      </c>
    </row>
    <row r="2164" spans="1:10" x14ac:dyDescent="0.45">
      <c r="A2164" t="s">
        <v>825</v>
      </c>
      <c r="B2164" s="1">
        <v>45764</v>
      </c>
      <c r="C2164" t="s">
        <v>33</v>
      </c>
      <c r="D2164" t="s">
        <v>14</v>
      </c>
      <c r="E2164">
        <v>800</v>
      </c>
      <c r="F2164">
        <v>2</v>
      </c>
      <c r="G2164">
        <f t="shared" si="99"/>
        <v>1600</v>
      </c>
      <c r="H2164" t="s">
        <v>17</v>
      </c>
      <c r="I2164">
        <f t="shared" si="100"/>
        <v>960</v>
      </c>
      <c r="J2164">
        <f t="shared" si="101"/>
        <v>1920</v>
      </c>
    </row>
    <row r="2165" spans="1:10" x14ac:dyDescent="0.45">
      <c r="A2165" t="s">
        <v>826</v>
      </c>
      <c r="B2165" s="1">
        <v>45764</v>
      </c>
      <c r="C2165" t="s">
        <v>12</v>
      </c>
      <c r="D2165" t="s">
        <v>5022</v>
      </c>
      <c r="E2165">
        <v>2880</v>
      </c>
      <c r="F2165">
        <v>6</v>
      </c>
      <c r="G2165">
        <f t="shared" si="99"/>
        <v>17280</v>
      </c>
      <c r="H2165" t="s">
        <v>17</v>
      </c>
      <c r="I2165">
        <f t="shared" si="100"/>
        <v>3456</v>
      </c>
      <c r="J2165">
        <f t="shared" si="101"/>
        <v>20736</v>
      </c>
    </row>
    <row r="2166" spans="1:10" x14ac:dyDescent="0.45">
      <c r="A2166" t="s">
        <v>827</v>
      </c>
      <c r="B2166" s="1">
        <v>45764</v>
      </c>
      <c r="C2166" t="s">
        <v>9</v>
      </c>
      <c r="D2166" t="s">
        <v>19</v>
      </c>
      <c r="E2166">
        <v>3000</v>
      </c>
      <c r="F2166">
        <v>3</v>
      </c>
      <c r="G2166">
        <f t="shared" si="99"/>
        <v>9000</v>
      </c>
      <c r="H2166" t="s">
        <v>7</v>
      </c>
      <c r="I2166">
        <f t="shared" si="100"/>
        <v>3600</v>
      </c>
      <c r="J2166">
        <f t="shared" si="101"/>
        <v>10800</v>
      </c>
    </row>
    <row r="2167" spans="1:10" x14ac:dyDescent="0.45">
      <c r="A2167" t="s">
        <v>828</v>
      </c>
      <c r="B2167" s="1">
        <v>45764</v>
      </c>
      <c r="C2167" t="s">
        <v>4007</v>
      </c>
      <c r="D2167" t="s">
        <v>28</v>
      </c>
      <c r="E2167">
        <v>500</v>
      </c>
      <c r="F2167">
        <v>9</v>
      </c>
      <c r="G2167">
        <f t="shared" si="99"/>
        <v>4500</v>
      </c>
      <c r="H2167" t="s">
        <v>17</v>
      </c>
      <c r="I2167">
        <f t="shared" si="100"/>
        <v>600</v>
      </c>
      <c r="J2167">
        <f t="shared" si="101"/>
        <v>5400</v>
      </c>
    </row>
    <row r="2168" spans="1:10" x14ac:dyDescent="0.45">
      <c r="A2168" t="s">
        <v>829</v>
      </c>
      <c r="B2168" s="1">
        <v>45764</v>
      </c>
      <c r="C2168" t="s">
        <v>12</v>
      </c>
      <c r="D2168" t="s">
        <v>5020</v>
      </c>
      <c r="E2168">
        <v>2880</v>
      </c>
      <c r="F2168">
        <v>10</v>
      </c>
      <c r="G2168">
        <f t="shared" si="99"/>
        <v>28800</v>
      </c>
      <c r="H2168" t="s">
        <v>7</v>
      </c>
      <c r="I2168">
        <f t="shared" si="100"/>
        <v>3456</v>
      </c>
      <c r="J2168">
        <f t="shared" si="101"/>
        <v>34560</v>
      </c>
    </row>
    <row r="2169" spans="1:10" x14ac:dyDescent="0.45">
      <c r="A2169" t="s">
        <v>830</v>
      </c>
      <c r="B2169" s="1">
        <v>45764</v>
      </c>
      <c r="C2169" t="s">
        <v>12</v>
      </c>
      <c r="D2169" t="s">
        <v>5020</v>
      </c>
      <c r="E2169">
        <v>2880</v>
      </c>
      <c r="F2169">
        <v>4</v>
      </c>
      <c r="G2169">
        <f t="shared" si="99"/>
        <v>11520</v>
      </c>
      <c r="H2169" t="s">
        <v>7</v>
      </c>
      <c r="I2169">
        <f t="shared" si="100"/>
        <v>3456</v>
      </c>
      <c r="J2169">
        <f t="shared" si="101"/>
        <v>13824</v>
      </c>
    </row>
    <row r="2170" spans="1:10" x14ac:dyDescent="0.45">
      <c r="A2170" t="s">
        <v>831</v>
      </c>
      <c r="B2170" s="1">
        <v>45764</v>
      </c>
      <c r="C2170" t="s">
        <v>4007</v>
      </c>
      <c r="D2170" t="s">
        <v>5015</v>
      </c>
      <c r="E2170">
        <v>48000</v>
      </c>
      <c r="F2170">
        <v>8</v>
      </c>
      <c r="G2170">
        <f t="shared" si="99"/>
        <v>384000</v>
      </c>
      <c r="H2170" t="s">
        <v>7</v>
      </c>
      <c r="I2170">
        <f t="shared" si="100"/>
        <v>57600</v>
      </c>
      <c r="J2170">
        <f t="shared" si="101"/>
        <v>460800</v>
      </c>
    </row>
    <row r="2171" spans="1:10" x14ac:dyDescent="0.45">
      <c r="A2171" t="s">
        <v>832</v>
      </c>
      <c r="B2171" s="1">
        <v>45764</v>
      </c>
      <c r="C2171" t="s">
        <v>12</v>
      </c>
      <c r="D2171" t="s">
        <v>5023</v>
      </c>
      <c r="E2171">
        <v>1750</v>
      </c>
      <c r="F2171">
        <v>10</v>
      </c>
      <c r="G2171">
        <f t="shared" si="99"/>
        <v>17500</v>
      </c>
      <c r="H2171" t="s">
        <v>17</v>
      </c>
      <c r="I2171">
        <f t="shared" si="100"/>
        <v>2100</v>
      </c>
      <c r="J2171">
        <f t="shared" si="101"/>
        <v>21000</v>
      </c>
    </row>
    <row r="2172" spans="1:10" x14ac:dyDescent="0.45">
      <c r="A2172" t="s">
        <v>2881</v>
      </c>
      <c r="B2172" s="1">
        <v>45764</v>
      </c>
      <c r="C2172" t="s">
        <v>2772</v>
      </c>
      <c r="D2172" t="s">
        <v>2775</v>
      </c>
      <c r="E2172">
        <v>9100</v>
      </c>
      <c r="F2172">
        <v>2</v>
      </c>
      <c r="G2172">
        <f t="shared" si="99"/>
        <v>18200</v>
      </c>
      <c r="H2172" t="s">
        <v>17</v>
      </c>
      <c r="I2172">
        <f t="shared" si="100"/>
        <v>10920</v>
      </c>
      <c r="J2172">
        <f t="shared" si="101"/>
        <v>21840</v>
      </c>
    </row>
    <row r="2173" spans="1:10" x14ac:dyDescent="0.45">
      <c r="A2173" t="s">
        <v>3122</v>
      </c>
      <c r="B2173" s="1">
        <v>45764</v>
      </c>
      <c r="C2173" t="s">
        <v>4007</v>
      </c>
      <c r="D2173" t="s">
        <v>5015</v>
      </c>
      <c r="E2173">
        <v>48000</v>
      </c>
      <c r="F2173">
        <v>6</v>
      </c>
      <c r="G2173">
        <f t="shared" si="99"/>
        <v>288000</v>
      </c>
      <c r="H2173" t="s">
        <v>17</v>
      </c>
      <c r="I2173">
        <f t="shared" si="100"/>
        <v>57600</v>
      </c>
      <c r="J2173">
        <f t="shared" si="101"/>
        <v>345600</v>
      </c>
    </row>
    <row r="2174" spans="1:10" x14ac:dyDescent="0.45">
      <c r="A2174" t="s">
        <v>3483</v>
      </c>
      <c r="B2174" s="1">
        <v>45764</v>
      </c>
      <c r="C2174" t="s">
        <v>4007</v>
      </c>
      <c r="D2174" t="s">
        <v>2770</v>
      </c>
      <c r="E2174">
        <v>600</v>
      </c>
      <c r="F2174">
        <v>4</v>
      </c>
      <c r="G2174">
        <f t="shared" si="99"/>
        <v>2400</v>
      </c>
      <c r="H2174" t="s">
        <v>21</v>
      </c>
      <c r="I2174">
        <f t="shared" si="100"/>
        <v>720</v>
      </c>
      <c r="J2174">
        <f t="shared" si="101"/>
        <v>2880</v>
      </c>
    </row>
    <row r="2175" spans="1:10" x14ac:dyDescent="0.45">
      <c r="A2175" t="s">
        <v>3726</v>
      </c>
      <c r="B2175" s="1">
        <v>45764</v>
      </c>
      <c r="C2175" t="s">
        <v>4007</v>
      </c>
      <c r="D2175" t="s">
        <v>2770</v>
      </c>
      <c r="E2175">
        <v>600</v>
      </c>
      <c r="F2175">
        <v>5</v>
      </c>
      <c r="G2175">
        <f t="shared" si="99"/>
        <v>3000</v>
      </c>
      <c r="H2175" t="s">
        <v>21</v>
      </c>
      <c r="I2175">
        <f t="shared" si="100"/>
        <v>720</v>
      </c>
      <c r="J2175">
        <f t="shared" si="101"/>
        <v>3600</v>
      </c>
    </row>
    <row r="2176" spans="1:10" x14ac:dyDescent="0.45">
      <c r="A2176" t="s">
        <v>3954</v>
      </c>
      <c r="B2176" s="1">
        <v>45764</v>
      </c>
      <c r="C2176" t="s">
        <v>4007</v>
      </c>
      <c r="D2176" t="s">
        <v>5015</v>
      </c>
      <c r="E2176">
        <v>48000</v>
      </c>
      <c r="F2176">
        <v>7</v>
      </c>
      <c r="G2176">
        <f t="shared" si="99"/>
        <v>336000</v>
      </c>
      <c r="H2176" t="s">
        <v>17</v>
      </c>
      <c r="I2176">
        <f t="shared" si="100"/>
        <v>57600</v>
      </c>
      <c r="J2176">
        <f t="shared" si="101"/>
        <v>403200</v>
      </c>
    </row>
    <row r="2177" spans="1:10" x14ac:dyDescent="0.45">
      <c r="A2177" t="s">
        <v>833</v>
      </c>
      <c r="B2177" s="1">
        <v>45765</v>
      </c>
      <c r="C2177" t="s">
        <v>4007</v>
      </c>
      <c r="D2177" t="s">
        <v>28</v>
      </c>
      <c r="E2177">
        <v>500</v>
      </c>
      <c r="F2177">
        <v>9</v>
      </c>
      <c r="G2177">
        <f t="shared" si="99"/>
        <v>4500</v>
      </c>
      <c r="H2177" t="s">
        <v>7</v>
      </c>
      <c r="I2177">
        <f t="shared" si="100"/>
        <v>600</v>
      </c>
      <c r="J2177">
        <f t="shared" si="101"/>
        <v>5400</v>
      </c>
    </row>
    <row r="2178" spans="1:10" x14ac:dyDescent="0.45">
      <c r="A2178" t="s">
        <v>834</v>
      </c>
      <c r="B2178" s="1">
        <v>45765</v>
      </c>
      <c r="C2178" t="s">
        <v>4007</v>
      </c>
      <c r="D2178" t="s">
        <v>4005</v>
      </c>
      <c r="E2178">
        <v>60000</v>
      </c>
      <c r="F2178">
        <v>10</v>
      </c>
      <c r="G2178">
        <f t="shared" ref="G2178:G2241" si="102">E2178*F2178</f>
        <v>600000</v>
      </c>
      <c r="H2178" t="s">
        <v>17</v>
      </c>
      <c r="I2178">
        <f t="shared" ref="I2178:I2241" si="103">E2178*1.2</f>
        <v>72000</v>
      </c>
      <c r="J2178">
        <f t="shared" ref="J2178:J2241" si="104">I2178*F2178</f>
        <v>720000</v>
      </c>
    </row>
    <row r="2179" spans="1:10" x14ac:dyDescent="0.45">
      <c r="A2179" t="s">
        <v>835</v>
      </c>
      <c r="B2179" s="1">
        <v>45765</v>
      </c>
      <c r="C2179" t="s">
        <v>4007</v>
      </c>
      <c r="D2179" t="s">
        <v>5015</v>
      </c>
      <c r="E2179">
        <v>48000</v>
      </c>
      <c r="F2179">
        <v>3</v>
      </c>
      <c r="G2179">
        <f t="shared" si="102"/>
        <v>144000</v>
      </c>
      <c r="H2179" t="s">
        <v>7</v>
      </c>
      <c r="I2179">
        <f t="shared" si="103"/>
        <v>57600</v>
      </c>
      <c r="J2179">
        <f t="shared" si="104"/>
        <v>172800</v>
      </c>
    </row>
    <row r="2180" spans="1:10" x14ac:dyDescent="0.45">
      <c r="A2180" t="s">
        <v>836</v>
      </c>
      <c r="B2180" s="1">
        <v>45765</v>
      </c>
      <c r="C2180" t="s">
        <v>4007</v>
      </c>
      <c r="D2180" t="s">
        <v>28</v>
      </c>
      <c r="E2180">
        <v>500</v>
      </c>
      <c r="F2180">
        <v>9</v>
      </c>
      <c r="G2180">
        <f t="shared" si="102"/>
        <v>4500</v>
      </c>
      <c r="H2180" t="s">
        <v>17</v>
      </c>
      <c r="I2180">
        <f t="shared" si="103"/>
        <v>600</v>
      </c>
      <c r="J2180">
        <f t="shared" si="104"/>
        <v>5400</v>
      </c>
    </row>
    <row r="2181" spans="1:10" x14ac:dyDescent="0.45">
      <c r="A2181" t="s">
        <v>837</v>
      </c>
      <c r="B2181" s="1">
        <v>45765</v>
      </c>
      <c r="C2181" t="s">
        <v>33</v>
      </c>
      <c r="D2181" t="s">
        <v>42</v>
      </c>
      <c r="E2181">
        <v>6900</v>
      </c>
      <c r="F2181">
        <v>4</v>
      </c>
      <c r="G2181">
        <f t="shared" si="102"/>
        <v>27600</v>
      </c>
      <c r="H2181" t="s">
        <v>7</v>
      </c>
      <c r="I2181">
        <f t="shared" si="103"/>
        <v>8280</v>
      </c>
      <c r="J2181">
        <f t="shared" si="104"/>
        <v>33120</v>
      </c>
    </row>
    <row r="2182" spans="1:10" x14ac:dyDescent="0.45">
      <c r="A2182" t="s">
        <v>838</v>
      </c>
      <c r="B2182" s="1">
        <v>45765</v>
      </c>
      <c r="C2182" t="s">
        <v>4007</v>
      </c>
      <c r="D2182" t="s">
        <v>5015</v>
      </c>
      <c r="E2182">
        <v>48000</v>
      </c>
      <c r="F2182">
        <v>6</v>
      </c>
      <c r="G2182">
        <f t="shared" si="102"/>
        <v>288000</v>
      </c>
      <c r="H2182" t="s">
        <v>21</v>
      </c>
      <c r="I2182">
        <f t="shared" si="103"/>
        <v>57600</v>
      </c>
      <c r="J2182">
        <f t="shared" si="104"/>
        <v>345600</v>
      </c>
    </row>
    <row r="2183" spans="1:10" x14ac:dyDescent="0.45">
      <c r="A2183" t="s">
        <v>839</v>
      </c>
      <c r="B2183" s="1">
        <v>45765</v>
      </c>
      <c r="C2183" t="s">
        <v>4007</v>
      </c>
      <c r="D2183" t="s">
        <v>28</v>
      </c>
      <c r="E2183">
        <v>500</v>
      </c>
      <c r="F2183">
        <v>6</v>
      </c>
      <c r="G2183">
        <f t="shared" si="102"/>
        <v>3000</v>
      </c>
      <c r="H2183" t="s">
        <v>17</v>
      </c>
      <c r="I2183">
        <f t="shared" si="103"/>
        <v>600</v>
      </c>
      <c r="J2183">
        <f t="shared" si="104"/>
        <v>3600</v>
      </c>
    </row>
    <row r="2184" spans="1:10" x14ac:dyDescent="0.45">
      <c r="A2184" t="s">
        <v>840</v>
      </c>
      <c r="B2184" s="1">
        <v>45765</v>
      </c>
      <c r="C2184" t="s">
        <v>33</v>
      </c>
      <c r="D2184" t="s">
        <v>34</v>
      </c>
      <c r="E2184">
        <v>1700</v>
      </c>
      <c r="F2184">
        <v>4</v>
      </c>
      <c r="G2184">
        <f t="shared" si="102"/>
        <v>6800</v>
      </c>
      <c r="H2184" t="s">
        <v>7</v>
      </c>
      <c r="I2184">
        <f t="shared" si="103"/>
        <v>2040</v>
      </c>
      <c r="J2184">
        <f t="shared" si="104"/>
        <v>8160</v>
      </c>
    </row>
    <row r="2185" spans="1:10" x14ac:dyDescent="0.45">
      <c r="A2185" t="s">
        <v>3036</v>
      </c>
      <c r="B2185" s="1">
        <v>45765</v>
      </c>
      <c r="C2185" t="s">
        <v>4007</v>
      </c>
      <c r="D2185" t="s">
        <v>5015</v>
      </c>
      <c r="E2185">
        <v>48000</v>
      </c>
      <c r="F2185">
        <v>3</v>
      </c>
      <c r="G2185">
        <f t="shared" si="102"/>
        <v>144000</v>
      </c>
      <c r="H2185" t="s">
        <v>17</v>
      </c>
      <c r="I2185">
        <f t="shared" si="103"/>
        <v>57600</v>
      </c>
      <c r="J2185">
        <f t="shared" si="104"/>
        <v>172800</v>
      </c>
    </row>
    <row r="2186" spans="1:10" x14ac:dyDescent="0.45">
      <c r="A2186" t="s">
        <v>3127</v>
      </c>
      <c r="B2186" s="1">
        <v>45765</v>
      </c>
      <c r="C2186" t="s">
        <v>33</v>
      </c>
      <c r="D2186" t="s">
        <v>14</v>
      </c>
      <c r="E2186">
        <v>800</v>
      </c>
      <c r="F2186">
        <v>2</v>
      </c>
      <c r="G2186">
        <f t="shared" si="102"/>
        <v>1600</v>
      </c>
      <c r="H2186" t="s">
        <v>7</v>
      </c>
      <c r="I2186">
        <f t="shared" si="103"/>
        <v>960</v>
      </c>
      <c r="J2186">
        <f t="shared" si="104"/>
        <v>1920</v>
      </c>
    </row>
    <row r="2187" spans="1:10" x14ac:dyDescent="0.45">
      <c r="A2187" t="s">
        <v>3476</v>
      </c>
      <c r="B2187" s="1">
        <v>45765</v>
      </c>
      <c r="C2187" t="s">
        <v>4007</v>
      </c>
      <c r="D2187" t="s">
        <v>2770</v>
      </c>
      <c r="E2187">
        <v>600</v>
      </c>
      <c r="F2187">
        <v>6</v>
      </c>
      <c r="G2187">
        <f t="shared" si="102"/>
        <v>3600</v>
      </c>
      <c r="H2187" t="s">
        <v>17</v>
      </c>
      <c r="I2187">
        <f t="shared" si="103"/>
        <v>720</v>
      </c>
      <c r="J2187">
        <f t="shared" si="104"/>
        <v>4320</v>
      </c>
    </row>
    <row r="2188" spans="1:10" x14ac:dyDescent="0.45">
      <c r="A2188" t="s">
        <v>3821</v>
      </c>
      <c r="B2188" s="1">
        <v>45765</v>
      </c>
      <c r="C2188" t="s">
        <v>4007</v>
      </c>
      <c r="D2188" t="s">
        <v>2776</v>
      </c>
      <c r="E2188">
        <v>3600</v>
      </c>
      <c r="F2188">
        <v>8</v>
      </c>
      <c r="G2188">
        <f t="shared" si="102"/>
        <v>28800</v>
      </c>
      <c r="H2188" t="s">
        <v>17</v>
      </c>
      <c r="I2188">
        <f t="shared" si="103"/>
        <v>4320</v>
      </c>
      <c r="J2188">
        <f t="shared" si="104"/>
        <v>34560</v>
      </c>
    </row>
    <row r="2189" spans="1:10" x14ac:dyDescent="0.45">
      <c r="A2189" t="s">
        <v>3838</v>
      </c>
      <c r="B2189" s="1">
        <v>45765</v>
      </c>
      <c r="C2189" t="s">
        <v>4007</v>
      </c>
      <c r="D2189" t="s">
        <v>2774</v>
      </c>
      <c r="E2189">
        <v>1900</v>
      </c>
      <c r="F2189">
        <v>2</v>
      </c>
      <c r="G2189">
        <f t="shared" si="102"/>
        <v>3800</v>
      </c>
      <c r="H2189" t="s">
        <v>7</v>
      </c>
      <c r="I2189">
        <f t="shared" si="103"/>
        <v>2280</v>
      </c>
      <c r="J2189">
        <f t="shared" si="104"/>
        <v>4560</v>
      </c>
    </row>
    <row r="2190" spans="1:10" x14ac:dyDescent="0.45">
      <c r="A2190" t="s">
        <v>841</v>
      </c>
      <c r="B2190" s="1">
        <v>45766</v>
      </c>
      <c r="C2190" t="s">
        <v>4007</v>
      </c>
      <c r="D2190" t="s">
        <v>4005</v>
      </c>
      <c r="E2190">
        <v>60000</v>
      </c>
      <c r="F2190">
        <v>3</v>
      </c>
      <c r="G2190">
        <f t="shared" si="102"/>
        <v>180000</v>
      </c>
      <c r="H2190" t="s">
        <v>21</v>
      </c>
      <c r="I2190">
        <f t="shared" si="103"/>
        <v>72000</v>
      </c>
      <c r="J2190">
        <f t="shared" si="104"/>
        <v>216000</v>
      </c>
    </row>
    <row r="2191" spans="1:10" x14ac:dyDescent="0.45">
      <c r="A2191" t="s">
        <v>842</v>
      </c>
      <c r="B2191" s="1">
        <v>45766</v>
      </c>
      <c r="C2191" t="s">
        <v>33</v>
      </c>
      <c r="D2191" t="s">
        <v>14</v>
      </c>
      <c r="E2191">
        <v>800</v>
      </c>
      <c r="F2191">
        <v>8</v>
      </c>
      <c r="G2191">
        <f t="shared" si="102"/>
        <v>6400</v>
      </c>
      <c r="H2191" t="s">
        <v>17</v>
      </c>
      <c r="I2191">
        <f t="shared" si="103"/>
        <v>960</v>
      </c>
      <c r="J2191">
        <f t="shared" si="104"/>
        <v>7680</v>
      </c>
    </row>
    <row r="2192" spans="1:10" x14ac:dyDescent="0.45">
      <c r="A2192" t="s">
        <v>843</v>
      </c>
      <c r="B2192" s="1">
        <v>45766</v>
      </c>
      <c r="C2192" t="s">
        <v>12</v>
      </c>
      <c r="D2192" t="s">
        <v>5021</v>
      </c>
      <c r="E2192">
        <v>2880</v>
      </c>
      <c r="F2192">
        <v>3</v>
      </c>
      <c r="G2192">
        <f t="shared" si="102"/>
        <v>8640</v>
      </c>
      <c r="H2192" t="s">
        <v>17</v>
      </c>
      <c r="I2192">
        <f t="shared" si="103"/>
        <v>3456</v>
      </c>
      <c r="J2192">
        <f t="shared" si="104"/>
        <v>10368</v>
      </c>
    </row>
    <row r="2193" spans="1:10" x14ac:dyDescent="0.45">
      <c r="A2193" t="s">
        <v>844</v>
      </c>
      <c r="B2193" s="1">
        <v>45766</v>
      </c>
      <c r="C2193" t="s">
        <v>12</v>
      </c>
      <c r="D2193" t="s">
        <v>5020</v>
      </c>
      <c r="E2193">
        <v>2880</v>
      </c>
      <c r="F2193">
        <v>5</v>
      </c>
      <c r="G2193">
        <f t="shared" si="102"/>
        <v>14400</v>
      </c>
      <c r="H2193" t="s">
        <v>17</v>
      </c>
      <c r="I2193">
        <f t="shared" si="103"/>
        <v>3456</v>
      </c>
      <c r="J2193">
        <f t="shared" si="104"/>
        <v>17280</v>
      </c>
    </row>
    <row r="2194" spans="1:10" x14ac:dyDescent="0.45">
      <c r="A2194" t="s">
        <v>845</v>
      </c>
      <c r="B2194" s="1">
        <v>45766</v>
      </c>
      <c r="C2194" t="s">
        <v>4007</v>
      </c>
      <c r="D2194" t="s">
        <v>28</v>
      </c>
      <c r="E2194">
        <v>500</v>
      </c>
      <c r="F2194">
        <v>9</v>
      </c>
      <c r="G2194">
        <f t="shared" si="102"/>
        <v>4500</v>
      </c>
      <c r="H2194" t="s">
        <v>17</v>
      </c>
      <c r="I2194">
        <f t="shared" si="103"/>
        <v>600</v>
      </c>
      <c r="J2194">
        <f t="shared" si="104"/>
        <v>5400</v>
      </c>
    </row>
    <row r="2195" spans="1:10" x14ac:dyDescent="0.45">
      <c r="A2195" t="s">
        <v>846</v>
      </c>
      <c r="B2195" s="1">
        <v>45766</v>
      </c>
      <c r="C2195" t="s">
        <v>33</v>
      </c>
      <c r="D2195" t="s">
        <v>34</v>
      </c>
      <c r="E2195">
        <v>1700</v>
      </c>
      <c r="F2195">
        <v>10</v>
      </c>
      <c r="G2195">
        <f t="shared" si="102"/>
        <v>17000</v>
      </c>
      <c r="H2195" t="s">
        <v>17</v>
      </c>
      <c r="I2195">
        <f t="shared" si="103"/>
        <v>2040</v>
      </c>
      <c r="J2195">
        <f t="shared" si="104"/>
        <v>20400</v>
      </c>
    </row>
    <row r="2196" spans="1:10" x14ac:dyDescent="0.45">
      <c r="A2196" t="s">
        <v>847</v>
      </c>
      <c r="B2196" s="1">
        <v>45766</v>
      </c>
      <c r="C2196" t="s">
        <v>9</v>
      </c>
      <c r="D2196" t="s">
        <v>25</v>
      </c>
      <c r="E2196">
        <v>5200</v>
      </c>
      <c r="F2196">
        <v>4</v>
      </c>
      <c r="G2196">
        <f t="shared" si="102"/>
        <v>20800</v>
      </c>
      <c r="H2196" t="s">
        <v>21</v>
      </c>
      <c r="I2196">
        <f t="shared" si="103"/>
        <v>6240</v>
      </c>
      <c r="J2196">
        <f t="shared" si="104"/>
        <v>24960</v>
      </c>
    </row>
    <row r="2197" spans="1:10" x14ac:dyDescent="0.45">
      <c r="A2197" t="s">
        <v>848</v>
      </c>
      <c r="B2197" s="1">
        <v>45766</v>
      </c>
      <c r="C2197" t="s">
        <v>12</v>
      </c>
      <c r="D2197" t="s">
        <v>5021</v>
      </c>
      <c r="E2197">
        <v>2880</v>
      </c>
      <c r="F2197">
        <v>8</v>
      </c>
      <c r="G2197">
        <f t="shared" si="102"/>
        <v>23040</v>
      </c>
      <c r="H2197" t="s">
        <v>21</v>
      </c>
      <c r="I2197">
        <f t="shared" si="103"/>
        <v>3456</v>
      </c>
      <c r="J2197">
        <f t="shared" si="104"/>
        <v>27648</v>
      </c>
    </row>
    <row r="2198" spans="1:10" x14ac:dyDescent="0.45">
      <c r="A2198" t="s">
        <v>849</v>
      </c>
      <c r="B2198" s="1">
        <v>45766</v>
      </c>
      <c r="C2198" t="s">
        <v>9</v>
      </c>
      <c r="D2198" t="s">
        <v>19</v>
      </c>
      <c r="E2198">
        <v>3000</v>
      </c>
      <c r="F2198">
        <v>5</v>
      </c>
      <c r="G2198">
        <f t="shared" si="102"/>
        <v>15000</v>
      </c>
      <c r="H2198" t="s">
        <v>21</v>
      </c>
      <c r="I2198">
        <f t="shared" si="103"/>
        <v>3600</v>
      </c>
      <c r="J2198">
        <f t="shared" si="104"/>
        <v>18000</v>
      </c>
    </row>
    <row r="2199" spans="1:10" x14ac:dyDescent="0.45">
      <c r="A2199" t="s">
        <v>850</v>
      </c>
      <c r="B2199" s="1">
        <v>45766</v>
      </c>
      <c r="C2199" t="s">
        <v>12</v>
      </c>
      <c r="D2199" t="s">
        <v>5023</v>
      </c>
      <c r="E2199">
        <v>1750</v>
      </c>
      <c r="F2199">
        <v>1</v>
      </c>
      <c r="G2199">
        <f t="shared" si="102"/>
        <v>1750</v>
      </c>
      <c r="H2199" t="s">
        <v>7</v>
      </c>
      <c r="I2199">
        <f t="shared" si="103"/>
        <v>2100</v>
      </c>
      <c r="J2199">
        <f t="shared" si="104"/>
        <v>2100</v>
      </c>
    </row>
    <row r="2200" spans="1:10" x14ac:dyDescent="0.45">
      <c r="A2200" t="s">
        <v>2937</v>
      </c>
      <c r="B2200" s="1">
        <v>45766</v>
      </c>
      <c r="C2200" t="s">
        <v>2772</v>
      </c>
      <c r="D2200" t="s">
        <v>2775</v>
      </c>
      <c r="E2200">
        <v>9100</v>
      </c>
      <c r="F2200">
        <v>7</v>
      </c>
      <c r="G2200">
        <f t="shared" si="102"/>
        <v>63700</v>
      </c>
      <c r="H2200" t="s">
        <v>7</v>
      </c>
      <c r="I2200">
        <f t="shared" si="103"/>
        <v>10920</v>
      </c>
      <c r="J2200">
        <f t="shared" si="104"/>
        <v>76440</v>
      </c>
    </row>
    <row r="2201" spans="1:10" x14ac:dyDescent="0.45">
      <c r="A2201" t="s">
        <v>3533</v>
      </c>
      <c r="B2201" s="1">
        <v>45766</v>
      </c>
      <c r="C2201" t="s">
        <v>2772</v>
      </c>
      <c r="D2201" t="s">
        <v>2771</v>
      </c>
      <c r="E2201">
        <v>120</v>
      </c>
      <c r="F2201">
        <v>4</v>
      </c>
      <c r="G2201">
        <f t="shared" si="102"/>
        <v>480</v>
      </c>
      <c r="H2201" t="s">
        <v>7</v>
      </c>
      <c r="I2201">
        <f t="shared" si="103"/>
        <v>144</v>
      </c>
      <c r="J2201">
        <f t="shared" si="104"/>
        <v>576</v>
      </c>
    </row>
    <row r="2202" spans="1:10" x14ac:dyDescent="0.45">
      <c r="A2202" t="s">
        <v>3669</v>
      </c>
      <c r="B2202" s="1">
        <v>45766</v>
      </c>
      <c r="C2202" t="s">
        <v>4007</v>
      </c>
      <c r="D2202" t="s">
        <v>5015</v>
      </c>
      <c r="E2202">
        <v>48000</v>
      </c>
      <c r="F2202">
        <v>8</v>
      </c>
      <c r="G2202">
        <f t="shared" si="102"/>
        <v>384000</v>
      </c>
      <c r="H2202" t="s">
        <v>7</v>
      </c>
      <c r="I2202">
        <f t="shared" si="103"/>
        <v>57600</v>
      </c>
      <c r="J2202">
        <f t="shared" si="104"/>
        <v>460800</v>
      </c>
    </row>
    <row r="2203" spans="1:10" x14ac:dyDescent="0.45">
      <c r="A2203" t="s">
        <v>851</v>
      </c>
      <c r="B2203" s="1">
        <v>45767</v>
      </c>
      <c r="C2203" t="s">
        <v>33</v>
      </c>
      <c r="D2203" t="s">
        <v>14</v>
      </c>
      <c r="E2203">
        <v>800</v>
      </c>
      <c r="F2203">
        <v>4</v>
      </c>
      <c r="G2203">
        <f t="shared" si="102"/>
        <v>3200</v>
      </c>
      <c r="H2203" t="s">
        <v>17</v>
      </c>
      <c r="I2203">
        <f t="shared" si="103"/>
        <v>960</v>
      </c>
      <c r="J2203">
        <f t="shared" si="104"/>
        <v>3840</v>
      </c>
    </row>
    <row r="2204" spans="1:10" x14ac:dyDescent="0.45">
      <c r="A2204" t="s">
        <v>852</v>
      </c>
      <c r="B2204" s="1">
        <v>45767</v>
      </c>
      <c r="C2204" t="s">
        <v>12</v>
      </c>
      <c r="D2204" t="s">
        <v>5020</v>
      </c>
      <c r="E2204">
        <v>2880</v>
      </c>
      <c r="F2204">
        <v>3</v>
      </c>
      <c r="G2204">
        <f t="shared" si="102"/>
        <v>8640</v>
      </c>
      <c r="H2204" t="s">
        <v>17</v>
      </c>
      <c r="I2204">
        <f t="shared" si="103"/>
        <v>3456</v>
      </c>
      <c r="J2204">
        <f t="shared" si="104"/>
        <v>10368</v>
      </c>
    </row>
    <row r="2205" spans="1:10" x14ac:dyDescent="0.45">
      <c r="A2205" t="s">
        <v>853</v>
      </c>
      <c r="B2205" s="1">
        <v>45767</v>
      </c>
      <c r="C2205" t="s">
        <v>9</v>
      </c>
      <c r="D2205" t="s">
        <v>25</v>
      </c>
      <c r="E2205">
        <v>5200</v>
      </c>
      <c r="F2205">
        <v>6</v>
      </c>
      <c r="G2205">
        <f t="shared" si="102"/>
        <v>31200</v>
      </c>
      <c r="H2205" t="s">
        <v>21</v>
      </c>
      <c r="I2205">
        <f t="shared" si="103"/>
        <v>6240</v>
      </c>
      <c r="J2205">
        <f t="shared" si="104"/>
        <v>37440</v>
      </c>
    </row>
    <row r="2206" spans="1:10" x14ac:dyDescent="0.45">
      <c r="A2206" t="s">
        <v>854</v>
      </c>
      <c r="B2206" s="1">
        <v>45767</v>
      </c>
      <c r="C2206" t="s">
        <v>9</v>
      </c>
      <c r="D2206" t="s">
        <v>10</v>
      </c>
      <c r="E2206">
        <v>400</v>
      </c>
      <c r="F2206">
        <v>8</v>
      </c>
      <c r="G2206">
        <f t="shared" si="102"/>
        <v>3200</v>
      </c>
      <c r="H2206" t="s">
        <v>21</v>
      </c>
      <c r="I2206">
        <f t="shared" si="103"/>
        <v>480</v>
      </c>
      <c r="J2206">
        <f t="shared" si="104"/>
        <v>3840</v>
      </c>
    </row>
    <row r="2207" spans="1:10" x14ac:dyDescent="0.45">
      <c r="A2207" t="s">
        <v>855</v>
      </c>
      <c r="B2207" s="1">
        <v>45767</v>
      </c>
      <c r="C2207" t="s">
        <v>4007</v>
      </c>
      <c r="D2207" t="s">
        <v>4005</v>
      </c>
      <c r="E2207">
        <v>60000</v>
      </c>
      <c r="F2207">
        <v>8</v>
      </c>
      <c r="G2207">
        <f t="shared" si="102"/>
        <v>480000</v>
      </c>
      <c r="H2207" t="s">
        <v>21</v>
      </c>
      <c r="I2207">
        <f t="shared" si="103"/>
        <v>72000</v>
      </c>
      <c r="J2207">
        <f t="shared" si="104"/>
        <v>576000</v>
      </c>
    </row>
    <row r="2208" spans="1:10" x14ac:dyDescent="0.45">
      <c r="A2208" t="s">
        <v>856</v>
      </c>
      <c r="B2208" s="1">
        <v>45767</v>
      </c>
      <c r="C2208" t="s">
        <v>33</v>
      </c>
      <c r="D2208" t="s">
        <v>14</v>
      </c>
      <c r="E2208">
        <v>800</v>
      </c>
      <c r="F2208">
        <v>8</v>
      </c>
      <c r="G2208">
        <f t="shared" si="102"/>
        <v>6400</v>
      </c>
      <c r="H2208" t="s">
        <v>17</v>
      </c>
      <c r="I2208">
        <f t="shared" si="103"/>
        <v>960</v>
      </c>
      <c r="J2208">
        <f t="shared" si="104"/>
        <v>7680</v>
      </c>
    </row>
    <row r="2209" spans="1:10" x14ac:dyDescent="0.45">
      <c r="A2209" t="s">
        <v>3731</v>
      </c>
      <c r="B2209" s="1">
        <v>45767</v>
      </c>
      <c r="C2209" t="s">
        <v>4007</v>
      </c>
      <c r="D2209" t="s">
        <v>2774</v>
      </c>
      <c r="E2209">
        <v>1900</v>
      </c>
      <c r="F2209">
        <v>3</v>
      </c>
      <c r="G2209">
        <f t="shared" si="102"/>
        <v>5700</v>
      </c>
      <c r="H2209" t="s">
        <v>21</v>
      </c>
      <c r="I2209">
        <f t="shared" si="103"/>
        <v>2280</v>
      </c>
      <c r="J2209">
        <f t="shared" si="104"/>
        <v>6840</v>
      </c>
    </row>
    <row r="2210" spans="1:10" x14ac:dyDescent="0.45">
      <c r="A2210" t="s">
        <v>857</v>
      </c>
      <c r="B2210" s="1">
        <v>45768</v>
      </c>
      <c r="C2210" t="s">
        <v>12</v>
      </c>
      <c r="D2210" t="s">
        <v>5020</v>
      </c>
      <c r="E2210">
        <v>2880</v>
      </c>
      <c r="F2210">
        <v>3</v>
      </c>
      <c r="G2210">
        <f t="shared" si="102"/>
        <v>8640</v>
      </c>
      <c r="H2210" t="s">
        <v>7</v>
      </c>
      <c r="I2210">
        <f t="shared" si="103"/>
        <v>3456</v>
      </c>
      <c r="J2210">
        <f t="shared" si="104"/>
        <v>10368</v>
      </c>
    </row>
    <row r="2211" spans="1:10" x14ac:dyDescent="0.45">
      <c r="A2211" t="s">
        <v>858</v>
      </c>
      <c r="B2211" s="1">
        <v>45768</v>
      </c>
      <c r="C2211" t="s">
        <v>33</v>
      </c>
      <c r="D2211" t="s">
        <v>42</v>
      </c>
      <c r="E2211">
        <v>6900</v>
      </c>
      <c r="F2211">
        <v>7</v>
      </c>
      <c r="G2211">
        <f t="shared" si="102"/>
        <v>48300</v>
      </c>
      <c r="H2211" t="s">
        <v>7</v>
      </c>
      <c r="I2211">
        <f t="shared" si="103"/>
        <v>8280</v>
      </c>
      <c r="J2211">
        <f t="shared" si="104"/>
        <v>57960</v>
      </c>
    </row>
    <row r="2212" spans="1:10" x14ac:dyDescent="0.45">
      <c r="A2212" t="s">
        <v>859</v>
      </c>
      <c r="B2212" s="1">
        <v>45768</v>
      </c>
      <c r="C2212" t="s">
        <v>12</v>
      </c>
      <c r="D2212" t="s">
        <v>5023</v>
      </c>
      <c r="E2212">
        <v>1750</v>
      </c>
      <c r="F2212">
        <v>9</v>
      </c>
      <c r="G2212">
        <f t="shared" si="102"/>
        <v>15750</v>
      </c>
      <c r="H2212" t="s">
        <v>7</v>
      </c>
      <c r="I2212">
        <f t="shared" si="103"/>
        <v>2100</v>
      </c>
      <c r="J2212">
        <f t="shared" si="104"/>
        <v>18900</v>
      </c>
    </row>
    <row r="2213" spans="1:10" x14ac:dyDescent="0.45">
      <c r="A2213" t="s">
        <v>860</v>
      </c>
      <c r="B2213" s="1">
        <v>45768</v>
      </c>
      <c r="C2213" t="s">
        <v>12</v>
      </c>
      <c r="D2213" t="s">
        <v>5023</v>
      </c>
      <c r="E2213">
        <v>1750</v>
      </c>
      <c r="F2213">
        <v>5</v>
      </c>
      <c r="G2213">
        <f t="shared" si="102"/>
        <v>8750</v>
      </c>
      <c r="H2213" t="s">
        <v>17</v>
      </c>
      <c r="I2213">
        <f t="shared" si="103"/>
        <v>2100</v>
      </c>
      <c r="J2213">
        <f t="shared" si="104"/>
        <v>10500</v>
      </c>
    </row>
    <row r="2214" spans="1:10" x14ac:dyDescent="0.45">
      <c r="A2214" t="s">
        <v>861</v>
      </c>
      <c r="B2214" s="1">
        <v>45768</v>
      </c>
      <c r="C2214" t="s">
        <v>4007</v>
      </c>
      <c r="D2214" t="s">
        <v>5015</v>
      </c>
      <c r="E2214">
        <v>48000</v>
      </c>
      <c r="F2214">
        <v>10</v>
      </c>
      <c r="G2214">
        <f t="shared" si="102"/>
        <v>480000</v>
      </c>
      <c r="H2214" t="s">
        <v>7</v>
      </c>
      <c r="I2214">
        <f t="shared" si="103"/>
        <v>57600</v>
      </c>
      <c r="J2214">
        <f t="shared" si="104"/>
        <v>576000</v>
      </c>
    </row>
    <row r="2215" spans="1:10" x14ac:dyDescent="0.45">
      <c r="A2215" t="s">
        <v>862</v>
      </c>
      <c r="B2215" s="1">
        <v>45768</v>
      </c>
      <c r="C2215" t="s">
        <v>4007</v>
      </c>
      <c r="D2215" t="s">
        <v>28</v>
      </c>
      <c r="E2215">
        <v>500</v>
      </c>
      <c r="F2215">
        <v>5</v>
      </c>
      <c r="G2215">
        <f t="shared" si="102"/>
        <v>2500</v>
      </c>
      <c r="H2215" t="s">
        <v>7</v>
      </c>
      <c r="I2215">
        <f t="shared" si="103"/>
        <v>600</v>
      </c>
      <c r="J2215">
        <f t="shared" si="104"/>
        <v>3000</v>
      </c>
    </row>
    <row r="2216" spans="1:10" x14ac:dyDescent="0.45">
      <c r="A2216" t="s">
        <v>3139</v>
      </c>
      <c r="B2216" s="1">
        <v>45768</v>
      </c>
      <c r="C2216" t="s">
        <v>4007</v>
      </c>
      <c r="D2216" t="s">
        <v>28</v>
      </c>
      <c r="E2216">
        <v>500</v>
      </c>
      <c r="F2216">
        <v>9</v>
      </c>
      <c r="G2216">
        <f t="shared" si="102"/>
        <v>4500</v>
      </c>
      <c r="H2216" t="s">
        <v>21</v>
      </c>
      <c r="I2216">
        <f t="shared" si="103"/>
        <v>600</v>
      </c>
      <c r="J2216">
        <f t="shared" si="104"/>
        <v>5400</v>
      </c>
    </row>
    <row r="2217" spans="1:10" x14ac:dyDescent="0.45">
      <c r="A2217" t="s">
        <v>3220</v>
      </c>
      <c r="B2217" s="1">
        <v>45768</v>
      </c>
      <c r="C2217" t="s">
        <v>4007</v>
      </c>
      <c r="D2217" t="s">
        <v>28</v>
      </c>
      <c r="E2217">
        <v>500</v>
      </c>
      <c r="F2217">
        <v>10</v>
      </c>
      <c r="G2217">
        <f t="shared" si="102"/>
        <v>5000</v>
      </c>
      <c r="H2217" t="s">
        <v>7</v>
      </c>
      <c r="I2217">
        <f t="shared" si="103"/>
        <v>600</v>
      </c>
      <c r="J2217">
        <f t="shared" si="104"/>
        <v>6000</v>
      </c>
    </row>
    <row r="2218" spans="1:10" x14ac:dyDescent="0.45">
      <c r="A2218" t="s">
        <v>3409</v>
      </c>
      <c r="B2218" s="1">
        <v>45768</v>
      </c>
      <c r="C2218" t="s">
        <v>2772</v>
      </c>
      <c r="D2218" t="s">
        <v>2775</v>
      </c>
      <c r="E2218">
        <v>9100</v>
      </c>
      <c r="F2218">
        <v>2</v>
      </c>
      <c r="G2218">
        <f t="shared" si="102"/>
        <v>18200</v>
      </c>
      <c r="H2218" t="s">
        <v>7</v>
      </c>
      <c r="I2218">
        <f t="shared" si="103"/>
        <v>10920</v>
      </c>
      <c r="J2218">
        <f t="shared" si="104"/>
        <v>21840</v>
      </c>
    </row>
    <row r="2219" spans="1:10" x14ac:dyDescent="0.45">
      <c r="A2219" t="s">
        <v>3522</v>
      </c>
      <c r="B2219" s="1">
        <v>45768</v>
      </c>
      <c r="C2219" t="s">
        <v>2772</v>
      </c>
      <c r="D2219" t="s">
        <v>2771</v>
      </c>
      <c r="E2219">
        <v>120</v>
      </c>
      <c r="F2219">
        <v>3</v>
      </c>
      <c r="G2219">
        <f t="shared" si="102"/>
        <v>360</v>
      </c>
      <c r="H2219" t="s">
        <v>17</v>
      </c>
      <c r="I2219">
        <f t="shared" si="103"/>
        <v>144</v>
      </c>
      <c r="J2219">
        <f t="shared" si="104"/>
        <v>432</v>
      </c>
    </row>
    <row r="2220" spans="1:10" x14ac:dyDescent="0.45">
      <c r="A2220" t="s">
        <v>3538</v>
      </c>
      <c r="B2220" s="1">
        <v>45768</v>
      </c>
      <c r="C2220" t="s">
        <v>4007</v>
      </c>
      <c r="D2220" t="s">
        <v>28</v>
      </c>
      <c r="E2220">
        <v>500</v>
      </c>
      <c r="F2220">
        <v>9</v>
      </c>
      <c r="G2220">
        <f t="shared" si="102"/>
        <v>4500</v>
      </c>
      <c r="H2220" t="s">
        <v>7</v>
      </c>
      <c r="I2220">
        <f t="shared" si="103"/>
        <v>600</v>
      </c>
      <c r="J2220">
        <f t="shared" si="104"/>
        <v>5400</v>
      </c>
    </row>
    <row r="2221" spans="1:10" x14ac:dyDescent="0.45">
      <c r="A2221" t="s">
        <v>3608</v>
      </c>
      <c r="B2221" s="1">
        <v>45768</v>
      </c>
      <c r="C2221" t="s">
        <v>4007</v>
      </c>
      <c r="D2221" t="s">
        <v>2776</v>
      </c>
      <c r="E2221">
        <v>3600</v>
      </c>
      <c r="F2221">
        <v>2</v>
      </c>
      <c r="G2221">
        <f t="shared" si="102"/>
        <v>7200</v>
      </c>
      <c r="H2221" t="s">
        <v>17</v>
      </c>
      <c r="I2221">
        <f t="shared" si="103"/>
        <v>4320</v>
      </c>
      <c r="J2221">
        <f t="shared" si="104"/>
        <v>8640</v>
      </c>
    </row>
    <row r="2222" spans="1:10" x14ac:dyDescent="0.45">
      <c r="A2222" t="s">
        <v>3625</v>
      </c>
      <c r="B2222" s="1">
        <v>45768</v>
      </c>
      <c r="C2222" t="s">
        <v>4007</v>
      </c>
      <c r="D2222" t="s">
        <v>2773</v>
      </c>
      <c r="E2222">
        <v>3300</v>
      </c>
      <c r="F2222">
        <v>1</v>
      </c>
      <c r="G2222">
        <f t="shared" si="102"/>
        <v>3300</v>
      </c>
      <c r="H2222" t="s">
        <v>7</v>
      </c>
      <c r="I2222">
        <f t="shared" si="103"/>
        <v>3960</v>
      </c>
      <c r="J2222">
        <f t="shared" si="104"/>
        <v>3960</v>
      </c>
    </row>
    <row r="2223" spans="1:10" x14ac:dyDescent="0.45">
      <c r="A2223" t="s">
        <v>3961</v>
      </c>
      <c r="B2223" s="1">
        <v>45768</v>
      </c>
      <c r="C2223" t="s">
        <v>4007</v>
      </c>
      <c r="D2223" t="s">
        <v>2770</v>
      </c>
      <c r="E2223">
        <v>600</v>
      </c>
      <c r="F2223">
        <v>7</v>
      </c>
      <c r="G2223">
        <f t="shared" si="102"/>
        <v>4200</v>
      </c>
      <c r="H2223" t="s">
        <v>17</v>
      </c>
      <c r="I2223">
        <f t="shared" si="103"/>
        <v>720</v>
      </c>
      <c r="J2223">
        <f t="shared" si="104"/>
        <v>5040</v>
      </c>
    </row>
    <row r="2224" spans="1:10" x14ac:dyDescent="0.45">
      <c r="A2224" t="s">
        <v>863</v>
      </c>
      <c r="B2224" s="1">
        <v>45769</v>
      </c>
      <c r="C2224" t="s">
        <v>12</v>
      </c>
      <c r="D2224" t="s">
        <v>5023</v>
      </c>
      <c r="E2224">
        <v>1750</v>
      </c>
      <c r="F2224">
        <v>7</v>
      </c>
      <c r="G2224">
        <f t="shared" si="102"/>
        <v>12250</v>
      </c>
      <c r="H2224" t="s">
        <v>7</v>
      </c>
      <c r="I2224">
        <f t="shared" si="103"/>
        <v>2100</v>
      </c>
      <c r="J2224">
        <f t="shared" si="104"/>
        <v>14700</v>
      </c>
    </row>
    <row r="2225" spans="1:10" x14ac:dyDescent="0.45">
      <c r="A2225" t="s">
        <v>864</v>
      </c>
      <c r="B2225" s="1">
        <v>45769</v>
      </c>
      <c r="C2225" t="s">
        <v>4007</v>
      </c>
      <c r="D2225" t="s">
        <v>5015</v>
      </c>
      <c r="E2225">
        <v>48000</v>
      </c>
      <c r="F2225">
        <v>6</v>
      </c>
      <c r="G2225">
        <f t="shared" si="102"/>
        <v>288000</v>
      </c>
      <c r="H2225" t="s">
        <v>21</v>
      </c>
      <c r="I2225">
        <f t="shared" si="103"/>
        <v>57600</v>
      </c>
      <c r="J2225">
        <f t="shared" si="104"/>
        <v>345600</v>
      </c>
    </row>
    <row r="2226" spans="1:10" x14ac:dyDescent="0.45">
      <c r="A2226" t="s">
        <v>865</v>
      </c>
      <c r="B2226" s="1">
        <v>45769</v>
      </c>
      <c r="C2226" t="s">
        <v>9</v>
      </c>
      <c r="D2226" t="s">
        <v>19</v>
      </c>
      <c r="E2226">
        <v>3000</v>
      </c>
      <c r="F2226">
        <v>1</v>
      </c>
      <c r="G2226">
        <f t="shared" si="102"/>
        <v>3000</v>
      </c>
      <c r="H2226" t="s">
        <v>21</v>
      </c>
      <c r="I2226">
        <f t="shared" si="103"/>
        <v>3600</v>
      </c>
      <c r="J2226">
        <f t="shared" si="104"/>
        <v>3600</v>
      </c>
    </row>
    <row r="2227" spans="1:10" x14ac:dyDescent="0.45">
      <c r="A2227" t="s">
        <v>866</v>
      </c>
      <c r="B2227" s="1">
        <v>45769</v>
      </c>
      <c r="C2227" t="s">
        <v>33</v>
      </c>
      <c r="D2227" t="s">
        <v>14</v>
      </c>
      <c r="E2227">
        <v>800</v>
      </c>
      <c r="F2227">
        <v>3</v>
      </c>
      <c r="G2227">
        <f t="shared" si="102"/>
        <v>2400</v>
      </c>
      <c r="H2227" t="s">
        <v>17</v>
      </c>
      <c r="I2227">
        <f t="shared" si="103"/>
        <v>960</v>
      </c>
      <c r="J2227">
        <f t="shared" si="104"/>
        <v>2880</v>
      </c>
    </row>
    <row r="2228" spans="1:10" x14ac:dyDescent="0.45">
      <c r="A2228" t="s">
        <v>867</v>
      </c>
      <c r="B2228" s="1">
        <v>45769</v>
      </c>
      <c r="C2228" t="s">
        <v>33</v>
      </c>
      <c r="D2228" t="s">
        <v>16</v>
      </c>
      <c r="E2228">
        <v>1200</v>
      </c>
      <c r="F2228">
        <v>5</v>
      </c>
      <c r="G2228">
        <f t="shared" si="102"/>
        <v>6000</v>
      </c>
      <c r="H2228" t="s">
        <v>21</v>
      </c>
      <c r="I2228">
        <f t="shared" si="103"/>
        <v>1440</v>
      </c>
      <c r="J2228">
        <f t="shared" si="104"/>
        <v>7200</v>
      </c>
    </row>
    <row r="2229" spans="1:10" x14ac:dyDescent="0.45">
      <c r="A2229" t="s">
        <v>868</v>
      </c>
      <c r="B2229" s="1">
        <v>45769</v>
      </c>
      <c r="C2229" t="s">
        <v>12</v>
      </c>
      <c r="D2229" t="s">
        <v>5020</v>
      </c>
      <c r="E2229">
        <v>2880</v>
      </c>
      <c r="F2229">
        <v>6</v>
      </c>
      <c r="G2229">
        <f t="shared" si="102"/>
        <v>17280</v>
      </c>
      <c r="H2229" t="s">
        <v>17</v>
      </c>
      <c r="I2229">
        <f t="shared" si="103"/>
        <v>3456</v>
      </c>
      <c r="J2229">
        <f t="shared" si="104"/>
        <v>20736</v>
      </c>
    </row>
    <row r="2230" spans="1:10" x14ac:dyDescent="0.45">
      <c r="A2230" t="s">
        <v>869</v>
      </c>
      <c r="B2230" s="1">
        <v>45769</v>
      </c>
      <c r="C2230" t="s">
        <v>4007</v>
      </c>
      <c r="D2230" t="s">
        <v>4005</v>
      </c>
      <c r="E2230">
        <v>60000</v>
      </c>
      <c r="F2230">
        <v>9</v>
      </c>
      <c r="G2230">
        <f t="shared" si="102"/>
        <v>540000</v>
      </c>
      <c r="H2230" t="s">
        <v>7</v>
      </c>
      <c r="I2230">
        <f t="shared" si="103"/>
        <v>72000</v>
      </c>
      <c r="J2230">
        <f t="shared" si="104"/>
        <v>648000</v>
      </c>
    </row>
    <row r="2231" spans="1:10" x14ac:dyDescent="0.45">
      <c r="A2231" t="s">
        <v>870</v>
      </c>
      <c r="B2231" s="1">
        <v>45769</v>
      </c>
      <c r="C2231" t="s">
        <v>33</v>
      </c>
      <c r="D2231" t="s">
        <v>14</v>
      </c>
      <c r="E2231">
        <v>800</v>
      </c>
      <c r="F2231">
        <v>5</v>
      </c>
      <c r="G2231">
        <f t="shared" si="102"/>
        <v>4000</v>
      </c>
      <c r="H2231" t="s">
        <v>21</v>
      </c>
      <c r="I2231">
        <f t="shared" si="103"/>
        <v>960</v>
      </c>
      <c r="J2231">
        <f t="shared" si="104"/>
        <v>4800</v>
      </c>
    </row>
    <row r="2232" spans="1:10" x14ac:dyDescent="0.45">
      <c r="A2232" t="s">
        <v>871</v>
      </c>
      <c r="B2232" s="1">
        <v>45769</v>
      </c>
      <c r="C2232" t="s">
        <v>4007</v>
      </c>
      <c r="D2232" t="s">
        <v>28</v>
      </c>
      <c r="E2232">
        <v>500</v>
      </c>
      <c r="F2232">
        <v>9</v>
      </c>
      <c r="G2232">
        <f t="shared" si="102"/>
        <v>4500</v>
      </c>
      <c r="H2232" t="s">
        <v>7</v>
      </c>
      <c r="I2232">
        <f t="shared" si="103"/>
        <v>600</v>
      </c>
      <c r="J2232">
        <f t="shared" si="104"/>
        <v>5400</v>
      </c>
    </row>
    <row r="2233" spans="1:10" x14ac:dyDescent="0.45">
      <c r="A2233" t="s">
        <v>3165</v>
      </c>
      <c r="B2233" s="1">
        <v>45769</v>
      </c>
      <c r="C2233" t="s">
        <v>33</v>
      </c>
      <c r="D2233" t="s">
        <v>14</v>
      </c>
      <c r="E2233">
        <v>800</v>
      </c>
      <c r="F2233">
        <v>10</v>
      </c>
      <c r="G2233">
        <f t="shared" si="102"/>
        <v>8000</v>
      </c>
      <c r="H2233" t="s">
        <v>17</v>
      </c>
      <c r="I2233">
        <f t="shared" si="103"/>
        <v>960</v>
      </c>
      <c r="J2233">
        <f t="shared" si="104"/>
        <v>9600</v>
      </c>
    </row>
    <row r="2234" spans="1:10" x14ac:dyDescent="0.45">
      <c r="A2234" t="s">
        <v>3595</v>
      </c>
      <c r="B2234" s="1">
        <v>45769</v>
      </c>
      <c r="C2234" t="s">
        <v>2772</v>
      </c>
      <c r="D2234" t="s">
        <v>2775</v>
      </c>
      <c r="E2234">
        <v>9100</v>
      </c>
      <c r="F2234">
        <v>1</v>
      </c>
      <c r="G2234">
        <f t="shared" si="102"/>
        <v>9100</v>
      </c>
      <c r="H2234" t="s">
        <v>17</v>
      </c>
      <c r="I2234">
        <f t="shared" si="103"/>
        <v>10920</v>
      </c>
      <c r="J2234">
        <f t="shared" si="104"/>
        <v>10920</v>
      </c>
    </row>
    <row r="2235" spans="1:10" x14ac:dyDescent="0.45">
      <c r="A2235" t="s">
        <v>872</v>
      </c>
      <c r="B2235" s="1">
        <v>45770</v>
      </c>
      <c r="C2235" t="s">
        <v>12</v>
      </c>
      <c r="D2235" t="s">
        <v>5023</v>
      </c>
      <c r="E2235">
        <v>1750</v>
      </c>
      <c r="F2235">
        <v>8</v>
      </c>
      <c r="G2235">
        <f t="shared" si="102"/>
        <v>14000</v>
      </c>
      <c r="H2235" t="s">
        <v>17</v>
      </c>
      <c r="I2235">
        <f t="shared" si="103"/>
        <v>2100</v>
      </c>
      <c r="J2235">
        <f t="shared" si="104"/>
        <v>16800</v>
      </c>
    </row>
    <row r="2236" spans="1:10" x14ac:dyDescent="0.45">
      <c r="A2236" t="s">
        <v>873</v>
      </c>
      <c r="B2236" s="1">
        <v>45770</v>
      </c>
      <c r="C2236" t="s">
        <v>4007</v>
      </c>
      <c r="D2236" t="s">
        <v>28</v>
      </c>
      <c r="E2236">
        <v>500</v>
      </c>
      <c r="F2236">
        <v>2</v>
      </c>
      <c r="G2236">
        <f t="shared" si="102"/>
        <v>1000</v>
      </c>
      <c r="H2236" t="s">
        <v>7</v>
      </c>
      <c r="I2236">
        <f t="shared" si="103"/>
        <v>600</v>
      </c>
      <c r="J2236">
        <f t="shared" si="104"/>
        <v>1200</v>
      </c>
    </row>
    <row r="2237" spans="1:10" x14ac:dyDescent="0.45">
      <c r="A2237" t="s">
        <v>874</v>
      </c>
      <c r="B2237" s="1">
        <v>45770</v>
      </c>
      <c r="C2237" t="s">
        <v>9</v>
      </c>
      <c r="D2237" t="s">
        <v>25</v>
      </c>
      <c r="E2237">
        <v>5200</v>
      </c>
      <c r="F2237">
        <v>5</v>
      </c>
      <c r="G2237">
        <f t="shared" si="102"/>
        <v>26000</v>
      </c>
      <c r="H2237" t="s">
        <v>17</v>
      </c>
      <c r="I2237">
        <f t="shared" si="103"/>
        <v>6240</v>
      </c>
      <c r="J2237">
        <f t="shared" si="104"/>
        <v>31200</v>
      </c>
    </row>
    <row r="2238" spans="1:10" x14ac:dyDescent="0.45">
      <c r="A2238" t="s">
        <v>875</v>
      </c>
      <c r="B2238" s="1">
        <v>45770</v>
      </c>
      <c r="C2238" t="s">
        <v>33</v>
      </c>
      <c r="D2238" t="s">
        <v>42</v>
      </c>
      <c r="E2238">
        <v>6900</v>
      </c>
      <c r="F2238">
        <v>7</v>
      </c>
      <c r="G2238">
        <f t="shared" si="102"/>
        <v>48300</v>
      </c>
      <c r="H2238" t="s">
        <v>21</v>
      </c>
      <c r="I2238">
        <f t="shared" si="103"/>
        <v>8280</v>
      </c>
      <c r="J2238">
        <f t="shared" si="104"/>
        <v>57960</v>
      </c>
    </row>
    <row r="2239" spans="1:10" x14ac:dyDescent="0.45">
      <c r="A2239" t="s">
        <v>876</v>
      </c>
      <c r="B2239" s="1">
        <v>45770</v>
      </c>
      <c r="C2239" t="s">
        <v>12</v>
      </c>
      <c r="D2239" t="s">
        <v>5020</v>
      </c>
      <c r="E2239">
        <v>2880</v>
      </c>
      <c r="F2239">
        <v>3</v>
      </c>
      <c r="G2239">
        <f t="shared" si="102"/>
        <v>8640</v>
      </c>
      <c r="H2239" t="s">
        <v>17</v>
      </c>
      <c r="I2239">
        <f t="shared" si="103"/>
        <v>3456</v>
      </c>
      <c r="J2239">
        <f t="shared" si="104"/>
        <v>10368</v>
      </c>
    </row>
    <row r="2240" spans="1:10" x14ac:dyDescent="0.45">
      <c r="A2240" t="s">
        <v>877</v>
      </c>
      <c r="B2240" s="1">
        <v>45770</v>
      </c>
      <c r="C2240" t="s">
        <v>4007</v>
      </c>
      <c r="D2240" t="s">
        <v>4005</v>
      </c>
      <c r="E2240">
        <v>60000</v>
      </c>
      <c r="F2240">
        <v>10</v>
      </c>
      <c r="G2240">
        <f t="shared" si="102"/>
        <v>600000</v>
      </c>
      <c r="H2240" t="s">
        <v>7</v>
      </c>
      <c r="I2240">
        <f t="shared" si="103"/>
        <v>72000</v>
      </c>
      <c r="J2240">
        <f t="shared" si="104"/>
        <v>720000</v>
      </c>
    </row>
    <row r="2241" spans="1:10" x14ac:dyDescent="0.45">
      <c r="A2241" t="s">
        <v>878</v>
      </c>
      <c r="B2241" s="1">
        <v>45770</v>
      </c>
      <c r="C2241" t="s">
        <v>12</v>
      </c>
      <c r="D2241" t="s">
        <v>5021</v>
      </c>
      <c r="E2241">
        <v>2880</v>
      </c>
      <c r="F2241">
        <v>5</v>
      </c>
      <c r="G2241">
        <f t="shared" si="102"/>
        <v>14400</v>
      </c>
      <c r="H2241" t="s">
        <v>7</v>
      </c>
      <c r="I2241">
        <f t="shared" si="103"/>
        <v>3456</v>
      </c>
      <c r="J2241">
        <f t="shared" si="104"/>
        <v>17280</v>
      </c>
    </row>
    <row r="2242" spans="1:10" x14ac:dyDescent="0.45">
      <c r="A2242" t="s">
        <v>879</v>
      </c>
      <c r="B2242" s="1">
        <v>45770</v>
      </c>
      <c r="C2242" t="s">
        <v>4007</v>
      </c>
      <c r="D2242" t="s">
        <v>4005</v>
      </c>
      <c r="E2242">
        <v>60000</v>
      </c>
      <c r="F2242">
        <v>5</v>
      </c>
      <c r="G2242">
        <f t="shared" ref="G2242:G2305" si="105">E2242*F2242</f>
        <v>300000</v>
      </c>
      <c r="H2242" t="s">
        <v>7</v>
      </c>
      <c r="I2242">
        <f t="shared" ref="I2242:I2305" si="106">E2242*1.2</f>
        <v>72000</v>
      </c>
      <c r="J2242">
        <f t="shared" ref="J2242:J2305" si="107">I2242*F2242</f>
        <v>360000</v>
      </c>
    </row>
    <row r="2243" spans="1:10" x14ac:dyDescent="0.45">
      <c r="A2243" t="s">
        <v>880</v>
      </c>
      <c r="B2243" s="1">
        <v>45770</v>
      </c>
      <c r="C2243" t="s">
        <v>4007</v>
      </c>
      <c r="D2243" t="s">
        <v>5015</v>
      </c>
      <c r="E2243">
        <v>48000</v>
      </c>
      <c r="F2243">
        <v>6</v>
      </c>
      <c r="G2243">
        <f t="shared" si="105"/>
        <v>288000</v>
      </c>
      <c r="H2243" t="s">
        <v>17</v>
      </c>
      <c r="I2243">
        <f t="shared" si="106"/>
        <v>57600</v>
      </c>
      <c r="J2243">
        <f t="shared" si="107"/>
        <v>345600</v>
      </c>
    </row>
    <row r="2244" spans="1:10" x14ac:dyDescent="0.45">
      <c r="A2244" t="s">
        <v>2844</v>
      </c>
      <c r="B2244" s="1">
        <v>45770</v>
      </c>
      <c r="C2244" t="s">
        <v>33</v>
      </c>
      <c r="D2244" t="s">
        <v>34</v>
      </c>
      <c r="E2244">
        <v>1700</v>
      </c>
      <c r="F2244">
        <v>2</v>
      </c>
      <c r="G2244">
        <f t="shared" si="105"/>
        <v>3400</v>
      </c>
      <c r="H2244" t="s">
        <v>7</v>
      </c>
      <c r="I2244">
        <f t="shared" si="106"/>
        <v>2040</v>
      </c>
      <c r="J2244">
        <f t="shared" si="107"/>
        <v>4080</v>
      </c>
    </row>
    <row r="2245" spans="1:10" x14ac:dyDescent="0.45">
      <c r="A2245" t="s">
        <v>2930</v>
      </c>
      <c r="B2245" s="1">
        <v>45770</v>
      </c>
      <c r="C2245" t="s">
        <v>4007</v>
      </c>
      <c r="D2245" t="s">
        <v>28</v>
      </c>
      <c r="E2245">
        <v>500</v>
      </c>
      <c r="F2245">
        <v>7</v>
      </c>
      <c r="G2245">
        <f t="shared" si="105"/>
        <v>3500</v>
      </c>
      <c r="H2245" t="s">
        <v>17</v>
      </c>
      <c r="I2245">
        <f t="shared" si="106"/>
        <v>600</v>
      </c>
      <c r="J2245">
        <f t="shared" si="107"/>
        <v>4200</v>
      </c>
    </row>
    <row r="2246" spans="1:10" x14ac:dyDescent="0.45">
      <c r="A2246" t="s">
        <v>3198</v>
      </c>
      <c r="B2246" s="1">
        <v>45770</v>
      </c>
      <c r="C2246" t="s">
        <v>2772</v>
      </c>
      <c r="D2246" t="s">
        <v>2771</v>
      </c>
      <c r="E2246">
        <v>120</v>
      </c>
      <c r="F2246">
        <v>6</v>
      </c>
      <c r="G2246">
        <f t="shared" si="105"/>
        <v>720</v>
      </c>
      <c r="H2246" t="s">
        <v>21</v>
      </c>
      <c r="I2246">
        <f t="shared" si="106"/>
        <v>144</v>
      </c>
      <c r="J2246">
        <f t="shared" si="107"/>
        <v>864</v>
      </c>
    </row>
    <row r="2247" spans="1:10" x14ac:dyDescent="0.45">
      <c r="A2247" t="s">
        <v>3577</v>
      </c>
      <c r="B2247" s="1">
        <v>45770</v>
      </c>
      <c r="C2247" t="s">
        <v>4007</v>
      </c>
      <c r="D2247" t="s">
        <v>2773</v>
      </c>
      <c r="E2247">
        <v>3300</v>
      </c>
      <c r="F2247">
        <v>4</v>
      </c>
      <c r="G2247">
        <f t="shared" si="105"/>
        <v>13200</v>
      </c>
      <c r="H2247" t="s">
        <v>7</v>
      </c>
      <c r="I2247">
        <f t="shared" si="106"/>
        <v>3960</v>
      </c>
      <c r="J2247">
        <f t="shared" si="107"/>
        <v>15840</v>
      </c>
    </row>
    <row r="2248" spans="1:10" x14ac:dyDescent="0.45">
      <c r="A2248" t="s">
        <v>3777</v>
      </c>
      <c r="B2248" s="1">
        <v>45770</v>
      </c>
      <c r="C2248" t="s">
        <v>2772</v>
      </c>
      <c r="D2248" t="s">
        <v>2771</v>
      </c>
      <c r="E2248">
        <v>120</v>
      </c>
      <c r="F2248">
        <v>9</v>
      </c>
      <c r="G2248">
        <f t="shared" si="105"/>
        <v>1080</v>
      </c>
      <c r="H2248" t="s">
        <v>17</v>
      </c>
      <c r="I2248">
        <f t="shared" si="106"/>
        <v>144</v>
      </c>
      <c r="J2248">
        <f t="shared" si="107"/>
        <v>1296</v>
      </c>
    </row>
    <row r="2249" spans="1:10" x14ac:dyDescent="0.45">
      <c r="A2249" t="s">
        <v>3826</v>
      </c>
      <c r="B2249" s="1">
        <v>45770</v>
      </c>
      <c r="C2249" t="s">
        <v>4007</v>
      </c>
      <c r="D2249" t="s">
        <v>2776</v>
      </c>
      <c r="E2249">
        <v>3600</v>
      </c>
      <c r="F2249">
        <v>8</v>
      </c>
      <c r="G2249">
        <f t="shared" si="105"/>
        <v>28800</v>
      </c>
      <c r="H2249" t="s">
        <v>7</v>
      </c>
      <c r="I2249">
        <f t="shared" si="106"/>
        <v>4320</v>
      </c>
      <c r="J2249">
        <f t="shared" si="107"/>
        <v>34560</v>
      </c>
    </row>
    <row r="2250" spans="1:10" x14ac:dyDescent="0.45">
      <c r="A2250" t="s">
        <v>881</v>
      </c>
      <c r="B2250" s="1">
        <v>45771</v>
      </c>
      <c r="C2250" t="s">
        <v>4007</v>
      </c>
      <c r="D2250" t="s">
        <v>28</v>
      </c>
      <c r="E2250">
        <v>500</v>
      </c>
      <c r="F2250">
        <v>2</v>
      </c>
      <c r="G2250">
        <f t="shared" si="105"/>
        <v>1000</v>
      </c>
      <c r="H2250" t="s">
        <v>17</v>
      </c>
      <c r="I2250">
        <f t="shared" si="106"/>
        <v>600</v>
      </c>
      <c r="J2250">
        <f t="shared" si="107"/>
        <v>1200</v>
      </c>
    </row>
    <row r="2251" spans="1:10" x14ac:dyDescent="0.45">
      <c r="A2251" t="s">
        <v>882</v>
      </c>
      <c r="B2251" s="1">
        <v>45771</v>
      </c>
      <c r="C2251" t="s">
        <v>33</v>
      </c>
      <c r="D2251" t="s">
        <v>16</v>
      </c>
      <c r="E2251">
        <v>1200</v>
      </c>
      <c r="F2251">
        <v>8</v>
      </c>
      <c r="G2251">
        <f t="shared" si="105"/>
        <v>9600</v>
      </c>
      <c r="H2251" t="s">
        <v>21</v>
      </c>
      <c r="I2251">
        <f t="shared" si="106"/>
        <v>1440</v>
      </c>
      <c r="J2251">
        <f t="shared" si="107"/>
        <v>11520</v>
      </c>
    </row>
    <row r="2252" spans="1:10" x14ac:dyDescent="0.45">
      <c r="A2252" t="s">
        <v>883</v>
      </c>
      <c r="B2252" s="1">
        <v>45771</v>
      </c>
      <c r="C2252" t="s">
        <v>33</v>
      </c>
      <c r="D2252" t="s">
        <v>14</v>
      </c>
      <c r="E2252">
        <v>800</v>
      </c>
      <c r="F2252">
        <v>6</v>
      </c>
      <c r="G2252">
        <f t="shared" si="105"/>
        <v>4800</v>
      </c>
      <c r="H2252" t="s">
        <v>7</v>
      </c>
      <c r="I2252">
        <f t="shared" si="106"/>
        <v>960</v>
      </c>
      <c r="J2252">
        <f t="shared" si="107"/>
        <v>5760</v>
      </c>
    </row>
    <row r="2253" spans="1:10" x14ac:dyDescent="0.45">
      <c r="A2253" t="s">
        <v>884</v>
      </c>
      <c r="B2253" s="1">
        <v>45771</v>
      </c>
      <c r="C2253" t="s">
        <v>4007</v>
      </c>
      <c r="D2253" t="s">
        <v>4005</v>
      </c>
      <c r="E2253">
        <v>60000</v>
      </c>
      <c r="F2253">
        <v>8</v>
      </c>
      <c r="G2253">
        <f t="shared" si="105"/>
        <v>480000</v>
      </c>
      <c r="H2253" t="s">
        <v>21</v>
      </c>
      <c r="I2253">
        <f t="shared" si="106"/>
        <v>72000</v>
      </c>
      <c r="J2253">
        <f t="shared" si="107"/>
        <v>576000</v>
      </c>
    </row>
    <row r="2254" spans="1:10" x14ac:dyDescent="0.45">
      <c r="A2254" t="s">
        <v>885</v>
      </c>
      <c r="B2254" s="1">
        <v>45771</v>
      </c>
      <c r="C2254" t="s">
        <v>33</v>
      </c>
      <c r="D2254" t="s">
        <v>42</v>
      </c>
      <c r="E2254">
        <v>6900</v>
      </c>
      <c r="F2254">
        <v>1</v>
      </c>
      <c r="G2254">
        <f t="shared" si="105"/>
        <v>6900</v>
      </c>
      <c r="H2254" t="s">
        <v>17</v>
      </c>
      <c r="I2254">
        <f t="shared" si="106"/>
        <v>8280</v>
      </c>
      <c r="J2254">
        <f t="shared" si="107"/>
        <v>8280</v>
      </c>
    </row>
    <row r="2255" spans="1:10" x14ac:dyDescent="0.45">
      <c r="A2255" t="s">
        <v>886</v>
      </c>
      <c r="B2255" s="1">
        <v>45771</v>
      </c>
      <c r="C2255" t="s">
        <v>33</v>
      </c>
      <c r="D2255" t="s">
        <v>16</v>
      </c>
      <c r="E2255">
        <v>1200</v>
      </c>
      <c r="F2255">
        <v>3</v>
      </c>
      <c r="G2255">
        <f t="shared" si="105"/>
        <v>3600</v>
      </c>
      <c r="H2255" t="s">
        <v>17</v>
      </c>
      <c r="I2255">
        <f t="shared" si="106"/>
        <v>1440</v>
      </c>
      <c r="J2255">
        <f t="shared" si="107"/>
        <v>4320</v>
      </c>
    </row>
    <row r="2256" spans="1:10" x14ac:dyDescent="0.45">
      <c r="A2256" t="s">
        <v>887</v>
      </c>
      <c r="B2256" s="1">
        <v>45771</v>
      </c>
      <c r="C2256" t="s">
        <v>9</v>
      </c>
      <c r="D2256" t="s">
        <v>19</v>
      </c>
      <c r="E2256">
        <v>3000</v>
      </c>
      <c r="F2256">
        <v>4</v>
      </c>
      <c r="G2256">
        <f t="shared" si="105"/>
        <v>12000</v>
      </c>
      <c r="H2256" t="s">
        <v>21</v>
      </c>
      <c r="I2256">
        <f t="shared" si="106"/>
        <v>3600</v>
      </c>
      <c r="J2256">
        <f t="shared" si="107"/>
        <v>14400</v>
      </c>
    </row>
    <row r="2257" spans="1:10" x14ac:dyDescent="0.45">
      <c r="A2257" t="s">
        <v>888</v>
      </c>
      <c r="B2257" s="1">
        <v>45771</v>
      </c>
      <c r="C2257" t="s">
        <v>4007</v>
      </c>
      <c r="D2257" t="s">
        <v>5015</v>
      </c>
      <c r="E2257">
        <v>48000</v>
      </c>
      <c r="F2257">
        <v>2</v>
      </c>
      <c r="G2257">
        <f t="shared" si="105"/>
        <v>96000</v>
      </c>
      <c r="H2257" t="s">
        <v>21</v>
      </c>
      <c r="I2257">
        <f t="shared" si="106"/>
        <v>57600</v>
      </c>
      <c r="J2257">
        <f t="shared" si="107"/>
        <v>115200</v>
      </c>
    </row>
    <row r="2258" spans="1:10" x14ac:dyDescent="0.45">
      <c r="A2258" t="s">
        <v>889</v>
      </c>
      <c r="B2258" s="1">
        <v>45771</v>
      </c>
      <c r="C2258" t="s">
        <v>33</v>
      </c>
      <c r="D2258" t="s">
        <v>34</v>
      </c>
      <c r="E2258">
        <v>1700</v>
      </c>
      <c r="F2258">
        <v>3</v>
      </c>
      <c r="G2258">
        <f t="shared" si="105"/>
        <v>5100</v>
      </c>
      <c r="H2258" t="s">
        <v>21</v>
      </c>
      <c r="I2258">
        <f t="shared" si="106"/>
        <v>2040</v>
      </c>
      <c r="J2258">
        <f t="shared" si="107"/>
        <v>6120</v>
      </c>
    </row>
    <row r="2259" spans="1:10" x14ac:dyDescent="0.45">
      <c r="A2259" t="s">
        <v>890</v>
      </c>
      <c r="B2259" s="1">
        <v>45771</v>
      </c>
      <c r="C2259" t="s">
        <v>4007</v>
      </c>
      <c r="D2259" t="s">
        <v>5015</v>
      </c>
      <c r="E2259">
        <v>48000</v>
      </c>
      <c r="F2259">
        <v>10</v>
      </c>
      <c r="G2259">
        <f t="shared" si="105"/>
        <v>480000</v>
      </c>
      <c r="H2259" t="s">
        <v>17</v>
      </c>
      <c r="I2259">
        <f t="shared" si="106"/>
        <v>57600</v>
      </c>
      <c r="J2259">
        <f t="shared" si="107"/>
        <v>576000</v>
      </c>
    </row>
    <row r="2260" spans="1:10" x14ac:dyDescent="0.45">
      <c r="A2260" t="s">
        <v>3490</v>
      </c>
      <c r="B2260" s="1">
        <v>45771</v>
      </c>
      <c r="C2260" t="s">
        <v>4007</v>
      </c>
      <c r="D2260" t="s">
        <v>2773</v>
      </c>
      <c r="E2260">
        <v>3300</v>
      </c>
      <c r="F2260">
        <v>6</v>
      </c>
      <c r="G2260">
        <f t="shared" si="105"/>
        <v>19800</v>
      </c>
      <c r="H2260" t="s">
        <v>7</v>
      </c>
      <c r="I2260">
        <f t="shared" si="106"/>
        <v>3960</v>
      </c>
      <c r="J2260">
        <f t="shared" si="107"/>
        <v>23760</v>
      </c>
    </row>
    <row r="2261" spans="1:10" x14ac:dyDescent="0.45">
      <c r="A2261" t="s">
        <v>3678</v>
      </c>
      <c r="B2261" s="1">
        <v>45771</v>
      </c>
      <c r="C2261" t="s">
        <v>33</v>
      </c>
      <c r="D2261" t="s">
        <v>34</v>
      </c>
      <c r="E2261">
        <v>1700</v>
      </c>
      <c r="F2261">
        <v>9</v>
      </c>
      <c r="G2261">
        <f t="shared" si="105"/>
        <v>15300</v>
      </c>
      <c r="H2261" t="s">
        <v>7</v>
      </c>
      <c r="I2261">
        <f t="shared" si="106"/>
        <v>2040</v>
      </c>
      <c r="J2261">
        <f t="shared" si="107"/>
        <v>18360</v>
      </c>
    </row>
    <row r="2262" spans="1:10" x14ac:dyDescent="0.45">
      <c r="A2262" t="s">
        <v>3837</v>
      </c>
      <c r="B2262" s="1">
        <v>45771</v>
      </c>
      <c r="C2262" t="s">
        <v>4007</v>
      </c>
      <c r="D2262" t="s">
        <v>2770</v>
      </c>
      <c r="E2262">
        <v>600</v>
      </c>
      <c r="F2262">
        <v>10</v>
      </c>
      <c r="G2262">
        <f t="shared" si="105"/>
        <v>6000</v>
      </c>
      <c r="H2262" t="s">
        <v>21</v>
      </c>
      <c r="I2262">
        <f t="shared" si="106"/>
        <v>720</v>
      </c>
      <c r="J2262">
        <f t="shared" si="107"/>
        <v>7200</v>
      </c>
    </row>
    <row r="2263" spans="1:10" x14ac:dyDescent="0.45">
      <c r="A2263" t="s">
        <v>3956</v>
      </c>
      <c r="B2263" s="1">
        <v>45771</v>
      </c>
      <c r="C2263" t="s">
        <v>4007</v>
      </c>
      <c r="D2263" t="s">
        <v>2770</v>
      </c>
      <c r="E2263">
        <v>600</v>
      </c>
      <c r="F2263">
        <v>9</v>
      </c>
      <c r="G2263">
        <f t="shared" si="105"/>
        <v>5400</v>
      </c>
      <c r="H2263" t="s">
        <v>17</v>
      </c>
      <c r="I2263">
        <f t="shared" si="106"/>
        <v>720</v>
      </c>
      <c r="J2263">
        <f t="shared" si="107"/>
        <v>6480</v>
      </c>
    </row>
    <row r="2264" spans="1:10" x14ac:dyDescent="0.45">
      <c r="A2264" t="s">
        <v>891</v>
      </c>
      <c r="B2264" s="1">
        <v>45772</v>
      </c>
      <c r="C2264" t="s">
        <v>33</v>
      </c>
      <c r="D2264" t="s">
        <v>34</v>
      </c>
      <c r="E2264">
        <v>1700</v>
      </c>
      <c r="F2264">
        <v>10</v>
      </c>
      <c r="G2264">
        <f t="shared" si="105"/>
        <v>17000</v>
      </c>
      <c r="H2264" t="s">
        <v>7</v>
      </c>
      <c r="I2264">
        <f t="shared" si="106"/>
        <v>2040</v>
      </c>
      <c r="J2264">
        <f t="shared" si="107"/>
        <v>20400</v>
      </c>
    </row>
    <row r="2265" spans="1:10" x14ac:dyDescent="0.45">
      <c r="A2265" t="s">
        <v>892</v>
      </c>
      <c r="B2265" s="1">
        <v>45772</v>
      </c>
      <c r="C2265" t="s">
        <v>4007</v>
      </c>
      <c r="D2265" t="s">
        <v>39</v>
      </c>
      <c r="E2265">
        <v>6000</v>
      </c>
      <c r="F2265">
        <v>9</v>
      </c>
      <c r="G2265">
        <f t="shared" si="105"/>
        <v>54000</v>
      </c>
      <c r="H2265" t="s">
        <v>17</v>
      </c>
      <c r="I2265">
        <f t="shared" si="106"/>
        <v>7200</v>
      </c>
      <c r="J2265">
        <f t="shared" si="107"/>
        <v>64800</v>
      </c>
    </row>
    <row r="2266" spans="1:10" x14ac:dyDescent="0.45">
      <c r="A2266" t="s">
        <v>893</v>
      </c>
      <c r="B2266" s="1">
        <v>45772</v>
      </c>
      <c r="C2266" t="s">
        <v>9</v>
      </c>
      <c r="D2266" t="s">
        <v>25</v>
      </c>
      <c r="E2266">
        <v>5200</v>
      </c>
      <c r="F2266">
        <v>5</v>
      </c>
      <c r="G2266">
        <f t="shared" si="105"/>
        <v>26000</v>
      </c>
      <c r="H2266" t="s">
        <v>17</v>
      </c>
      <c r="I2266">
        <f t="shared" si="106"/>
        <v>6240</v>
      </c>
      <c r="J2266">
        <f t="shared" si="107"/>
        <v>31200</v>
      </c>
    </row>
    <row r="2267" spans="1:10" x14ac:dyDescent="0.45">
      <c r="A2267" t="s">
        <v>894</v>
      </c>
      <c r="B2267" s="1">
        <v>45772</v>
      </c>
      <c r="C2267" t="s">
        <v>9</v>
      </c>
      <c r="D2267" t="s">
        <v>19</v>
      </c>
      <c r="E2267">
        <v>3000</v>
      </c>
      <c r="F2267">
        <v>6</v>
      </c>
      <c r="G2267">
        <f t="shared" si="105"/>
        <v>18000</v>
      </c>
      <c r="H2267" t="s">
        <v>17</v>
      </c>
      <c r="I2267">
        <f t="shared" si="106"/>
        <v>3600</v>
      </c>
      <c r="J2267">
        <f t="shared" si="107"/>
        <v>21600</v>
      </c>
    </row>
    <row r="2268" spans="1:10" x14ac:dyDescent="0.45">
      <c r="A2268" t="s">
        <v>895</v>
      </c>
      <c r="B2268" s="1">
        <v>45772</v>
      </c>
      <c r="C2268" t="s">
        <v>33</v>
      </c>
      <c r="D2268" t="s">
        <v>16</v>
      </c>
      <c r="E2268">
        <v>1200</v>
      </c>
      <c r="F2268">
        <v>3</v>
      </c>
      <c r="G2268">
        <f t="shared" si="105"/>
        <v>3600</v>
      </c>
      <c r="H2268" t="s">
        <v>7</v>
      </c>
      <c r="I2268">
        <f t="shared" si="106"/>
        <v>1440</v>
      </c>
      <c r="J2268">
        <f t="shared" si="107"/>
        <v>4320</v>
      </c>
    </row>
    <row r="2269" spans="1:10" x14ac:dyDescent="0.45">
      <c r="A2269" t="s">
        <v>896</v>
      </c>
      <c r="B2269" s="1">
        <v>45772</v>
      </c>
      <c r="C2269" t="s">
        <v>33</v>
      </c>
      <c r="D2269" t="s">
        <v>34</v>
      </c>
      <c r="E2269">
        <v>1700</v>
      </c>
      <c r="F2269">
        <v>10</v>
      </c>
      <c r="G2269">
        <f t="shared" si="105"/>
        <v>17000</v>
      </c>
      <c r="H2269" t="s">
        <v>17</v>
      </c>
      <c r="I2269">
        <f t="shared" si="106"/>
        <v>2040</v>
      </c>
      <c r="J2269">
        <f t="shared" si="107"/>
        <v>20400</v>
      </c>
    </row>
    <row r="2270" spans="1:10" x14ac:dyDescent="0.45">
      <c r="A2270" t="s">
        <v>2903</v>
      </c>
      <c r="B2270" s="1">
        <v>45772</v>
      </c>
      <c r="C2270" t="s">
        <v>33</v>
      </c>
      <c r="D2270" t="s">
        <v>14</v>
      </c>
      <c r="E2270">
        <v>800</v>
      </c>
      <c r="F2270">
        <v>1</v>
      </c>
      <c r="G2270">
        <f t="shared" si="105"/>
        <v>800</v>
      </c>
      <c r="H2270" t="s">
        <v>21</v>
      </c>
      <c r="I2270">
        <f t="shared" si="106"/>
        <v>960</v>
      </c>
      <c r="J2270">
        <f t="shared" si="107"/>
        <v>960</v>
      </c>
    </row>
    <row r="2271" spans="1:10" x14ac:dyDescent="0.45">
      <c r="A2271" t="s">
        <v>2933</v>
      </c>
      <c r="B2271" s="1">
        <v>45772</v>
      </c>
      <c r="C2271" t="s">
        <v>4007</v>
      </c>
      <c r="D2271" t="s">
        <v>2776</v>
      </c>
      <c r="E2271">
        <v>3600</v>
      </c>
      <c r="F2271">
        <v>7</v>
      </c>
      <c r="G2271">
        <f t="shared" si="105"/>
        <v>25200</v>
      </c>
      <c r="H2271" t="s">
        <v>7</v>
      </c>
      <c r="I2271">
        <f t="shared" si="106"/>
        <v>4320</v>
      </c>
      <c r="J2271">
        <f t="shared" si="107"/>
        <v>30240</v>
      </c>
    </row>
    <row r="2272" spans="1:10" x14ac:dyDescent="0.45">
      <c r="A2272" t="s">
        <v>3136</v>
      </c>
      <c r="B2272" s="1">
        <v>45772</v>
      </c>
      <c r="C2272" t="s">
        <v>4007</v>
      </c>
      <c r="D2272" t="s">
        <v>5015</v>
      </c>
      <c r="E2272">
        <v>48000</v>
      </c>
      <c r="F2272">
        <v>3</v>
      </c>
      <c r="G2272">
        <f t="shared" si="105"/>
        <v>144000</v>
      </c>
      <c r="H2272" t="s">
        <v>21</v>
      </c>
      <c r="I2272">
        <f t="shared" si="106"/>
        <v>57600</v>
      </c>
      <c r="J2272">
        <f t="shared" si="107"/>
        <v>172800</v>
      </c>
    </row>
    <row r="2273" spans="1:10" x14ac:dyDescent="0.45">
      <c r="A2273" t="s">
        <v>3193</v>
      </c>
      <c r="B2273" s="1">
        <v>45772</v>
      </c>
      <c r="C2273" t="s">
        <v>4007</v>
      </c>
      <c r="D2273" t="s">
        <v>2774</v>
      </c>
      <c r="E2273">
        <v>1900</v>
      </c>
      <c r="F2273">
        <v>1</v>
      </c>
      <c r="G2273">
        <f t="shared" si="105"/>
        <v>1900</v>
      </c>
      <c r="H2273" t="s">
        <v>21</v>
      </c>
      <c r="I2273">
        <f t="shared" si="106"/>
        <v>2280</v>
      </c>
      <c r="J2273">
        <f t="shared" si="107"/>
        <v>2280</v>
      </c>
    </row>
    <row r="2274" spans="1:10" x14ac:dyDescent="0.45">
      <c r="A2274" t="s">
        <v>3205</v>
      </c>
      <c r="B2274" s="1">
        <v>45772</v>
      </c>
      <c r="C2274" t="s">
        <v>4007</v>
      </c>
      <c r="D2274" t="s">
        <v>2776</v>
      </c>
      <c r="E2274">
        <v>3600</v>
      </c>
      <c r="F2274">
        <v>1</v>
      </c>
      <c r="G2274">
        <f t="shared" si="105"/>
        <v>3600</v>
      </c>
      <c r="H2274" t="s">
        <v>21</v>
      </c>
      <c r="I2274">
        <f t="shared" si="106"/>
        <v>4320</v>
      </c>
      <c r="J2274">
        <f t="shared" si="107"/>
        <v>4320</v>
      </c>
    </row>
    <row r="2275" spans="1:10" x14ac:dyDescent="0.45">
      <c r="A2275" t="s">
        <v>897</v>
      </c>
      <c r="B2275" s="1">
        <v>45773</v>
      </c>
      <c r="C2275" t="s">
        <v>33</v>
      </c>
      <c r="D2275" t="s">
        <v>14</v>
      </c>
      <c r="E2275">
        <v>800</v>
      </c>
      <c r="F2275">
        <v>8</v>
      </c>
      <c r="G2275">
        <f t="shared" si="105"/>
        <v>6400</v>
      </c>
      <c r="H2275" t="s">
        <v>7</v>
      </c>
      <c r="I2275">
        <f t="shared" si="106"/>
        <v>960</v>
      </c>
      <c r="J2275">
        <f t="shared" si="107"/>
        <v>7680</v>
      </c>
    </row>
    <row r="2276" spans="1:10" x14ac:dyDescent="0.45">
      <c r="A2276" t="s">
        <v>898</v>
      </c>
      <c r="B2276" s="1">
        <v>45773</v>
      </c>
      <c r="C2276" t="s">
        <v>4007</v>
      </c>
      <c r="D2276" t="s">
        <v>4005</v>
      </c>
      <c r="E2276">
        <v>60000</v>
      </c>
      <c r="F2276">
        <v>5</v>
      </c>
      <c r="G2276">
        <f t="shared" si="105"/>
        <v>300000</v>
      </c>
      <c r="H2276" t="s">
        <v>17</v>
      </c>
      <c r="I2276">
        <f t="shared" si="106"/>
        <v>72000</v>
      </c>
      <c r="J2276">
        <f t="shared" si="107"/>
        <v>360000</v>
      </c>
    </row>
    <row r="2277" spans="1:10" x14ac:dyDescent="0.45">
      <c r="A2277" t="s">
        <v>899</v>
      </c>
      <c r="B2277" s="1">
        <v>45773</v>
      </c>
      <c r="C2277" t="s">
        <v>4007</v>
      </c>
      <c r="D2277" t="s">
        <v>39</v>
      </c>
      <c r="E2277">
        <v>6000</v>
      </c>
      <c r="F2277">
        <v>3</v>
      </c>
      <c r="G2277">
        <f t="shared" si="105"/>
        <v>18000</v>
      </c>
      <c r="H2277" t="s">
        <v>17</v>
      </c>
      <c r="I2277">
        <f t="shared" si="106"/>
        <v>7200</v>
      </c>
      <c r="J2277">
        <f t="shared" si="107"/>
        <v>21600</v>
      </c>
    </row>
    <row r="2278" spans="1:10" x14ac:dyDescent="0.45">
      <c r="A2278" t="s">
        <v>900</v>
      </c>
      <c r="B2278" s="1">
        <v>45773</v>
      </c>
      <c r="C2278" t="s">
        <v>4007</v>
      </c>
      <c r="D2278" t="s">
        <v>28</v>
      </c>
      <c r="E2278">
        <v>500</v>
      </c>
      <c r="F2278">
        <v>2</v>
      </c>
      <c r="G2278">
        <f t="shared" si="105"/>
        <v>1000</v>
      </c>
      <c r="H2278" t="s">
        <v>7</v>
      </c>
      <c r="I2278">
        <f t="shared" si="106"/>
        <v>600</v>
      </c>
      <c r="J2278">
        <f t="shared" si="107"/>
        <v>1200</v>
      </c>
    </row>
    <row r="2279" spans="1:10" x14ac:dyDescent="0.45">
      <c r="A2279" t="s">
        <v>901</v>
      </c>
      <c r="B2279" s="1">
        <v>45773</v>
      </c>
      <c r="C2279" t="s">
        <v>9</v>
      </c>
      <c r="D2279" t="s">
        <v>19</v>
      </c>
      <c r="E2279">
        <v>3000</v>
      </c>
      <c r="F2279">
        <v>1</v>
      </c>
      <c r="G2279">
        <f t="shared" si="105"/>
        <v>3000</v>
      </c>
      <c r="H2279" t="s">
        <v>7</v>
      </c>
      <c r="I2279">
        <f t="shared" si="106"/>
        <v>3600</v>
      </c>
      <c r="J2279">
        <f t="shared" si="107"/>
        <v>3600</v>
      </c>
    </row>
    <row r="2280" spans="1:10" x14ac:dyDescent="0.45">
      <c r="A2280" t="s">
        <v>3346</v>
      </c>
      <c r="B2280" s="1">
        <v>45773</v>
      </c>
      <c r="C2280" t="s">
        <v>4007</v>
      </c>
      <c r="D2280" t="s">
        <v>2773</v>
      </c>
      <c r="E2280">
        <v>3300</v>
      </c>
      <c r="F2280">
        <v>6</v>
      </c>
      <c r="G2280">
        <f t="shared" si="105"/>
        <v>19800</v>
      </c>
      <c r="H2280" t="s">
        <v>7</v>
      </c>
      <c r="I2280">
        <f t="shared" si="106"/>
        <v>3960</v>
      </c>
      <c r="J2280">
        <f t="shared" si="107"/>
        <v>23760</v>
      </c>
    </row>
    <row r="2281" spans="1:10" x14ac:dyDescent="0.45">
      <c r="A2281" t="s">
        <v>3451</v>
      </c>
      <c r="B2281" s="1">
        <v>45773</v>
      </c>
      <c r="C2281" t="s">
        <v>2772</v>
      </c>
      <c r="D2281" t="s">
        <v>2775</v>
      </c>
      <c r="E2281">
        <v>9100</v>
      </c>
      <c r="F2281">
        <v>6</v>
      </c>
      <c r="G2281">
        <f t="shared" si="105"/>
        <v>54600</v>
      </c>
      <c r="H2281" t="s">
        <v>21</v>
      </c>
      <c r="I2281">
        <f t="shared" si="106"/>
        <v>10920</v>
      </c>
      <c r="J2281">
        <f t="shared" si="107"/>
        <v>65520</v>
      </c>
    </row>
    <row r="2282" spans="1:10" x14ac:dyDescent="0.45">
      <c r="A2282" t="s">
        <v>3627</v>
      </c>
      <c r="B2282" s="1">
        <v>45773</v>
      </c>
      <c r="C2282" t="s">
        <v>4007</v>
      </c>
      <c r="D2282" t="s">
        <v>2773</v>
      </c>
      <c r="E2282">
        <v>3300</v>
      </c>
      <c r="F2282">
        <v>10</v>
      </c>
      <c r="G2282">
        <f t="shared" si="105"/>
        <v>33000</v>
      </c>
      <c r="H2282" t="s">
        <v>7</v>
      </c>
      <c r="I2282">
        <f t="shared" si="106"/>
        <v>3960</v>
      </c>
      <c r="J2282">
        <f t="shared" si="107"/>
        <v>39600</v>
      </c>
    </row>
    <row r="2283" spans="1:10" x14ac:dyDescent="0.45">
      <c r="A2283" t="s">
        <v>902</v>
      </c>
      <c r="B2283" s="1">
        <v>45774</v>
      </c>
      <c r="C2283" t="s">
        <v>12</v>
      </c>
      <c r="D2283" t="s">
        <v>5021</v>
      </c>
      <c r="E2283">
        <v>2880</v>
      </c>
      <c r="F2283">
        <v>10</v>
      </c>
      <c r="G2283">
        <f t="shared" si="105"/>
        <v>28800</v>
      </c>
      <c r="H2283" t="s">
        <v>17</v>
      </c>
      <c r="I2283">
        <f t="shared" si="106"/>
        <v>3456</v>
      </c>
      <c r="J2283">
        <f t="shared" si="107"/>
        <v>34560</v>
      </c>
    </row>
    <row r="2284" spans="1:10" x14ac:dyDescent="0.45">
      <c r="A2284" t="s">
        <v>903</v>
      </c>
      <c r="B2284" s="1">
        <v>45774</v>
      </c>
      <c r="C2284" t="s">
        <v>9</v>
      </c>
      <c r="D2284" t="s">
        <v>10</v>
      </c>
      <c r="E2284">
        <v>400</v>
      </c>
      <c r="F2284">
        <v>2</v>
      </c>
      <c r="G2284">
        <f t="shared" si="105"/>
        <v>800</v>
      </c>
      <c r="H2284" t="s">
        <v>7</v>
      </c>
      <c r="I2284">
        <f t="shared" si="106"/>
        <v>480</v>
      </c>
      <c r="J2284">
        <f t="shared" si="107"/>
        <v>960</v>
      </c>
    </row>
    <row r="2285" spans="1:10" x14ac:dyDescent="0.45">
      <c r="A2285" t="s">
        <v>904</v>
      </c>
      <c r="B2285" s="1">
        <v>45774</v>
      </c>
      <c r="C2285" t="s">
        <v>12</v>
      </c>
      <c r="D2285" t="s">
        <v>5021</v>
      </c>
      <c r="E2285">
        <v>2880</v>
      </c>
      <c r="F2285">
        <v>3</v>
      </c>
      <c r="G2285">
        <f t="shared" si="105"/>
        <v>8640</v>
      </c>
      <c r="H2285" t="s">
        <v>17</v>
      </c>
      <c r="I2285">
        <f t="shared" si="106"/>
        <v>3456</v>
      </c>
      <c r="J2285">
        <f t="shared" si="107"/>
        <v>10368</v>
      </c>
    </row>
    <row r="2286" spans="1:10" x14ac:dyDescent="0.45">
      <c r="A2286" t="s">
        <v>905</v>
      </c>
      <c r="B2286" s="1">
        <v>45774</v>
      </c>
      <c r="C2286" t="s">
        <v>12</v>
      </c>
      <c r="D2286" t="s">
        <v>5023</v>
      </c>
      <c r="E2286">
        <v>1750</v>
      </c>
      <c r="F2286">
        <v>4</v>
      </c>
      <c r="G2286">
        <f t="shared" si="105"/>
        <v>7000</v>
      </c>
      <c r="H2286" t="s">
        <v>7</v>
      </c>
      <c r="I2286">
        <f t="shared" si="106"/>
        <v>2100</v>
      </c>
      <c r="J2286">
        <f t="shared" si="107"/>
        <v>8400</v>
      </c>
    </row>
    <row r="2287" spans="1:10" x14ac:dyDescent="0.45">
      <c r="A2287" t="s">
        <v>906</v>
      </c>
      <c r="B2287" s="1">
        <v>45774</v>
      </c>
      <c r="C2287" t="s">
        <v>9</v>
      </c>
      <c r="D2287" t="s">
        <v>10</v>
      </c>
      <c r="E2287">
        <v>400</v>
      </c>
      <c r="F2287">
        <v>7</v>
      </c>
      <c r="G2287">
        <f t="shared" si="105"/>
        <v>2800</v>
      </c>
      <c r="H2287" t="s">
        <v>17</v>
      </c>
      <c r="I2287">
        <f t="shared" si="106"/>
        <v>480</v>
      </c>
      <c r="J2287">
        <f t="shared" si="107"/>
        <v>3360</v>
      </c>
    </row>
    <row r="2288" spans="1:10" x14ac:dyDescent="0.45">
      <c r="A2288" t="s">
        <v>3151</v>
      </c>
      <c r="B2288" s="1">
        <v>45774</v>
      </c>
      <c r="C2288" t="s">
        <v>4007</v>
      </c>
      <c r="D2288" t="s">
        <v>2774</v>
      </c>
      <c r="E2288">
        <v>1900</v>
      </c>
      <c r="F2288">
        <v>1</v>
      </c>
      <c r="G2288">
        <f t="shared" si="105"/>
        <v>1900</v>
      </c>
      <c r="H2288" t="s">
        <v>17</v>
      </c>
      <c r="I2288">
        <f t="shared" si="106"/>
        <v>2280</v>
      </c>
      <c r="J2288">
        <f t="shared" si="107"/>
        <v>2280</v>
      </c>
    </row>
    <row r="2289" spans="1:10" x14ac:dyDescent="0.45">
      <c r="A2289" t="s">
        <v>3393</v>
      </c>
      <c r="B2289" s="1">
        <v>45774</v>
      </c>
      <c r="C2289" t="s">
        <v>4007</v>
      </c>
      <c r="D2289" t="s">
        <v>2770</v>
      </c>
      <c r="E2289">
        <v>600</v>
      </c>
      <c r="F2289">
        <v>6</v>
      </c>
      <c r="G2289">
        <f t="shared" si="105"/>
        <v>3600</v>
      </c>
      <c r="H2289" t="s">
        <v>7</v>
      </c>
      <c r="I2289">
        <f t="shared" si="106"/>
        <v>720</v>
      </c>
      <c r="J2289">
        <f t="shared" si="107"/>
        <v>4320</v>
      </c>
    </row>
    <row r="2290" spans="1:10" x14ac:dyDescent="0.45">
      <c r="A2290" t="s">
        <v>3481</v>
      </c>
      <c r="B2290" s="1">
        <v>45774</v>
      </c>
      <c r="C2290" t="s">
        <v>4007</v>
      </c>
      <c r="D2290" t="s">
        <v>2773</v>
      </c>
      <c r="E2290">
        <v>3300</v>
      </c>
      <c r="F2290">
        <v>9</v>
      </c>
      <c r="G2290">
        <f t="shared" si="105"/>
        <v>29700</v>
      </c>
      <c r="H2290" t="s">
        <v>21</v>
      </c>
      <c r="I2290">
        <f t="shared" si="106"/>
        <v>3960</v>
      </c>
      <c r="J2290">
        <f t="shared" si="107"/>
        <v>35640</v>
      </c>
    </row>
    <row r="2291" spans="1:10" x14ac:dyDescent="0.45">
      <c r="A2291" t="s">
        <v>3563</v>
      </c>
      <c r="B2291" s="1">
        <v>45774</v>
      </c>
      <c r="C2291" t="s">
        <v>33</v>
      </c>
      <c r="D2291" t="s">
        <v>34</v>
      </c>
      <c r="E2291">
        <v>1700</v>
      </c>
      <c r="F2291">
        <v>10</v>
      </c>
      <c r="G2291">
        <f t="shared" si="105"/>
        <v>17000</v>
      </c>
      <c r="H2291" t="s">
        <v>21</v>
      </c>
      <c r="I2291">
        <f t="shared" si="106"/>
        <v>2040</v>
      </c>
      <c r="J2291">
        <f t="shared" si="107"/>
        <v>20400</v>
      </c>
    </row>
    <row r="2292" spans="1:10" x14ac:dyDescent="0.45">
      <c r="A2292" t="s">
        <v>3648</v>
      </c>
      <c r="B2292" s="1">
        <v>45774</v>
      </c>
      <c r="C2292" t="s">
        <v>2772</v>
      </c>
      <c r="D2292" t="s">
        <v>2771</v>
      </c>
      <c r="E2292">
        <v>120</v>
      </c>
      <c r="F2292">
        <v>1</v>
      </c>
      <c r="G2292">
        <f t="shared" si="105"/>
        <v>120</v>
      </c>
      <c r="H2292" t="s">
        <v>17</v>
      </c>
      <c r="I2292">
        <f t="shared" si="106"/>
        <v>144</v>
      </c>
      <c r="J2292">
        <f t="shared" si="107"/>
        <v>144</v>
      </c>
    </row>
    <row r="2293" spans="1:10" x14ac:dyDescent="0.45">
      <c r="A2293" t="s">
        <v>907</v>
      </c>
      <c r="B2293" s="1">
        <v>45775</v>
      </c>
      <c r="C2293" t="s">
        <v>12</v>
      </c>
      <c r="D2293" t="s">
        <v>5022</v>
      </c>
      <c r="E2293">
        <v>2880</v>
      </c>
      <c r="F2293">
        <v>2</v>
      </c>
      <c r="G2293">
        <f t="shared" si="105"/>
        <v>5760</v>
      </c>
      <c r="H2293" t="s">
        <v>17</v>
      </c>
      <c r="I2293">
        <f t="shared" si="106"/>
        <v>3456</v>
      </c>
      <c r="J2293">
        <f t="shared" si="107"/>
        <v>6912</v>
      </c>
    </row>
    <row r="2294" spans="1:10" x14ac:dyDescent="0.45">
      <c r="A2294" t="s">
        <v>908</v>
      </c>
      <c r="B2294" s="1">
        <v>45775</v>
      </c>
      <c r="C2294" t="s">
        <v>9</v>
      </c>
      <c r="D2294" t="s">
        <v>19</v>
      </c>
      <c r="E2294">
        <v>3000</v>
      </c>
      <c r="F2294">
        <v>10</v>
      </c>
      <c r="G2294">
        <f t="shared" si="105"/>
        <v>30000</v>
      </c>
      <c r="H2294" t="s">
        <v>21</v>
      </c>
      <c r="I2294">
        <f t="shared" si="106"/>
        <v>3600</v>
      </c>
      <c r="J2294">
        <f t="shared" si="107"/>
        <v>36000</v>
      </c>
    </row>
    <row r="2295" spans="1:10" x14ac:dyDescent="0.45">
      <c r="A2295" t="s">
        <v>909</v>
      </c>
      <c r="B2295" s="1">
        <v>45775</v>
      </c>
      <c r="C2295" t="s">
        <v>33</v>
      </c>
      <c r="D2295" t="s">
        <v>16</v>
      </c>
      <c r="E2295">
        <v>1200</v>
      </c>
      <c r="F2295">
        <v>6</v>
      </c>
      <c r="G2295">
        <f t="shared" si="105"/>
        <v>7200</v>
      </c>
      <c r="H2295" t="s">
        <v>21</v>
      </c>
      <c r="I2295">
        <f t="shared" si="106"/>
        <v>1440</v>
      </c>
      <c r="J2295">
        <f t="shared" si="107"/>
        <v>8640</v>
      </c>
    </row>
    <row r="2296" spans="1:10" x14ac:dyDescent="0.45">
      <c r="A2296" t="s">
        <v>910</v>
      </c>
      <c r="B2296" s="1">
        <v>45775</v>
      </c>
      <c r="C2296" t="s">
        <v>12</v>
      </c>
      <c r="D2296" t="s">
        <v>5020</v>
      </c>
      <c r="E2296">
        <v>2880</v>
      </c>
      <c r="F2296">
        <v>4</v>
      </c>
      <c r="G2296">
        <f t="shared" si="105"/>
        <v>11520</v>
      </c>
      <c r="H2296" t="s">
        <v>7</v>
      </c>
      <c r="I2296">
        <f t="shared" si="106"/>
        <v>3456</v>
      </c>
      <c r="J2296">
        <f t="shared" si="107"/>
        <v>13824</v>
      </c>
    </row>
    <row r="2297" spans="1:10" x14ac:dyDescent="0.45">
      <c r="A2297" t="s">
        <v>911</v>
      </c>
      <c r="B2297" s="1">
        <v>45775</v>
      </c>
      <c r="C2297" t="s">
        <v>12</v>
      </c>
      <c r="D2297" t="s">
        <v>5020</v>
      </c>
      <c r="E2297">
        <v>2880</v>
      </c>
      <c r="F2297">
        <v>9</v>
      </c>
      <c r="G2297">
        <f t="shared" si="105"/>
        <v>25920</v>
      </c>
      <c r="H2297" t="s">
        <v>7</v>
      </c>
      <c r="I2297">
        <f t="shared" si="106"/>
        <v>3456</v>
      </c>
      <c r="J2297">
        <f t="shared" si="107"/>
        <v>31104</v>
      </c>
    </row>
    <row r="2298" spans="1:10" x14ac:dyDescent="0.45">
      <c r="A2298" t="s">
        <v>912</v>
      </c>
      <c r="B2298" s="1">
        <v>45775</v>
      </c>
      <c r="C2298" t="s">
        <v>33</v>
      </c>
      <c r="D2298" t="s">
        <v>34</v>
      </c>
      <c r="E2298">
        <v>1700</v>
      </c>
      <c r="F2298">
        <v>6</v>
      </c>
      <c r="G2298">
        <f t="shared" si="105"/>
        <v>10200</v>
      </c>
      <c r="H2298" t="s">
        <v>17</v>
      </c>
      <c r="I2298">
        <f t="shared" si="106"/>
        <v>2040</v>
      </c>
      <c r="J2298">
        <f t="shared" si="107"/>
        <v>12240</v>
      </c>
    </row>
    <row r="2299" spans="1:10" x14ac:dyDescent="0.45">
      <c r="A2299" t="s">
        <v>913</v>
      </c>
      <c r="B2299" s="1">
        <v>45775</v>
      </c>
      <c r="C2299" t="s">
        <v>12</v>
      </c>
      <c r="D2299" t="s">
        <v>5022</v>
      </c>
      <c r="E2299">
        <v>2880</v>
      </c>
      <c r="F2299">
        <v>6</v>
      </c>
      <c r="G2299">
        <f t="shared" si="105"/>
        <v>17280</v>
      </c>
      <c r="H2299" t="s">
        <v>7</v>
      </c>
      <c r="I2299">
        <f t="shared" si="106"/>
        <v>3456</v>
      </c>
      <c r="J2299">
        <f t="shared" si="107"/>
        <v>20736</v>
      </c>
    </row>
    <row r="2300" spans="1:10" x14ac:dyDescent="0.45">
      <c r="A2300" t="s">
        <v>914</v>
      </c>
      <c r="B2300" s="1">
        <v>45775</v>
      </c>
      <c r="C2300" t="s">
        <v>12</v>
      </c>
      <c r="D2300" t="s">
        <v>5023</v>
      </c>
      <c r="E2300">
        <v>1750</v>
      </c>
      <c r="F2300">
        <v>1</v>
      </c>
      <c r="G2300">
        <f t="shared" si="105"/>
        <v>1750</v>
      </c>
      <c r="H2300" t="s">
        <v>7</v>
      </c>
      <c r="I2300">
        <f t="shared" si="106"/>
        <v>2100</v>
      </c>
      <c r="J2300">
        <f t="shared" si="107"/>
        <v>2100</v>
      </c>
    </row>
    <row r="2301" spans="1:10" x14ac:dyDescent="0.45">
      <c r="A2301" t="s">
        <v>915</v>
      </c>
      <c r="B2301" s="1">
        <v>45775</v>
      </c>
      <c r="C2301" t="s">
        <v>33</v>
      </c>
      <c r="D2301" t="s">
        <v>34</v>
      </c>
      <c r="E2301">
        <v>1700</v>
      </c>
      <c r="F2301">
        <v>4</v>
      </c>
      <c r="G2301">
        <f t="shared" si="105"/>
        <v>6800</v>
      </c>
      <c r="H2301" t="s">
        <v>21</v>
      </c>
      <c r="I2301">
        <f t="shared" si="106"/>
        <v>2040</v>
      </c>
      <c r="J2301">
        <f t="shared" si="107"/>
        <v>8160</v>
      </c>
    </row>
    <row r="2302" spans="1:10" x14ac:dyDescent="0.45">
      <c r="A2302" t="s">
        <v>3429</v>
      </c>
      <c r="B2302" s="1">
        <v>45775</v>
      </c>
      <c r="C2302" t="s">
        <v>4007</v>
      </c>
      <c r="D2302" t="s">
        <v>2774</v>
      </c>
      <c r="E2302">
        <v>1900</v>
      </c>
      <c r="F2302">
        <v>10</v>
      </c>
      <c r="G2302">
        <f t="shared" si="105"/>
        <v>19000</v>
      </c>
      <c r="H2302" t="s">
        <v>21</v>
      </c>
      <c r="I2302">
        <f t="shared" si="106"/>
        <v>2280</v>
      </c>
      <c r="J2302">
        <f t="shared" si="107"/>
        <v>22800</v>
      </c>
    </row>
    <row r="2303" spans="1:10" x14ac:dyDescent="0.45">
      <c r="A2303" t="s">
        <v>3430</v>
      </c>
      <c r="B2303" s="1">
        <v>45775</v>
      </c>
      <c r="C2303" t="s">
        <v>4007</v>
      </c>
      <c r="D2303" t="s">
        <v>2776</v>
      </c>
      <c r="E2303">
        <v>3600</v>
      </c>
      <c r="F2303">
        <v>6</v>
      </c>
      <c r="G2303">
        <f t="shared" si="105"/>
        <v>21600</v>
      </c>
      <c r="H2303" t="s">
        <v>17</v>
      </c>
      <c r="I2303">
        <f t="shared" si="106"/>
        <v>4320</v>
      </c>
      <c r="J2303">
        <f t="shared" si="107"/>
        <v>25920</v>
      </c>
    </row>
    <row r="2304" spans="1:10" x14ac:dyDescent="0.45">
      <c r="A2304" t="s">
        <v>3574</v>
      </c>
      <c r="B2304" s="1">
        <v>45775</v>
      </c>
      <c r="C2304" t="s">
        <v>4007</v>
      </c>
      <c r="D2304" t="s">
        <v>2774</v>
      </c>
      <c r="E2304">
        <v>1900</v>
      </c>
      <c r="F2304">
        <v>9</v>
      </c>
      <c r="G2304">
        <f t="shared" si="105"/>
        <v>17100</v>
      </c>
      <c r="H2304" t="s">
        <v>17</v>
      </c>
      <c r="I2304">
        <f t="shared" si="106"/>
        <v>2280</v>
      </c>
      <c r="J2304">
        <f t="shared" si="107"/>
        <v>20520</v>
      </c>
    </row>
    <row r="2305" spans="1:10" x14ac:dyDescent="0.45">
      <c r="A2305" t="s">
        <v>3698</v>
      </c>
      <c r="B2305" s="1">
        <v>45775</v>
      </c>
      <c r="C2305" t="s">
        <v>4007</v>
      </c>
      <c r="D2305" t="s">
        <v>28</v>
      </c>
      <c r="E2305">
        <v>500</v>
      </c>
      <c r="F2305">
        <v>4</v>
      </c>
      <c r="G2305">
        <f t="shared" si="105"/>
        <v>2000</v>
      </c>
      <c r="H2305" t="s">
        <v>21</v>
      </c>
      <c r="I2305">
        <f t="shared" si="106"/>
        <v>600</v>
      </c>
      <c r="J2305">
        <f t="shared" si="107"/>
        <v>2400</v>
      </c>
    </row>
    <row r="2306" spans="1:10" x14ac:dyDescent="0.45">
      <c r="A2306" t="s">
        <v>3840</v>
      </c>
      <c r="B2306" s="1">
        <v>45775</v>
      </c>
      <c r="C2306" t="s">
        <v>4007</v>
      </c>
      <c r="D2306" t="s">
        <v>2774</v>
      </c>
      <c r="E2306">
        <v>1900</v>
      </c>
      <c r="F2306">
        <v>6</v>
      </c>
      <c r="G2306">
        <f t="shared" ref="G2306:G2369" si="108">E2306*F2306</f>
        <v>11400</v>
      </c>
      <c r="H2306" t="s">
        <v>21</v>
      </c>
      <c r="I2306">
        <f t="shared" ref="I2306:I2369" si="109">E2306*1.2</f>
        <v>2280</v>
      </c>
      <c r="J2306">
        <f t="shared" ref="J2306:J2369" si="110">I2306*F2306</f>
        <v>13680</v>
      </c>
    </row>
    <row r="2307" spans="1:10" x14ac:dyDescent="0.45">
      <c r="A2307" t="s">
        <v>916</v>
      </c>
      <c r="B2307" s="1">
        <v>45776</v>
      </c>
      <c r="C2307" t="s">
        <v>4007</v>
      </c>
      <c r="D2307" t="s">
        <v>4005</v>
      </c>
      <c r="E2307">
        <v>60000</v>
      </c>
      <c r="F2307">
        <v>1</v>
      </c>
      <c r="G2307">
        <f t="shared" si="108"/>
        <v>60000</v>
      </c>
      <c r="H2307" t="s">
        <v>17</v>
      </c>
      <c r="I2307">
        <f t="shared" si="109"/>
        <v>72000</v>
      </c>
      <c r="J2307">
        <f t="shared" si="110"/>
        <v>72000</v>
      </c>
    </row>
    <row r="2308" spans="1:10" x14ac:dyDescent="0.45">
      <c r="A2308" t="s">
        <v>917</v>
      </c>
      <c r="B2308" s="1">
        <v>45776</v>
      </c>
      <c r="C2308" t="s">
        <v>12</v>
      </c>
      <c r="D2308" t="s">
        <v>5023</v>
      </c>
      <c r="E2308">
        <v>1750</v>
      </c>
      <c r="F2308">
        <v>7</v>
      </c>
      <c r="G2308">
        <f t="shared" si="108"/>
        <v>12250</v>
      </c>
      <c r="H2308" t="s">
        <v>21</v>
      </c>
      <c r="I2308">
        <f t="shared" si="109"/>
        <v>2100</v>
      </c>
      <c r="J2308">
        <f t="shared" si="110"/>
        <v>14700</v>
      </c>
    </row>
    <row r="2309" spans="1:10" x14ac:dyDescent="0.45">
      <c r="A2309" t="s">
        <v>918</v>
      </c>
      <c r="B2309" s="1">
        <v>45776</v>
      </c>
      <c r="C2309" t="s">
        <v>4007</v>
      </c>
      <c r="D2309" t="s">
        <v>39</v>
      </c>
      <c r="E2309">
        <v>6000</v>
      </c>
      <c r="F2309">
        <v>6</v>
      </c>
      <c r="G2309">
        <f t="shared" si="108"/>
        <v>36000</v>
      </c>
      <c r="H2309" t="s">
        <v>17</v>
      </c>
      <c r="I2309">
        <f t="shared" si="109"/>
        <v>7200</v>
      </c>
      <c r="J2309">
        <f t="shared" si="110"/>
        <v>43200</v>
      </c>
    </row>
    <row r="2310" spans="1:10" x14ac:dyDescent="0.45">
      <c r="A2310" t="s">
        <v>919</v>
      </c>
      <c r="B2310" s="1">
        <v>45776</v>
      </c>
      <c r="C2310" t="s">
        <v>33</v>
      </c>
      <c r="D2310" t="s">
        <v>14</v>
      </c>
      <c r="E2310">
        <v>800</v>
      </c>
      <c r="F2310">
        <v>10</v>
      </c>
      <c r="G2310">
        <f t="shared" si="108"/>
        <v>8000</v>
      </c>
      <c r="H2310" t="s">
        <v>17</v>
      </c>
      <c r="I2310">
        <f t="shared" si="109"/>
        <v>960</v>
      </c>
      <c r="J2310">
        <f t="shared" si="110"/>
        <v>9600</v>
      </c>
    </row>
    <row r="2311" spans="1:10" x14ac:dyDescent="0.45">
      <c r="A2311" t="s">
        <v>920</v>
      </c>
      <c r="B2311" s="1">
        <v>45776</v>
      </c>
      <c r="C2311" t="s">
        <v>12</v>
      </c>
      <c r="D2311" t="s">
        <v>5021</v>
      </c>
      <c r="E2311">
        <v>2880</v>
      </c>
      <c r="F2311">
        <v>8</v>
      </c>
      <c r="G2311">
        <f t="shared" si="108"/>
        <v>23040</v>
      </c>
      <c r="H2311" t="s">
        <v>7</v>
      </c>
      <c r="I2311">
        <f t="shared" si="109"/>
        <v>3456</v>
      </c>
      <c r="J2311">
        <f t="shared" si="110"/>
        <v>27648</v>
      </c>
    </row>
    <row r="2312" spans="1:10" x14ac:dyDescent="0.45">
      <c r="A2312" t="s">
        <v>2870</v>
      </c>
      <c r="B2312" s="1">
        <v>45776</v>
      </c>
      <c r="C2312" t="s">
        <v>4007</v>
      </c>
      <c r="D2312" t="s">
        <v>2770</v>
      </c>
      <c r="E2312">
        <v>600</v>
      </c>
      <c r="F2312">
        <v>6</v>
      </c>
      <c r="G2312">
        <f t="shared" si="108"/>
        <v>3600</v>
      </c>
      <c r="H2312" t="s">
        <v>21</v>
      </c>
      <c r="I2312">
        <f t="shared" si="109"/>
        <v>720</v>
      </c>
      <c r="J2312">
        <f t="shared" si="110"/>
        <v>4320</v>
      </c>
    </row>
    <row r="2313" spans="1:10" x14ac:dyDescent="0.45">
      <c r="A2313" t="s">
        <v>3060</v>
      </c>
      <c r="B2313" s="1">
        <v>45776</v>
      </c>
      <c r="C2313" t="s">
        <v>4007</v>
      </c>
      <c r="D2313" t="s">
        <v>2774</v>
      </c>
      <c r="E2313">
        <v>1900</v>
      </c>
      <c r="F2313">
        <v>9</v>
      </c>
      <c r="G2313">
        <f t="shared" si="108"/>
        <v>17100</v>
      </c>
      <c r="H2313" t="s">
        <v>21</v>
      </c>
      <c r="I2313">
        <f t="shared" si="109"/>
        <v>2280</v>
      </c>
      <c r="J2313">
        <f t="shared" si="110"/>
        <v>20520</v>
      </c>
    </row>
    <row r="2314" spans="1:10" x14ac:dyDescent="0.45">
      <c r="A2314" t="s">
        <v>3428</v>
      </c>
      <c r="B2314" s="1">
        <v>45776</v>
      </c>
      <c r="C2314" t="s">
        <v>2772</v>
      </c>
      <c r="D2314" t="s">
        <v>2775</v>
      </c>
      <c r="E2314">
        <v>9100</v>
      </c>
      <c r="F2314">
        <v>7</v>
      </c>
      <c r="G2314">
        <f t="shared" si="108"/>
        <v>63700</v>
      </c>
      <c r="H2314" t="s">
        <v>21</v>
      </c>
      <c r="I2314">
        <f t="shared" si="109"/>
        <v>10920</v>
      </c>
      <c r="J2314">
        <f t="shared" si="110"/>
        <v>76440</v>
      </c>
    </row>
    <row r="2315" spans="1:10" x14ac:dyDescent="0.45">
      <c r="A2315" t="s">
        <v>3471</v>
      </c>
      <c r="B2315" s="1">
        <v>45776</v>
      </c>
      <c r="C2315" t="s">
        <v>4007</v>
      </c>
      <c r="D2315" t="s">
        <v>2774</v>
      </c>
      <c r="E2315">
        <v>1900</v>
      </c>
      <c r="F2315">
        <v>4</v>
      </c>
      <c r="G2315">
        <f t="shared" si="108"/>
        <v>7600</v>
      </c>
      <c r="H2315" t="s">
        <v>17</v>
      </c>
      <c r="I2315">
        <f t="shared" si="109"/>
        <v>2280</v>
      </c>
      <c r="J2315">
        <f t="shared" si="110"/>
        <v>9120</v>
      </c>
    </row>
    <row r="2316" spans="1:10" x14ac:dyDescent="0.45">
      <c r="A2316" t="s">
        <v>3497</v>
      </c>
      <c r="B2316" s="1">
        <v>45776</v>
      </c>
      <c r="C2316" t="s">
        <v>4007</v>
      </c>
      <c r="D2316" t="s">
        <v>28</v>
      </c>
      <c r="E2316">
        <v>500</v>
      </c>
      <c r="F2316">
        <v>1</v>
      </c>
      <c r="G2316">
        <f t="shared" si="108"/>
        <v>500</v>
      </c>
      <c r="H2316" t="s">
        <v>21</v>
      </c>
      <c r="I2316">
        <f t="shared" si="109"/>
        <v>600</v>
      </c>
      <c r="J2316">
        <f t="shared" si="110"/>
        <v>600</v>
      </c>
    </row>
    <row r="2317" spans="1:10" x14ac:dyDescent="0.45">
      <c r="A2317" t="s">
        <v>3746</v>
      </c>
      <c r="B2317" s="1">
        <v>45776</v>
      </c>
      <c r="C2317" t="s">
        <v>4007</v>
      </c>
      <c r="D2317" t="s">
        <v>2774</v>
      </c>
      <c r="E2317">
        <v>1900</v>
      </c>
      <c r="F2317">
        <v>8</v>
      </c>
      <c r="G2317">
        <f t="shared" si="108"/>
        <v>15200</v>
      </c>
      <c r="H2317" t="s">
        <v>7</v>
      </c>
      <c r="I2317">
        <f t="shared" si="109"/>
        <v>2280</v>
      </c>
      <c r="J2317">
        <f t="shared" si="110"/>
        <v>18240</v>
      </c>
    </row>
    <row r="2318" spans="1:10" x14ac:dyDescent="0.45">
      <c r="A2318" t="s">
        <v>921</v>
      </c>
      <c r="B2318" s="1">
        <v>45777</v>
      </c>
      <c r="C2318" t="s">
        <v>12</v>
      </c>
      <c r="D2318" t="s">
        <v>5022</v>
      </c>
      <c r="E2318">
        <v>2880</v>
      </c>
      <c r="F2318">
        <v>2</v>
      </c>
      <c r="G2318">
        <f t="shared" si="108"/>
        <v>5760</v>
      </c>
      <c r="H2318" t="s">
        <v>21</v>
      </c>
      <c r="I2318">
        <f t="shared" si="109"/>
        <v>3456</v>
      </c>
      <c r="J2318">
        <f t="shared" si="110"/>
        <v>6912</v>
      </c>
    </row>
    <row r="2319" spans="1:10" x14ac:dyDescent="0.45">
      <c r="A2319" t="s">
        <v>922</v>
      </c>
      <c r="B2319" s="1">
        <v>45777</v>
      </c>
      <c r="C2319" t="s">
        <v>9</v>
      </c>
      <c r="D2319" t="s">
        <v>19</v>
      </c>
      <c r="E2319">
        <v>3000</v>
      </c>
      <c r="F2319">
        <v>4</v>
      </c>
      <c r="G2319">
        <f t="shared" si="108"/>
        <v>12000</v>
      </c>
      <c r="H2319" t="s">
        <v>7</v>
      </c>
      <c r="I2319">
        <f t="shared" si="109"/>
        <v>3600</v>
      </c>
      <c r="J2319">
        <f t="shared" si="110"/>
        <v>14400</v>
      </c>
    </row>
    <row r="2320" spans="1:10" x14ac:dyDescent="0.45">
      <c r="A2320" t="s">
        <v>923</v>
      </c>
      <c r="B2320" s="1">
        <v>45777</v>
      </c>
      <c r="C2320" t="s">
        <v>33</v>
      </c>
      <c r="D2320" t="s">
        <v>34</v>
      </c>
      <c r="E2320">
        <v>1700</v>
      </c>
      <c r="F2320">
        <v>7</v>
      </c>
      <c r="G2320">
        <f t="shared" si="108"/>
        <v>11900</v>
      </c>
      <c r="H2320" t="s">
        <v>17</v>
      </c>
      <c r="I2320">
        <f t="shared" si="109"/>
        <v>2040</v>
      </c>
      <c r="J2320">
        <f t="shared" si="110"/>
        <v>14280</v>
      </c>
    </row>
    <row r="2321" spans="1:10" x14ac:dyDescent="0.45">
      <c r="A2321" t="s">
        <v>924</v>
      </c>
      <c r="B2321" s="1">
        <v>45777</v>
      </c>
      <c r="C2321" t="s">
        <v>4007</v>
      </c>
      <c r="D2321" t="s">
        <v>5015</v>
      </c>
      <c r="E2321">
        <v>48000</v>
      </c>
      <c r="F2321">
        <v>1</v>
      </c>
      <c r="G2321">
        <f t="shared" si="108"/>
        <v>48000</v>
      </c>
      <c r="H2321" t="s">
        <v>21</v>
      </c>
      <c r="I2321">
        <f t="shared" si="109"/>
        <v>57600</v>
      </c>
      <c r="J2321">
        <f t="shared" si="110"/>
        <v>57600</v>
      </c>
    </row>
    <row r="2322" spans="1:10" x14ac:dyDescent="0.45">
      <c r="A2322" t="s">
        <v>925</v>
      </c>
      <c r="B2322" s="1">
        <v>45777</v>
      </c>
      <c r="C2322" t="s">
        <v>12</v>
      </c>
      <c r="D2322" t="s">
        <v>5022</v>
      </c>
      <c r="E2322">
        <v>2880</v>
      </c>
      <c r="F2322">
        <v>1</v>
      </c>
      <c r="G2322">
        <f t="shared" si="108"/>
        <v>2880</v>
      </c>
      <c r="H2322" t="s">
        <v>17</v>
      </c>
      <c r="I2322">
        <f t="shared" si="109"/>
        <v>3456</v>
      </c>
      <c r="J2322">
        <f t="shared" si="110"/>
        <v>3456</v>
      </c>
    </row>
    <row r="2323" spans="1:10" x14ac:dyDescent="0.45">
      <c r="A2323" t="s">
        <v>3557</v>
      </c>
      <c r="B2323" s="1">
        <v>45777</v>
      </c>
      <c r="C2323" t="s">
        <v>4007</v>
      </c>
      <c r="D2323" t="s">
        <v>5015</v>
      </c>
      <c r="E2323">
        <v>48000</v>
      </c>
      <c r="F2323">
        <v>9</v>
      </c>
      <c r="G2323">
        <f t="shared" si="108"/>
        <v>432000</v>
      </c>
      <c r="H2323" t="s">
        <v>21</v>
      </c>
      <c r="I2323">
        <f t="shared" si="109"/>
        <v>57600</v>
      </c>
      <c r="J2323">
        <f t="shared" si="110"/>
        <v>518400</v>
      </c>
    </row>
    <row r="2324" spans="1:10" x14ac:dyDescent="0.45">
      <c r="A2324" t="s">
        <v>3599</v>
      </c>
      <c r="B2324" s="1">
        <v>45777</v>
      </c>
      <c r="C2324" t="s">
        <v>4007</v>
      </c>
      <c r="D2324" t="s">
        <v>28</v>
      </c>
      <c r="E2324">
        <v>500</v>
      </c>
      <c r="F2324">
        <v>1</v>
      </c>
      <c r="G2324">
        <f t="shared" si="108"/>
        <v>500</v>
      </c>
      <c r="H2324" t="s">
        <v>17</v>
      </c>
      <c r="I2324">
        <f t="shared" si="109"/>
        <v>600</v>
      </c>
      <c r="J2324">
        <f t="shared" si="110"/>
        <v>600</v>
      </c>
    </row>
    <row r="2325" spans="1:10" x14ac:dyDescent="0.45">
      <c r="A2325" t="s">
        <v>3829</v>
      </c>
      <c r="B2325" s="1">
        <v>45777</v>
      </c>
      <c r="C2325" t="s">
        <v>2772</v>
      </c>
      <c r="D2325" t="s">
        <v>2775</v>
      </c>
      <c r="E2325">
        <v>9100</v>
      </c>
      <c r="F2325">
        <v>6</v>
      </c>
      <c r="G2325">
        <f t="shared" si="108"/>
        <v>54600</v>
      </c>
      <c r="H2325" t="s">
        <v>17</v>
      </c>
      <c r="I2325">
        <f t="shared" si="109"/>
        <v>10920</v>
      </c>
      <c r="J2325">
        <f t="shared" si="110"/>
        <v>65520</v>
      </c>
    </row>
    <row r="2326" spans="1:10" x14ac:dyDescent="0.45">
      <c r="A2326" t="s">
        <v>3914</v>
      </c>
      <c r="B2326" s="1">
        <v>45777</v>
      </c>
      <c r="C2326" t="s">
        <v>4007</v>
      </c>
      <c r="D2326" t="s">
        <v>5015</v>
      </c>
      <c r="E2326">
        <v>48000</v>
      </c>
      <c r="F2326">
        <v>9</v>
      </c>
      <c r="G2326">
        <f t="shared" si="108"/>
        <v>432000</v>
      </c>
      <c r="H2326" t="s">
        <v>21</v>
      </c>
      <c r="I2326">
        <f t="shared" si="109"/>
        <v>57600</v>
      </c>
      <c r="J2326">
        <f t="shared" si="110"/>
        <v>518400</v>
      </c>
    </row>
    <row r="2327" spans="1:10" x14ac:dyDescent="0.45">
      <c r="A2327" t="s">
        <v>3924</v>
      </c>
      <c r="B2327" s="1">
        <v>45777</v>
      </c>
      <c r="C2327" t="s">
        <v>4007</v>
      </c>
      <c r="D2327" t="s">
        <v>28</v>
      </c>
      <c r="E2327">
        <v>500</v>
      </c>
      <c r="F2327">
        <v>10</v>
      </c>
      <c r="G2327">
        <f t="shared" si="108"/>
        <v>5000</v>
      </c>
      <c r="H2327" t="s">
        <v>17</v>
      </c>
      <c r="I2327">
        <f t="shared" si="109"/>
        <v>600</v>
      </c>
      <c r="J2327">
        <f t="shared" si="110"/>
        <v>6000</v>
      </c>
    </row>
    <row r="2328" spans="1:10" x14ac:dyDescent="0.45">
      <c r="A2328" t="s">
        <v>926</v>
      </c>
      <c r="B2328" s="1">
        <v>45778</v>
      </c>
      <c r="C2328" t="s">
        <v>9</v>
      </c>
      <c r="D2328" t="s">
        <v>19</v>
      </c>
      <c r="E2328">
        <v>3000</v>
      </c>
      <c r="F2328">
        <v>4</v>
      </c>
      <c r="G2328">
        <f t="shared" si="108"/>
        <v>12000</v>
      </c>
      <c r="H2328" t="s">
        <v>21</v>
      </c>
      <c r="I2328">
        <f t="shared" si="109"/>
        <v>3600</v>
      </c>
      <c r="J2328">
        <f t="shared" si="110"/>
        <v>14400</v>
      </c>
    </row>
    <row r="2329" spans="1:10" x14ac:dyDescent="0.45">
      <c r="A2329" t="s">
        <v>927</v>
      </c>
      <c r="B2329" s="1">
        <v>45778</v>
      </c>
      <c r="C2329" t="s">
        <v>33</v>
      </c>
      <c r="D2329" t="s">
        <v>42</v>
      </c>
      <c r="E2329">
        <v>6900</v>
      </c>
      <c r="F2329">
        <v>9</v>
      </c>
      <c r="G2329">
        <f t="shared" si="108"/>
        <v>62100</v>
      </c>
      <c r="H2329" t="s">
        <v>7</v>
      </c>
      <c r="I2329">
        <f t="shared" si="109"/>
        <v>8280</v>
      </c>
      <c r="J2329">
        <f t="shared" si="110"/>
        <v>74520</v>
      </c>
    </row>
    <row r="2330" spans="1:10" x14ac:dyDescent="0.45">
      <c r="A2330" t="s">
        <v>928</v>
      </c>
      <c r="B2330" s="1">
        <v>45778</v>
      </c>
      <c r="C2330" t="s">
        <v>12</v>
      </c>
      <c r="D2330" t="s">
        <v>5021</v>
      </c>
      <c r="E2330">
        <v>2880</v>
      </c>
      <c r="F2330">
        <v>1</v>
      </c>
      <c r="G2330">
        <f t="shared" si="108"/>
        <v>2880</v>
      </c>
      <c r="H2330" t="s">
        <v>21</v>
      </c>
      <c r="I2330">
        <f t="shared" si="109"/>
        <v>3456</v>
      </c>
      <c r="J2330">
        <f t="shared" si="110"/>
        <v>3456</v>
      </c>
    </row>
    <row r="2331" spans="1:10" x14ac:dyDescent="0.45">
      <c r="A2331" t="s">
        <v>929</v>
      </c>
      <c r="B2331" s="1">
        <v>45778</v>
      </c>
      <c r="C2331" t="s">
        <v>12</v>
      </c>
      <c r="D2331" t="s">
        <v>5020</v>
      </c>
      <c r="E2331">
        <v>2880</v>
      </c>
      <c r="F2331">
        <v>7</v>
      </c>
      <c r="G2331">
        <f t="shared" si="108"/>
        <v>20160</v>
      </c>
      <c r="H2331" t="s">
        <v>21</v>
      </c>
      <c r="I2331">
        <f t="shared" si="109"/>
        <v>3456</v>
      </c>
      <c r="J2331">
        <f t="shared" si="110"/>
        <v>24192</v>
      </c>
    </row>
    <row r="2332" spans="1:10" x14ac:dyDescent="0.45">
      <c r="A2332" t="s">
        <v>930</v>
      </c>
      <c r="B2332" s="1">
        <v>45778</v>
      </c>
      <c r="C2332" t="s">
        <v>4007</v>
      </c>
      <c r="D2332" t="s">
        <v>5015</v>
      </c>
      <c r="E2332">
        <v>48000</v>
      </c>
      <c r="F2332">
        <v>6</v>
      </c>
      <c r="G2332">
        <f t="shared" si="108"/>
        <v>288000</v>
      </c>
      <c r="H2332" t="s">
        <v>17</v>
      </c>
      <c r="I2332">
        <f t="shared" si="109"/>
        <v>57600</v>
      </c>
      <c r="J2332">
        <f t="shared" si="110"/>
        <v>345600</v>
      </c>
    </row>
    <row r="2333" spans="1:10" x14ac:dyDescent="0.45">
      <c r="A2333" t="s">
        <v>931</v>
      </c>
      <c r="B2333" s="1">
        <v>45778</v>
      </c>
      <c r="C2333" t="s">
        <v>4007</v>
      </c>
      <c r="D2333" t="s">
        <v>5015</v>
      </c>
      <c r="E2333">
        <v>48000</v>
      </c>
      <c r="F2333">
        <v>9</v>
      </c>
      <c r="G2333">
        <f t="shared" si="108"/>
        <v>432000</v>
      </c>
      <c r="H2333" t="s">
        <v>21</v>
      </c>
      <c r="I2333">
        <f t="shared" si="109"/>
        <v>57600</v>
      </c>
      <c r="J2333">
        <f t="shared" si="110"/>
        <v>518400</v>
      </c>
    </row>
    <row r="2334" spans="1:10" x14ac:dyDescent="0.45">
      <c r="A2334" t="s">
        <v>932</v>
      </c>
      <c r="B2334" s="1">
        <v>45778</v>
      </c>
      <c r="C2334" t="s">
        <v>9</v>
      </c>
      <c r="D2334" t="s">
        <v>25</v>
      </c>
      <c r="E2334">
        <v>5200</v>
      </c>
      <c r="F2334">
        <v>1</v>
      </c>
      <c r="G2334">
        <f t="shared" si="108"/>
        <v>5200</v>
      </c>
      <c r="H2334" t="s">
        <v>7</v>
      </c>
      <c r="I2334">
        <f t="shared" si="109"/>
        <v>6240</v>
      </c>
      <c r="J2334">
        <f t="shared" si="110"/>
        <v>6240</v>
      </c>
    </row>
    <row r="2335" spans="1:10" x14ac:dyDescent="0.45">
      <c r="A2335" t="s">
        <v>933</v>
      </c>
      <c r="B2335" s="1">
        <v>45778</v>
      </c>
      <c r="C2335" t="s">
        <v>12</v>
      </c>
      <c r="D2335" t="s">
        <v>5023</v>
      </c>
      <c r="E2335">
        <v>1750</v>
      </c>
      <c r="F2335">
        <v>2</v>
      </c>
      <c r="G2335">
        <f t="shared" si="108"/>
        <v>3500</v>
      </c>
      <c r="H2335" t="s">
        <v>17</v>
      </c>
      <c r="I2335">
        <f t="shared" si="109"/>
        <v>2100</v>
      </c>
      <c r="J2335">
        <f t="shared" si="110"/>
        <v>4200</v>
      </c>
    </row>
    <row r="2336" spans="1:10" x14ac:dyDescent="0.45">
      <c r="A2336" t="s">
        <v>934</v>
      </c>
      <c r="B2336" s="1">
        <v>45778</v>
      </c>
      <c r="C2336" t="s">
        <v>33</v>
      </c>
      <c r="D2336" t="s">
        <v>16</v>
      </c>
      <c r="E2336">
        <v>1200</v>
      </c>
      <c r="F2336">
        <v>2</v>
      </c>
      <c r="G2336">
        <f t="shared" si="108"/>
        <v>2400</v>
      </c>
      <c r="H2336" t="s">
        <v>21</v>
      </c>
      <c r="I2336">
        <f t="shared" si="109"/>
        <v>1440</v>
      </c>
      <c r="J2336">
        <f t="shared" si="110"/>
        <v>2880</v>
      </c>
    </row>
    <row r="2337" spans="1:10" x14ac:dyDescent="0.45">
      <c r="A2337" t="s">
        <v>3233</v>
      </c>
      <c r="B2337" s="1">
        <v>45778</v>
      </c>
      <c r="C2337" t="s">
        <v>4007</v>
      </c>
      <c r="D2337" t="s">
        <v>2776</v>
      </c>
      <c r="E2337">
        <v>3600</v>
      </c>
      <c r="F2337">
        <v>2</v>
      </c>
      <c r="G2337">
        <f t="shared" si="108"/>
        <v>7200</v>
      </c>
      <c r="H2337" t="s">
        <v>17</v>
      </c>
      <c r="I2337">
        <f t="shared" si="109"/>
        <v>4320</v>
      </c>
      <c r="J2337">
        <f t="shared" si="110"/>
        <v>8640</v>
      </c>
    </row>
    <row r="2338" spans="1:10" x14ac:dyDescent="0.45">
      <c r="A2338" t="s">
        <v>3603</v>
      </c>
      <c r="B2338" s="1">
        <v>45778</v>
      </c>
      <c r="C2338" t="s">
        <v>4007</v>
      </c>
      <c r="D2338" t="s">
        <v>5015</v>
      </c>
      <c r="E2338">
        <v>48000</v>
      </c>
      <c r="F2338">
        <v>6</v>
      </c>
      <c r="G2338">
        <f t="shared" si="108"/>
        <v>288000</v>
      </c>
      <c r="H2338" t="s">
        <v>21</v>
      </c>
      <c r="I2338">
        <f t="shared" si="109"/>
        <v>57600</v>
      </c>
      <c r="J2338">
        <f t="shared" si="110"/>
        <v>345600</v>
      </c>
    </row>
    <row r="2339" spans="1:10" x14ac:dyDescent="0.45">
      <c r="A2339" t="s">
        <v>3910</v>
      </c>
      <c r="B2339" s="1">
        <v>45778</v>
      </c>
      <c r="C2339" t="s">
        <v>4007</v>
      </c>
      <c r="D2339" t="s">
        <v>2773</v>
      </c>
      <c r="E2339">
        <v>3300</v>
      </c>
      <c r="F2339">
        <v>7</v>
      </c>
      <c r="G2339">
        <f t="shared" si="108"/>
        <v>23100</v>
      </c>
      <c r="H2339" t="s">
        <v>7</v>
      </c>
      <c r="I2339">
        <f t="shared" si="109"/>
        <v>3960</v>
      </c>
      <c r="J2339">
        <f t="shared" si="110"/>
        <v>27720</v>
      </c>
    </row>
    <row r="2340" spans="1:10" x14ac:dyDescent="0.45">
      <c r="A2340" t="s">
        <v>935</v>
      </c>
      <c r="B2340" s="1">
        <v>45779</v>
      </c>
      <c r="C2340" t="s">
        <v>33</v>
      </c>
      <c r="D2340" t="s">
        <v>34</v>
      </c>
      <c r="E2340">
        <v>1700</v>
      </c>
      <c r="F2340">
        <v>9</v>
      </c>
      <c r="G2340">
        <f t="shared" si="108"/>
        <v>15300</v>
      </c>
      <c r="H2340" t="s">
        <v>17</v>
      </c>
      <c r="I2340">
        <f t="shared" si="109"/>
        <v>2040</v>
      </c>
      <c r="J2340">
        <f t="shared" si="110"/>
        <v>18360</v>
      </c>
    </row>
    <row r="2341" spans="1:10" x14ac:dyDescent="0.45">
      <c r="A2341" t="s">
        <v>936</v>
      </c>
      <c r="B2341" s="1">
        <v>45779</v>
      </c>
      <c r="C2341" t="s">
        <v>4007</v>
      </c>
      <c r="D2341" t="s">
        <v>4005</v>
      </c>
      <c r="E2341">
        <v>60000</v>
      </c>
      <c r="F2341">
        <v>1</v>
      </c>
      <c r="G2341">
        <f t="shared" si="108"/>
        <v>60000</v>
      </c>
      <c r="H2341" t="s">
        <v>7</v>
      </c>
      <c r="I2341">
        <f t="shared" si="109"/>
        <v>72000</v>
      </c>
      <c r="J2341">
        <f t="shared" si="110"/>
        <v>72000</v>
      </c>
    </row>
    <row r="2342" spans="1:10" x14ac:dyDescent="0.45">
      <c r="A2342" t="s">
        <v>937</v>
      </c>
      <c r="B2342" s="1">
        <v>45779</v>
      </c>
      <c r="C2342" t="s">
        <v>12</v>
      </c>
      <c r="D2342" t="s">
        <v>5022</v>
      </c>
      <c r="E2342">
        <v>2880</v>
      </c>
      <c r="F2342">
        <v>1</v>
      </c>
      <c r="G2342">
        <f t="shared" si="108"/>
        <v>2880</v>
      </c>
      <c r="H2342" t="s">
        <v>7</v>
      </c>
      <c r="I2342">
        <f t="shared" si="109"/>
        <v>3456</v>
      </c>
      <c r="J2342">
        <f t="shared" si="110"/>
        <v>3456</v>
      </c>
    </row>
    <row r="2343" spans="1:10" x14ac:dyDescent="0.45">
      <c r="A2343" t="s">
        <v>938</v>
      </c>
      <c r="B2343" s="1">
        <v>45779</v>
      </c>
      <c r="C2343" t="s">
        <v>9</v>
      </c>
      <c r="D2343" t="s">
        <v>25</v>
      </c>
      <c r="E2343">
        <v>5200</v>
      </c>
      <c r="F2343">
        <v>5</v>
      </c>
      <c r="G2343">
        <f t="shared" si="108"/>
        <v>26000</v>
      </c>
      <c r="H2343" t="s">
        <v>21</v>
      </c>
      <c r="I2343">
        <f t="shared" si="109"/>
        <v>6240</v>
      </c>
      <c r="J2343">
        <f t="shared" si="110"/>
        <v>31200</v>
      </c>
    </row>
    <row r="2344" spans="1:10" x14ac:dyDescent="0.45">
      <c r="A2344" t="s">
        <v>939</v>
      </c>
      <c r="B2344" s="1">
        <v>45779</v>
      </c>
      <c r="C2344" t="s">
        <v>4007</v>
      </c>
      <c r="D2344" t="s">
        <v>39</v>
      </c>
      <c r="E2344">
        <v>6000</v>
      </c>
      <c r="F2344">
        <v>5</v>
      </c>
      <c r="G2344">
        <f t="shared" si="108"/>
        <v>30000</v>
      </c>
      <c r="H2344" t="s">
        <v>17</v>
      </c>
      <c r="I2344">
        <f t="shared" si="109"/>
        <v>7200</v>
      </c>
      <c r="J2344">
        <f t="shared" si="110"/>
        <v>36000</v>
      </c>
    </row>
    <row r="2345" spans="1:10" x14ac:dyDescent="0.45">
      <c r="A2345" t="s">
        <v>940</v>
      </c>
      <c r="B2345" s="1">
        <v>45779</v>
      </c>
      <c r="C2345" t="s">
        <v>9</v>
      </c>
      <c r="D2345" t="s">
        <v>10</v>
      </c>
      <c r="E2345">
        <v>400</v>
      </c>
      <c r="F2345">
        <v>4</v>
      </c>
      <c r="G2345">
        <f t="shared" si="108"/>
        <v>1600</v>
      </c>
      <c r="H2345" t="s">
        <v>7</v>
      </c>
      <c r="I2345">
        <f t="shared" si="109"/>
        <v>480</v>
      </c>
      <c r="J2345">
        <f t="shared" si="110"/>
        <v>1920</v>
      </c>
    </row>
    <row r="2346" spans="1:10" x14ac:dyDescent="0.45">
      <c r="A2346" t="s">
        <v>2865</v>
      </c>
      <c r="B2346" s="1">
        <v>45779</v>
      </c>
      <c r="C2346" t="s">
        <v>33</v>
      </c>
      <c r="D2346" t="s">
        <v>34</v>
      </c>
      <c r="E2346">
        <v>1700</v>
      </c>
      <c r="F2346">
        <v>4</v>
      </c>
      <c r="G2346">
        <f t="shared" si="108"/>
        <v>6800</v>
      </c>
      <c r="H2346" t="s">
        <v>17</v>
      </c>
      <c r="I2346">
        <f t="shared" si="109"/>
        <v>2040</v>
      </c>
      <c r="J2346">
        <f t="shared" si="110"/>
        <v>8160</v>
      </c>
    </row>
    <row r="2347" spans="1:10" x14ac:dyDescent="0.45">
      <c r="A2347" t="s">
        <v>3457</v>
      </c>
      <c r="B2347" s="1">
        <v>45779</v>
      </c>
      <c r="C2347" t="s">
        <v>4007</v>
      </c>
      <c r="D2347" t="s">
        <v>5015</v>
      </c>
      <c r="E2347">
        <v>48000</v>
      </c>
      <c r="F2347">
        <v>3</v>
      </c>
      <c r="G2347">
        <f t="shared" si="108"/>
        <v>144000</v>
      </c>
      <c r="H2347" t="s">
        <v>21</v>
      </c>
      <c r="I2347">
        <f t="shared" si="109"/>
        <v>57600</v>
      </c>
      <c r="J2347">
        <f t="shared" si="110"/>
        <v>172800</v>
      </c>
    </row>
    <row r="2348" spans="1:10" x14ac:dyDescent="0.45">
      <c r="A2348" t="s">
        <v>3582</v>
      </c>
      <c r="B2348" s="1">
        <v>45779</v>
      </c>
      <c r="C2348" t="s">
        <v>33</v>
      </c>
      <c r="D2348" t="s">
        <v>14</v>
      </c>
      <c r="E2348">
        <v>800</v>
      </c>
      <c r="F2348">
        <v>1</v>
      </c>
      <c r="G2348">
        <f t="shared" si="108"/>
        <v>800</v>
      </c>
      <c r="H2348" t="s">
        <v>17</v>
      </c>
      <c r="I2348">
        <f t="shared" si="109"/>
        <v>960</v>
      </c>
      <c r="J2348">
        <f t="shared" si="110"/>
        <v>960</v>
      </c>
    </row>
    <row r="2349" spans="1:10" x14ac:dyDescent="0.45">
      <c r="A2349" t="s">
        <v>3931</v>
      </c>
      <c r="B2349" s="1">
        <v>45779</v>
      </c>
      <c r="C2349" t="s">
        <v>2772</v>
      </c>
      <c r="D2349" t="s">
        <v>2771</v>
      </c>
      <c r="E2349">
        <v>120</v>
      </c>
      <c r="F2349">
        <v>7</v>
      </c>
      <c r="G2349">
        <f t="shared" si="108"/>
        <v>840</v>
      </c>
      <c r="H2349" t="s">
        <v>17</v>
      </c>
      <c r="I2349">
        <f t="shared" si="109"/>
        <v>144</v>
      </c>
      <c r="J2349">
        <f t="shared" si="110"/>
        <v>1008</v>
      </c>
    </row>
    <row r="2350" spans="1:10" x14ac:dyDescent="0.45">
      <c r="A2350" t="s">
        <v>941</v>
      </c>
      <c r="B2350" s="1">
        <v>45780</v>
      </c>
      <c r="C2350" t="s">
        <v>33</v>
      </c>
      <c r="D2350" t="s">
        <v>34</v>
      </c>
      <c r="E2350">
        <v>1700</v>
      </c>
      <c r="F2350">
        <v>5</v>
      </c>
      <c r="G2350">
        <f t="shared" si="108"/>
        <v>8500</v>
      </c>
      <c r="H2350" t="s">
        <v>21</v>
      </c>
      <c r="I2350">
        <f t="shared" si="109"/>
        <v>2040</v>
      </c>
      <c r="J2350">
        <f t="shared" si="110"/>
        <v>10200</v>
      </c>
    </row>
    <row r="2351" spans="1:10" x14ac:dyDescent="0.45">
      <c r="A2351" t="s">
        <v>942</v>
      </c>
      <c r="B2351" s="1">
        <v>45780</v>
      </c>
      <c r="C2351" t="s">
        <v>33</v>
      </c>
      <c r="D2351" t="s">
        <v>14</v>
      </c>
      <c r="E2351">
        <v>800</v>
      </c>
      <c r="F2351">
        <v>3</v>
      </c>
      <c r="G2351">
        <f t="shared" si="108"/>
        <v>2400</v>
      </c>
      <c r="H2351" t="s">
        <v>21</v>
      </c>
      <c r="I2351">
        <f t="shared" si="109"/>
        <v>960</v>
      </c>
      <c r="J2351">
        <f t="shared" si="110"/>
        <v>2880</v>
      </c>
    </row>
    <row r="2352" spans="1:10" x14ac:dyDescent="0.45">
      <c r="A2352" t="s">
        <v>943</v>
      </c>
      <c r="B2352" s="1">
        <v>45780</v>
      </c>
      <c r="C2352" t="s">
        <v>9</v>
      </c>
      <c r="D2352" t="s">
        <v>10</v>
      </c>
      <c r="E2352">
        <v>400</v>
      </c>
      <c r="F2352">
        <v>1</v>
      </c>
      <c r="G2352">
        <f t="shared" si="108"/>
        <v>400</v>
      </c>
      <c r="H2352" t="s">
        <v>21</v>
      </c>
      <c r="I2352">
        <f t="shared" si="109"/>
        <v>480</v>
      </c>
      <c r="J2352">
        <f t="shared" si="110"/>
        <v>480</v>
      </c>
    </row>
    <row r="2353" spans="1:10" x14ac:dyDescent="0.45">
      <c r="A2353" t="s">
        <v>944</v>
      </c>
      <c r="B2353" s="1">
        <v>45780</v>
      </c>
      <c r="C2353" t="s">
        <v>4007</v>
      </c>
      <c r="D2353" t="s">
        <v>28</v>
      </c>
      <c r="E2353">
        <v>500</v>
      </c>
      <c r="F2353">
        <v>5</v>
      </c>
      <c r="G2353">
        <f t="shared" si="108"/>
        <v>2500</v>
      </c>
      <c r="H2353" t="s">
        <v>17</v>
      </c>
      <c r="I2353">
        <f t="shared" si="109"/>
        <v>600</v>
      </c>
      <c r="J2353">
        <f t="shared" si="110"/>
        <v>3000</v>
      </c>
    </row>
    <row r="2354" spans="1:10" x14ac:dyDescent="0.45">
      <c r="A2354" t="s">
        <v>945</v>
      </c>
      <c r="B2354" s="1">
        <v>45780</v>
      </c>
      <c r="C2354" t="s">
        <v>4007</v>
      </c>
      <c r="D2354" t="s">
        <v>4005</v>
      </c>
      <c r="E2354">
        <v>60000</v>
      </c>
      <c r="F2354">
        <v>5</v>
      </c>
      <c r="G2354">
        <f t="shared" si="108"/>
        <v>300000</v>
      </c>
      <c r="H2354" t="s">
        <v>21</v>
      </c>
      <c r="I2354">
        <f t="shared" si="109"/>
        <v>72000</v>
      </c>
      <c r="J2354">
        <f t="shared" si="110"/>
        <v>360000</v>
      </c>
    </row>
    <row r="2355" spans="1:10" x14ac:dyDescent="0.45">
      <c r="A2355" t="s">
        <v>946</v>
      </c>
      <c r="B2355" s="1">
        <v>45780</v>
      </c>
      <c r="C2355" t="s">
        <v>4007</v>
      </c>
      <c r="D2355" t="s">
        <v>39</v>
      </c>
      <c r="E2355">
        <v>6000</v>
      </c>
      <c r="F2355">
        <v>2</v>
      </c>
      <c r="G2355">
        <f t="shared" si="108"/>
        <v>12000</v>
      </c>
      <c r="H2355" t="s">
        <v>17</v>
      </c>
      <c r="I2355">
        <f t="shared" si="109"/>
        <v>7200</v>
      </c>
      <c r="J2355">
        <f t="shared" si="110"/>
        <v>14400</v>
      </c>
    </row>
    <row r="2356" spans="1:10" x14ac:dyDescent="0.45">
      <c r="A2356" t="s">
        <v>947</v>
      </c>
      <c r="B2356" s="1">
        <v>45780</v>
      </c>
      <c r="C2356" t="s">
        <v>12</v>
      </c>
      <c r="D2356" t="s">
        <v>5021</v>
      </c>
      <c r="E2356">
        <v>2880</v>
      </c>
      <c r="F2356">
        <v>1</v>
      </c>
      <c r="G2356">
        <f t="shared" si="108"/>
        <v>2880</v>
      </c>
      <c r="H2356" t="s">
        <v>7</v>
      </c>
      <c r="I2356">
        <f t="shared" si="109"/>
        <v>3456</v>
      </c>
      <c r="J2356">
        <f t="shared" si="110"/>
        <v>3456</v>
      </c>
    </row>
    <row r="2357" spans="1:10" x14ac:dyDescent="0.45">
      <c r="A2357" t="s">
        <v>948</v>
      </c>
      <c r="B2357" s="1">
        <v>45780</v>
      </c>
      <c r="C2357" t="s">
        <v>4007</v>
      </c>
      <c r="D2357" t="s">
        <v>4005</v>
      </c>
      <c r="E2357">
        <v>60000</v>
      </c>
      <c r="F2357">
        <v>7</v>
      </c>
      <c r="G2357">
        <f t="shared" si="108"/>
        <v>420000</v>
      </c>
      <c r="H2357" t="s">
        <v>17</v>
      </c>
      <c r="I2357">
        <f t="shared" si="109"/>
        <v>72000</v>
      </c>
      <c r="J2357">
        <f t="shared" si="110"/>
        <v>504000</v>
      </c>
    </row>
    <row r="2358" spans="1:10" x14ac:dyDescent="0.45">
      <c r="A2358" t="s">
        <v>3412</v>
      </c>
      <c r="B2358" s="1">
        <v>45780</v>
      </c>
      <c r="C2358" t="s">
        <v>33</v>
      </c>
      <c r="D2358" t="s">
        <v>14</v>
      </c>
      <c r="E2358">
        <v>800</v>
      </c>
      <c r="F2358">
        <v>9</v>
      </c>
      <c r="G2358">
        <f t="shared" si="108"/>
        <v>7200</v>
      </c>
      <c r="H2358" t="s">
        <v>7</v>
      </c>
      <c r="I2358">
        <f t="shared" si="109"/>
        <v>960</v>
      </c>
      <c r="J2358">
        <f t="shared" si="110"/>
        <v>8640</v>
      </c>
    </row>
    <row r="2359" spans="1:10" x14ac:dyDescent="0.45">
      <c r="A2359" t="s">
        <v>3488</v>
      </c>
      <c r="B2359" s="1">
        <v>45780</v>
      </c>
      <c r="C2359" t="s">
        <v>4007</v>
      </c>
      <c r="D2359" t="s">
        <v>5015</v>
      </c>
      <c r="E2359">
        <v>48000</v>
      </c>
      <c r="F2359">
        <v>2</v>
      </c>
      <c r="G2359">
        <f t="shared" si="108"/>
        <v>96000</v>
      </c>
      <c r="H2359" t="s">
        <v>21</v>
      </c>
      <c r="I2359">
        <f t="shared" si="109"/>
        <v>57600</v>
      </c>
      <c r="J2359">
        <f t="shared" si="110"/>
        <v>115200</v>
      </c>
    </row>
    <row r="2360" spans="1:10" x14ac:dyDescent="0.45">
      <c r="A2360" t="s">
        <v>3558</v>
      </c>
      <c r="B2360" s="1">
        <v>45780</v>
      </c>
      <c r="C2360" t="s">
        <v>4007</v>
      </c>
      <c r="D2360" t="s">
        <v>2770</v>
      </c>
      <c r="E2360">
        <v>600</v>
      </c>
      <c r="F2360">
        <v>5</v>
      </c>
      <c r="G2360">
        <f t="shared" si="108"/>
        <v>3000</v>
      </c>
      <c r="H2360" t="s">
        <v>21</v>
      </c>
      <c r="I2360">
        <f t="shared" si="109"/>
        <v>720</v>
      </c>
      <c r="J2360">
        <f t="shared" si="110"/>
        <v>3600</v>
      </c>
    </row>
    <row r="2361" spans="1:10" x14ac:dyDescent="0.45">
      <c r="A2361" t="s">
        <v>3855</v>
      </c>
      <c r="B2361" s="1">
        <v>45780</v>
      </c>
      <c r="C2361" t="s">
        <v>4007</v>
      </c>
      <c r="D2361" t="s">
        <v>2770</v>
      </c>
      <c r="E2361">
        <v>600</v>
      </c>
      <c r="F2361">
        <v>6</v>
      </c>
      <c r="G2361">
        <f t="shared" si="108"/>
        <v>3600</v>
      </c>
      <c r="H2361" t="s">
        <v>7</v>
      </c>
      <c r="I2361">
        <f t="shared" si="109"/>
        <v>720</v>
      </c>
      <c r="J2361">
        <f t="shared" si="110"/>
        <v>4320</v>
      </c>
    </row>
    <row r="2362" spans="1:10" x14ac:dyDescent="0.45">
      <c r="A2362" t="s">
        <v>949</v>
      </c>
      <c r="B2362" s="1">
        <v>45781</v>
      </c>
      <c r="C2362" t="s">
        <v>12</v>
      </c>
      <c r="D2362" t="s">
        <v>5021</v>
      </c>
      <c r="E2362">
        <v>2880</v>
      </c>
      <c r="F2362">
        <v>5</v>
      </c>
      <c r="G2362">
        <f t="shared" si="108"/>
        <v>14400</v>
      </c>
      <c r="H2362" t="s">
        <v>17</v>
      </c>
      <c r="I2362">
        <f t="shared" si="109"/>
        <v>3456</v>
      </c>
      <c r="J2362">
        <f t="shared" si="110"/>
        <v>17280</v>
      </c>
    </row>
    <row r="2363" spans="1:10" x14ac:dyDescent="0.45">
      <c r="A2363" t="s">
        <v>950</v>
      </c>
      <c r="B2363" s="1">
        <v>45781</v>
      </c>
      <c r="C2363" t="s">
        <v>4007</v>
      </c>
      <c r="D2363" t="s">
        <v>28</v>
      </c>
      <c r="E2363">
        <v>500</v>
      </c>
      <c r="F2363">
        <v>7</v>
      </c>
      <c r="G2363">
        <f t="shared" si="108"/>
        <v>3500</v>
      </c>
      <c r="H2363" t="s">
        <v>21</v>
      </c>
      <c r="I2363">
        <f t="shared" si="109"/>
        <v>600</v>
      </c>
      <c r="J2363">
        <f t="shared" si="110"/>
        <v>4200</v>
      </c>
    </row>
    <row r="2364" spans="1:10" x14ac:dyDescent="0.45">
      <c r="A2364" t="s">
        <v>951</v>
      </c>
      <c r="B2364" s="1">
        <v>45781</v>
      </c>
      <c r="C2364" t="s">
        <v>4007</v>
      </c>
      <c r="D2364" t="s">
        <v>28</v>
      </c>
      <c r="E2364">
        <v>500</v>
      </c>
      <c r="F2364">
        <v>2</v>
      </c>
      <c r="G2364">
        <f t="shared" si="108"/>
        <v>1000</v>
      </c>
      <c r="H2364" t="s">
        <v>7</v>
      </c>
      <c r="I2364">
        <f t="shared" si="109"/>
        <v>600</v>
      </c>
      <c r="J2364">
        <f t="shared" si="110"/>
        <v>1200</v>
      </c>
    </row>
    <row r="2365" spans="1:10" x14ac:dyDescent="0.45">
      <c r="A2365" t="s">
        <v>952</v>
      </c>
      <c r="B2365" s="1">
        <v>45781</v>
      </c>
      <c r="C2365" t="s">
        <v>4007</v>
      </c>
      <c r="D2365" t="s">
        <v>39</v>
      </c>
      <c r="E2365">
        <v>6000</v>
      </c>
      <c r="F2365">
        <v>1</v>
      </c>
      <c r="G2365">
        <f t="shared" si="108"/>
        <v>6000</v>
      </c>
      <c r="H2365" t="s">
        <v>7</v>
      </c>
      <c r="I2365">
        <f t="shared" si="109"/>
        <v>7200</v>
      </c>
      <c r="J2365">
        <f t="shared" si="110"/>
        <v>7200</v>
      </c>
    </row>
    <row r="2366" spans="1:10" x14ac:dyDescent="0.45">
      <c r="A2366" t="s">
        <v>953</v>
      </c>
      <c r="B2366" s="1">
        <v>45781</v>
      </c>
      <c r="C2366" t="s">
        <v>12</v>
      </c>
      <c r="D2366" t="s">
        <v>5023</v>
      </c>
      <c r="E2366">
        <v>1750</v>
      </c>
      <c r="F2366">
        <v>1</v>
      </c>
      <c r="G2366">
        <f t="shared" si="108"/>
        <v>1750</v>
      </c>
      <c r="H2366" t="s">
        <v>7</v>
      </c>
      <c r="I2366">
        <f t="shared" si="109"/>
        <v>2100</v>
      </c>
      <c r="J2366">
        <f t="shared" si="110"/>
        <v>2100</v>
      </c>
    </row>
    <row r="2367" spans="1:10" x14ac:dyDescent="0.45">
      <c r="A2367" t="s">
        <v>954</v>
      </c>
      <c r="B2367" s="1">
        <v>45781</v>
      </c>
      <c r="C2367" t="s">
        <v>4007</v>
      </c>
      <c r="D2367" t="s">
        <v>5015</v>
      </c>
      <c r="E2367">
        <v>48000</v>
      </c>
      <c r="F2367">
        <v>5</v>
      </c>
      <c r="G2367">
        <f t="shared" si="108"/>
        <v>240000</v>
      </c>
      <c r="H2367" t="s">
        <v>21</v>
      </c>
      <c r="I2367">
        <f t="shared" si="109"/>
        <v>57600</v>
      </c>
      <c r="J2367">
        <f t="shared" si="110"/>
        <v>288000</v>
      </c>
    </row>
    <row r="2368" spans="1:10" x14ac:dyDescent="0.45">
      <c r="A2368" t="s">
        <v>955</v>
      </c>
      <c r="B2368" s="1">
        <v>45781</v>
      </c>
      <c r="C2368" t="s">
        <v>9</v>
      </c>
      <c r="D2368" t="s">
        <v>25</v>
      </c>
      <c r="E2368">
        <v>5200</v>
      </c>
      <c r="F2368">
        <v>2</v>
      </c>
      <c r="G2368">
        <f t="shared" si="108"/>
        <v>10400</v>
      </c>
      <c r="H2368" t="s">
        <v>21</v>
      </c>
      <c r="I2368">
        <f t="shared" si="109"/>
        <v>6240</v>
      </c>
      <c r="J2368">
        <f t="shared" si="110"/>
        <v>12480</v>
      </c>
    </row>
    <row r="2369" spans="1:10" x14ac:dyDescent="0.45">
      <c r="A2369" t="s">
        <v>956</v>
      </c>
      <c r="B2369" s="1">
        <v>45781</v>
      </c>
      <c r="C2369" t="s">
        <v>4007</v>
      </c>
      <c r="D2369" t="s">
        <v>5015</v>
      </c>
      <c r="E2369">
        <v>48000</v>
      </c>
      <c r="F2369">
        <v>8</v>
      </c>
      <c r="G2369">
        <f t="shared" si="108"/>
        <v>384000</v>
      </c>
      <c r="H2369" t="s">
        <v>7</v>
      </c>
      <c r="I2369">
        <f t="shared" si="109"/>
        <v>57600</v>
      </c>
      <c r="J2369">
        <f t="shared" si="110"/>
        <v>460800</v>
      </c>
    </row>
    <row r="2370" spans="1:10" x14ac:dyDescent="0.45">
      <c r="A2370" t="s">
        <v>2910</v>
      </c>
      <c r="B2370" s="1">
        <v>45781</v>
      </c>
      <c r="C2370" t="s">
        <v>4007</v>
      </c>
      <c r="D2370" t="s">
        <v>2774</v>
      </c>
      <c r="E2370">
        <v>1900</v>
      </c>
      <c r="F2370">
        <v>1</v>
      </c>
      <c r="G2370">
        <f t="shared" ref="G2370:G2433" si="111">E2370*F2370</f>
        <v>1900</v>
      </c>
      <c r="H2370" t="s">
        <v>21</v>
      </c>
      <c r="I2370">
        <f t="shared" ref="I2370:I2433" si="112">E2370*1.2</f>
        <v>2280</v>
      </c>
      <c r="J2370">
        <f t="shared" ref="J2370:J2433" si="113">I2370*F2370</f>
        <v>2280</v>
      </c>
    </row>
    <row r="2371" spans="1:10" x14ac:dyDescent="0.45">
      <c r="A2371" t="s">
        <v>3178</v>
      </c>
      <c r="B2371" s="1">
        <v>45781</v>
      </c>
      <c r="C2371" t="s">
        <v>4007</v>
      </c>
      <c r="D2371" t="s">
        <v>2773</v>
      </c>
      <c r="E2371">
        <v>3300</v>
      </c>
      <c r="F2371">
        <v>5</v>
      </c>
      <c r="G2371">
        <f t="shared" si="111"/>
        <v>16500</v>
      </c>
      <c r="H2371" t="s">
        <v>17</v>
      </c>
      <c r="I2371">
        <f t="shared" si="112"/>
        <v>3960</v>
      </c>
      <c r="J2371">
        <f t="shared" si="113"/>
        <v>19800</v>
      </c>
    </row>
    <row r="2372" spans="1:10" x14ac:dyDescent="0.45">
      <c r="A2372" t="s">
        <v>3368</v>
      </c>
      <c r="B2372" s="1">
        <v>45781</v>
      </c>
      <c r="C2372" t="s">
        <v>4007</v>
      </c>
      <c r="D2372" t="s">
        <v>5015</v>
      </c>
      <c r="E2372">
        <v>48000</v>
      </c>
      <c r="F2372">
        <v>2</v>
      </c>
      <c r="G2372">
        <f t="shared" si="111"/>
        <v>96000</v>
      </c>
      <c r="H2372" t="s">
        <v>7</v>
      </c>
      <c r="I2372">
        <f t="shared" si="112"/>
        <v>57600</v>
      </c>
      <c r="J2372">
        <f t="shared" si="113"/>
        <v>115200</v>
      </c>
    </row>
    <row r="2373" spans="1:10" x14ac:dyDescent="0.45">
      <c r="A2373" t="s">
        <v>3610</v>
      </c>
      <c r="B2373" s="1">
        <v>45781</v>
      </c>
      <c r="C2373" t="s">
        <v>4007</v>
      </c>
      <c r="D2373" t="s">
        <v>2774</v>
      </c>
      <c r="E2373">
        <v>1900</v>
      </c>
      <c r="F2373">
        <v>5</v>
      </c>
      <c r="G2373">
        <f t="shared" si="111"/>
        <v>9500</v>
      </c>
      <c r="H2373" t="s">
        <v>21</v>
      </c>
      <c r="I2373">
        <f t="shared" si="112"/>
        <v>2280</v>
      </c>
      <c r="J2373">
        <f t="shared" si="113"/>
        <v>11400</v>
      </c>
    </row>
    <row r="2374" spans="1:10" x14ac:dyDescent="0.45">
      <c r="A2374" t="s">
        <v>957</v>
      </c>
      <c r="B2374" s="1">
        <v>45782</v>
      </c>
      <c r="C2374" t="s">
        <v>9</v>
      </c>
      <c r="D2374" t="s">
        <v>25</v>
      </c>
      <c r="E2374">
        <v>5200</v>
      </c>
      <c r="F2374">
        <v>5</v>
      </c>
      <c r="G2374">
        <f t="shared" si="111"/>
        <v>26000</v>
      </c>
      <c r="H2374" t="s">
        <v>7</v>
      </c>
      <c r="I2374">
        <f t="shared" si="112"/>
        <v>6240</v>
      </c>
      <c r="J2374">
        <f t="shared" si="113"/>
        <v>31200</v>
      </c>
    </row>
    <row r="2375" spans="1:10" x14ac:dyDescent="0.45">
      <c r="A2375" t="s">
        <v>958</v>
      </c>
      <c r="B2375" s="1">
        <v>45782</v>
      </c>
      <c r="C2375" t="s">
        <v>33</v>
      </c>
      <c r="D2375" t="s">
        <v>42</v>
      </c>
      <c r="E2375">
        <v>6900</v>
      </c>
      <c r="F2375">
        <v>8</v>
      </c>
      <c r="G2375">
        <f t="shared" si="111"/>
        <v>55200</v>
      </c>
      <c r="H2375" t="s">
        <v>17</v>
      </c>
      <c r="I2375">
        <f t="shared" si="112"/>
        <v>8280</v>
      </c>
      <c r="J2375">
        <f t="shared" si="113"/>
        <v>66240</v>
      </c>
    </row>
    <row r="2376" spans="1:10" x14ac:dyDescent="0.45">
      <c r="A2376" t="s">
        <v>959</v>
      </c>
      <c r="B2376" s="1">
        <v>45782</v>
      </c>
      <c r="C2376" t="s">
        <v>12</v>
      </c>
      <c r="D2376" t="s">
        <v>5023</v>
      </c>
      <c r="E2376">
        <v>1750</v>
      </c>
      <c r="F2376">
        <v>5</v>
      </c>
      <c r="G2376">
        <f t="shared" si="111"/>
        <v>8750</v>
      </c>
      <c r="H2376" t="s">
        <v>17</v>
      </c>
      <c r="I2376">
        <f t="shared" si="112"/>
        <v>2100</v>
      </c>
      <c r="J2376">
        <f t="shared" si="113"/>
        <v>10500</v>
      </c>
    </row>
    <row r="2377" spans="1:10" x14ac:dyDescent="0.45">
      <c r="A2377" t="s">
        <v>960</v>
      </c>
      <c r="B2377" s="1">
        <v>45782</v>
      </c>
      <c r="C2377" t="s">
        <v>4007</v>
      </c>
      <c r="D2377" t="s">
        <v>4005</v>
      </c>
      <c r="E2377">
        <v>60000</v>
      </c>
      <c r="F2377">
        <v>9</v>
      </c>
      <c r="G2377">
        <f t="shared" si="111"/>
        <v>540000</v>
      </c>
      <c r="H2377" t="s">
        <v>17</v>
      </c>
      <c r="I2377">
        <f t="shared" si="112"/>
        <v>72000</v>
      </c>
      <c r="J2377">
        <f t="shared" si="113"/>
        <v>648000</v>
      </c>
    </row>
    <row r="2378" spans="1:10" x14ac:dyDescent="0.45">
      <c r="A2378" t="s">
        <v>961</v>
      </c>
      <c r="B2378" s="1">
        <v>45782</v>
      </c>
      <c r="C2378" t="s">
        <v>4007</v>
      </c>
      <c r="D2378" t="s">
        <v>4005</v>
      </c>
      <c r="E2378">
        <v>60000</v>
      </c>
      <c r="F2378">
        <v>5</v>
      </c>
      <c r="G2378">
        <f t="shared" si="111"/>
        <v>300000</v>
      </c>
      <c r="H2378" t="s">
        <v>7</v>
      </c>
      <c r="I2378">
        <f t="shared" si="112"/>
        <v>72000</v>
      </c>
      <c r="J2378">
        <f t="shared" si="113"/>
        <v>360000</v>
      </c>
    </row>
    <row r="2379" spans="1:10" x14ac:dyDescent="0.45">
      <c r="A2379" t="s">
        <v>2952</v>
      </c>
      <c r="B2379" s="1">
        <v>45782</v>
      </c>
      <c r="C2379" t="s">
        <v>4007</v>
      </c>
      <c r="D2379" t="s">
        <v>2774</v>
      </c>
      <c r="E2379">
        <v>1900</v>
      </c>
      <c r="F2379">
        <v>8</v>
      </c>
      <c r="G2379">
        <f t="shared" si="111"/>
        <v>15200</v>
      </c>
      <c r="H2379" t="s">
        <v>21</v>
      </c>
      <c r="I2379">
        <f t="shared" si="112"/>
        <v>2280</v>
      </c>
      <c r="J2379">
        <f t="shared" si="113"/>
        <v>18240</v>
      </c>
    </row>
    <row r="2380" spans="1:10" x14ac:dyDescent="0.45">
      <c r="A2380" t="s">
        <v>3325</v>
      </c>
      <c r="B2380" s="1">
        <v>45782</v>
      </c>
      <c r="C2380" t="s">
        <v>4007</v>
      </c>
      <c r="D2380" t="s">
        <v>2774</v>
      </c>
      <c r="E2380">
        <v>1900</v>
      </c>
      <c r="F2380">
        <v>3</v>
      </c>
      <c r="G2380">
        <f t="shared" si="111"/>
        <v>5700</v>
      </c>
      <c r="H2380" t="s">
        <v>7</v>
      </c>
      <c r="I2380">
        <f t="shared" si="112"/>
        <v>2280</v>
      </c>
      <c r="J2380">
        <f t="shared" si="113"/>
        <v>6840</v>
      </c>
    </row>
    <row r="2381" spans="1:10" x14ac:dyDescent="0.45">
      <c r="A2381" t="s">
        <v>3437</v>
      </c>
      <c r="B2381" s="1">
        <v>45782</v>
      </c>
      <c r="C2381" t="s">
        <v>4007</v>
      </c>
      <c r="D2381" t="s">
        <v>2774</v>
      </c>
      <c r="E2381">
        <v>1900</v>
      </c>
      <c r="F2381">
        <v>7</v>
      </c>
      <c r="G2381">
        <f t="shared" si="111"/>
        <v>13300</v>
      </c>
      <c r="H2381" t="s">
        <v>17</v>
      </c>
      <c r="I2381">
        <f t="shared" si="112"/>
        <v>2280</v>
      </c>
      <c r="J2381">
        <f t="shared" si="113"/>
        <v>15960</v>
      </c>
    </row>
    <row r="2382" spans="1:10" x14ac:dyDescent="0.45">
      <c r="A2382" t="s">
        <v>962</v>
      </c>
      <c r="B2382" s="1">
        <v>45783</v>
      </c>
      <c r="C2382" t="s">
        <v>4007</v>
      </c>
      <c r="D2382" t="s">
        <v>28</v>
      </c>
      <c r="E2382">
        <v>500</v>
      </c>
      <c r="F2382">
        <v>4</v>
      </c>
      <c r="G2382">
        <f t="shared" si="111"/>
        <v>2000</v>
      </c>
      <c r="H2382" t="s">
        <v>17</v>
      </c>
      <c r="I2382">
        <f t="shared" si="112"/>
        <v>600</v>
      </c>
      <c r="J2382">
        <f t="shared" si="113"/>
        <v>2400</v>
      </c>
    </row>
    <row r="2383" spans="1:10" x14ac:dyDescent="0.45">
      <c r="A2383" t="s">
        <v>963</v>
      </c>
      <c r="B2383" s="1">
        <v>45783</v>
      </c>
      <c r="C2383" t="s">
        <v>9</v>
      </c>
      <c r="D2383" t="s">
        <v>10</v>
      </c>
      <c r="E2383">
        <v>400</v>
      </c>
      <c r="F2383">
        <v>10</v>
      </c>
      <c r="G2383">
        <f t="shared" si="111"/>
        <v>4000</v>
      </c>
      <c r="H2383" t="s">
        <v>7</v>
      </c>
      <c r="I2383">
        <f t="shared" si="112"/>
        <v>480</v>
      </c>
      <c r="J2383">
        <f t="shared" si="113"/>
        <v>4800</v>
      </c>
    </row>
    <row r="2384" spans="1:10" x14ac:dyDescent="0.45">
      <c r="A2384" t="s">
        <v>964</v>
      </c>
      <c r="B2384" s="1">
        <v>45783</v>
      </c>
      <c r="C2384" t="s">
        <v>4007</v>
      </c>
      <c r="D2384" t="s">
        <v>28</v>
      </c>
      <c r="E2384">
        <v>500</v>
      </c>
      <c r="F2384">
        <v>9</v>
      </c>
      <c r="G2384">
        <f t="shared" si="111"/>
        <v>4500</v>
      </c>
      <c r="H2384" t="s">
        <v>21</v>
      </c>
      <c r="I2384">
        <f t="shared" si="112"/>
        <v>600</v>
      </c>
      <c r="J2384">
        <f t="shared" si="113"/>
        <v>5400</v>
      </c>
    </row>
    <row r="2385" spans="1:10" x14ac:dyDescent="0.45">
      <c r="A2385" t="s">
        <v>965</v>
      </c>
      <c r="B2385" s="1">
        <v>45783</v>
      </c>
      <c r="C2385" t="s">
        <v>9</v>
      </c>
      <c r="D2385" t="s">
        <v>25</v>
      </c>
      <c r="E2385">
        <v>5200</v>
      </c>
      <c r="F2385">
        <v>9</v>
      </c>
      <c r="G2385">
        <f t="shared" si="111"/>
        <v>46800</v>
      </c>
      <c r="H2385" t="s">
        <v>7</v>
      </c>
      <c r="I2385">
        <f t="shared" si="112"/>
        <v>6240</v>
      </c>
      <c r="J2385">
        <f t="shared" si="113"/>
        <v>56160</v>
      </c>
    </row>
    <row r="2386" spans="1:10" x14ac:dyDescent="0.45">
      <c r="A2386" t="s">
        <v>966</v>
      </c>
      <c r="B2386" s="1">
        <v>45783</v>
      </c>
      <c r="C2386" t="s">
        <v>4007</v>
      </c>
      <c r="D2386" t="s">
        <v>39</v>
      </c>
      <c r="E2386">
        <v>6000</v>
      </c>
      <c r="F2386">
        <v>10</v>
      </c>
      <c r="G2386">
        <f t="shared" si="111"/>
        <v>60000</v>
      </c>
      <c r="H2386" t="s">
        <v>21</v>
      </c>
      <c r="I2386">
        <f t="shared" si="112"/>
        <v>7200</v>
      </c>
      <c r="J2386">
        <f t="shared" si="113"/>
        <v>72000</v>
      </c>
    </row>
    <row r="2387" spans="1:10" x14ac:dyDescent="0.45">
      <c r="A2387" t="s">
        <v>967</v>
      </c>
      <c r="B2387" s="1">
        <v>45783</v>
      </c>
      <c r="C2387" t="s">
        <v>12</v>
      </c>
      <c r="D2387" t="s">
        <v>5020</v>
      </c>
      <c r="E2387">
        <v>2880</v>
      </c>
      <c r="F2387">
        <v>10</v>
      </c>
      <c r="G2387">
        <f t="shared" si="111"/>
        <v>28800</v>
      </c>
      <c r="H2387" t="s">
        <v>17</v>
      </c>
      <c r="I2387">
        <f t="shared" si="112"/>
        <v>3456</v>
      </c>
      <c r="J2387">
        <f t="shared" si="113"/>
        <v>34560</v>
      </c>
    </row>
    <row r="2388" spans="1:10" x14ac:dyDescent="0.45">
      <c r="A2388" t="s">
        <v>968</v>
      </c>
      <c r="B2388" s="1">
        <v>45783</v>
      </c>
      <c r="C2388" t="s">
        <v>12</v>
      </c>
      <c r="D2388" t="s">
        <v>5023</v>
      </c>
      <c r="E2388">
        <v>1750</v>
      </c>
      <c r="F2388">
        <v>6</v>
      </c>
      <c r="G2388">
        <f t="shared" si="111"/>
        <v>10500</v>
      </c>
      <c r="H2388" t="s">
        <v>21</v>
      </c>
      <c r="I2388">
        <f t="shared" si="112"/>
        <v>2100</v>
      </c>
      <c r="J2388">
        <f t="shared" si="113"/>
        <v>12600</v>
      </c>
    </row>
    <row r="2389" spans="1:10" x14ac:dyDescent="0.45">
      <c r="A2389" t="s">
        <v>969</v>
      </c>
      <c r="B2389" s="1">
        <v>45783</v>
      </c>
      <c r="C2389" t="s">
        <v>4007</v>
      </c>
      <c r="D2389" t="s">
        <v>4005</v>
      </c>
      <c r="E2389">
        <v>60000</v>
      </c>
      <c r="F2389">
        <v>3</v>
      </c>
      <c r="G2389">
        <f t="shared" si="111"/>
        <v>180000</v>
      </c>
      <c r="H2389" t="s">
        <v>21</v>
      </c>
      <c r="I2389">
        <f t="shared" si="112"/>
        <v>72000</v>
      </c>
      <c r="J2389">
        <f t="shared" si="113"/>
        <v>216000</v>
      </c>
    </row>
    <row r="2390" spans="1:10" x14ac:dyDescent="0.45">
      <c r="A2390" t="s">
        <v>3160</v>
      </c>
      <c r="B2390" s="1">
        <v>45783</v>
      </c>
      <c r="C2390" t="s">
        <v>4007</v>
      </c>
      <c r="D2390" t="s">
        <v>2776</v>
      </c>
      <c r="E2390">
        <v>3600</v>
      </c>
      <c r="F2390">
        <v>10</v>
      </c>
      <c r="G2390">
        <f t="shared" si="111"/>
        <v>36000</v>
      </c>
      <c r="H2390" t="s">
        <v>7</v>
      </c>
      <c r="I2390">
        <f t="shared" si="112"/>
        <v>4320</v>
      </c>
      <c r="J2390">
        <f t="shared" si="113"/>
        <v>43200</v>
      </c>
    </row>
    <row r="2391" spans="1:10" x14ac:dyDescent="0.45">
      <c r="A2391" t="s">
        <v>3293</v>
      </c>
      <c r="B2391" s="1">
        <v>45783</v>
      </c>
      <c r="C2391" t="s">
        <v>4007</v>
      </c>
      <c r="D2391" t="s">
        <v>2773</v>
      </c>
      <c r="E2391">
        <v>3300</v>
      </c>
      <c r="F2391">
        <v>8</v>
      </c>
      <c r="G2391">
        <f t="shared" si="111"/>
        <v>26400</v>
      </c>
      <c r="H2391" t="s">
        <v>21</v>
      </c>
      <c r="I2391">
        <f t="shared" si="112"/>
        <v>3960</v>
      </c>
      <c r="J2391">
        <f t="shared" si="113"/>
        <v>31680</v>
      </c>
    </row>
    <row r="2392" spans="1:10" x14ac:dyDescent="0.45">
      <c r="A2392" t="s">
        <v>3358</v>
      </c>
      <c r="B2392" s="1">
        <v>45783</v>
      </c>
      <c r="C2392" t="s">
        <v>4007</v>
      </c>
      <c r="D2392" t="s">
        <v>28</v>
      </c>
      <c r="E2392">
        <v>500</v>
      </c>
      <c r="F2392">
        <v>5</v>
      </c>
      <c r="G2392">
        <f t="shared" si="111"/>
        <v>2500</v>
      </c>
      <c r="H2392" t="s">
        <v>21</v>
      </c>
      <c r="I2392">
        <f t="shared" si="112"/>
        <v>600</v>
      </c>
      <c r="J2392">
        <f t="shared" si="113"/>
        <v>3000</v>
      </c>
    </row>
    <row r="2393" spans="1:10" x14ac:dyDescent="0.45">
      <c r="A2393" t="s">
        <v>970</v>
      </c>
      <c r="B2393" s="1">
        <v>45784</v>
      </c>
      <c r="C2393" t="s">
        <v>4007</v>
      </c>
      <c r="D2393" t="s">
        <v>28</v>
      </c>
      <c r="E2393">
        <v>500</v>
      </c>
      <c r="F2393">
        <v>7</v>
      </c>
      <c r="G2393">
        <f t="shared" si="111"/>
        <v>3500</v>
      </c>
      <c r="H2393" t="s">
        <v>21</v>
      </c>
      <c r="I2393">
        <f t="shared" si="112"/>
        <v>600</v>
      </c>
      <c r="J2393">
        <f t="shared" si="113"/>
        <v>4200</v>
      </c>
    </row>
    <row r="2394" spans="1:10" x14ac:dyDescent="0.45">
      <c r="A2394" t="s">
        <v>971</v>
      </c>
      <c r="B2394" s="1">
        <v>45784</v>
      </c>
      <c r="C2394" t="s">
        <v>33</v>
      </c>
      <c r="D2394" t="s">
        <v>14</v>
      </c>
      <c r="E2394">
        <v>800</v>
      </c>
      <c r="F2394">
        <v>8</v>
      </c>
      <c r="G2394">
        <f t="shared" si="111"/>
        <v>6400</v>
      </c>
      <c r="H2394" t="s">
        <v>7</v>
      </c>
      <c r="I2394">
        <f t="shared" si="112"/>
        <v>960</v>
      </c>
      <c r="J2394">
        <f t="shared" si="113"/>
        <v>7680</v>
      </c>
    </row>
    <row r="2395" spans="1:10" x14ac:dyDescent="0.45">
      <c r="A2395" t="s">
        <v>972</v>
      </c>
      <c r="B2395" s="1">
        <v>45784</v>
      </c>
      <c r="C2395" t="s">
        <v>4007</v>
      </c>
      <c r="D2395" t="s">
        <v>4005</v>
      </c>
      <c r="E2395">
        <v>60000</v>
      </c>
      <c r="F2395">
        <v>9</v>
      </c>
      <c r="G2395">
        <f t="shared" si="111"/>
        <v>540000</v>
      </c>
      <c r="H2395" t="s">
        <v>7</v>
      </c>
      <c r="I2395">
        <f t="shared" si="112"/>
        <v>72000</v>
      </c>
      <c r="J2395">
        <f t="shared" si="113"/>
        <v>648000</v>
      </c>
    </row>
    <row r="2396" spans="1:10" x14ac:dyDescent="0.45">
      <c r="A2396" t="s">
        <v>973</v>
      </c>
      <c r="B2396" s="1">
        <v>45784</v>
      </c>
      <c r="C2396" t="s">
        <v>4007</v>
      </c>
      <c r="D2396" t="s">
        <v>39</v>
      </c>
      <c r="E2396">
        <v>6000</v>
      </c>
      <c r="F2396">
        <v>7</v>
      </c>
      <c r="G2396">
        <f t="shared" si="111"/>
        <v>42000</v>
      </c>
      <c r="H2396" t="s">
        <v>7</v>
      </c>
      <c r="I2396">
        <f t="shared" si="112"/>
        <v>7200</v>
      </c>
      <c r="J2396">
        <f t="shared" si="113"/>
        <v>50400</v>
      </c>
    </row>
    <row r="2397" spans="1:10" x14ac:dyDescent="0.45">
      <c r="A2397" t="s">
        <v>974</v>
      </c>
      <c r="B2397" s="1">
        <v>45784</v>
      </c>
      <c r="C2397" t="s">
        <v>4007</v>
      </c>
      <c r="D2397" t="s">
        <v>28</v>
      </c>
      <c r="E2397">
        <v>500</v>
      </c>
      <c r="F2397">
        <v>2</v>
      </c>
      <c r="G2397">
        <f t="shared" si="111"/>
        <v>1000</v>
      </c>
      <c r="H2397" t="s">
        <v>7</v>
      </c>
      <c r="I2397">
        <f t="shared" si="112"/>
        <v>600</v>
      </c>
      <c r="J2397">
        <f t="shared" si="113"/>
        <v>1200</v>
      </c>
    </row>
    <row r="2398" spans="1:10" x14ac:dyDescent="0.45">
      <c r="A2398" t="s">
        <v>975</v>
      </c>
      <c r="B2398" s="1">
        <v>45784</v>
      </c>
      <c r="C2398" t="s">
        <v>9</v>
      </c>
      <c r="D2398" t="s">
        <v>10</v>
      </c>
      <c r="E2398">
        <v>400</v>
      </c>
      <c r="F2398">
        <v>1</v>
      </c>
      <c r="G2398">
        <f t="shared" si="111"/>
        <v>400</v>
      </c>
      <c r="H2398" t="s">
        <v>21</v>
      </c>
      <c r="I2398">
        <f t="shared" si="112"/>
        <v>480</v>
      </c>
      <c r="J2398">
        <f t="shared" si="113"/>
        <v>480</v>
      </c>
    </row>
    <row r="2399" spans="1:10" x14ac:dyDescent="0.45">
      <c r="A2399" t="s">
        <v>976</v>
      </c>
      <c r="B2399" s="1">
        <v>45784</v>
      </c>
      <c r="C2399" t="s">
        <v>12</v>
      </c>
      <c r="D2399" t="s">
        <v>5022</v>
      </c>
      <c r="E2399">
        <v>2880</v>
      </c>
      <c r="F2399">
        <v>1</v>
      </c>
      <c r="G2399">
        <f t="shared" si="111"/>
        <v>2880</v>
      </c>
      <c r="H2399" t="s">
        <v>17</v>
      </c>
      <c r="I2399">
        <f t="shared" si="112"/>
        <v>3456</v>
      </c>
      <c r="J2399">
        <f t="shared" si="113"/>
        <v>3456</v>
      </c>
    </row>
    <row r="2400" spans="1:10" x14ac:dyDescent="0.45">
      <c r="A2400" t="s">
        <v>977</v>
      </c>
      <c r="B2400" s="1">
        <v>45784</v>
      </c>
      <c r="C2400" t="s">
        <v>12</v>
      </c>
      <c r="D2400" t="s">
        <v>5021</v>
      </c>
      <c r="E2400">
        <v>2880</v>
      </c>
      <c r="F2400">
        <v>9</v>
      </c>
      <c r="G2400">
        <f t="shared" si="111"/>
        <v>25920</v>
      </c>
      <c r="H2400" t="s">
        <v>7</v>
      </c>
      <c r="I2400">
        <f t="shared" si="112"/>
        <v>3456</v>
      </c>
      <c r="J2400">
        <f t="shared" si="113"/>
        <v>31104</v>
      </c>
    </row>
    <row r="2401" spans="1:10" x14ac:dyDescent="0.45">
      <c r="A2401" t="s">
        <v>978</v>
      </c>
      <c r="B2401" s="1">
        <v>45784</v>
      </c>
      <c r="C2401" t="s">
        <v>4007</v>
      </c>
      <c r="D2401" t="s">
        <v>5015</v>
      </c>
      <c r="E2401">
        <v>48000</v>
      </c>
      <c r="F2401">
        <v>9</v>
      </c>
      <c r="G2401">
        <f t="shared" si="111"/>
        <v>432000</v>
      </c>
      <c r="H2401" t="s">
        <v>21</v>
      </c>
      <c r="I2401">
        <f t="shared" si="112"/>
        <v>57600</v>
      </c>
      <c r="J2401">
        <f t="shared" si="113"/>
        <v>518400</v>
      </c>
    </row>
    <row r="2402" spans="1:10" x14ac:dyDescent="0.45">
      <c r="A2402" t="s">
        <v>979</v>
      </c>
      <c r="B2402" s="1">
        <v>45784</v>
      </c>
      <c r="C2402" t="s">
        <v>9</v>
      </c>
      <c r="D2402" t="s">
        <v>25</v>
      </c>
      <c r="E2402">
        <v>5200</v>
      </c>
      <c r="F2402">
        <v>9</v>
      </c>
      <c r="G2402">
        <f t="shared" si="111"/>
        <v>46800</v>
      </c>
      <c r="H2402" t="s">
        <v>17</v>
      </c>
      <c r="I2402">
        <f t="shared" si="112"/>
        <v>6240</v>
      </c>
      <c r="J2402">
        <f t="shared" si="113"/>
        <v>56160</v>
      </c>
    </row>
    <row r="2403" spans="1:10" x14ac:dyDescent="0.45">
      <c r="A2403" t="s">
        <v>3652</v>
      </c>
      <c r="B2403" s="1">
        <v>45784</v>
      </c>
      <c r="C2403" t="s">
        <v>2772</v>
      </c>
      <c r="D2403" t="s">
        <v>2775</v>
      </c>
      <c r="E2403">
        <v>9100</v>
      </c>
      <c r="F2403">
        <v>7</v>
      </c>
      <c r="G2403">
        <f t="shared" si="111"/>
        <v>63700</v>
      </c>
      <c r="H2403" t="s">
        <v>17</v>
      </c>
      <c r="I2403">
        <f t="shared" si="112"/>
        <v>10920</v>
      </c>
      <c r="J2403">
        <f t="shared" si="113"/>
        <v>76440</v>
      </c>
    </row>
    <row r="2404" spans="1:10" x14ac:dyDescent="0.45">
      <c r="A2404" t="s">
        <v>3867</v>
      </c>
      <c r="B2404" s="1">
        <v>45784</v>
      </c>
      <c r="C2404" t="s">
        <v>2772</v>
      </c>
      <c r="D2404" t="s">
        <v>2775</v>
      </c>
      <c r="E2404">
        <v>9100</v>
      </c>
      <c r="F2404">
        <v>3</v>
      </c>
      <c r="G2404">
        <f t="shared" si="111"/>
        <v>27300</v>
      </c>
      <c r="H2404" t="s">
        <v>7</v>
      </c>
      <c r="I2404">
        <f t="shared" si="112"/>
        <v>10920</v>
      </c>
      <c r="J2404">
        <f t="shared" si="113"/>
        <v>32760</v>
      </c>
    </row>
    <row r="2405" spans="1:10" x14ac:dyDescent="0.45">
      <c r="A2405" t="s">
        <v>980</v>
      </c>
      <c r="B2405" s="1">
        <v>45785</v>
      </c>
      <c r="C2405" t="s">
        <v>33</v>
      </c>
      <c r="D2405" t="s">
        <v>42</v>
      </c>
      <c r="E2405">
        <v>6900</v>
      </c>
      <c r="F2405">
        <v>3</v>
      </c>
      <c r="G2405">
        <f t="shared" si="111"/>
        <v>20700</v>
      </c>
      <c r="H2405" t="s">
        <v>17</v>
      </c>
      <c r="I2405">
        <f t="shared" si="112"/>
        <v>8280</v>
      </c>
      <c r="J2405">
        <f t="shared" si="113"/>
        <v>24840</v>
      </c>
    </row>
    <row r="2406" spans="1:10" x14ac:dyDescent="0.45">
      <c r="A2406" t="s">
        <v>981</v>
      </c>
      <c r="B2406" s="1">
        <v>45785</v>
      </c>
      <c r="C2406" t="s">
        <v>4007</v>
      </c>
      <c r="D2406" t="s">
        <v>5015</v>
      </c>
      <c r="E2406">
        <v>48000</v>
      </c>
      <c r="F2406">
        <v>3</v>
      </c>
      <c r="G2406">
        <f t="shared" si="111"/>
        <v>144000</v>
      </c>
      <c r="H2406" t="s">
        <v>17</v>
      </c>
      <c r="I2406">
        <f t="shared" si="112"/>
        <v>57600</v>
      </c>
      <c r="J2406">
        <f t="shared" si="113"/>
        <v>172800</v>
      </c>
    </row>
    <row r="2407" spans="1:10" x14ac:dyDescent="0.45">
      <c r="A2407" t="s">
        <v>982</v>
      </c>
      <c r="B2407" s="1">
        <v>45785</v>
      </c>
      <c r="C2407" t="s">
        <v>33</v>
      </c>
      <c r="D2407" t="s">
        <v>42</v>
      </c>
      <c r="E2407">
        <v>6900</v>
      </c>
      <c r="F2407">
        <v>3</v>
      </c>
      <c r="G2407">
        <f t="shared" si="111"/>
        <v>20700</v>
      </c>
      <c r="H2407" t="s">
        <v>17</v>
      </c>
      <c r="I2407">
        <f t="shared" si="112"/>
        <v>8280</v>
      </c>
      <c r="J2407">
        <f t="shared" si="113"/>
        <v>24840</v>
      </c>
    </row>
    <row r="2408" spans="1:10" x14ac:dyDescent="0.45">
      <c r="A2408" t="s">
        <v>983</v>
      </c>
      <c r="B2408" s="1">
        <v>45785</v>
      </c>
      <c r="C2408" t="s">
        <v>4007</v>
      </c>
      <c r="D2408" t="s">
        <v>5015</v>
      </c>
      <c r="E2408">
        <v>48000</v>
      </c>
      <c r="F2408">
        <v>8</v>
      </c>
      <c r="G2408">
        <f t="shared" si="111"/>
        <v>384000</v>
      </c>
      <c r="H2408" t="s">
        <v>7</v>
      </c>
      <c r="I2408">
        <f t="shared" si="112"/>
        <v>57600</v>
      </c>
      <c r="J2408">
        <f t="shared" si="113"/>
        <v>460800</v>
      </c>
    </row>
    <row r="2409" spans="1:10" x14ac:dyDescent="0.45">
      <c r="A2409" t="s">
        <v>984</v>
      </c>
      <c r="B2409" s="1">
        <v>45785</v>
      </c>
      <c r="C2409" t="s">
        <v>4007</v>
      </c>
      <c r="D2409" t="s">
        <v>5015</v>
      </c>
      <c r="E2409">
        <v>48000</v>
      </c>
      <c r="F2409">
        <v>10</v>
      </c>
      <c r="G2409">
        <f t="shared" si="111"/>
        <v>480000</v>
      </c>
      <c r="H2409" t="s">
        <v>17</v>
      </c>
      <c r="I2409">
        <f t="shared" si="112"/>
        <v>57600</v>
      </c>
      <c r="J2409">
        <f t="shared" si="113"/>
        <v>576000</v>
      </c>
    </row>
    <row r="2410" spans="1:10" x14ac:dyDescent="0.45">
      <c r="A2410" t="s">
        <v>985</v>
      </c>
      <c r="B2410" s="1">
        <v>45785</v>
      </c>
      <c r="C2410" t="s">
        <v>33</v>
      </c>
      <c r="D2410" t="s">
        <v>42</v>
      </c>
      <c r="E2410">
        <v>6900</v>
      </c>
      <c r="F2410">
        <v>7</v>
      </c>
      <c r="G2410">
        <f t="shared" si="111"/>
        <v>48300</v>
      </c>
      <c r="H2410" t="s">
        <v>21</v>
      </c>
      <c r="I2410">
        <f t="shared" si="112"/>
        <v>8280</v>
      </c>
      <c r="J2410">
        <f t="shared" si="113"/>
        <v>57960</v>
      </c>
    </row>
    <row r="2411" spans="1:10" x14ac:dyDescent="0.45">
      <c r="A2411" t="s">
        <v>986</v>
      </c>
      <c r="B2411" s="1">
        <v>45785</v>
      </c>
      <c r="C2411" t="s">
        <v>33</v>
      </c>
      <c r="D2411" t="s">
        <v>34</v>
      </c>
      <c r="E2411">
        <v>1700</v>
      </c>
      <c r="F2411">
        <v>5</v>
      </c>
      <c r="G2411">
        <f t="shared" si="111"/>
        <v>8500</v>
      </c>
      <c r="H2411" t="s">
        <v>17</v>
      </c>
      <c r="I2411">
        <f t="shared" si="112"/>
        <v>2040</v>
      </c>
      <c r="J2411">
        <f t="shared" si="113"/>
        <v>10200</v>
      </c>
    </row>
    <row r="2412" spans="1:10" x14ac:dyDescent="0.45">
      <c r="A2412" t="s">
        <v>3120</v>
      </c>
      <c r="B2412" s="1">
        <v>45785</v>
      </c>
      <c r="C2412" t="s">
        <v>4007</v>
      </c>
      <c r="D2412" t="s">
        <v>28</v>
      </c>
      <c r="E2412">
        <v>500</v>
      </c>
      <c r="F2412">
        <v>2</v>
      </c>
      <c r="G2412">
        <f t="shared" si="111"/>
        <v>1000</v>
      </c>
      <c r="H2412" t="s">
        <v>17</v>
      </c>
      <c r="I2412">
        <f t="shared" si="112"/>
        <v>600</v>
      </c>
      <c r="J2412">
        <f t="shared" si="113"/>
        <v>1200</v>
      </c>
    </row>
    <row r="2413" spans="1:10" x14ac:dyDescent="0.45">
      <c r="A2413" t="s">
        <v>3704</v>
      </c>
      <c r="B2413" s="1">
        <v>45785</v>
      </c>
      <c r="C2413" t="s">
        <v>2772</v>
      </c>
      <c r="D2413" t="s">
        <v>2775</v>
      </c>
      <c r="E2413">
        <v>9100</v>
      </c>
      <c r="F2413">
        <v>8</v>
      </c>
      <c r="G2413">
        <f t="shared" si="111"/>
        <v>72800</v>
      </c>
      <c r="H2413" t="s">
        <v>17</v>
      </c>
      <c r="I2413">
        <f t="shared" si="112"/>
        <v>10920</v>
      </c>
      <c r="J2413">
        <f t="shared" si="113"/>
        <v>87360</v>
      </c>
    </row>
    <row r="2414" spans="1:10" x14ac:dyDescent="0.45">
      <c r="A2414" t="s">
        <v>3882</v>
      </c>
      <c r="B2414" s="1">
        <v>45785</v>
      </c>
      <c r="C2414" t="s">
        <v>33</v>
      </c>
      <c r="D2414" t="s">
        <v>34</v>
      </c>
      <c r="E2414">
        <v>1700</v>
      </c>
      <c r="F2414">
        <v>10</v>
      </c>
      <c r="G2414">
        <f t="shared" si="111"/>
        <v>17000</v>
      </c>
      <c r="H2414" t="s">
        <v>17</v>
      </c>
      <c r="I2414">
        <f t="shared" si="112"/>
        <v>2040</v>
      </c>
      <c r="J2414">
        <f t="shared" si="113"/>
        <v>20400</v>
      </c>
    </row>
    <row r="2415" spans="1:10" x14ac:dyDescent="0.45">
      <c r="A2415" t="s">
        <v>3909</v>
      </c>
      <c r="B2415" s="1">
        <v>45785</v>
      </c>
      <c r="C2415" t="s">
        <v>2772</v>
      </c>
      <c r="D2415" t="s">
        <v>2775</v>
      </c>
      <c r="E2415">
        <v>9100</v>
      </c>
      <c r="F2415">
        <v>7</v>
      </c>
      <c r="G2415">
        <f t="shared" si="111"/>
        <v>63700</v>
      </c>
      <c r="H2415" t="s">
        <v>7</v>
      </c>
      <c r="I2415">
        <f t="shared" si="112"/>
        <v>10920</v>
      </c>
      <c r="J2415">
        <f t="shared" si="113"/>
        <v>76440</v>
      </c>
    </row>
    <row r="2416" spans="1:10" x14ac:dyDescent="0.45">
      <c r="A2416" t="s">
        <v>987</v>
      </c>
      <c r="B2416" s="1">
        <v>45786</v>
      </c>
      <c r="C2416" t="s">
        <v>33</v>
      </c>
      <c r="D2416" t="s">
        <v>42</v>
      </c>
      <c r="E2416">
        <v>6900</v>
      </c>
      <c r="F2416">
        <v>3</v>
      </c>
      <c r="G2416">
        <f t="shared" si="111"/>
        <v>20700</v>
      </c>
      <c r="H2416" t="s">
        <v>21</v>
      </c>
      <c r="I2416">
        <f t="shared" si="112"/>
        <v>8280</v>
      </c>
      <c r="J2416">
        <f t="shared" si="113"/>
        <v>24840</v>
      </c>
    </row>
    <row r="2417" spans="1:10" x14ac:dyDescent="0.45">
      <c r="A2417" t="s">
        <v>988</v>
      </c>
      <c r="B2417" s="1">
        <v>45786</v>
      </c>
      <c r="C2417" t="s">
        <v>12</v>
      </c>
      <c r="D2417" t="s">
        <v>5022</v>
      </c>
      <c r="E2417">
        <v>2880</v>
      </c>
      <c r="F2417">
        <v>10</v>
      </c>
      <c r="G2417">
        <f t="shared" si="111"/>
        <v>28800</v>
      </c>
      <c r="H2417" t="s">
        <v>21</v>
      </c>
      <c r="I2417">
        <f t="shared" si="112"/>
        <v>3456</v>
      </c>
      <c r="J2417">
        <f t="shared" si="113"/>
        <v>34560</v>
      </c>
    </row>
    <row r="2418" spans="1:10" x14ac:dyDescent="0.45">
      <c r="A2418" t="s">
        <v>989</v>
      </c>
      <c r="B2418" s="1">
        <v>45786</v>
      </c>
      <c r="C2418" t="s">
        <v>4007</v>
      </c>
      <c r="D2418" t="s">
        <v>28</v>
      </c>
      <c r="E2418">
        <v>500</v>
      </c>
      <c r="F2418">
        <v>10</v>
      </c>
      <c r="G2418">
        <f t="shared" si="111"/>
        <v>5000</v>
      </c>
      <c r="H2418" t="s">
        <v>21</v>
      </c>
      <c r="I2418">
        <f t="shared" si="112"/>
        <v>600</v>
      </c>
      <c r="J2418">
        <f t="shared" si="113"/>
        <v>6000</v>
      </c>
    </row>
    <row r="2419" spans="1:10" x14ac:dyDescent="0.45">
      <c r="A2419" t="s">
        <v>990</v>
      </c>
      <c r="B2419" s="1">
        <v>45786</v>
      </c>
      <c r="C2419" t="s">
        <v>4007</v>
      </c>
      <c r="D2419" t="s">
        <v>5015</v>
      </c>
      <c r="E2419">
        <v>48000</v>
      </c>
      <c r="F2419">
        <v>1</v>
      </c>
      <c r="G2419">
        <f t="shared" si="111"/>
        <v>48000</v>
      </c>
      <c r="H2419" t="s">
        <v>7</v>
      </c>
      <c r="I2419">
        <f t="shared" si="112"/>
        <v>57600</v>
      </c>
      <c r="J2419">
        <f t="shared" si="113"/>
        <v>57600</v>
      </c>
    </row>
    <row r="2420" spans="1:10" x14ac:dyDescent="0.45">
      <c r="A2420" t="s">
        <v>991</v>
      </c>
      <c r="B2420" s="1">
        <v>45786</v>
      </c>
      <c r="C2420" t="s">
        <v>4007</v>
      </c>
      <c r="D2420" t="s">
        <v>4005</v>
      </c>
      <c r="E2420">
        <v>60000</v>
      </c>
      <c r="F2420">
        <v>9</v>
      </c>
      <c r="G2420">
        <f t="shared" si="111"/>
        <v>540000</v>
      </c>
      <c r="H2420" t="s">
        <v>17</v>
      </c>
      <c r="I2420">
        <f t="shared" si="112"/>
        <v>72000</v>
      </c>
      <c r="J2420">
        <f t="shared" si="113"/>
        <v>648000</v>
      </c>
    </row>
    <row r="2421" spans="1:10" x14ac:dyDescent="0.45">
      <c r="A2421" t="s">
        <v>992</v>
      </c>
      <c r="B2421" s="1">
        <v>45786</v>
      </c>
      <c r="C2421" t="s">
        <v>4007</v>
      </c>
      <c r="D2421" t="s">
        <v>39</v>
      </c>
      <c r="E2421">
        <v>6000</v>
      </c>
      <c r="F2421">
        <v>9</v>
      </c>
      <c r="G2421">
        <f t="shared" si="111"/>
        <v>54000</v>
      </c>
      <c r="H2421" t="s">
        <v>7</v>
      </c>
      <c r="I2421">
        <f t="shared" si="112"/>
        <v>7200</v>
      </c>
      <c r="J2421">
        <f t="shared" si="113"/>
        <v>64800</v>
      </c>
    </row>
    <row r="2422" spans="1:10" x14ac:dyDescent="0.45">
      <c r="A2422" t="s">
        <v>993</v>
      </c>
      <c r="B2422" s="1">
        <v>45786</v>
      </c>
      <c r="C2422" t="s">
        <v>9</v>
      </c>
      <c r="D2422" t="s">
        <v>19</v>
      </c>
      <c r="E2422">
        <v>3000</v>
      </c>
      <c r="F2422">
        <v>2</v>
      </c>
      <c r="G2422">
        <f t="shared" si="111"/>
        <v>6000</v>
      </c>
      <c r="H2422" t="s">
        <v>17</v>
      </c>
      <c r="I2422">
        <f t="shared" si="112"/>
        <v>3600</v>
      </c>
      <c r="J2422">
        <f t="shared" si="113"/>
        <v>7200</v>
      </c>
    </row>
    <row r="2423" spans="1:10" x14ac:dyDescent="0.45">
      <c r="A2423" t="s">
        <v>994</v>
      </c>
      <c r="B2423" s="1">
        <v>45786</v>
      </c>
      <c r="C2423" t="s">
        <v>4007</v>
      </c>
      <c r="D2423" t="s">
        <v>4005</v>
      </c>
      <c r="E2423">
        <v>60000</v>
      </c>
      <c r="F2423">
        <v>3</v>
      </c>
      <c r="G2423">
        <f t="shared" si="111"/>
        <v>180000</v>
      </c>
      <c r="H2423" t="s">
        <v>17</v>
      </c>
      <c r="I2423">
        <f t="shared" si="112"/>
        <v>72000</v>
      </c>
      <c r="J2423">
        <f t="shared" si="113"/>
        <v>216000</v>
      </c>
    </row>
    <row r="2424" spans="1:10" x14ac:dyDescent="0.45">
      <c r="A2424" t="s">
        <v>995</v>
      </c>
      <c r="B2424" s="1">
        <v>45786</v>
      </c>
      <c r="C2424" t="s">
        <v>33</v>
      </c>
      <c r="D2424" t="s">
        <v>42</v>
      </c>
      <c r="E2424">
        <v>6900</v>
      </c>
      <c r="F2424">
        <v>5</v>
      </c>
      <c r="G2424">
        <f t="shared" si="111"/>
        <v>34500</v>
      </c>
      <c r="H2424" t="s">
        <v>7</v>
      </c>
      <c r="I2424">
        <f t="shared" si="112"/>
        <v>8280</v>
      </c>
      <c r="J2424">
        <f t="shared" si="113"/>
        <v>41400</v>
      </c>
    </row>
    <row r="2425" spans="1:10" x14ac:dyDescent="0.45">
      <c r="A2425" t="s">
        <v>996</v>
      </c>
      <c r="B2425" s="1">
        <v>45786</v>
      </c>
      <c r="C2425" t="s">
        <v>33</v>
      </c>
      <c r="D2425" t="s">
        <v>14</v>
      </c>
      <c r="E2425">
        <v>800</v>
      </c>
      <c r="F2425">
        <v>6</v>
      </c>
      <c r="G2425">
        <f t="shared" si="111"/>
        <v>4800</v>
      </c>
      <c r="H2425" t="s">
        <v>7</v>
      </c>
      <c r="I2425">
        <f t="shared" si="112"/>
        <v>960</v>
      </c>
      <c r="J2425">
        <f t="shared" si="113"/>
        <v>5760</v>
      </c>
    </row>
    <row r="2426" spans="1:10" x14ac:dyDescent="0.45">
      <c r="A2426" t="s">
        <v>3143</v>
      </c>
      <c r="B2426" s="1">
        <v>45786</v>
      </c>
      <c r="C2426" t="s">
        <v>4007</v>
      </c>
      <c r="D2426" t="s">
        <v>2770</v>
      </c>
      <c r="E2426">
        <v>600</v>
      </c>
      <c r="F2426">
        <v>4</v>
      </c>
      <c r="G2426">
        <f t="shared" si="111"/>
        <v>2400</v>
      </c>
      <c r="H2426" t="s">
        <v>7</v>
      </c>
      <c r="I2426">
        <f t="shared" si="112"/>
        <v>720</v>
      </c>
      <c r="J2426">
        <f t="shared" si="113"/>
        <v>2880</v>
      </c>
    </row>
    <row r="2427" spans="1:10" x14ac:dyDescent="0.45">
      <c r="A2427" t="s">
        <v>3153</v>
      </c>
      <c r="B2427" s="1">
        <v>45786</v>
      </c>
      <c r="C2427" t="s">
        <v>4007</v>
      </c>
      <c r="D2427" t="s">
        <v>5015</v>
      </c>
      <c r="E2427">
        <v>48000</v>
      </c>
      <c r="F2427">
        <v>5</v>
      </c>
      <c r="G2427">
        <f t="shared" si="111"/>
        <v>240000</v>
      </c>
      <c r="H2427" t="s">
        <v>21</v>
      </c>
      <c r="I2427">
        <f t="shared" si="112"/>
        <v>57600</v>
      </c>
      <c r="J2427">
        <f t="shared" si="113"/>
        <v>288000</v>
      </c>
    </row>
    <row r="2428" spans="1:10" x14ac:dyDescent="0.45">
      <c r="A2428" t="s">
        <v>3377</v>
      </c>
      <c r="B2428" s="1">
        <v>45786</v>
      </c>
      <c r="C2428" t="s">
        <v>2772</v>
      </c>
      <c r="D2428" t="s">
        <v>2775</v>
      </c>
      <c r="E2428">
        <v>9100</v>
      </c>
      <c r="F2428">
        <v>3</v>
      </c>
      <c r="G2428">
        <f t="shared" si="111"/>
        <v>27300</v>
      </c>
      <c r="H2428" t="s">
        <v>21</v>
      </c>
      <c r="I2428">
        <f t="shared" si="112"/>
        <v>10920</v>
      </c>
      <c r="J2428">
        <f t="shared" si="113"/>
        <v>32760</v>
      </c>
    </row>
    <row r="2429" spans="1:10" x14ac:dyDescent="0.45">
      <c r="A2429" t="s">
        <v>3605</v>
      </c>
      <c r="B2429" s="1">
        <v>45786</v>
      </c>
      <c r="C2429" t="s">
        <v>4007</v>
      </c>
      <c r="D2429" t="s">
        <v>5015</v>
      </c>
      <c r="E2429">
        <v>48000</v>
      </c>
      <c r="F2429">
        <v>2</v>
      </c>
      <c r="G2429">
        <f t="shared" si="111"/>
        <v>96000</v>
      </c>
      <c r="H2429" t="s">
        <v>21</v>
      </c>
      <c r="I2429">
        <f t="shared" si="112"/>
        <v>57600</v>
      </c>
      <c r="J2429">
        <f t="shared" si="113"/>
        <v>115200</v>
      </c>
    </row>
    <row r="2430" spans="1:10" x14ac:dyDescent="0.45">
      <c r="A2430" t="s">
        <v>3732</v>
      </c>
      <c r="B2430" s="1">
        <v>45786</v>
      </c>
      <c r="C2430" t="s">
        <v>33</v>
      </c>
      <c r="D2430" t="s">
        <v>14</v>
      </c>
      <c r="E2430">
        <v>800</v>
      </c>
      <c r="F2430">
        <v>8</v>
      </c>
      <c r="G2430">
        <f t="shared" si="111"/>
        <v>6400</v>
      </c>
      <c r="H2430" t="s">
        <v>17</v>
      </c>
      <c r="I2430">
        <f t="shared" si="112"/>
        <v>960</v>
      </c>
      <c r="J2430">
        <f t="shared" si="113"/>
        <v>7680</v>
      </c>
    </row>
    <row r="2431" spans="1:10" x14ac:dyDescent="0.45">
      <c r="A2431" t="s">
        <v>997</v>
      </c>
      <c r="B2431" s="1">
        <v>45787</v>
      </c>
      <c r="C2431" t="s">
        <v>4007</v>
      </c>
      <c r="D2431" t="s">
        <v>39</v>
      </c>
      <c r="E2431">
        <v>6000</v>
      </c>
      <c r="F2431">
        <v>5</v>
      </c>
      <c r="G2431">
        <f t="shared" si="111"/>
        <v>30000</v>
      </c>
      <c r="H2431" t="s">
        <v>7</v>
      </c>
      <c r="I2431">
        <f t="shared" si="112"/>
        <v>7200</v>
      </c>
      <c r="J2431">
        <f t="shared" si="113"/>
        <v>36000</v>
      </c>
    </row>
    <row r="2432" spans="1:10" x14ac:dyDescent="0.45">
      <c r="A2432" t="s">
        <v>998</v>
      </c>
      <c r="B2432" s="1">
        <v>45787</v>
      </c>
      <c r="C2432" t="s">
        <v>9</v>
      </c>
      <c r="D2432" t="s">
        <v>19</v>
      </c>
      <c r="E2432">
        <v>3000</v>
      </c>
      <c r="F2432">
        <v>5</v>
      </c>
      <c r="G2432">
        <f t="shared" si="111"/>
        <v>15000</v>
      </c>
      <c r="H2432" t="s">
        <v>21</v>
      </c>
      <c r="I2432">
        <f t="shared" si="112"/>
        <v>3600</v>
      </c>
      <c r="J2432">
        <f t="shared" si="113"/>
        <v>18000</v>
      </c>
    </row>
    <row r="2433" spans="1:10" x14ac:dyDescent="0.45">
      <c r="A2433" t="s">
        <v>999</v>
      </c>
      <c r="B2433" s="1">
        <v>45787</v>
      </c>
      <c r="C2433" t="s">
        <v>4007</v>
      </c>
      <c r="D2433" t="s">
        <v>39</v>
      </c>
      <c r="E2433">
        <v>6000</v>
      </c>
      <c r="F2433">
        <v>1</v>
      </c>
      <c r="G2433">
        <f t="shared" si="111"/>
        <v>6000</v>
      </c>
      <c r="H2433" t="s">
        <v>21</v>
      </c>
      <c r="I2433">
        <f t="shared" si="112"/>
        <v>7200</v>
      </c>
      <c r="J2433">
        <f t="shared" si="113"/>
        <v>7200</v>
      </c>
    </row>
    <row r="2434" spans="1:10" x14ac:dyDescent="0.45">
      <c r="A2434" t="s">
        <v>1000</v>
      </c>
      <c r="B2434" s="1">
        <v>45787</v>
      </c>
      <c r="C2434" t="s">
        <v>4007</v>
      </c>
      <c r="D2434" t="s">
        <v>28</v>
      </c>
      <c r="E2434">
        <v>500</v>
      </c>
      <c r="F2434">
        <v>8</v>
      </c>
      <c r="G2434">
        <f t="shared" ref="G2434:G2497" si="114">E2434*F2434</f>
        <v>4000</v>
      </c>
      <c r="H2434" t="s">
        <v>7</v>
      </c>
      <c r="I2434">
        <f t="shared" ref="I2434:I2497" si="115">E2434*1.2</f>
        <v>600</v>
      </c>
      <c r="J2434">
        <f t="shared" ref="J2434:J2497" si="116">I2434*F2434</f>
        <v>4800</v>
      </c>
    </row>
    <row r="2435" spans="1:10" x14ac:dyDescent="0.45">
      <c r="A2435" t="s">
        <v>1001</v>
      </c>
      <c r="B2435" s="1">
        <v>45787</v>
      </c>
      <c r="C2435" t="s">
        <v>33</v>
      </c>
      <c r="D2435" t="s">
        <v>14</v>
      </c>
      <c r="E2435">
        <v>800</v>
      </c>
      <c r="F2435">
        <v>3</v>
      </c>
      <c r="G2435">
        <f t="shared" si="114"/>
        <v>2400</v>
      </c>
      <c r="H2435" t="s">
        <v>7</v>
      </c>
      <c r="I2435">
        <f t="shared" si="115"/>
        <v>960</v>
      </c>
      <c r="J2435">
        <f t="shared" si="116"/>
        <v>2880</v>
      </c>
    </row>
    <row r="2436" spans="1:10" x14ac:dyDescent="0.45">
      <c r="A2436" t="s">
        <v>3374</v>
      </c>
      <c r="B2436" s="1">
        <v>45787</v>
      </c>
      <c r="C2436" t="s">
        <v>2772</v>
      </c>
      <c r="D2436" t="s">
        <v>2775</v>
      </c>
      <c r="E2436">
        <v>9100</v>
      </c>
      <c r="F2436">
        <v>9</v>
      </c>
      <c r="G2436">
        <f t="shared" si="114"/>
        <v>81900</v>
      </c>
      <c r="H2436" t="s">
        <v>17</v>
      </c>
      <c r="I2436">
        <f t="shared" si="115"/>
        <v>10920</v>
      </c>
      <c r="J2436">
        <f t="shared" si="116"/>
        <v>98280</v>
      </c>
    </row>
    <row r="2437" spans="1:10" x14ac:dyDescent="0.45">
      <c r="A2437" t="s">
        <v>3446</v>
      </c>
      <c r="B2437" s="1">
        <v>45787</v>
      </c>
      <c r="C2437" t="s">
        <v>4007</v>
      </c>
      <c r="D2437" t="s">
        <v>28</v>
      </c>
      <c r="E2437">
        <v>500</v>
      </c>
      <c r="F2437">
        <v>4</v>
      </c>
      <c r="G2437">
        <f t="shared" si="114"/>
        <v>2000</v>
      </c>
      <c r="H2437" t="s">
        <v>17</v>
      </c>
      <c r="I2437">
        <f t="shared" si="115"/>
        <v>600</v>
      </c>
      <c r="J2437">
        <f t="shared" si="116"/>
        <v>2400</v>
      </c>
    </row>
    <row r="2438" spans="1:10" x14ac:dyDescent="0.45">
      <c r="A2438" t="s">
        <v>1002</v>
      </c>
      <c r="B2438" s="1">
        <v>45788</v>
      </c>
      <c r="C2438" t="s">
        <v>9</v>
      </c>
      <c r="D2438" t="s">
        <v>19</v>
      </c>
      <c r="E2438">
        <v>3000</v>
      </c>
      <c r="F2438">
        <v>3</v>
      </c>
      <c r="G2438">
        <f t="shared" si="114"/>
        <v>9000</v>
      </c>
      <c r="H2438" t="s">
        <v>21</v>
      </c>
      <c r="I2438">
        <f t="shared" si="115"/>
        <v>3600</v>
      </c>
      <c r="J2438">
        <f t="shared" si="116"/>
        <v>10800</v>
      </c>
    </row>
    <row r="2439" spans="1:10" x14ac:dyDescent="0.45">
      <c r="A2439" t="s">
        <v>1003</v>
      </c>
      <c r="B2439" s="1">
        <v>45788</v>
      </c>
      <c r="C2439" t="s">
        <v>12</v>
      </c>
      <c r="D2439" t="s">
        <v>5023</v>
      </c>
      <c r="E2439">
        <v>1750</v>
      </c>
      <c r="F2439">
        <v>6</v>
      </c>
      <c r="G2439">
        <f t="shared" si="114"/>
        <v>10500</v>
      </c>
      <c r="H2439" t="s">
        <v>7</v>
      </c>
      <c r="I2439">
        <f t="shared" si="115"/>
        <v>2100</v>
      </c>
      <c r="J2439">
        <f t="shared" si="116"/>
        <v>12600</v>
      </c>
    </row>
    <row r="2440" spans="1:10" x14ac:dyDescent="0.45">
      <c r="A2440" t="s">
        <v>1004</v>
      </c>
      <c r="B2440" s="1">
        <v>45788</v>
      </c>
      <c r="C2440" t="s">
        <v>33</v>
      </c>
      <c r="D2440" t="s">
        <v>16</v>
      </c>
      <c r="E2440">
        <v>1200</v>
      </c>
      <c r="F2440">
        <v>5</v>
      </c>
      <c r="G2440">
        <f t="shared" si="114"/>
        <v>6000</v>
      </c>
      <c r="H2440" t="s">
        <v>7</v>
      </c>
      <c r="I2440">
        <f t="shared" si="115"/>
        <v>1440</v>
      </c>
      <c r="J2440">
        <f t="shared" si="116"/>
        <v>7200</v>
      </c>
    </row>
    <row r="2441" spans="1:10" x14ac:dyDescent="0.45">
      <c r="A2441" t="s">
        <v>1005</v>
      </c>
      <c r="B2441" s="1">
        <v>45788</v>
      </c>
      <c r="C2441" t="s">
        <v>4007</v>
      </c>
      <c r="D2441" t="s">
        <v>39</v>
      </c>
      <c r="E2441">
        <v>6000</v>
      </c>
      <c r="F2441">
        <v>9</v>
      </c>
      <c r="G2441">
        <f t="shared" si="114"/>
        <v>54000</v>
      </c>
      <c r="H2441" t="s">
        <v>21</v>
      </c>
      <c r="I2441">
        <f t="shared" si="115"/>
        <v>7200</v>
      </c>
      <c r="J2441">
        <f t="shared" si="116"/>
        <v>64800</v>
      </c>
    </row>
    <row r="2442" spans="1:10" x14ac:dyDescent="0.45">
      <c r="A2442" t="s">
        <v>1006</v>
      </c>
      <c r="B2442" s="1">
        <v>45788</v>
      </c>
      <c r="C2442" t="s">
        <v>12</v>
      </c>
      <c r="D2442" t="s">
        <v>5023</v>
      </c>
      <c r="E2442">
        <v>1750</v>
      </c>
      <c r="F2442">
        <v>7</v>
      </c>
      <c r="G2442">
        <f t="shared" si="114"/>
        <v>12250</v>
      </c>
      <c r="H2442" t="s">
        <v>7</v>
      </c>
      <c r="I2442">
        <f t="shared" si="115"/>
        <v>2100</v>
      </c>
      <c r="J2442">
        <f t="shared" si="116"/>
        <v>14700</v>
      </c>
    </row>
    <row r="2443" spans="1:10" x14ac:dyDescent="0.45">
      <c r="A2443" t="s">
        <v>1007</v>
      </c>
      <c r="B2443" s="1">
        <v>45788</v>
      </c>
      <c r="C2443" t="s">
        <v>33</v>
      </c>
      <c r="D2443" t="s">
        <v>42</v>
      </c>
      <c r="E2443">
        <v>6900</v>
      </c>
      <c r="F2443">
        <v>3</v>
      </c>
      <c r="G2443">
        <f t="shared" si="114"/>
        <v>20700</v>
      </c>
      <c r="H2443" t="s">
        <v>21</v>
      </c>
      <c r="I2443">
        <f t="shared" si="115"/>
        <v>8280</v>
      </c>
      <c r="J2443">
        <f t="shared" si="116"/>
        <v>24840</v>
      </c>
    </row>
    <row r="2444" spans="1:10" x14ac:dyDescent="0.45">
      <c r="A2444" t="s">
        <v>1008</v>
      </c>
      <c r="B2444" s="1">
        <v>45788</v>
      </c>
      <c r="C2444" t="s">
        <v>33</v>
      </c>
      <c r="D2444" t="s">
        <v>16</v>
      </c>
      <c r="E2444">
        <v>1200</v>
      </c>
      <c r="F2444">
        <v>2</v>
      </c>
      <c r="G2444">
        <f t="shared" si="114"/>
        <v>2400</v>
      </c>
      <c r="H2444" t="s">
        <v>21</v>
      </c>
      <c r="I2444">
        <f t="shared" si="115"/>
        <v>1440</v>
      </c>
      <c r="J2444">
        <f t="shared" si="116"/>
        <v>2880</v>
      </c>
    </row>
    <row r="2445" spans="1:10" x14ac:dyDescent="0.45">
      <c r="A2445" t="s">
        <v>1009</v>
      </c>
      <c r="B2445" s="1">
        <v>45788</v>
      </c>
      <c r="C2445" t="s">
        <v>9</v>
      </c>
      <c r="D2445" t="s">
        <v>19</v>
      </c>
      <c r="E2445">
        <v>3000</v>
      </c>
      <c r="F2445">
        <v>7</v>
      </c>
      <c r="G2445">
        <f t="shared" si="114"/>
        <v>21000</v>
      </c>
      <c r="H2445" t="s">
        <v>21</v>
      </c>
      <c r="I2445">
        <f t="shared" si="115"/>
        <v>3600</v>
      </c>
      <c r="J2445">
        <f t="shared" si="116"/>
        <v>25200</v>
      </c>
    </row>
    <row r="2446" spans="1:10" x14ac:dyDescent="0.45">
      <c r="A2446" t="s">
        <v>1010</v>
      </c>
      <c r="B2446" s="1">
        <v>45788</v>
      </c>
      <c r="C2446" t="s">
        <v>12</v>
      </c>
      <c r="D2446" t="s">
        <v>5022</v>
      </c>
      <c r="E2446">
        <v>2880</v>
      </c>
      <c r="F2446">
        <v>7</v>
      </c>
      <c r="G2446">
        <f t="shared" si="114"/>
        <v>20160</v>
      </c>
      <c r="H2446" t="s">
        <v>17</v>
      </c>
      <c r="I2446">
        <f t="shared" si="115"/>
        <v>3456</v>
      </c>
      <c r="J2446">
        <f t="shared" si="116"/>
        <v>24192</v>
      </c>
    </row>
    <row r="2447" spans="1:10" x14ac:dyDescent="0.45">
      <c r="A2447" t="s">
        <v>1011</v>
      </c>
      <c r="B2447" s="1">
        <v>45788</v>
      </c>
      <c r="C2447" t="s">
        <v>33</v>
      </c>
      <c r="D2447" t="s">
        <v>16</v>
      </c>
      <c r="E2447">
        <v>1200</v>
      </c>
      <c r="F2447">
        <v>1</v>
      </c>
      <c r="G2447">
        <f t="shared" si="114"/>
        <v>1200</v>
      </c>
      <c r="H2447" t="s">
        <v>17</v>
      </c>
      <c r="I2447">
        <f t="shared" si="115"/>
        <v>1440</v>
      </c>
      <c r="J2447">
        <f t="shared" si="116"/>
        <v>1440</v>
      </c>
    </row>
    <row r="2448" spans="1:10" x14ac:dyDescent="0.45">
      <c r="A2448" t="s">
        <v>3900</v>
      </c>
      <c r="B2448" s="1">
        <v>45788</v>
      </c>
      <c r="C2448" t="s">
        <v>33</v>
      </c>
      <c r="D2448" t="s">
        <v>34</v>
      </c>
      <c r="E2448">
        <v>1700</v>
      </c>
      <c r="F2448">
        <v>1</v>
      </c>
      <c r="G2448">
        <f t="shared" si="114"/>
        <v>1700</v>
      </c>
      <c r="H2448" t="s">
        <v>17</v>
      </c>
      <c r="I2448">
        <f t="shared" si="115"/>
        <v>2040</v>
      </c>
      <c r="J2448">
        <f t="shared" si="116"/>
        <v>2040</v>
      </c>
    </row>
    <row r="2449" spans="1:10" x14ac:dyDescent="0.45">
      <c r="A2449" t="s">
        <v>1012</v>
      </c>
      <c r="B2449" s="1">
        <v>45789</v>
      </c>
      <c r="C2449" t="s">
        <v>4007</v>
      </c>
      <c r="D2449" t="s">
        <v>28</v>
      </c>
      <c r="E2449">
        <v>500</v>
      </c>
      <c r="F2449">
        <v>3</v>
      </c>
      <c r="G2449">
        <f t="shared" si="114"/>
        <v>1500</v>
      </c>
      <c r="H2449" t="s">
        <v>21</v>
      </c>
      <c r="I2449">
        <f t="shared" si="115"/>
        <v>600</v>
      </c>
      <c r="J2449">
        <f t="shared" si="116"/>
        <v>1800</v>
      </c>
    </row>
    <row r="2450" spans="1:10" x14ac:dyDescent="0.45">
      <c r="A2450" t="s">
        <v>1013</v>
      </c>
      <c r="B2450" s="1">
        <v>45789</v>
      </c>
      <c r="C2450" t="s">
        <v>12</v>
      </c>
      <c r="D2450" t="s">
        <v>5021</v>
      </c>
      <c r="E2450">
        <v>2880</v>
      </c>
      <c r="F2450">
        <v>9</v>
      </c>
      <c r="G2450">
        <f t="shared" si="114"/>
        <v>25920</v>
      </c>
      <c r="H2450" t="s">
        <v>21</v>
      </c>
      <c r="I2450">
        <f t="shared" si="115"/>
        <v>3456</v>
      </c>
      <c r="J2450">
        <f t="shared" si="116"/>
        <v>31104</v>
      </c>
    </row>
    <row r="2451" spans="1:10" x14ac:dyDescent="0.45">
      <c r="A2451" t="s">
        <v>1014</v>
      </c>
      <c r="B2451" s="1">
        <v>45789</v>
      </c>
      <c r="C2451" t="s">
        <v>33</v>
      </c>
      <c r="D2451" t="s">
        <v>14</v>
      </c>
      <c r="E2451">
        <v>800</v>
      </c>
      <c r="F2451">
        <v>10</v>
      </c>
      <c r="G2451">
        <f t="shared" si="114"/>
        <v>8000</v>
      </c>
      <c r="H2451" t="s">
        <v>7</v>
      </c>
      <c r="I2451">
        <f t="shared" si="115"/>
        <v>960</v>
      </c>
      <c r="J2451">
        <f t="shared" si="116"/>
        <v>9600</v>
      </c>
    </row>
    <row r="2452" spans="1:10" x14ac:dyDescent="0.45">
      <c r="A2452" t="s">
        <v>1015</v>
      </c>
      <c r="B2452" s="1">
        <v>45789</v>
      </c>
      <c r="C2452" t="s">
        <v>4007</v>
      </c>
      <c r="D2452" t="s">
        <v>5015</v>
      </c>
      <c r="E2452">
        <v>48000</v>
      </c>
      <c r="F2452">
        <v>2</v>
      </c>
      <c r="G2452">
        <f t="shared" si="114"/>
        <v>96000</v>
      </c>
      <c r="H2452" t="s">
        <v>21</v>
      </c>
      <c r="I2452">
        <f t="shared" si="115"/>
        <v>57600</v>
      </c>
      <c r="J2452">
        <f t="shared" si="116"/>
        <v>115200</v>
      </c>
    </row>
    <row r="2453" spans="1:10" x14ac:dyDescent="0.45">
      <c r="A2453" t="s">
        <v>1016</v>
      </c>
      <c r="B2453" s="1">
        <v>45789</v>
      </c>
      <c r="C2453" t="s">
        <v>33</v>
      </c>
      <c r="D2453" t="s">
        <v>14</v>
      </c>
      <c r="E2453">
        <v>800</v>
      </c>
      <c r="F2453">
        <v>7</v>
      </c>
      <c r="G2453">
        <f t="shared" si="114"/>
        <v>5600</v>
      </c>
      <c r="H2453" t="s">
        <v>21</v>
      </c>
      <c r="I2453">
        <f t="shared" si="115"/>
        <v>960</v>
      </c>
      <c r="J2453">
        <f t="shared" si="116"/>
        <v>6720</v>
      </c>
    </row>
    <row r="2454" spans="1:10" x14ac:dyDescent="0.45">
      <c r="A2454" t="s">
        <v>1017</v>
      </c>
      <c r="B2454" s="1">
        <v>45789</v>
      </c>
      <c r="C2454" t="s">
        <v>4007</v>
      </c>
      <c r="D2454" t="s">
        <v>39</v>
      </c>
      <c r="E2454">
        <v>6000</v>
      </c>
      <c r="F2454">
        <v>10</v>
      </c>
      <c r="G2454">
        <f t="shared" si="114"/>
        <v>60000</v>
      </c>
      <c r="H2454" t="s">
        <v>17</v>
      </c>
      <c r="I2454">
        <f t="shared" si="115"/>
        <v>7200</v>
      </c>
      <c r="J2454">
        <f t="shared" si="116"/>
        <v>72000</v>
      </c>
    </row>
    <row r="2455" spans="1:10" x14ac:dyDescent="0.45">
      <c r="A2455" t="s">
        <v>1018</v>
      </c>
      <c r="B2455" s="1">
        <v>45789</v>
      </c>
      <c r="C2455" t="s">
        <v>33</v>
      </c>
      <c r="D2455" t="s">
        <v>42</v>
      </c>
      <c r="E2455">
        <v>6900</v>
      </c>
      <c r="F2455">
        <v>1</v>
      </c>
      <c r="G2455">
        <f t="shared" si="114"/>
        <v>6900</v>
      </c>
      <c r="H2455" t="s">
        <v>17</v>
      </c>
      <c r="I2455">
        <f t="shared" si="115"/>
        <v>8280</v>
      </c>
      <c r="J2455">
        <f t="shared" si="116"/>
        <v>8280</v>
      </c>
    </row>
    <row r="2456" spans="1:10" x14ac:dyDescent="0.45">
      <c r="A2456" t="s">
        <v>1019</v>
      </c>
      <c r="B2456" s="1">
        <v>45789</v>
      </c>
      <c r="C2456" t="s">
        <v>4007</v>
      </c>
      <c r="D2456" t="s">
        <v>5015</v>
      </c>
      <c r="E2456">
        <v>48000</v>
      </c>
      <c r="F2456">
        <v>5</v>
      </c>
      <c r="G2456">
        <f t="shared" si="114"/>
        <v>240000</v>
      </c>
      <c r="H2456" t="s">
        <v>17</v>
      </c>
      <c r="I2456">
        <f t="shared" si="115"/>
        <v>57600</v>
      </c>
      <c r="J2456">
        <f t="shared" si="116"/>
        <v>288000</v>
      </c>
    </row>
    <row r="2457" spans="1:10" x14ac:dyDescent="0.45">
      <c r="A2457" t="s">
        <v>1020</v>
      </c>
      <c r="B2457" s="1">
        <v>45789</v>
      </c>
      <c r="C2457" t="s">
        <v>4007</v>
      </c>
      <c r="D2457" t="s">
        <v>28</v>
      </c>
      <c r="E2457">
        <v>500</v>
      </c>
      <c r="F2457">
        <v>4</v>
      </c>
      <c r="G2457">
        <f t="shared" si="114"/>
        <v>2000</v>
      </c>
      <c r="H2457" t="s">
        <v>7</v>
      </c>
      <c r="I2457">
        <f t="shared" si="115"/>
        <v>600</v>
      </c>
      <c r="J2457">
        <f t="shared" si="116"/>
        <v>2400</v>
      </c>
    </row>
    <row r="2458" spans="1:10" x14ac:dyDescent="0.45">
      <c r="A2458" t="s">
        <v>3135</v>
      </c>
      <c r="B2458" s="1">
        <v>45789</v>
      </c>
      <c r="C2458" t="s">
        <v>2772</v>
      </c>
      <c r="D2458" t="s">
        <v>2775</v>
      </c>
      <c r="E2458">
        <v>9100</v>
      </c>
      <c r="F2458">
        <v>2</v>
      </c>
      <c r="G2458">
        <f t="shared" si="114"/>
        <v>18200</v>
      </c>
      <c r="H2458" t="s">
        <v>7</v>
      </c>
      <c r="I2458">
        <f t="shared" si="115"/>
        <v>10920</v>
      </c>
      <c r="J2458">
        <f t="shared" si="116"/>
        <v>21840</v>
      </c>
    </row>
    <row r="2459" spans="1:10" x14ac:dyDescent="0.45">
      <c r="A2459" t="s">
        <v>3173</v>
      </c>
      <c r="B2459" s="1">
        <v>45789</v>
      </c>
      <c r="C2459" t="s">
        <v>4007</v>
      </c>
      <c r="D2459" t="s">
        <v>28</v>
      </c>
      <c r="E2459">
        <v>500</v>
      </c>
      <c r="F2459">
        <v>8</v>
      </c>
      <c r="G2459">
        <f t="shared" si="114"/>
        <v>4000</v>
      </c>
      <c r="H2459" t="s">
        <v>7</v>
      </c>
      <c r="I2459">
        <f t="shared" si="115"/>
        <v>600</v>
      </c>
      <c r="J2459">
        <f t="shared" si="116"/>
        <v>4800</v>
      </c>
    </row>
    <row r="2460" spans="1:10" x14ac:dyDescent="0.45">
      <c r="A2460" t="s">
        <v>3464</v>
      </c>
      <c r="B2460" s="1">
        <v>45789</v>
      </c>
      <c r="C2460" t="s">
        <v>4007</v>
      </c>
      <c r="D2460" t="s">
        <v>2773</v>
      </c>
      <c r="E2460">
        <v>3300</v>
      </c>
      <c r="F2460">
        <v>7</v>
      </c>
      <c r="G2460">
        <f t="shared" si="114"/>
        <v>23100</v>
      </c>
      <c r="H2460" t="s">
        <v>17</v>
      </c>
      <c r="I2460">
        <f t="shared" si="115"/>
        <v>3960</v>
      </c>
      <c r="J2460">
        <f t="shared" si="116"/>
        <v>27720</v>
      </c>
    </row>
    <row r="2461" spans="1:10" x14ac:dyDescent="0.45">
      <c r="A2461" t="s">
        <v>3968</v>
      </c>
      <c r="B2461" s="1">
        <v>45789</v>
      </c>
      <c r="C2461" t="s">
        <v>4007</v>
      </c>
      <c r="D2461" t="s">
        <v>5015</v>
      </c>
      <c r="E2461">
        <v>48000</v>
      </c>
      <c r="F2461">
        <v>1</v>
      </c>
      <c r="G2461">
        <f t="shared" si="114"/>
        <v>48000</v>
      </c>
      <c r="H2461" t="s">
        <v>21</v>
      </c>
      <c r="I2461">
        <f t="shared" si="115"/>
        <v>57600</v>
      </c>
      <c r="J2461">
        <f t="shared" si="116"/>
        <v>57600</v>
      </c>
    </row>
    <row r="2462" spans="1:10" x14ac:dyDescent="0.45">
      <c r="A2462" t="s">
        <v>1021</v>
      </c>
      <c r="B2462" s="1">
        <v>45790</v>
      </c>
      <c r="C2462" t="s">
        <v>12</v>
      </c>
      <c r="D2462" t="s">
        <v>5023</v>
      </c>
      <c r="E2462">
        <v>1750</v>
      </c>
      <c r="F2462">
        <v>6</v>
      </c>
      <c r="G2462">
        <f t="shared" si="114"/>
        <v>10500</v>
      </c>
      <c r="H2462" t="s">
        <v>17</v>
      </c>
      <c r="I2462">
        <f t="shared" si="115"/>
        <v>2100</v>
      </c>
      <c r="J2462">
        <f t="shared" si="116"/>
        <v>12600</v>
      </c>
    </row>
    <row r="2463" spans="1:10" x14ac:dyDescent="0.45">
      <c r="A2463" t="s">
        <v>1022</v>
      </c>
      <c r="B2463" s="1">
        <v>45790</v>
      </c>
      <c r="C2463" t="s">
        <v>9</v>
      </c>
      <c r="D2463" t="s">
        <v>25</v>
      </c>
      <c r="E2463">
        <v>5200</v>
      </c>
      <c r="F2463">
        <v>9</v>
      </c>
      <c r="G2463">
        <f t="shared" si="114"/>
        <v>46800</v>
      </c>
      <c r="H2463" t="s">
        <v>21</v>
      </c>
      <c r="I2463">
        <f t="shared" si="115"/>
        <v>6240</v>
      </c>
      <c r="J2463">
        <f t="shared" si="116"/>
        <v>56160</v>
      </c>
    </row>
    <row r="2464" spans="1:10" x14ac:dyDescent="0.45">
      <c r="A2464" t="s">
        <v>1023</v>
      </c>
      <c r="B2464" s="1">
        <v>45790</v>
      </c>
      <c r="C2464" t="s">
        <v>33</v>
      </c>
      <c r="D2464" t="s">
        <v>14</v>
      </c>
      <c r="E2464">
        <v>800</v>
      </c>
      <c r="F2464">
        <v>8</v>
      </c>
      <c r="G2464">
        <f t="shared" si="114"/>
        <v>6400</v>
      </c>
      <c r="H2464" t="s">
        <v>17</v>
      </c>
      <c r="I2464">
        <f t="shared" si="115"/>
        <v>960</v>
      </c>
      <c r="J2464">
        <f t="shared" si="116"/>
        <v>7680</v>
      </c>
    </row>
    <row r="2465" spans="1:10" x14ac:dyDescent="0.45">
      <c r="A2465" t="s">
        <v>1024</v>
      </c>
      <c r="B2465" s="1">
        <v>45790</v>
      </c>
      <c r="C2465" t="s">
        <v>12</v>
      </c>
      <c r="D2465" t="s">
        <v>5021</v>
      </c>
      <c r="E2465">
        <v>2880</v>
      </c>
      <c r="F2465">
        <v>6</v>
      </c>
      <c r="G2465">
        <f t="shared" si="114"/>
        <v>17280</v>
      </c>
      <c r="H2465" t="s">
        <v>7</v>
      </c>
      <c r="I2465">
        <f t="shared" si="115"/>
        <v>3456</v>
      </c>
      <c r="J2465">
        <f t="shared" si="116"/>
        <v>20736</v>
      </c>
    </row>
    <row r="2466" spans="1:10" x14ac:dyDescent="0.45">
      <c r="A2466" t="s">
        <v>1025</v>
      </c>
      <c r="B2466" s="1">
        <v>45790</v>
      </c>
      <c r="C2466" t="s">
        <v>12</v>
      </c>
      <c r="D2466" t="s">
        <v>5020</v>
      </c>
      <c r="E2466">
        <v>2880</v>
      </c>
      <c r="F2466">
        <v>3</v>
      </c>
      <c r="G2466">
        <f t="shared" si="114"/>
        <v>8640</v>
      </c>
      <c r="H2466" t="s">
        <v>21</v>
      </c>
      <c r="I2466">
        <f t="shared" si="115"/>
        <v>3456</v>
      </c>
      <c r="J2466">
        <f t="shared" si="116"/>
        <v>10368</v>
      </c>
    </row>
    <row r="2467" spans="1:10" x14ac:dyDescent="0.45">
      <c r="A2467" t="s">
        <v>1026</v>
      </c>
      <c r="B2467" s="1">
        <v>45790</v>
      </c>
      <c r="C2467" t="s">
        <v>33</v>
      </c>
      <c r="D2467" t="s">
        <v>34</v>
      </c>
      <c r="E2467">
        <v>1700</v>
      </c>
      <c r="F2467">
        <v>8</v>
      </c>
      <c r="G2467">
        <f t="shared" si="114"/>
        <v>13600</v>
      </c>
      <c r="H2467" t="s">
        <v>7</v>
      </c>
      <c r="I2467">
        <f t="shared" si="115"/>
        <v>2040</v>
      </c>
      <c r="J2467">
        <f t="shared" si="116"/>
        <v>16320</v>
      </c>
    </row>
    <row r="2468" spans="1:10" x14ac:dyDescent="0.45">
      <c r="A2468" t="s">
        <v>1027</v>
      </c>
      <c r="B2468" s="1">
        <v>45790</v>
      </c>
      <c r="C2468" t="s">
        <v>9</v>
      </c>
      <c r="D2468" t="s">
        <v>10</v>
      </c>
      <c r="E2468">
        <v>400</v>
      </c>
      <c r="F2468">
        <v>8</v>
      </c>
      <c r="G2468">
        <f t="shared" si="114"/>
        <v>3200</v>
      </c>
      <c r="H2468" t="s">
        <v>17</v>
      </c>
      <c r="I2468">
        <f t="shared" si="115"/>
        <v>480</v>
      </c>
      <c r="J2468">
        <f t="shared" si="116"/>
        <v>3840</v>
      </c>
    </row>
    <row r="2469" spans="1:10" x14ac:dyDescent="0.45">
      <c r="A2469" t="s">
        <v>1028</v>
      </c>
      <c r="B2469" s="1">
        <v>45790</v>
      </c>
      <c r="C2469" t="s">
        <v>33</v>
      </c>
      <c r="D2469" t="s">
        <v>34</v>
      </c>
      <c r="E2469">
        <v>1700</v>
      </c>
      <c r="F2469">
        <v>4</v>
      </c>
      <c r="G2469">
        <f t="shared" si="114"/>
        <v>6800</v>
      </c>
      <c r="H2469" t="s">
        <v>7</v>
      </c>
      <c r="I2469">
        <f t="shared" si="115"/>
        <v>2040</v>
      </c>
      <c r="J2469">
        <f t="shared" si="116"/>
        <v>8160</v>
      </c>
    </row>
    <row r="2470" spans="1:10" x14ac:dyDescent="0.45">
      <c r="A2470" t="s">
        <v>1029</v>
      </c>
      <c r="B2470" s="1">
        <v>45790</v>
      </c>
      <c r="C2470" t="s">
        <v>4007</v>
      </c>
      <c r="D2470" t="s">
        <v>39</v>
      </c>
      <c r="E2470">
        <v>6000</v>
      </c>
      <c r="F2470">
        <v>5</v>
      </c>
      <c r="G2470">
        <f t="shared" si="114"/>
        <v>30000</v>
      </c>
      <c r="H2470" t="s">
        <v>21</v>
      </c>
      <c r="I2470">
        <f t="shared" si="115"/>
        <v>7200</v>
      </c>
      <c r="J2470">
        <f t="shared" si="116"/>
        <v>36000</v>
      </c>
    </row>
    <row r="2471" spans="1:10" x14ac:dyDescent="0.45">
      <c r="A2471" t="s">
        <v>2868</v>
      </c>
      <c r="B2471" s="1">
        <v>45790</v>
      </c>
      <c r="C2471" t="s">
        <v>33</v>
      </c>
      <c r="D2471" t="s">
        <v>14</v>
      </c>
      <c r="E2471">
        <v>800</v>
      </c>
      <c r="F2471">
        <v>1</v>
      </c>
      <c r="G2471">
        <f t="shared" si="114"/>
        <v>800</v>
      </c>
      <c r="H2471" t="s">
        <v>21</v>
      </c>
      <c r="I2471">
        <f t="shared" si="115"/>
        <v>960</v>
      </c>
      <c r="J2471">
        <f t="shared" si="116"/>
        <v>960</v>
      </c>
    </row>
    <row r="2472" spans="1:10" x14ac:dyDescent="0.45">
      <c r="A2472" t="s">
        <v>3656</v>
      </c>
      <c r="B2472" s="1">
        <v>45790</v>
      </c>
      <c r="C2472" t="s">
        <v>4007</v>
      </c>
      <c r="D2472" t="s">
        <v>2770</v>
      </c>
      <c r="E2472">
        <v>600</v>
      </c>
      <c r="F2472">
        <v>8</v>
      </c>
      <c r="G2472">
        <f t="shared" si="114"/>
        <v>4800</v>
      </c>
      <c r="H2472" t="s">
        <v>7</v>
      </c>
      <c r="I2472">
        <f t="shared" si="115"/>
        <v>720</v>
      </c>
      <c r="J2472">
        <f t="shared" si="116"/>
        <v>5760</v>
      </c>
    </row>
    <row r="2473" spans="1:10" x14ac:dyDescent="0.45">
      <c r="A2473" t="s">
        <v>1030</v>
      </c>
      <c r="B2473" s="1">
        <v>45791</v>
      </c>
      <c r="C2473" t="s">
        <v>33</v>
      </c>
      <c r="D2473" t="s">
        <v>14</v>
      </c>
      <c r="E2473">
        <v>800</v>
      </c>
      <c r="F2473">
        <v>7</v>
      </c>
      <c r="G2473">
        <f t="shared" si="114"/>
        <v>5600</v>
      </c>
      <c r="H2473" t="s">
        <v>7</v>
      </c>
      <c r="I2473">
        <f t="shared" si="115"/>
        <v>960</v>
      </c>
      <c r="J2473">
        <f t="shared" si="116"/>
        <v>6720</v>
      </c>
    </row>
    <row r="2474" spans="1:10" x14ac:dyDescent="0.45">
      <c r="A2474" t="s">
        <v>1031</v>
      </c>
      <c r="B2474" s="1">
        <v>45791</v>
      </c>
      <c r="C2474" t="s">
        <v>33</v>
      </c>
      <c r="D2474" t="s">
        <v>42</v>
      </c>
      <c r="E2474">
        <v>6900</v>
      </c>
      <c r="F2474">
        <v>2</v>
      </c>
      <c r="G2474">
        <f t="shared" si="114"/>
        <v>13800</v>
      </c>
      <c r="H2474" t="s">
        <v>21</v>
      </c>
      <c r="I2474">
        <f t="shared" si="115"/>
        <v>8280</v>
      </c>
      <c r="J2474">
        <f t="shared" si="116"/>
        <v>16560</v>
      </c>
    </row>
    <row r="2475" spans="1:10" x14ac:dyDescent="0.45">
      <c r="A2475" t="s">
        <v>1032</v>
      </c>
      <c r="B2475" s="1">
        <v>45791</v>
      </c>
      <c r="C2475" t="s">
        <v>9</v>
      </c>
      <c r="D2475" t="s">
        <v>10</v>
      </c>
      <c r="E2475">
        <v>400</v>
      </c>
      <c r="F2475">
        <v>3</v>
      </c>
      <c r="G2475">
        <f t="shared" si="114"/>
        <v>1200</v>
      </c>
      <c r="H2475" t="s">
        <v>7</v>
      </c>
      <c r="I2475">
        <f t="shared" si="115"/>
        <v>480</v>
      </c>
      <c r="J2475">
        <f t="shared" si="116"/>
        <v>1440</v>
      </c>
    </row>
    <row r="2476" spans="1:10" x14ac:dyDescent="0.45">
      <c r="A2476" t="s">
        <v>1033</v>
      </c>
      <c r="B2476" s="1">
        <v>45791</v>
      </c>
      <c r="C2476" t="s">
        <v>12</v>
      </c>
      <c r="D2476" t="s">
        <v>5021</v>
      </c>
      <c r="E2476">
        <v>2880</v>
      </c>
      <c r="F2476">
        <v>6</v>
      </c>
      <c r="G2476">
        <f t="shared" si="114"/>
        <v>17280</v>
      </c>
      <c r="H2476" t="s">
        <v>17</v>
      </c>
      <c r="I2476">
        <f t="shared" si="115"/>
        <v>3456</v>
      </c>
      <c r="J2476">
        <f t="shared" si="116"/>
        <v>20736</v>
      </c>
    </row>
    <row r="2477" spans="1:10" x14ac:dyDescent="0.45">
      <c r="A2477" t="s">
        <v>1034</v>
      </c>
      <c r="B2477" s="1">
        <v>45791</v>
      </c>
      <c r="C2477" t="s">
        <v>9</v>
      </c>
      <c r="D2477" t="s">
        <v>19</v>
      </c>
      <c r="E2477">
        <v>3000</v>
      </c>
      <c r="F2477">
        <v>4</v>
      </c>
      <c r="G2477">
        <f t="shared" si="114"/>
        <v>12000</v>
      </c>
      <c r="H2477" t="s">
        <v>17</v>
      </c>
      <c r="I2477">
        <f t="shared" si="115"/>
        <v>3600</v>
      </c>
      <c r="J2477">
        <f t="shared" si="116"/>
        <v>14400</v>
      </c>
    </row>
    <row r="2478" spans="1:10" x14ac:dyDescent="0.45">
      <c r="A2478" t="s">
        <v>1035</v>
      </c>
      <c r="B2478" s="1">
        <v>45791</v>
      </c>
      <c r="C2478" t="s">
        <v>33</v>
      </c>
      <c r="D2478" t="s">
        <v>42</v>
      </c>
      <c r="E2478">
        <v>6900</v>
      </c>
      <c r="F2478">
        <v>5</v>
      </c>
      <c r="G2478">
        <f t="shared" si="114"/>
        <v>34500</v>
      </c>
      <c r="H2478" t="s">
        <v>7</v>
      </c>
      <c r="I2478">
        <f t="shared" si="115"/>
        <v>8280</v>
      </c>
      <c r="J2478">
        <f t="shared" si="116"/>
        <v>41400</v>
      </c>
    </row>
    <row r="2479" spans="1:10" x14ac:dyDescent="0.45">
      <c r="A2479" t="s">
        <v>1036</v>
      </c>
      <c r="B2479" s="1">
        <v>45791</v>
      </c>
      <c r="C2479" t="s">
        <v>9</v>
      </c>
      <c r="D2479" t="s">
        <v>10</v>
      </c>
      <c r="E2479">
        <v>400</v>
      </c>
      <c r="F2479">
        <v>5</v>
      </c>
      <c r="G2479">
        <f t="shared" si="114"/>
        <v>2000</v>
      </c>
      <c r="H2479" t="s">
        <v>7</v>
      </c>
      <c r="I2479">
        <f t="shared" si="115"/>
        <v>480</v>
      </c>
      <c r="J2479">
        <f t="shared" si="116"/>
        <v>2400</v>
      </c>
    </row>
    <row r="2480" spans="1:10" x14ac:dyDescent="0.45">
      <c r="A2480" t="s">
        <v>3034</v>
      </c>
      <c r="B2480" s="1">
        <v>45791</v>
      </c>
      <c r="C2480" t="s">
        <v>4007</v>
      </c>
      <c r="D2480" t="s">
        <v>28</v>
      </c>
      <c r="E2480">
        <v>500</v>
      </c>
      <c r="F2480">
        <v>7</v>
      </c>
      <c r="G2480">
        <f t="shared" si="114"/>
        <v>3500</v>
      </c>
      <c r="H2480" t="s">
        <v>7</v>
      </c>
      <c r="I2480">
        <f t="shared" si="115"/>
        <v>600</v>
      </c>
      <c r="J2480">
        <f t="shared" si="116"/>
        <v>4200</v>
      </c>
    </row>
    <row r="2481" spans="1:10" x14ac:dyDescent="0.45">
      <c r="A2481" t="s">
        <v>3675</v>
      </c>
      <c r="B2481" s="1">
        <v>45791</v>
      </c>
      <c r="C2481" t="s">
        <v>33</v>
      </c>
      <c r="D2481" t="s">
        <v>14</v>
      </c>
      <c r="E2481">
        <v>800</v>
      </c>
      <c r="F2481">
        <v>10</v>
      </c>
      <c r="G2481">
        <f t="shared" si="114"/>
        <v>8000</v>
      </c>
      <c r="H2481" t="s">
        <v>17</v>
      </c>
      <c r="I2481">
        <f t="shared" si="115"/>
        <v>960</v>
      </c>
      <c r="J2481">
        <f t="shared" si="116"/>
        <v>9600</v>
      </c>
    </row>
    <row r="2482" spans="1:10" x14ac:dyDescent="0.45">
      <c r="A2482" t="s">
        <v>3948</v>
      </c>
      <c r="B2482" s="1">
        <v>45791</v>
      </c>
      <c r="C2482" t="s">
        <v>2772</v>
      </c>
      <c r="D2482" t="s">
        <v>2775</v>
      </c>
      <c r="E2482">
        <v>9100</v>
      </c>
      <c r="F2482">
        <v>4</v>
      </c>
      <c r="G2482">
        <f t="shared" si="114"/>
        <v>36400</v>
      </c>
      <c r="H2482" t="s">
        <v>17</v>
      </c>
      <c r="I2482">
        <f t="shared" si="115"/>
        <v>10920</v>
      </c>
      <c r="J2482">
        <f t="shared" si="116"/>
        <v>43680</v>
      </c>
    </row>
    <row r="2483" spans="1:10" x14ac:dyDescent="0.45">
      <c r="A2483" t="s">
        <v>1037</v>
      </c>
      <c r="B2483" s="1">
        <v>45792</v>
      </c>
      <c r="C2483" t="s">
        <v>12</v>
      </c>
      <c r="D2483" t="s">
        <v>5023</v>
      </c>
      <c r="E2483">
        <v>1750</v>
      </c>
      <c r="F2483">
        <v>2</v>
      </c>
      <c r="G2483">
        <f t="shared" si="114"/>
        <v>3500</v>
      </c>
      <c r="H2483" t="s">
        <v>21</v>
      </c>
      <c r="I2483">
        <f t="shared" si="115"/>
        <v>2100</v>
      </c>
      <c r="J2483">
        <f t="shared" si="116"/>
        <v>4200</v>
      </c>
    </row>
    <row r="2484" spans="1:10" x14ac:dyDescent="0.45">
      <c r="A2484" t="s">
        <v>1038</v>
      </c>
      <c r="B2484" s="1">
        <v>45792</v>
      </c>
      <c r="C2484" t="s">
        <v>4007</v>
      </c>
      <c r="D2484" t="s">
        <v>4005</v>
      </c>
      <c r="E2484">
        <v>60000</v>
      </c>
      <c r="F2484">
        <v>8</v>
      </c>
      <c r="G2484">
        <f t="shared" si="114"/>
        <v>480000</v>
      </c>
      <c r="H2484" t="s">
        <v>21</v>
      </c>
      <c r="I2484">
        <f t="shared" si="115"/>
        <v>72000</v>
      </c>
      <c r="J2484">
        <f t="shared" si="116"/>
        <v>576000</v>
      </c>
    </row>
    <row r="2485" spans="1:10" x14ac:dyDescent="0.45">
      <c r="A2485" t="s">
        <v>1039</v>
      </c>
      <c r="B2485" s="1">
        <v>45792</v>
      </c>
      <c r="C2485" t="s">
        <v>12</v>
      </c>
      <c r="D2485" t="s">
        <v>5022</v>
      </c>
      <c r="E2485">
        <v>2880</v>
      </c>
      <c r="F2485">
        <v>2</v>
      </c>
      <c r="G2485">
        <f t="shared" si="114"/>
        <v>5760</v>
      </c>
      <c r="H2485" t="s">
        <v>17</v>
      </c>
      <c r="I2485">
        <f t="shared" si="115"/>
        <v>3456</v>
      </c>
      <c r="J2485">
        <f t="shared" si="116"/>
        <v>6912</v>
      </c>
    </row>
    <row r="2486" spans="1:10" x14ac:dyDescent="0.45">
      <c r="A2486" t="s">
        <v>1040</v>
      </c>
      <c r="B2486" s="1">
        <v>45792</v>
      </c>
      <c r="C2486" t="s">
        <v>12</v>
      </c>
      <c r="D2486" t="s">
        <v>5021</v>
      </c>
      <c r="E2486">
        <v>2880</v>
      </c>
      <c r="F2486">
        <v>4</v>
      </c>
      <c r="G2486">
        <f t="shared" si="114"/>
        <v>11520</v>
      </c>
      <c r="H2486" t="s">
        <v>17</v>
      </c>
      <c r="I2486">
        <f t="shared" si="115"/>
        <v>3456</v>
      </c>
      <c r="J2486">
        <f t="shared" si="116"/>
        <v>13824</v>
      </c>
    </row>
    <row r="2487" spans="1:10" x14ac:dyDescent="0.45">
      <c r="A2487" t="s">
        <v>1041</v>
      </c>
      <c r="B2487" s="1">
        <v>45792</v>
      </c>
      <c r="C2487" t="s">
        <v>9</v>
      </c>
      <c r="D2487" t="s">
        <v>10</v>
      </c>
      <c r="E2487">
        <v>400</v>
      </c>
      <c r="F2487">
        <v>3</v>
      </c>
      <c r="G2487">
        <f t="shared" si="114"/>
        <v>1200</v>
      </c>
      <c r="H2487" t="s">
        <v>21</v>
      </c>
      <c r="I2487">
        <f t="shared" si="115"/>
        <v>480</v>
      </c>
      <c r="J2487">
        <f t="shared" si="116"/>
        <v>1440</v>
      </c>
    </row>
    <row r="2488" spans="1:10" x14ac:dyDescent="0.45">
      <c r="A2488" t="s">
        <v>1042</v>
      </c>
      <c r="B2488" s="1">
        <v>45792</v>
      </c>
      <c r="C2488" t="s">
        <v>12</v>
      </c>
      <c r="D2488" t="s">
        <v>5022</v>
      </c>
      <c r="E2488">
        <v>2880</v>
      </c>
      <c r="F2488">
        <v>2</v>
      </c>
      <c r="G2488">
        <f t="shared" si="114"/>
        <v>5760</v>
      </c>
      <c r="H2488" t="s">
        <v>17</v>
      </c>
      <c r="I2488">
        <f t="shared" si="115"/>
        <v>3456</v>
      </c>
      <c r="J2488">
        <f t="shared" si="116"/>
        <v>6912</v>
      </c>
    </row>
    <row r="2489" spans="1:10" x14ac:dyDescent="0.45">
      <c r="A2489" t="s">
        <v>2994</v>
      </c>
      <c r="B2489" s="1">
        <v>45792</v>
      </c>
      <c r="C2489" t="s">
        <v>4007</v>
      </c>
      <c r="D2489" t="s">
        <v>2774</v>
      </c>
      <c r="E2489">
        <v>1900</v>
      </c>
      <c r="F2489">
        <v>3</v>
      </c>
      <c r="G2489">
        <f t="shared" si="114"/>
        <v>5700</v>
      </c>
      <c r="H2489" t="s">
        <v>7</v>
      </c>
      <c r="I2489">
        <f t="shared" si="115"/>
        <v>2280</v>
      </c>
      <c r="J2489">
        <f t="shared" si="116"/>
        <v>6840</v>
      </c>
    </row>
    <row r="2490" spans="1:10" x14ac:dyDescent="0.45">
      <c r="A2490" t="s">
        <v>3862</v>
      </c>
      <c r="B2490" s="1">
        <v>45792</v>
      </c>
      <c r="C2490" t="s">
        <v>33</v>
      </c>
      <c r="D2490" t="s">
        <v>14</v>
      </c>
      <c r="E2490">
        <v>800</v>
      </c>
      <c r="F2490">
        <v>1</v>
      </c>
      <c r="G2490">
        <f t="shared" si="114"/>
        <v>800</v>
      </c>
      <c r="H2490" t="s">
        <v>21</v>
      </c>
      <c r="I2490">
        <f t="shared" si="115"/>
        <v>960</v>
      </c>
      <c r="J2490">
        <f t="shared" si="116"/>
        <v>960</v>
      </c>
    </row>
    <row r="2491" spans="1:10" x14ac:dyDescent="0.45">
      <c r="A2491" t="s">
        <v>1043</v>
      </c>
      <c r="B2491" s="1">
        <v>45793</v>
      </c>
      <c r="C2491" t="s">
        <v>12</v>
      </c>
      <c r="D2491" t="s">
        <v>5021</v>
      </c>
      <c r="E2491">
        <v>2880</v>
      </c>
      <c r="F2491">
        <v>7</v>
      </c>
      <c r="G2491">
        <f t="shared" si="114"/>
        <v>20160</v>
      </c>
      <c r="H2491" t="s">
        <v>17</v>
      </c>
      <c r="I2491">
        <f t="shared" si="115"/>
        <v>3456</v>
      </c>
      <c r="J2491">
        <f t="shared" si="116"/>
        <v>24192</v>
      </c>
    </row>
    <row r="2492" spans="1:10" x14ac:dyDescent="0.45">
      <c r="A2492" t="s">
        <v>1044</v>
      </c>
      <c r="B2492" s="1">
        <v>45793</v>
      </c>
      <c r="C2492" t="s">
        <v>12</v>
      </c>
      <c r="D2492" t="s">
        <v>5023</v>
      </c>
      <c r="E2492">
        <v>1750</v>
      </c>
      <c r="F2492">
        <v>9</v>
      </c>
      <c r="G2492">
        <f t="shared" si="114"/>
        <v>15750</v>
      </c>
      <c r="H2492" t="s">
        <v>7</v>
      </c>
      <c r="I2492">
        <f t="shared" si="115"/>
        <v>2100</v>
      </c>
      <c r="J2492">
        <f t="shared" si="116"/>
        <v>18900</v>
      </c>
    </row>
    <row r="2493" spans="1:10" x14ac:dyDescent="0.45">
      <c r="A2493" t="s">
        <v>1045</v>
      </c>
      <c r="B2493" s="1">
        <v>45793</v>
      </c>
      <c r="C2493" t="s">
        <v>4007</v>
      </c>
      <c r="D2493" t="s">
        <v>39</v>
      </c>
      <c r="E2493">
        <v>6000</v>
      </c>
      <c r="F2493">
        <v>10</v>
      </c>
      <c r="G2493">
        <f t="shared" si="114"/>
        <v>60000</v>
      </c>
      <c r="H2493" t="s">
        <v>17</v>
      </c>
      <c r="I2493">
        <f t="shared" si="115"/>
        <v>7200</v>
      </c>
      <c r="J2493">
        <f t="shared" si="116"/>
        <v>72000</v>
      </c>
    </row>
    <row r="2494" spans="1:10" x14ac:dyDescent="0.45">
      <c r="A2494" t="s">
        <v>1046</v>
      </c>
      <c r="B2494" s="1">
        <v>45793</v>
      </c>
      <c r="C2494" t="s">
        <v>33</v>
      </c>
      <c r="D2494" t="s">
        <v>14</v>
      </c>
      <c r="E2494">
        <v>800</v>
      </c>
      <c r="F2494">
        <v>7</v>
      </c>
      <c r="G2494">
        <f t="shared" si="114"/>
        <v>5600</v>
      </c>
      <c r="H2494" t="s">
        <v>17</v>
      </c>
      <c r="I2494">
        <f t="shared" si="115"/>
        <v>960</v>
      </c>
      <c r="J2494">
        <f t="shared" si="116"/>
        <v>6720</v>
      </c>
    </row>
    <row r="2495" spans="1:10" x14ac:dyDescent="0.45">
      <c r="A2495" t="s">
        <v>1047</v>
      </c>
      <c r="B2495" s="1">
        <v>45793</v>
      </c>
      <c r="C2495" t="s">
        <v>9</v>
      </c>
      <c r="D2495" t="s">
        <v>25</v>
      </c>
      <c r="E2495">
        <v>5200</v>
      </c>
      <c r="F2495">
        <v>9</v>
      </c>
      <c r="G2495">
        <f t="shared" si="114"/>
        <v>46800</v>
      </c>
      <c r="H2495" t="s">
        <v>21</v>
      </c>
      <c r="I2495">
        <f t="shared" si="115"/>
        <v>6240</v>
      </c>
      <c r="J2495">
        <f t="shared" si="116"/>
        <v>56160</v>
      </c>
    </row>
    <row r="2496" spans="1:10" x14ac:dyDescent="0.45">
      <c r="A2496" t="s">
        <v>1048</v>
      </c>
      <c r="B2496" s="1">
        <v>45793</v>
      </c>
      <c r="C2496" t="s">
        <v>12</v>
      </c>
      <c r="D2496" t="s">
        <v>5020</v>
      </c>
      <c r="E2496">
        <v>2880</v>
      </c>
      <c r="F2496">
        <v>1</v>
      </c>
      <c r="G2496">
        <f t="shared" si="114"/>
        <v>2880</v>
      </c>
      <c r="H2496" t="s">
        <v>7</v>
      </c>
      <c r="I2496">
        <f t="shared" si="115"/>
        <v>3456</v>
      </c>
      <c r="J2496">
        <f t="shared" si="116"/>
        <v>3456</v>
      </c>
    </row>
    <row r="2497" spans="1:10" x14ac:dyDescent="0.45">
      <c r="A2497" t="s">
        <v>1049</v>
      </c>
      <c r="B2497" s="1">
        <v>45793</v>
      </c>
      <c r="C2497" t="s">
        <v>9</v>
      </c>
      <c r="D2497" t="s">
        <v>25</v>
      </c>
      <c r="E2497">
        <v>5200</v>
      </c>
      <c r="F2497">
        <v>8</v>
      </c>
      <c r="G2497">
        <f t="shared" si="114"/>
        <v>41600</v>
      </c>
      <c r="H2497" t="s">
        <v>21</v>
      </c>
      <c r="I2497">
        <f t="shared" si="115"/>
        <v>6240</v>
      </c>
      <c r="J2497">
        <f t="shared" si="116"/>
        <v>49920</v>
      </c>
    </row>
    <row r="2498" spans="1:10" x14ac:dyDescent="0.45">
      <c r="A2498" t="s">
        <v>3343</v>
      </c>
      <c r="B2498" s="1">
        <v>45793</v>
      </c>
      <c r="C2498" t="s">
        <v>33</v>
      </c>
      <c r="D2498" t="s">
        <v>34</v>
      </c>
      <c r="E2498">
        <v>1700</v>
      </c>
      <c r="F2498">
        <v>4</v>
      </c>
      <c r="G2498">
        <f t="shared" ref="G2498:G2561" si="117">E2498*F2498</f>
        <v>6800</v>
      </c>
      <c r="H2498" t="s">
        <v>21</v>
      </c>
      <c r="I2498">
        <f t="shared" ref="I2498:I2561" si="118">E2498*1.2</f>
        <v>2040</v>
      </c>
      <c r="J2498">
        <f t="shared" ref="J2498:J2561" si="119">I2498*F2498</f>
        <v>8160</v>
      </c>
    </row>
    <row r="2499" spans="1:10" x14ac:dyDescent="0.45">
      <c r="A2499" t="s">
        <v>3679</v>
      </c>
      <c r="B2499" s="1">
        <v>45793</v>
      </c>
      <c r="C2499" t="s">
        <v>2772</v>
      </c>
      <c r="D2499" t="s">
        <v>2771</v>
      </c>
      <c r="E2499">
        <v>120</v>
      </c>
      <c r="F2499">
        <v>8</v>
      </c>
      <c r="G2499">
        <f t="shared" si="117"/>
        <v>960</v>
      </c>
      <c r="H2499" t="s">
        <v>17</v>
      </c>
      <c r="I2499">
        <f t="shared" si="118"/>
        <v>144</v>
      </c>
      <c r="J2499">
        <f t="shared" si="119"/>
        <v>1152</v>
      </c>
    </row>
    <row r="2500" spans="1:10" x14ac:dyDescent="0.45">
      <c r="A2500" t="s">
        <v>3971</v>
      </c>
      <c r="B2500" s="1">
        <v>45793</v>
      </c>
      <c r="C2500" t="s">
        <v>33</v>
      </c>
      <c r="D2500" t="s">
        <v>14</v>
      </c>
      <c r="E2500">
        <v>800</v>
      </c>
      <c r="F2500">
        <v>8</v>
      </c>
      <c r="G2500">
        <f t="shared" si="117"/>
        <v>6400</v>
      </c>
      <c r="H2500" t="s">
        <v>21</v>
      </c>
      <c r="I2500">
        <f t="shared" si="118"/>
        <v>960</v>
      </c>
      <c r="J2500">
        <f t="shared" si="119"/>
        <v>7680</v>
      </c>
    </row>
    <row r="2501" spans="1:10" x14ac:dyDescent="0.45">
      <c r="A2501" t="s">
        <v>1050</v>
      </c>
      <c r="B2501" s="1">
        <v>45794</v>
      </c>
      <c r="C2501" t="s">
        <v>12</v>
      </c>
      <c r="D2501" t="s">
        <v>5020</v>
      </c>
      <c r="E2501">
        <v>2880</v>
      </c>
      <c r="F2501">
        <v>7</v>
      </c>
      <c r="G2501">
        <f t="shared" si="117"/>
        <v>20160</v>
      </c>
      <c r="H2501" t="s">
        <v>17</v>
      </c>
      <c r="I2501">
        <f t="shared" si="118"/>
        <v>3456</v>
      </c>
      <c r="J2501">
        <f t="shared" si="119"/>
        <v>24192</v>
      </c>
    </row>
    <row r="2502" spans="1:10" x14ac:dyDescent="0.45">
      <c r="A2502" t="s">
        <v>1051</v>
      </c>
      <c r="B2502" s="1">
        <v>45794</v>
      </c>
      <c r="C2502" t="s">
        <v>4007</v>
      </c>
      <c r="D2502" t="s">
        <v>39</v>
      </c>
      <c r="E2502">
        <v>6000</v>
      </c>
      <c r="F2502">
        <v>10</v>
      </c>
      <c r="G2502">
        <f t="shared" si="117"/>
        <v>60000</v>
      </c>
      <c r="H2502" t="s">
        <v>7</v>
      </c>
      <c r="I2502">
        <f t="shared" si="118"/>
        <v>7200</v>
      </c>
      <c r="J2502">
        <f t="shared" si="119"/>
        <v>72000</v>
      </c>
    </row>
    <row r="2503" spans="1:10" x14ac:dyDescent="0.45">
      <c r="A2503" t="s">
        <v>1052</v>
      </c>
      <c r="B2503" s="1">
        <v>45794</v>
      </c>
      <c r="C2503" t="s">
        <v>4007</v>
      </c>
      <c r="D2503" t="s">
        <v>4005</v>
      </c>
      <c r="E2503">
        <v>60000</v>
      </c>
      <c r="F2503">
        <v>1</v>
      </c>
      <c r="G2503">
        <f t="shared" si="117"/>
        <v>60000</v>
      </c>
      <c r="H2503" t="s">
        <v>7</v>
      </c>
      <c r="I2503">
        <f t="shared" si="118"/>
        <v>72000</v>
      </c>
      <c r="J2503">
        <f t="shared" si="119"/>
        <v>72000</v>
      </c>
    </row>
    <row r="2504" spans="1:10" x14ac:dyDescent="0.45">
      <c r="A2504" t="s">
        <v>1053</v>
      </c>
      <c r="B2504" s="1">
        <v>45794</v>
      </c>
      <c r="C2504" t="s">
        <v>9</v>
      </c>
      <c r="D2504" t="s">
        <v>25</v>
      </c>
      <c r="E2504">
        <v>5200</v>
      </c>
      <c r="F2504">
        <v>4</v>
      </c>
      <c r="G2504">
        <f t="shared" si="117"/>
        <v>20800</v>
      </c>
      <c r="H2504" t="s">
        <v>17</v>
      </c>
      <c r="I2504">
        <f t="shared" si="118"/>
        <v>6240</v>
      </c>
      <c r="J2504">
        <f t="shared" si="119"/>
        <v>24960</v>
      </c>
    </row>
    <row r="2505" spans="1:10" x14ac:dyDescent="0.45">
      <c r="A2505" t="s">
        <v>1054</v>
      </c>
      <c r="B2505" s="1">
        <v>45794</v>
      </c>
      <c r="C2505" t="s">
        <v>12</v>
      </c>
      <c r="D2505" t="s">
        <v>5021</v>
      </c>
      <c r="E2505">
        <v>2880</v>
      </c>
      <c r="F2505">
        <v>10</v>
      </c>
      <c r="G2505">
        <f t="shared" si="117"/>
        <v>28800</v>
      </c>
      <c r="H2505" t="s">
        <v>17</v>
      </c>
      <c r="I2505">
        <f t="shared" si="118"/>
        <v>3456</v>
      </c>
      <c r="J2505">
        <f t="shared" si="119"/>
        <v>34560</v>
      </c>
    </row>
    <row r="2506" spans="1:10" x14ac:dyDescent="0.45">
      <c r="A2506" t="s">
        <v>1055</v>
      </c>
      <c r="B2506" s="1">
        <v>45794</v>
      </c>
      <c r="C2506" t="s">
        <v>33</v>
      </c>
      <c r="D2506" t="s">
        <v>16</v>
      </c>
      <c r="E2506">
        <v>1200</v>
      </c>
      <c r="F2506">
        <v>2</v>
      </c>
      <c r="G2506">
        <f t="shared" si="117"/>
        <v>2400</v>
      </c>
      <c r="H2506" t="s">
        <v>21</v>
      </c>
      <c r="I2506">
        <f t="shared" si="118"/>
        <v>1440</v>
      </c>
      <c r="J2506">
        <f t="shared" si="119"/>
        <v>2880</v>
      </c>
    </row>
    <row r="2507" spans="1:10" x14ac:dyDescent="0.45">
      <c r="A2507" t="s">
        <v>1056</v>
      </c>
      <c r="B2507" s="1">
        <v>45794</v>
      </c>
      <c r="C2507" t="s">
        <v>12</v>
      </c>
      <c r="D2507" t="s">
        <v>5021</v>
      </c>
      <c r="E2507">
        <v>2880</v>
      </c>
      <c r="F2507">
        <v>6</v>
      </c>
      <c r="G2507">
        <f t="shared" si="117"/>
        <v>17280</v>
      </c>
      <c r="H2507" t="s">
        <v>7</v>
      </c>
      <c r="I2507">
        <f t="shared" si="118"/>
        <v>3456</v>
      </c>
      <c r="J2507">
        <f t="shared" si="119"/>
        <v>20736</v>
      </c>
    </row>
    <row r="2508" spans="1:10" x14ac:dyDescent="0.45">
      <c r="A2508" t="s">
        <v>1057</v>
      </c>
      <c r="B2508" s="1">
        <v>45794</v>
      </c>
      <c r="C2508" t="s">
        <v>12</v>
      </c>
      <c r="D2508" t="s">
        <v>5022</v>
      </c>
      <c r="E2508">
        <v>2880</v>
      </c>
      <c r="F2508">
        <v>2</v>
      </c>
      <c r="G2508">
        <f t="shared" si="117"/>
        <v>5760</v>
      </c>
      <c r="H2508" t="s">
        <v>17</v>
      </c>
      <c r="I2508">
        <f t="shared" si="118"/>
        <v>3456</v>
      </c>
      <c r="J2508">
        <f t="shared" si="119"/>
        <v>6912</v>
      </c>
    </row>
    <row r="2509" spans="1:10" x14ac:dyDescent="0.45">
      <c r="A2509" t="s">
        <v>1058</v>
      </c>
      <c r="B2509" s="1">
        <v>45794</v>
      </c>
      <c r="C2509" t="s">
        <v>9</v>
      </c>
      <c r="D2509" t="s">
        <v>25</v>
      </c>
      <c r="E2509">
        <v>5200</v>
      </c>
      <c r="F2509">
        <v>4</v>
      </c>
      <c r="G2509">
        <f t="shared" si="117"/>
        <v>20800</v>
      </c>
      <c r="H2509" t="s">
        <v>21</v>
      </c>
      <c r="I2509">
        <f t="shared" si="118"/>
        <v>6240</v>
      </c>
      <c r="J2509">
        <f t="shared" si="119"/>
        <v>24960</v>
      </c>
    </row>
    <row r="2510" spans="1:10" x14ac:dyDescent="0.45">
      <c r="A2510" t="s">
        <v>3242</v>
      </c>
      <c r="B2510" s="1">
        <v>45794</v>
      </c>
      <c r="C2510" t="s">
        <v>4007</v>
      </c>
      <c r="D2510" t="s">
        <v>28</v>
      </c>
      <c r="E2510">
        <v>500</v>
      </c>
      <c r="F2510">
        <v>1</v>
      </c>
      <c r="G2510">
        <f t="shared" si="117"/>
        <v>500</v>
      </c>
      <c r="H2510" t="s">
        <v>17</v>
      </c>
      <c r="I2510">
        <f t="shared" si="118"/>
        <v>600</v>
      </c>
      <c r="J2510">
        <f t="shared" si="119"/>
        <v>600</v>
      </c>
    </row>
    <row r="2511" spans="1:10" x14ac:dyDescent="0.45">
      <c r="A2511" t="s">
        <v>3269</v>
      </c>
      <c r="B2511" s="1">
        <v>45794</v>
      </c>
      <c r="C2511" t="s">
        <v>33</v>
      </c>
      <c r="D2511" t="s">
        <v>34</v>
      </c>
      <c r="E2511">
        <v>1700</v>
      </c>
      <c r="F2511">
        <v>3</v>
      </c>
      <c r="G2511">
        <f t="shared" si="117"/>
        <v>5100</v>
      </c>
      <c r="H2511" t="s">
        <v>7</v>
      </c>
      <c r="I2511">
        <f t="shared" si="118"/>
        <v>2040</v>
      </c>
      <c r="J2511">
        <f t="shared" si="119"/>
        <v>6120</v>
      </c>
    </row>
    <row r="2512" spans="1:10" x14ac:dyDescent="0.45">
      <c r="A2512" t="s">
        <v>3319</v>
      </c>
      <c r="B2512" s="1">
        <v>45794</v>
      </c>
      <c r="C2512" t="s">
        <v>4007</v>
      </c>
      <c r="D2512" t="s">
        <v>2770</v>
      </c>
      <c r="E2512">
        <v>600</v>
      </c>
      <c r="F2512">
        <v>3</v>
      </c>
      <c r="G2512">
        <f t="shared" si="117"/>
        <v>1800</v>
      </c>
      <c r="H2512" t="s">
        <v>17</v>
      </c>
      <c r="I2512">
        <f t="shared" si="118"/>
        <v>720</v>
      </c>
      <c r="J2512">
        <f t="shared" si="119"/>
        <v>2160</v>
      </c>
    </row>
    <row r="2513" spans="1:10" x14ac:dyDescent="0.45">
      <c r="A2513" t="s">
        <v>3324</v>
      </c>
      <c r="B2513" s="1">
        <v>45794</v>
      </c>
      <c r="C2513" t="s">
        <v>4007</v>
      </c>
      <c r="D2513" t="s">
        <v>28</v>
      </c>
      <c r="E2513">
        <v>500</v>
      </c>
      <c r="F2513">
        <v>8</v>
      </c>
      <c r="G2513">
        <f t="shared" si="117"/>
        <v>4000</v>
      </c>
      <c r="H2513" t="s">
        <v>21</v>
      </c>
      <c r="I2513">
        <f t="shared" si="118"/>
        <v>600</v>
      </c>
      <c r="J2513">
        <f t="shared" si="119"/>
        <v>4800</v>
      </c>
    </row>
    <row r="2514" spans="1:10" x14ac:dyDescent="0.45">
      <c r="A2514" t="s">
        <v>3902</v>
      </c>
      <c r="B2514" s="1">
        <v>45794</v>
      </c>
      <c r="C2514" t="s">
        <v>4007</v>
      </c>
      <c r="D2514" t="s">
        <v>5015</v>
      </c>
      <c r="E2514">
        <v>48000</v>
      </c>
      <c r="F2514">
        <v>1</v>
      </c>
      <c r="G2514">
        <f t="shared" si="117"/>
        <v>48000</v>
      </c>
      <c r="H2514" t="s">
        <v>21</v>
      </c>
      <c r="I2514">
        <f t="shared" si="118"/>
        <v>57600</v>
      </c>
      <c r="J2514">
        <f t="shared" si="119"/>
        <v>57600</v>
      </c>
    </row>
    <row r="2515" spans="1:10" x14ac:dyDescent="0.45">
      <c r="A2515" t="s">
        <v>1059</v>
      </c>
      <c r="B2515" s="1">
        <v>45795</v>
      </c>
      <c r="C2515" t="s">
        <v>12</v>
      </c>
      <c r="D2515" t="s">
        <v>5023</v>
      </c>
      <c r="E2515">
        <v>1750</v>
      </c>
      <c r="F2515">
        <v>6</v>
      </c>
      <c r="G2515">
        <f t="shared" si="117"/>
        <v>10500</v>
      </c>
      <c r="H2515" t="s">
        <v>17</v>
      </c>
      <c r="I2515">
        <f t="shared" si="118"/>
        <v>2100</v>
      </c>
      <c r="J2515">
        <f t="shared" si="119"/>
        <v>12600</v>
      </c>
    </row>
    <row r="2516" spans="1:10" x14ac:dyDescent="0.45">
      <c r="A2516" t="s">
        <v>1060</v>
      </c>
      <c r="B2516" s="1">
        <v>45795</v>
      </c>
      <c r="C2516" t="s">
        <v>12</v>
      </c>
      <c r="D2516" t="s">
        <v>5022</v>
      </c>
      <c r="E2516">
        <v>2880</v>
      </c>
      <c r="F2516">
        <v>9</v>
      </c>
      <c r="G2516">
        <f t="shared" si="117"/>
        <v>25920</v>
      </c>
      <c r="H2516" t="s">
        <v>17</v>
      </c>
      <c r="I2516">
        <f t="shared" si="118"/>
        <v>3456</v>
      </c>
      <c r="J2516">
        <f t="shared" si="119"/>
        <v>31104</v>
      </c>
    </row>
    <row r="2517" spans="1:10" x14ac:dyDescent="0.45">
      <c r="A2517" t="s">
        <v>1061</v>
      </c>
      <c r="B2517" s="1">
        <v>45795</v>
      </c>
      <c r="C2517" t="s">
        <v>33</v>
      </c>
      <c r="D2517" t="s">
        <v>34</v>
      </c>
      <c r="E2517">
        <v>1700</v>
      </c>
      <c r="F2517">
        <v>9</v>
      </c>
      <c r="G2517">
        <f t="shared" si="117"/>
        <v>15300</v>
      </c>
      <c r="H2517" t="s">
        <v>21</v>
      </c>
      <c r="I2517">
        <f t="shared" si="118"/>
        <v>2040</v>
      </c>
      <c r="J2517">
        <f t="shared" si="119"/>
        <v>18360</v>
      </c>
    </row>
    <row r="2518" spans="1:10" x14ac:dyDescent="0.45">
      <c r="A2518" t="s">
        <v>1062</v>
      </c>
      <c r="B2518" s="1">
        <v>45795</v>
      </c>
      <c r="C2518" t="s">
        <v>33</v>
      </c>
      <c r="D2518" t="s">
        <v>14</v>
      </c>
      <c r="E2518">
        <v>800</v>
      </c>
      <c r="F2518">
        <v>10</v>
      </c>
      <c r="G2518">
        <f t="shared" si="117"/>
        <v>8000</v>
      </c>
      <c r="H2518" t="s">
        <v>21</v>
      </c>
      <c r="I2518">
        <f t="shared" si="118"/>
        <v>960</v>
      </c>
      <c r="J2518">
        <f t="shared" si="119"/>
        <v>9600</v>
      </c>
    </row>
    <row r="2519" spans="1:10" x14ac:dyDescent="0.45">
      <c r="A2519" t="s">
        <v>1063</v>
      </c>
      <c r="B2519" s="1">
        <v>45795</v>
      </c>
      <c r="C2519" t="s">
        <v>33</v>
      </c>
      <c r="D2519" t="s">
        <v>42</v>
      </c>
      <c r="E2519">
        <v>6900</v>
      </c>
      <c r="F2519">
        <v>5</v>
      </c>
      <c r="G2519">
        <f t="shared" si="117"/>
        <v>34500</v>
      </c>
      <c r="H2519" t="s">
        <v>21</v>
      </c>
      <c r="I2519">
        <f t="shared" si="118"/>
        <v>8280</v>
      </c>
      <c r="J2519">
        <f t="shared" si="119"/>
        <v>41400</v>
      </c>
    </row>
    <row r="2520" spans="1:10" x14ac:dyDescent="0.45">
      <c r="A2520" t="s">
        <v>1064</v>
      </c>
      <c r="B2520" s="1">
        <v>45795</v>
      </c>
      <c r="C2520" t="s">
        <v>12</v>
      </c>
      <c r="D2520" t="s">
        <v>5020</v>
      </c>
      <c r="E2520">
        <v>2880</v>
      </c>
      <c r="F2520">
        <v>8</v>
      </c>
      <c r="G2520">
        <f t="shared" si="117"/>
        <v>23040</v>
      </c>
      <c r="H2520" t="s">
        <v>21</v>
      </c>
      <c r="I2520">
        <f t="shared" si="118"/>
        <v>3456</v>
      </c>
      <c r="J2520">
        <f t="shared" si="119"/>
        <v>27648</v>
      </c>
    </row>
    <row r="2521" spans="1:10" x14ac:dyDescent="0.45">
      <c r="A2521" t="s">
        <v>1065</v>
      </c>
      <c r="B2521" s="1">
        <v>45795</v>
      </c>
      <c r="C2521" t="s">
        <v>4007</v>
      </c>
      <c r="D2521" t="s">
        <v>4005</v>
      </c>
      <c r="E2521">
        <v>60000</v>
      </c>
      <c r="F2521">
        <v>8</v>
      </c>
      <c r="G2521">
        <f t="shared" si="117"/>
        <v>480000</v>
      </c>
      <c r="H2521" t="s">
        <v>17</v>
      </c>
      <c r="I2521">
        <f t="shared" si="118"/>
        <v>72000</v>
      </c>
      <c r="J2521">
        <f t="shared" si="119"/>
        <v>576000</v>
      </c>
    </row>
    <row r="2522" spans="1:10" x14ac:dyDescent="0.45">
      <c r="A2522" t="s">
        <v>3447</v>
      </c>
      <c r="B2522" s="1">
        <v>45795</v>
      </c>
      <c r="C2522" t="s">
        <v>4007</v>
      </c>
      <c r="D2522" t="s">
        <v>2776</v>
      </c>
      <c r="E2522">
        <v>3600</v>
      </c>
      <c r="F2522">
        <v>4</v>
      </c>
      <c r="G2522">
        <f t="shared" si="117"/>
        <v>14400</v>
      </c>
      <c r="H2522" t="s">
        <v>17</v>
      </c>
      <c r="I2522">
        <f t="shared" si="118"/>
        <v>4320</v>
      </c>
      <c r="J2522">
        <f t="shared" si="119"/>
        <v>17280</v>
      </c>
    </row>
    <row r="2523" spans="1:10" x14ac:dyDescent="0.45">
      <c r="A2523" t="s">
        <v>3764</v>
      </c>
      <c r="B2523" s="1">
        <v>45795</v>
      </c>
      <c r="C2523" t="s">
        <v>4007</v>
      </c>
      <c r="D2523" t="s">
        <v>2770</v>
      </c>
      <c r="E2523">
        <v>600</v>
      </c>
      <c r="F2523">
        <v>3</v>
      </c>
      <c r="G2523">
        <f t="shared" si="117"/>
        <v>1800</v>
      </c>
      <c r="H2523" t="s">
        <v>21</v>
      </c>
      <c r="I2523">
        <f t="shared" si="118"/>
        <v>720</v>
      </c>
      <c r="J2523">
        <f t="shared" si="119"/>
        <v>2160</v>
      </c>
    </row>
    <row r="2524" spans="1:10" x14ac:dyDescent="0.45">
      <c r="A2524" t="s">
        <v>3785</v>
      </c>
      <c r="B2524" s="1">
        <v>45795</v>
      </c>
      <c r="C2524" t="s">
        <v>4007</v>
      </c>
      <c r="D2524" t="s">
        <v>2770</v>
      </c>
      <c r="E2524">
        <v>600</v>
      </c>
      <c r="F2524">
        <v>3</v>
      </c>
      <c r="G2524">
        <f t="shared" si="117"/>
        <v>1800</v>
      </c>
      <c r="H2524" t="s">
        <v>21</v>
      </c>
      <c r="I2524">
        <f t="shared" si="118"/>
        <v>720</v>
      </c>
      <c r="J2524">
        <f t="shared" si="119"/>
        <v>2160</v>
      </c>
    </row>
    <row r="2525" spans="1:10" x14ac:dyDescent="0.45">
      <c r="A2525" t="s">
        <v>1066</v>
      </c>
      <c r="B2525" s="1">
        <v>45796</v>
      </c>
      <c r="C2525" t="s">
        <v>12</v>
      </c>
      <c r="D2525" t="s">
        <v>5020</v>
      </c>
      <c r="E2525">
        <v>2880</v>
      </c>
      <c r="F2525">
        <v>5</v>
      </c>
      <c r="G2525">
        <f t="shared" si="117"/>
        <v>14400</v>
      </c>
      <c r="H2525" t="s">
        <v>7</v>
      </c>
      <c r="I2525">
        <f t="shared" si="118"/>
        <v>3456</v>
      </c>
      <c r="J2525">
        <f t="shared" si="119"/>
        <v>17280</v>
      </c>
    </row>
    <row r="2526" spans="1:10" x14ac:dyDescent="0.45">
      <c r="A2526" t="s">
        <v>1067</v>
      </c>
      <c r="B2526" s="1">
        <v>45796</v>
      </c>
      <c r="C2526" t="s">
        <v>33</v>
      </c>
      <c r="D2526" t="s">
        <v>14</v>
      </c>
      <c r="E2526">
        <v>800</v>
      </c>
      <c r="F2526">
        <v>5</v>
      </c>
      <c r="G2526">
        <f t="shared" si="117"/>
        <v>4000</v>
      </c>
      <c r="H2526" t="s">
        <v>17</v>
      </c>
      <c r="I2526">
        <f t="shared" si="118"/>
        <v>960</v>
      </c>
      <c r="J2526">
        <f t="shared" si="119"/>
        <v>4800</v>
      </c>
    </row>
    <row r="2527" spans="1:10" x14ac:dyDescent="0.45">
      <c r="A2527" t="s">
        <v>1068</v>
      </c>
      <c r="B2527" s="1">
        <v>45796</v>
      </c>
      <c r="C2527" t="s">
        <v>33</v>
      </c>
      <c r="D2527" t="s">
        <v>14</v>
      </c>
      <c r="E2527">
        <v>800</v>
      </c>
      <c r="F2527">
        <v>10</v>
      </c>
      <c r="G2527">
        <f t="shared" si="117"/>
        <v>8000</v>
      </c>
      <c r="H2527" t="s">
        <v>21</v>
      </c>
      <c r="I2527">
        <f t="shared" si="118"/>
        <v>960</v>
      </c>
      <c r="J2527">
        <f t="shared" si="119"/>
        <v>9600</v>
      </c>
    </row>
    <row r="2528" spans="1:10" x14ac:dyDescent="0.45">
      <c r="A2528" t="s">
        <v>1069</v>
      </c>
      <c r="B2528" s="1">
        <v>45796</v>
      </c>
      <c r="C2528" t="s">
        <v>4007</v>
      </c>
      <c r="D2528" t="s">
        <v>4005</v>
      </c>
      <c r="E2528">
        <v>60000</v>
      </c>
      <c r="F2528">
        <v>4</v>
      </c>
      <c r="G2528">
        <f t="shared" si="117"/>
        <v>240000</v>
      </c>
      <c r="H2528" t="s">
        <v>21</v>
      </c>
      <c r="I2528">
        <f t="shared" si="118"/>
        <v>72000</v>
      </c>
      <c r="J2528">
        <f t="shared" si="119"/>
        <v>288000</v>
      </c>
    </row>
    <row r="2529" spans="1:10" x14ac:dyDescent="0.45">
      <c r="A2529" t="s">
        <v>1070</v>
      </c>
      <c r="B2529" s="1">
        <v>45796</v>
      </c>
      <c r="C2529" t="s">
        <v>4007</v>
      </c>
      <c r="D2529" t="s">
        <v>5015</v>
      </c>
      <c r="E2529">
        <v>48000</v>
      </c>
      <c r="F2529">
        <v>8</v>
      </c>
      <c r="G2529">
        <f t="shared" si="117"/>
        <v>384000</v>
      </c>
      <c r="H2529" t="s">
        <v>7</v>
      </c>
      <c r="I2529">
        <f t="shared" si="118"/>
        <v>57600</v>
      </c>
      <c r="J2529">
        <f t="shared" si="119"/>
        <v>460800</v>
      </c>
    </row>
    <row r="2530" spans="1:10" x14ac:dyDescent="0.45">
      <c r="A2530" t="s">
        <v>1071</v>
      </c>
      <c r="B2530" s="1">
        <v>45796</v>
      </c>
      <c r="C2530" t="s">
        <v>4007</v>
      </c>
      <c r="D2530" t="s">
        <v>28</v>
      </c>
      <c r="E2530">
        <v>500</v>
      </c>
      <c r="F2530">
        <v>1</v>
      </c>
      <c r="G2530">
        <f t="shared" si="117"/>
        <v>500</v>
      </c>
      <c r="H2530" t="s">
        <v>17</v>
      </c>
      <c r="I2530">
        <f t="shared" si="118"/>
        <v>600</v>
      </c>
      <c r="J2530">
        <f t="shared" si="119"/>
        <v>600</v>
      </c>
    </row>
    <row r="2531" spans="1:10" x14ac:dyDescent="0.45">
      <c r="A2531" t="s">
        <v>1072</v>
      </c>
      <c r="B2531" s="1">
        <v>45796</v>
      </c>
      <c r="C2531" t="s">
        <v>9</v>
      </c>
      <c r="D2531" t="s">
        <v>25</v>
      </c>
      <c r="E2531">
        <v>5200</v>
      </c>
      <c r="F2531">
        <v>4</v>
      </c>
      <c r="G2531">
        <f t="shared" si="117"/>
        <v>20800</v>
      </c>
      <c r="H2531" t="s">
        <v>7</v>
      </c>
      <c r="I2531">
        <f t="shared" si="118"/>
        <v>6240</v>
      </c>
      <c r="J2531">
        <f t="shared" si="119"/>
        <v>24960</v>
      </c>
    </row>
    <row r="2532" spans="1:10" x14ac:dyDescent="0.45">
      <c r="A2532" t="s">
        <v>1073</v>
      </c>
      <c r="B2532" s="1">
        <v>45796</v>
      </c>
      <c r="C2532" t="s">
        <v>12</v>
      </c>
      <c r="D2532" t="s">
        <v>5023</v>
      </c>
      <c r="E2532">
        <v>1750</v>
      </c>
      <c r="F2532">
        <v>2</v>
      </c>
      <c r="G2532">
        <f t="shared" si="117"/>
        <v>3500</v>
      </c>
      <c r="H2532" t="s">
        <v>17</v>
      </c>
      <c r="I2532">
        <f t="shared" si="118"/>
        <v>2100</v>
      </c>
      <c r="J2532">
        <f t="shared" si="119"/>
        <v>4200</v>
      </c>
    </row>
    <row r="2533" spans="1:10" x14ac:dyDescent="0.45">
      <c r="A2533" t="s">
        <v>3284</v>
      </c>
      <c r="B2533" s="1">
        <v>45796</v>
      </c>
      <c r="C2533" t="s">
        <v>4007</v>
      </c>
      <c r="D2533" t="s">
        <v>28</v>
      </c>
      <c r="E2533">
        <v>500</v>
      </c>
      <c r="F2533">
        <v>10</v>
      </c>
      <c r="G2533">
        <f t="shared" si="117"/>
        <v>5000</v>
      </c>
      <c r="H2533" t="s">
        <v>21</v>
      </c>
      <c r="I2533">
        <f t="shared" si="118"/>
        <v>600</v>
      </c>
      <c r="J2533">
        <f t="shared" si="119"/>
        <v>6000</v>
      </c>
    </row>
    <row r="2534" spans="1:10" x14ac:dyDescent="0.45">
      <c r="A2534" t="s">
        <v>3458</v>
      </c>
      <c r="B2534" s="1">
        <v>45796</v>
      </c>
      <c r="C2534" t="s">
        <v>33</v>
      </c>
      <c r="D2534" t="s">
        <v>34</v>
      </c>
      <c r="E2534">
        <v>1700</v>
      </c>
      <c r="F2534">
        <v>2</v>
      </c>
      <c r="G2534">
        <f t="shared" si="117"/>
        <v>3400</v>
      </c>
      <c r="H2534" t="s">
        <v>7</v>
      </c>
      <c r="I2534">
        <f t="shared" si="118"/>
        <v>2040</v>
      </c>
      <c r="J2534">
        <f t="shared" si="119"/>
        <v>4080</v>
      </c>
    </row>
    <row r="2535" spans="1:10" x14ac:dyDescent="0.45">
      <c r="A2535" t="s">
        <v>1074</v>
      </c>
      <c r="B2535" s="1">
        <v>45797</v>
      </c>
      <c r="C2535" t="s">
        <v>12</v>
      </c>
      <c r="D2535" t="s">
        <v>5020</v>
      </c>
      <c r="E2535">
        <v>2880</v>
      </c>
      <c r="F2535">
        <v>2</v>
      </c>
      <c r="G2535">
        <f t="shared" si="117"/>
        <v>5760</v>
      </c>
      <c r="H2535" t="s">
        <v>7</v>
      </c>
      <c r="I2535">
        <f t="shared" si="118"/>
        <v>3456</v>
      </c>
      <c r="J2535">
        <f t="shared" si="119"/>
        <v>6912</v>
      </c>
    </row>
    <row r="2536" spans="1:10" x14ac:dyDescent="0.45">
      <c r="A2536" t="s">
        <v>1075</v>
      </c>
      <c r="B2536" s="1">
        <v>45797</v>
      </c>
      <c r="C2536" t="s">
        <v>4007</v>
      </c>
      <c r="D2536" t="s">
        <v>28</v>
      </c>
      <c r="E2536">
        <v>500</v>
      </c>
      <c r="F2536">
        <v>7</v>
      </c>
      <c r="G2536">
        <f t="shared" si="117"/>
        <v>3500</v>
      </c>
      <c r="H2536" t="s">
        <v>7</v>
      </c>
      <c r="I2536">
        <f t="shared" si="118"/>
        <v>600</v>
      </c>
      <c r="J2536">
        <f t="shared" si="119"/>
        <v>4200</v>
      </c>
    </row>
    <row r="2537" spans="1:10" x14ac:dyDescent="0.45">
      <c r="A2537" t="s">
        <v>1076</v>
      </c>
      <c r="B2537" s="1">
        <v>45797</v>
      </c>
      <c r="C2537" t="s">
        <v>12</v>
      </c>
      <c r="D2537" t="s">
        <v>5022</v>
      </c>
      <c r="E2537">
        <v>2880</v>
      </c>
      <c r="F2537">
        <v>6</v>
      </c>
      <c r="G2537">
        <f t="shared" si="117"/>
        <v>17280</v>
      </c>
      <c r="H2537" t="s">
        <v>21</v>
      </c>
      <c r="I2537">
        <f t="shared" si="118"/>
        <v>3456</v>
      </c>
      <c r="J2537">
        <f t="shared" si="119"/>
        <v>20736</v>
      </c>
    </row>
    <row r="2538" spans="1:10" x14ac:dyDescent="0.45">
      <c r="A2538" t="s">
        <v>1077</v>
      </c>
      <c r="B2538" s="1">
        <v>45797</v>
      </c>
      <c r="C2538" t="s">
        <v>33</v>
      </c>
      <c r="D2538" t="s">
        <v>14</v>
      </c>
      <c r="E2538">
        <v>800</v>
      </c>
      <c r="F2538">
        <v>6</v>
      </c>
      <c r="G2538">
        <f t="shared" si="117"/>
        <v>4800</v>
      </c>
      <c r="H2538" t="s">
        <v>17</v>
      </c>
      <c r="I2538">
        <f t="shared" si="118"/>
        <v>960</v>
      </c>
      <c r="J2538">
        <f t="shared" si="119"/>
        <v>5760</v>
      </c>
    </row>
    <row r="2539" spans="1:10" x14ac:dyDescent="0.45">
      <c r="A2539" t="s">
        <v>1078</v>
      </c>
      <c r="B2539" s="1">
        <v>45797</v>
      </c>
      <c r="C2539" t="s">
        <v>33</v>
      </c>
      <c r="D2539" t="s">
        <v>34</v>
      </c>
      <c r="E2539">
        <v>1700</v>
      </c>
      <c r="F2539">
        <v>8</v>
      </c>
      <c r="G2539">
        <f t="shared" si="117"/>
        <v>13600</v>
      </c>
      <c r="H2539" t="s">
        <v>7</v>
      </c>
      <c r="I2539">
        <f t="shared" si="118"/>
        <v>2040</v>
      </c>
      <c r="J2539">
        <f t="shared" si="119"/>
        <v>16320</v>
      </c>
    </row>
    <row r="2540" spans="1:10" x14ac:dyDescent="0.45">
      <c r="A2540" t="s">
        <v>1079</v>
      </c>
      <c r="B2540" s="1">
        <v>45797</v>
      </c>
      <c r="C2540" t="s">
        <v>33</v>
      </c>
      <c r="D2540" t="s">
        <v>34</v>
      </c>
      <c r="E2540">
        <v>1700</v>
      </c>
      <c r="F2540">
        <v>1</v>
      </c>
      <c r="G2540">
        <f t="shared" si="117"/>
        <v>1700</v>
      </c>
      <c r="H2540" t="s">
        <v>21</v>
      </c>
      <c r="I2540">
        <f t="shared" si="118"/>
        <v>2040</v>
      </c>
      <c r="J2540">
        <f t="shared" si="119"/>
        <v>2040</v>
      </c>
    </row>
    <row r="2541" spans="1:10" x14ac:dyDescent="0.45">
      <c r="A2541" t="s">
        <v>2799</v>
      </c>
      <c r="B2541" s="1">
        <v>45797</v>
      </c>
      <c r="C2541" t="s">
        <v>33</v>
      </c>
      <c r="D2541" t="s">
        <v>34</v>
      </c>
      <c r="E2541">
        <v>1700</v>
      </c>
      <c r="F2541">
        <v>10</v>
      </c>
      <c r="G2541">
        <f t="shared" si="117"/>
        <v>17000</v>
      </c>
      <c r="H2541" t="s">
        <v>7</v>
      </c>
      <c r="I2541">
        <f t="shared" si="118"/>
        <v>2040</v>
      </c>
      <c r="J2541">
        <f t="shared" si="119"/>
        <v>20400</v>
      </c>
    </row>
    <row r="2542" spans="1:10" x14ac:dyDescent="0.45">
      <c r="A2542" t="s">
        <v>2896</v>
      </c>
      <c r="B2542" s="1">
        <v>45797</v>
      </c>
      <c r="C2542" t="s">
        <v>2772</v>
      </c>
      <c r="D2542" t="s">
        <v>2771</v>
      </c>
      <c r="E2542">
        <v>120</v>
      </c>
      <c r="F2542">
        <v>3</v>
      </c>
      <c r="G2542">
        <f t="shared" si="117"/>
        <v>360</v>
      </c>
      <c r="H2542" t="s">
        <v>21</v>
      </c>
      <c r="I2542">
        <f t="shared" si="118"/>
        <v>144</v>
      </c>
      <c r="J2542">
        <f t="shared" si="119"/>
        <v>432</v>
      </c>
    </row>
    <row r="2543" spans="1:10" x14ac:dyDescent="0.45">
      <c r="A2543" t="s">
        <v>3593</v>
      </c>
      <c r="B2543" s="1">
        <v>45797</v>
      </c>
      <c r="C2543" t="s">
        <v>4007</v>
      </c>
      <c r="D2543" t="s">
        <v>5015</v>
      </c>
      <c r="E2543">
        <v>48000</v>
      </c>
      <c r="F2543">
        <v>8</v>
      </c>
      <c r="G2543">
        <f t="shared" si="117"/>
        <v>384000</v>
      </c>
      <c r="H2543" t="s">
        <v>7</v>
      </c>
      <c r="I2543">
        <f t="shared" si="118"/>
        <v>57600</v>
      </c>
      <c r="J2543">
        <f t="shared" si="119"/>
        <v>460800</v>
      </c>
    </row>
    <row r="2544" spans="1:10" x14ac:dyDescent="0.45">
      <c r="A2544" t="s">
        <v>1080</v>
      </c>
      <c r="B2544" s="1">
        <v>45798</v>
      </c>
      <c r="C2544" t="s">
        <v>9</v>
      </c>
      <c r="D2544" t="s">
        <v>10</v>
      </c>
      <c r="E2544">
        <v>400</v>
      </c>
      <c r="F2544">
        <v>8</v>
      </c>
      <c r="G2544">
        <f t="shared" si="117"/>
        <v>3200</v>
      </c>
      <c r="H2544" t="s">
        <v>7</v>
      </c>
      <c r="I2544">
        <f t="shared" si="118"/>
        <v>480</v>
      </c>
      <c r="J2544">
        <f t="shared" si="119"/>
        <v>3840</v>
      </c>
    </row>
    <row r="2545" spans="1:10" x14ac:dyDescent="0.45">
      <c r="A2545" t="s">
        <v>1081</v>
      </c>
      <c r="B2545" s="1">
        <v>45798</v>
      </c>
      <c r="C2545" t="s">
        <v>9</v>
      </c>
      <c r="D2545" t="s">
        <v>25</v>
      </c>
      <c r="E2545">
        <v>5200</v>
      </c>
      <c r="F2545">
        <v>8</v>
      </c>
      <c r="G2545">
        <f t="shared" si="117"/>
        <v>41600</v>
      </c>
      <c r="H2545" t="s">
        <v>21</v>
      </c>
      <c r="I2545">
        <f t="shared" si="118"/>
        <v>6240</v>
      </c>
      <c r="J2545">
        <f t="shared" si="119"/>
        <v>49920</v>
      </c>
    </row>
    <row r="2546" spans="1:10" x14ac:dyDescent="0.45">
      <c r="A2546" t="s">
        <v>1082</v>
      </c>
      <c r="B2546" s="1">
        <v>45798</v>
      </c>
      <c r="C2546" t="s">
        <v>4007</v>
      </c>
      <c r="D2546" t="s">
        <v>28</v>
      </c>
      <c r="E2546">
        <v>500</v>
      </c>
      <c r="F2546">
        <v>1</v>
      </c>
      <c r="G2546">
        <f t="shared" si="117"/>
        <v>500</v>
      </c>
      <c r="H2546" t="s">
        <v>7</v>
      </c>
      <c r="I2546">
        <f t="shared" si="118"/>
        <v>600</v>
      </c>
      <c r="J2546">
        <f t="shared" si="119"/>
        <v>600</v>
      </c>
    </row>
    <row r="2547" spans="1:10" x14ac:dyDescent="0.45">
      <c r="A2547" t="s">
        <v>1083</v>
      </c>
      <c r="B2547" s="1">
        <v>45798</v>
      </c>
      <c r="C2547" t="s">
        <v>12</v>
      </c>
      <c r="D2547" t="s">
        <v>5023</v>
      </c>
      <c r="E2547">
        <v>1750</v>
      </c>
      <c r="F2547">
        <v>7</v>
      </c>
      <c r="G2547">
        <f t="shared" si="117"/>
        <v>12250</v>
      </c>
      <c r="H2547" t="s">
        <v>17</v>
      </c>
      <c r="I2547">
        <f t="shared" si="118"/>
        <v>2100</v>
      </c>
      <c r="J2547">
        <f t="shared" si="119"/>
        <v>14700</v>
      </c>
    </row>
    <row r="2548" spans="1:10" x14ac:dyDescent="0.45">
      <c r="A2548" t="s">
        <v>1084</v>
      </c>
      <c r="B2548" s="1">
        <v>45798</v>
      </c>
      <c r="C2548" t="s">
        <v>33</v>
      </c>
      <c r="D2548" t="s">
        <v>16</v>
      </c>
      <c r="E2548">
        <v>1200</v>
      </c>
      <c r="F2548">
        <v>8</v>
      </c>
      <c r="G2548">
        <f t="shared" si="117"/>
        <v>9600</v>
      </c>
      <c r="H2548" t="s">
        <v>21</v>
      </c>
      <c r="I2548">
        <f t="shared" si="118"/>
        <v>1440</v>
      </c>
      <c r="J2548">
        <f t="shared" si="119"/>
        <v>11520</v>
      </c>
    </row>
    <row r="2549" spans="1:10" x14ac:dyDescent="0.45">
      <c r="A2549" t="s">
        <v>1085</v>
      </c>
      <c r="B2549" s="1">
        <v>45798</v>
      </c>
      <c r="C2549" t="s">
        <v>33</v>
      </c>
      <c r="D2549" t="s">
        <v>16</v>
      </c>
      <c r="E2549">
        <v>1200</v>
      </c>
      <c r="F2549">
        <v>9</v>
      </c>
      <c r="G2549">
        <f t="shared" si="117"/>
        <v>10800</v>
      </c>
      <c r="H2549" t="s">
        <v>21</v>
      </c>
      <c r="I2549">
        <f t="shared" si="118"/>
        <v>1440</v>
      </c>
      <c r="J2549">
        <f t="shared" si="119"/>
        <v>12960</v>
      </c>
    </row>
    <row r="2550" spans="1:10" x14ac:dyDescent="0.45">
      <c r="A2550" t="s">
        <v>1086</v>
      </c>
      <c r="B2550" s="1">
        <v>45798</v>
      </c>
      <c r="C2550" t="s">
        <v>33</v>
      </c>
      <c r="D2550" t="s">
        <v>14</v>
      </c>
      <c r="E2550">
        <v>800</v>
      </c>
      <c r="F2550">
        <v>10</v>
      </c>
      <c r="G2550">
        <f t="shared" si="117"/>
        <v>8000</v>
      </c>
      <c r="H2550" t="s">
        <v>7</v>
      </c>
      <c r="I2550">
        <f t="shared" si="118"/>
        <v>960</v>
      </c>
      <c r="J2550">
        <f t="shared" si="119"/>
        <v>9600</v>
      </c>
    </row>
    <row r="2551" spans="1:10" x14ac:dyDescent="0.45">
      <c r="A2551" t="s">
        <v>1087</v>
      </c>
      <c r="B2551" s="1">
        <v>45798</v>
      </c>
      <c r="C2551" t="s">
        <v>9</v>
      </c>
      <c r="D2551" t="s">
        <v>19</v>
      </c>
      <c r="E2551">
        <v>3000</v>
      </c>
      <c r="F2551">
        <v>9</v>
      </c>
      <c r="G2551">
        <f t="shared" si="117"/>
        <v>27000</v>
      </c>
      <c r="H2551" t="s">
        <v>17</v>
      </c>
      <c r="I2551">
        <f t="shared" si="118"/>
        <v>3600</v>
      </c>
      <c r="J2551">
        <f t="shared" si="119"/>
        <v>32400</v>
      </c>
    </row>
    <row r="2552" spans="1:10" x14ac:dyDescent="0.45">
      <c r="A2552" t="s">
        <v>1088</v>
      </c>
      <c r="B2552" s="1">
        <v>45798</v>
      </c>
      <c r="C2552" t="s">
        <v>12</v>
      </c>
      <c r="D2552" t="s">
        <v>5022</v>
      </c>
      <c r="E2552">
        <v>2880</v>
      </c>
      <c r="F2552">
        <v>9</v>
      </c>
      <c r="G2552">
        <f t="shared" si="117"/>
        <v>25920</v>
      </c>
      <c r="H2552" t="s">
        <v>17</v>
      </c>
      <c r="I2552">
        <f t="shared" si="118"/>
        <v>3456</v>
      </c>
      <c r="J2552">
        <f t="shared" si="119"/>
        <v>31104</v>
      </c>
    </row>
    <row r="2553" spans="1:10" x14ac:dyDescent="0.45">
      <c r="A2553" t="s">
        <v>1089</v>
      </c>
      <c r="B2553" s="1">
        <v>45798</v>
      </c>
      <c r="C2553" t="s">
        <v>12</v>
      </c>
      <c r="D2553" t="s">
        <v>5022</v>
      </c>
      <c r="E2553">
        <v>2880</v>
      </c>
      <c r="F2553">
        <v>8</v>
      </c>
      <c r="G2553">
        <f t="shared" si="117"/>
        <v>23040</v>
      </c>
      <c r="H2553" t="s">
        <v>17</v>
      </c>
      <c r="I2553">
        <f t="shared" si="118"/>
        <v>3456</v>
      </c>
      <c r="J2553">
        <f t="shared" si="119"/>
        <v>27648</v>
      </c>
    </row>
    <row r="2554" spans="1:10" x14ac:dyDescent="0.45">
      <c r="A2554" t="s">
        <v>3360</v>
      </c>
      <c r="B2554" s="1">
        <v>45798</v>
      </c>
      <c r="C2554" t="s">
        <v>4007</v>
      </c>
      <c r="D2554" t="s">
        <v>2773</v>
      </c>
      <c r="E2554">
        <v>3300</v>
      </c>
      <c r="F2554">
        <v>1</v>
      </c>
      <c r="G2554">
        <f t="shared" si="117"/>
        <v>3300</v>
      </c>
      <c r="H2554" t="s">
        <v>7</v>
      </c>
      <c r="I2554">
        <f t="shared" si="118"/>
        <v>3960</v>
      </c>
      <c r="J2554">
        <f t="shared" si="119"/>
        <v>3960</v>
      </c>
    </row>
    <row r="2555" spans="1:10" x14ac:dyDescent="0.45">
      <c r="A2555" t="s">
        <v>3886</v>
      </c>
      <c r="B2555" s="1">
        <v>45798</v>
      </c>
      <c r="C2555" t="s">
        <v>2772</v>
      </c>
      <c r="D2555" t="s">
        <v>2771</v>
      </c>
      <c r="E2555">
        <v>120</v>
      </c>
      <c r="F2555">
        <v>8</v>
      </c>
      <c r="G2555">
        <f t="shared" si="117"/>
        <v>960</v>
      </c>
      <c r="H2555" t="s">
        <v>17</v>
      </c>
      <c r="I2555">
        <f t="shared" si="118"/>
        <v>144</v>
      </c>
      <c r="J2555">
        <f t="shared" si="119"/>
        <v>1152</v>
      </c>
    </row>
    <row r="2556" spans="1:10" x14ac:dyDescent="0.45">
      <c r="A2556" t="s">
        <v>3966</v>
      </c>
      <c r="B2556" s="1">
        <v>45798</v>
      </c>
      <c r="C2556" t="s">
        <v>4007</v>
      </c>
      <c r="D2556" t="s">
        <v>2774</v>
      </c>
      <c r="E2556">
        <v>1900</v>
      </c>
      <c r="F2556">
        <v>3</v>
      </c>
      <c r="G2556">
        <f t="shared" si="117"/>
        <v>5700</v>
      </c>
      <c r="H2556" t="s">
        <v>7</v>
      </c>
      <c r="I2556">
        <f t="shared" si="118"/>
        <v>2280</v>
      </c>
      <c r="J2556">
        <f t="shared" si="119"/>
        <v>6840</v>
      </c>
    </row>
    <row r="2557" spans="1:10" x14ac:dyDescent="0.45">
      <c r="A2557" t="s">
        <v>1090</v>
      </c>
      <c r="B2557" s="1">
        <v>45799</v>
      </c>
      <c r="C2557" t="s">
        <v>9</v>
      </c>
      <c r="D2557" t="s">
        <v>25</v>
      </c>
      <c r="E2557">
        <v>5200</v>
      </c>
      <c r="F2557">
        <v>1</v>
      </c>
      <c r="G2557">
        <f t="shared" si="117"/>
        <v>5200</v>
      </c>
      <c r="H2557" t="s">
        <v>21</v>
      </c>
      <c r="I2557">
        <f t="shared" si="118"/>
        <v>6240</v>
      </c>
      <c r="J2557">
        <f t="shared" si="119"/>
        <v>6240</v>
      </c>
    </row>
    <row r="2558" spans="1:10" x14ac:dyDescent="0.45">
      <c r="A2558" t="s">
        <v>1091</v>
      </c>
      <c r="B2558" s="1">
        <v>45799</v>
      </c>
      <c r="C2558" t="s">
        <v>33</v>
      </c>
      <c r="D2558" t="s">
        <v>34</v>
      </c>
      <c r="E2558">
        <v>1700</v>
      </c>
      <c r="F2558">
        <v>2</v>
      </c>
      <c r="G2558">
        <f t="shared" si="117"/>
        <v>3400</v>
      </c>
      <c r="H2558" t="s">
        <v>7</v>
      </c>
      <c r="I2558">
        <f t="shared" si="118"/>
        <v>2040</v>
      </c>
      <c r="J2558">
        <f t="shared" si="119"/>
        <v>4080</v>
      </c>
    </row>
    <row r="2559" spans="1:10" x14ac:dyDescent="0.45">
      <c r="A2559" t="s">
        <v>1092</v>
      </c>
      <c r="B2559" s="1">
        <v>45799</v>
      </c>
      <c r="C2559" t="s">
        <v>4007</v>
      </c>
      <c r="D2559" t="s">
        <v>28</v>
      </c>
      <c r="E2559">
        <v>500</v>
      </c>
      <c r="F2559">
        <v>10</v>
      </c>
      <c r="G2559">
        <f t="shared" si="117"/>
        <v>5000</v>
      </c>
      <c r="H2559" t="s">
        <v>17</v>
      </c>
      <c r="I2559">
        <f t="shared" si="118"/>
        <v>600</v>
      </c>
      <c r="J2559">
        <f t="shared" si="119"/>
        <v>6000</v>
      </c>
    </row>
    <row r="2560" spans="1:10" x14ac:dyDescent="0.45">
      <c r="A2560" t="s">
        <v>1093</v>
      </c>
      <c r="B2560" s="1">
        <v>45799</v>
      </c>
      <c r="C2560" t="s">
        <v>33</v>
      </c>
      <c r="D2560" t="s">
        <v>16</v>
      </c>
      <c r="E2560">
        <v>1200</v>
      </c>
      <c r="F2560">
        <v>3</v>
      </c>
      <c r="G2560">
        <f t="shared" si="117"/>
        <v>3600</v>
      </c>
      <c r="H2560" t="s">
        <v>17</v>
      </c>
      <c r="I2560">
        <f t="shared" si="118"/>
        <v>1440</v>
      </c>
      <c r="J2560">
        <f t="shared" si="119"/>
        <v>4320</v>
      </c>
    </row>
    <row r="2561" spans="1:10" x14ac:dyDescent="0.45">
      <c r="A2561" t="s">
        <v>1094</v>
      </c>
      <c r="B2561" s="1">
        <v>45799</v>
      </c>
      <c r="C2561" t="s">
        <v>12</v>
      </c>
      <c r="D2561" t="s">
        <v>5020</v>
      </c>
      <c r="E2561">
        <v>2880</v>
      </c>
      <c r="F2561">
        <v>7</v>
      </c>
      <c r="G2561">
        <f t="shared" si="117"/>
        <v>20160</v>
      </c>
      <c r="H2561" t="s">
        <v>7</v>
      </c>
      <c r="I2561">
        <f t="shared" si="118"/>
        <v>3456</v>
      </c>
      <c r="J2561">
        <f t="shared" si="119"/>
        <v>24192</v>
      </c>
    </row>
    <row r="2562" spans="1:10" x14ac:dyDescent="0.45">
      <c r="A2562" t="s">
        <v>1095</v>
      </c>
      <c r="B2562" s="1">
        <v>45799</v>
      </c>
      <c r="C2562" t="s">
        <v>12</v>
      </c>
      <c r="D2562" t="s">
        <v>5023</v>
      </c>
      <c r="E2562">
        <v>1750</v>
      </c>
      <c r="F2562">
        <v>4</v>
      </c>
      <c r="G2562">
        <f t="shared" ref="G2562:G2625" si="120">E2562*F2562</f>
        <v>7000</v>
      </c>
      <c r="H2562" t="s">
        <v>21</v>
      </c>
      <c r="I2562">
        <f t="shared" ref="I2562:I2625" si="121">E2562*1.2</f>
        <v>2100</v>
      </c>
      <c r="J2562">
        <f t="shared" ref="J2562:J2625" si="122">I2562*F2562</f>
        <v>8400</v>
      </c>
    </row>
    <row r="2563" spans="1:10" x14ac:dyDescent="0.45">
      <c r="A2563" t="s">
        <v>2956</v>
      </c>
      <c r="B2563" s="1">
        <v>45799</v>
      </c>
      <c r="C2563" t="s">
        <v>33</v>
      </c>
      <c r="D2563" t="s">
        <v>34</v>
      </c>
      <c r="E2563">
        <v>1700</v>
      </c>
      <c r="F2563">
        <v>10</v>
      </c>
      <c r="G2563">
        <f t="shared" si="120"/>
        <v>17000</v>
      </c>
      <c r="H2563" t="s">
        <v>21</v>
      </c>
      <c r="I2563">
        <f t="shared" si="121"/>
        <v>2040</v>
      </c>
      <c r="J2563">
        <f t="shared" si="122"/>
        <v>20400</v>
      </c>
    </row>
    <row r="2564" spans="1:10" x14ac:dyDescent="0.45">
      <c r="A2564" t="s">
        <v>3077</v>
      </c>
      <c r="B2564" s="1">
        <v>45799</v>
      </c>
      <c r="C2564" t="s">
        <v>2772</v>
      </c>
      <c r="D2564" t="s">
        <v>2771</v>
      </c>
      <c r="E2564">
        <v>120</v>
      </c>
      <c r="F2564">
        <v>3</v>
      </c>
      <c r="G2564">
        <f t="shared" si="120"/>
        <v>360</v>
      </c>
      <c r="H2564" t="s">
        <v>7</v>
      </c>
      <c r="I2564">
        <f t="shared" si="121"/>
        <v>144</v>
      </c>
      <c r="J2564">
        <f t="shared" si="122"/>
        <v>432</v>
      </c>
    </row>
    <row r="2565" spans="1:10" x14ac:dyDescent="0.45">
      <c r="A2565" t="s">
        <v>3103</v>
      </c>
      <c r="B2565" s="1">
        <v>45799</v>
      </c>
      <c r="C2565" t="s">
        <v>4007</v>
      </c>
      <c r="D2565" t="s">
        <v>2773</v>
      </c>
      <c r="E2565">
        <v>3300</v>
      </c>
      <c r="F2565">
        <v>3</v>
      </c>
      <c r="G2565">
        <f t="shared" si="120"/>
        <v>9900</v>
      </c>
      <c r="H2565" t="s">
        <v>17</v>
      </c>
      <c r="I2565">
        <f t="shared" si="121"/>
        <v>3960</v>
      </c>
      <c r="J2565">
        <f t="shared" si="122"/>
        <v>11880</v>
      </c>
    </row>
    <row r="2566" spans="1:10" x14ac:dyDescent="0.45">
      <c r="A2566" t="s">
        <v>3129</v>
      </c>
      <c r="B2566" s="1">
        <v>45799</v>
      </c>
      <c r="C2566" t="s">
        <v>4007</v>
      </c>
      <c r="D2566" t="s">
        <v>28</v>
      </c>
      <c r="E2566">
        <v>500</v>
      </c>
      <c r="F2566">
        <v>2</v>
      </c>
      <c r="G2566">
        <f t="shared" si="120"/>
        <v>1000</v>
      </c>
      <c r="H2566" t="s">
        <v>21</v>
      </c>
      <c r="I2566">
        <f t="shared" si="121"/>
        <v>600</v>
      </c>
      <c r="J2566">
        <f t="shared" si="122"/>
        <v>1200</v>
      </c>
    </row>
    <row r="2567" spans="1:10" x14ac:dyDescent="0.45">
      <c r="A2567" t="s">
        <v>3681</v>
      </c>
      <c r="B2567" s="1">
        <v>45799</v>
      </c>
      <c r="C2567" t="s">
        <v>4007</v>
      </c>
      <c r="D2567" t="s">
        <v>2773</v>
      </c>
      <c r="E2567">
        <v>3300</v>
      </c>
      <c r="F2567">
        <v>2</v>
      </c>
      <c r="G2567">
        <f t="shared" si="120"/>
        <v>6600</v>
      </c>
      <c r="H2567" t="s">
        <v>17</v>
      </c>
      <c r="I2567">
        <f t="shared" si="121"/>
        <v>3960</v>
      </c>
      <c r="J2567">
        <f t="shared" si="122"/>
        <v>7920</v>
      </c>
    </row>
    <row r="2568" spans="1:10" x14ac:dyDescent="0.45">
      <c r="A2568" t="s">
        <v>1096</v>
      </c>
      <c r="B2568" s="1">
        <v>45800</v>
      </c>
      <c r="C2568" t="s">
        <v>33</v>
      </c>
      <c r="D2568" t="s">
        <v>42</v>
      </c>
      <c r="E2568">
        <v>6900</v>
      </c>
      <c r="F2568">
        <v>10</v>
      </c>
      <c r="G2568">
        <f t="shared" si="120"/>
        <v>69000</v>
      </c>
      <c r="H2568" t="s">
        <v>7</v>
      </c>
      <c r="I2568">
        <f t="shared" si="121"/>
        <v>8280</v>
      </c>
      <c r="J2568">
        <f t="shared" si="122"/>
        <v>82800</v>
      </c>
    </row>
    <row r="2569" spans="1:10" x14ac:dyDescent="0.45">
      <c r="A2569" t="s">
        <v>1097</v>
      </c>
      <c r="B2569" s="1">
        <v>45800</v>
      </c>
      <c r="C2569" t="s">
        <v>12</v>
      </c>
      <c r="D2569" t="s">
        <v>5023</v>
      </c>
      <c r="E2569">
        <v>1750</v>
      </c>
      <c r="F2569">
        <v>6</v>
      </c>
      <c r="G2569">
        <f t="shared" si="120"/>
        <v>10500</v>
      </c>
      <c r="H2569" t="s">
        <v>21</v>
      </c>
      <c r="I2569">
        <f t="shared" si="121"/>
        <v>2100</v>
      </c>
      <c r="J2569">
        <f t="shared" si="122"/>
        <v>12600</v>
      </c>
    </row>
    <row r="2570" spans="1:10" x14ac:dyDescent="0.45">
      <c r="A2570" t="s">
        <v>1098</v>
      </c>
      <c r="B2570" s="1">
        <v>45800</v>
      </c>
      <c r="C2570" t="s">
        <v>4007</v>
      </c>
      <c r="D2570" t="s">
        <v>5015</v>
      </c>
      <c r="E2570">
        <v>48000</v>
      </c>
      <c r="F2570">
        <v>4</v>
      </c>
      <c r="G2570">
        <f t="shared" si="120"/>
        <v>192000</v>
      </c>
      <c r="H2570" t="s">
        <v>21</v>
      </c>
      <c r="I2570">
        <f t="shared" si="121"/>
        <v>57600</v>
      </c>
      <c r="J2570">
        <f t="shared" si="122"/>
        <v>230400</v>
      </c>
    </row>
    <row r="2571" spans="1:10" x14ac:dyDescent="0.45">
      <c r="A2571" t="s">
        <v>1099</v>
      </c>
      <c r="B2571" s="1">
        <v>45800</v>
      </c>
      <c r="C2571" t="s">
        <v>33</v>
      </c>
      <c r="D2571" t="s">
        <v>34</v>
      </c>
      <c r="E2571">
        <v>1700</v>
      </c>
      <c r="F2571">
        <v>10</v>
      </c>
      <c r="G2571">
        <f t="shared" si="120"/>
        <v>17000</v>
      </c>
      <c r="H2571" t="s">
        <v>7</v>
      </c>
      <c r="I2571">
        <f t="shared" si="121"/>
        <v>2040</v>
      </c>
      <c r="J2571">
        <f t="shared" si="122"/>
        <v>20400</v>
      </c>
    </row>
    <row r="2572" spans="1:10" x14ac:dyDescent="0.45">
      <c r="A2572" t="s">
        <v>1100</v>
      </c>
      <c r="B2572" s="1">
        <v>45800</v>
      </c>
      <c r="C2572" t="s">
        <v>33</v>
      </c>
      <c r="D2572" t="s">
        <v>14</v>
      </c>
      <c r="E2572">
        <v>800</v>
      </c>
      <c r="F2572">
        <v>5</v>
      </c>
      <c r="G2572">
        <f t="shared" si="120"/>
        <v>4000</v>
      </c>
      <c r="H2572" t="s">
        <v>7</v>
      </c>
      <c r="I2572">
        <f t="shared" si="121"/>
        <v>960</v>
      </c>
      <c r="J2572">
        <f t="shared" si="122"/>
        <v>4800</v>
      </c>
    </row>
    <row r="2573" spans="1:10" x14ac:dyDescent="0.45">
      <c r="A2573" t="s">
        <v>3853</v>
      </c>
      <c r="B2573" s="1">
        <v>45800</v>
      </c>
      <c r="C2573" t="s">
        <v>2772</v>
      </c>
      <c r="D2573" t="s">
        <v>2771</v>
      </c>
      <c r="E2573">
        <v>120</v>
      </c>
      <c r="F2573">
        <v>9</v>
      </c>
      <c r="G2573">
        <f t="shared" si="120"/>
        <v>1080</v>
      </c>
      <c r="H2573" t="s">
        <v>21</v>
      </c>
      <c r="I2573">
        <f t="shared" si="121"/>
        <v>144</v>
      </c>
      <c r="J2573">
        <f t="shared" si="122"/>
        <v>1296</v>
      </c>
    </row>
    <row r="2574" spans="1:10" x14ac:dyDescent="0.45">
      <c r="A2574" t="s">
        <v>3958</v>
      </c>
      <c r="B2574" s="1">
        <v>45800</v>
      </c>
      <c r="C2574" t="s">
        <v>4007</v>
      </c>
      <c r="D2574" t="s">
        <v>2773</v>
      </c>
      <c r="E2574">
        <v>3300</v>
      </c>
      <c r="F2574">
        <v>10</v>
      </c>
      <c r="G2574">
        <f t="shared" si="120"/>
        <v>33000</v>
      </c>
      <c r="H2574" t="s">
        <v>7</v>
      </c>
      <c r="I2574">
        <f t="shared" si="121"/>
        <v>3960</v>
      </c>
      <c r="J2574">
        <f t="shared" si="122"/>
        <v>39600</v>
      </c>
    </row>
    <row r="2575" spans="1:10" x14ac:dyDescent="0.45">
      <c r="A2575" t="s">
        <v>1101</v>
      </c>
      <c r="B2575" s="1">
        <v>45801</v>
      </c>
      <c r="C2575" t="s">
        <v>4007</v>
      </c>
      <c r="D2575" t="s">
        <v>5015</v>
      </c>
      <c r="E2575">
        <v>48000</v>
      </c>
      <c r="F2575">
        <v>5</v>
      </c>
      <c r="G2575">
        <f t="shared" si="120"/>
        <v>240000</v>
      </c>
      <c r="H2575" t="s">
        <v>17</v>
      </c>
      <c r="I2575">
        <f t="shared" si="121"/>
        <v>57600</v>
      </c>
      <c r="J2575">
        <f t="shared" si="122"/>
        <v>288000</v>
      </c>
    </row>
    <row r="2576" spans="1:10" x14ac:dyDescent="0.45">
      <c r="A2576" t="s">
        <v>1102</v>
      </c>
      <c r="B2576" s="1">
        <v>45801</v>
      </c>
      <c r="C2576" t="s">
        <v>33</v>
      </c>
      <c r="D2576" t="s">
        <v>34</v>
      </c>
      <c r="E2576">
        <v>1700</v>
      </c>
      <c r="F2576">
        <v>8</v>
      </c>
      <c r="G2576">
        <f t="shared" si="120"/>
        <v>13600</v>
      </c>
      <c r="H2576" t="s">
        <v>7</v>
      </c>
      <c r="I2576">
        <f t="shared" si="121"/>
        <v>2040</v>
      </c>
      <c r="J2576">
        <f t="shared" si="122"/>
        <v>16320</v>
      </c>
    </row>
    <row r="2577" spans="1:10" x14ac:dyDescent="0.45">
      <c r="A2577" t="s">
        <v>1103</v>
      </c>
      <c r="B2577" s="1">
        <v>45801</v>
      </c>
      <c r="C2577" t="s">
        <v>33</v>
      </c>
      <c r="D2577" t="s">
        <v>16</v>
      </c>
      <c r="E2577">
        <v>1200</v>
      </c>
      <c r="F2577">
        <v>9</v>
      </c>
      <c r="G2577">
        <f t="shared" si="120"/>
        <v>10800</v>
      </c>
      <c r="H2577" t="s">
        <v>17</v>
      </c>
      <c r="I2577">
        <f t="shared" si="121"/>
        <v>1440</v>
      </c>
      <c r="J2577">
        <f t="shared" si="122"/>
        <v>12960</v>
      </c>
    </row>
    <row r="2578" spans="1:10" x14ac:dyDescent="0.45">
      <c r="A2578" t="s">
        <v>1104</v>
      </c>
      <c r="B2578" s="1">
        <v>45801</v>
      </c>
      <c r="C2578" t="s">
        <v>33</v>
      </c>
      <c r="D2578" t="s">
        <v>34</v>
      </c>
      <c r="E2578">
        <v>1700</v>
      </c>
      <c r="F2578">
        <v>5</v>
      </c>
      <c r="G2578">
        <f t="shared" si="120"/>
        <v>8500</v>
      </c>
      <c r="H2578" t="s">
        <v>21</v>
      </c>
      <c r="I2578">
        <f t="shared" si="121"/>
        <v>2040</v>
      </c>
      <c r="J2578">
        <f t="shared" si="122"/>
        <v>10200</v>
      </c>
    </row>
    <row r="2579" spans="1:10" x14ac:dyDescent="0.45">
      <c r="A2579" t="s">
        <v>1105</v>
      </c>
      <c r="B2579" s="1">
        <v>45801</v>
      </c>
      <c r="C2579" t="s">
        <v>4007</v>
      </c>
      <c r="D2579" t="s">
        <v>5015</v>
      </c>
      <c r="E2579">
        <v>48000</v>
      </c>
      <c r="F2579">
        <v>5</v>
      </c>
      <c r="G2579">
        <f t="shared" si="120"/>
        <v>240000</v>
      </c>
      <c r="H2579" t="s">
        <v>21</v>
      </c>
      <c r="I2579">
        <f t="shared" si="121"/>
        <v>57600</v>
      </c>
      <c r="J2579">
        <f t="shared" si="122"/>
        <v>288000</v>
      </c>
    </row>
    <row r="2580" spans="1:10" x14ac:dyDescent="0.45">
      <c r="A2580" t="s">
        <v>1106</v>
      </c>
      <c r="B2580" s="1">
        <v>45801</v>
      </c>
      <c r="C2580" t="s">
        <v>4007</v>
      </c>
      <c r="D2580" t="s">
        <v>5015</v>
      </c>
      <c r="E2580">
        <v>48000</v>
      </c>
      <c r="F2580">
        <v>6</v>
      </c>
      <c r="G2580">
        <f t="shared" si="120"/>
        <v>288000</v>
      </c>
      <c r="H2580" t="s">
        <v>21</v>
      </c>
      <c r="I2580">
        <f t="shared" si="121"/>
        <v>57600</v>
      </c>
      <c r="J2580">
        <f t="shared" si="122"/>
        <v>345600</v>
      </c>
    </row>
    <row r="2581" spans="1:10" x14ac:dyDescent="0.45">
      <c r="A2581" t="s">
        <v>1107</v>
      </c>
      <c r="B2581" s="1">
        <v>45801</v>
      </c>
      <c r="C2581" t="s">
        <v>33</v>
      </c>
      <c r="D2581" t="s">
        <v>42</v>
      </c>
      <c r="E2581">
        <v>6900</v>
      </c>
      <c r="F2581">
        <v>7</v>
      </c>
      <c r="G2581">
        <f t="shared" si="120"/>
        <v>48300</v>
      </c>
      <c r="H2581" t="s">
        <v>17</v>
      </c>
      <c r="I2581">
        <f t="shared" si="121"/>
        <v>8280</v>
      </c>
      <c r="J2581">
        <f t="shared" si="122"/>
        <v>57960</v>
      </c>
    </row>
    <row r="2582" spans="1:10" x14ac:dyDescent="0.45">
      <c r="A2582" t="s">
        <v>1108</v>
      </c>
      <c r="B2582" s="1">
        <v>45801</v>
      </c>
      <c r="C2582" t="s">
        <v>4007</v>
      </c>
      <c r="D2582" t="s">
        <v>5015</v>
      </c>
      <c r="E2582">
        <v>48000</v>
      </c>
      <c r="F2582">
        <v>2</v>
      </c>
      <c r="G2582">
        <f t="shared" si="120"/>
        <v>96000</v>
      </c>
      <c r="H2582" t="s">
        <v>7</v>
      </c>
      <c r="I2582">
        <f t="shared" si="121"/>
        <v>57600</v>
      </c>
      <c r="J2582">
        <f t="shared" si="122"/>
        <v>115200</v>
      </c>
    </row>
    <row r="2583" spans="1:10" x14ac:dyDescent="0.45">
      <c r="A2583" t="s">
        <v>1109</v>
      </c>
      <c r="B2583" s="1">
        <v>45801</v>
      </c>
      <c r="C2583" t="s">
        <v>12</v>
      </c>
      <c r="D2583" t="s">
        <v>5021</v>
      </c>
      <c r="E2583">
        <v>2880</v>
      </c>
      <c r="F2583">
        <v>6</v>
      </c>
      <c r="G2583">
        <f t="shared" si="120"/>
        <v>17280</v>
      </c>
      <c r="H2583" t="s">
        <v>7</v>
      </c>
      <c r="I2583">
        <f t="shared" si="121"/>
        <v>3456</v>
      </c>
      <c r="J2583">
        <f t="shared" si="122"/>
        <v>20736</v>
      </c>
    </row>
    <row r="2584" spans="1:10" x14ac:dyDescent="0.45">
      <c r="A2584" t="s">
        <v>1110</v>
      </c>
      <c r="B2584" s="1">
        <v>45801</v>
      </c>
      <c r="C2584" t="s">
        <v>33</v>
      </c>
      <c r="D2584" t="s">
        <v>34</v>
      </c>
      <c r="E2584">
        <v>1700</v>
      </c>
      <c r="F2584">
        <v>4</v>
      </c>
      <c r="G2584">
        <f t="shared" si="120"/>
        <v>6800</v>
      </c>
      <c r="H2584" t="s">
        <v>17</v>
      </c>
      <c r="I2584">
        <f t="shared" si="121"/>
        <v>2040</v>
      </c>
      <c r="J2584">
        <f t="shared" si="122"/>
        <v>8160</v>
      </c>
    </row>
    <row r="2585" spans="1:10" x14ac:dyDescent="0.45">
      <c r="A2585" t="s">
        <v>3108</v>
      </c>
      <c r="B2585" s="1">
        <v>45801</v>
      </c>
      <c r="C2585" t="s">
        <v>4007</v>
      </c>
      <c r="D2585" t="s">
        <v>2776</v>
      </c>
      <c r="E2585">
        <v>3600</v>
      </c>
      <c r="F2585">
        <v>2</v>
      </c>
      <c r="G2585">
        <f t="shared" si="120"/>
        <v>7200</v>
      </c>
      <c r="H2585" t="s">
        <v>21</v>
      </c>
      <c r="I2585">
        <f t="shared" si="121"/>
        <v>4320</v>
      </c>
      <c r="J2585">
        <f t="shared" si="122"/>
        <v>8640</v>
      </c>
    </row>
    <row r="2586" spans="1:10" x14ac:dyDescent="0.45">
      <c r="A2586" t="s">
        <v>3537</v>
      </c>
      <c r="B2586" s="1">
        <v>45801</v>
      </c>
      <c r="C2586" t="s">
        <v>4007</v>
      </c>
      <c r="D2586" t="s">
        <v>28</v>
      </c>
      <c r="E2586">
        <v>500</v>
      </c>
      <c r="F2586">
        <v>5</v>
      </c>
      <c r="G2586">
        <f t="shared" si="120"/>
        <v>2500</v>
      </c>
      <c r="H2586" t="s">
        <v>21</v>
      </c>
      <c r="I2586">
        <f t="shared" si="121"/>
        <v>600</v>
      </c>
      <c r="J2586">
        <f t="shared" si="122"/>
        <v>3000</v>
      </c>
    </row>
    <row r="2587" spans="1:10" x14ac:dyDescent="0.45">
      <c r="A2587" t="s">
        <v>1111</v>
      </c>
      <c r="B2587" s="1">
        <v>45802</v>
      </c>
      <c r="C2587" t="s">
        <v>4007</v>
      </c>
      <c r="D2587" t="s">
        <v>5015</v>
      </c>
      <c r="E2587">
        <v>48000</v>
      </c>
      <c r="F2587">
        <v>6</v>
      </c>
      <c r="G2587">
        <f t="shared" si="120"/>
        <v>288000</v>
      </c>
      <c r="H2587" t="s">
        <v>7</v>
      </c>
      <c r="I2587">
        <f t="shared" si="121"/>
        <v>57600</v>
      </c>
      <c r="J2587">
        <f t="shared" si="122"/>
        <v>345600</v>
      </c>
    </row>
    <row r="2588" spans="1:10" x14ac:dyDescent="0.45">
      <c r="A2588" t="s">
        <v>1112</v>
      </c>
      <c r="B2588" s="1">
        <v>45802</v>
      </c>
      <c r="C2588" t="s">
        <v>12</v>
      </c>
      <c r="D2588" t="s">
        <v>5021</v>
      </c>
      <c r="E2588">
        <v>2880</v>
      </c>
      <c r="F2588">
        <v>10</v>
      </c>
      <c r="G2588">
        <f t="shared" si="120"/>
        <v>28800</v>
      </c>
      <c r="H2588" t="s">
        <v>7</v>
      </c>
      <c r="I2588">
        <f t="shared" si="121"/>
        <v>3456</v>
      </c>
      <c r="J2588">
        <f t="shared" si="122"/>
        <v>34560</v>
      </c>
    </row>
    <row r="2589" spans="1:10" x14ac:dyDescent="0.45">
      <c r="A2589" t="s">
        <v>1113</v>
      </c>
      <c r="B2589" s="1">
        <v>45802</v>
      </c>
      <c r="C2589" t="s">
        <v>9</v>
      </c>
      <c r="D2589" t="s">
        <v>10</v>
      </c>
      <c r="E2589">
        <v>400</v>
      </c>
      <c r="F2589">
        <v>7</v>
      </c>
      <c r="G2589">
        <f t="shared" si="120"/>
        <v>2800</v>
      </c>
      <c r="H2589" t="s">
        <v>7</v>
      </c>
      <c r="I2589">
        <f t="shared" si="121"/>
        <v>480</v>
      </c>
      <c r="J2589">
        <f t="shared" si="122"/>
        <v>3360</v>
      </c>
    </row>
    <row r="2590" spans="1:10" x14ac:dyDescent="0.45">
      <c r="A2590" t="s">
        <v>1114</v>
      </c>
      <c r="B2590" s="1">
        <v>45802</v>
      </c>
      <c r="C2590" t="s">
        <v>4007</v>
      </c>
      <c r="D2590" t="s">
        <v>5015</v>
      </c>
      <c r="E2590">
        <v>48000</v>
      </c>
      <c r="F2590">
        <v>3</v>
      </c>
      <c r="G2590">
        <f t="shared" si="120"/>
        <v>144000</v>
      </c>
      <c r="H2590" t="s">
        <v>17</v>
      </c>
      <c r="I2590">
        <f t="shared" si="121"/>
        <v>57600</v>
      </c>
      <c r="J2590">
        <f t="shared" si="122"/>
        <v>172800</v>
      </c>
    </row>
    <row r="2591" spans="1:10" x14ac:dyDescent="0.45">
      <c r="A2591" t="s">
        <v>1115</v>
      </c>
      <c r="B2591" s="1">
        <v>45802</v>
      </c>
      <c r="C2591" t="s">
        <v>9</v>
      </c>
      <c r="D2591" t="s">
        <v>19</v>
      </c>
      <c r="E2591">
        <v>3000</v>
      </c>
      <c r="F2591">
        <v>2</v>
      </c>
      <c r="G2591">
        <f t="shared" si="120"/>
        <v>6000</v>
      </c>
      <c r="H2591" t="s">
        <v>21</v>
      </c>
      <c r="I2591">
        <f t="shared" si="121"/>
        <v>3600</v>
      </c>
      <c r="J2591">
        <f t="shared" si="122"/>
        <v>7200</v>
      </c>
    </row>
    <row r="2592" spans="1:10" x14ac:dyDescent="0.45">
      <c r="A2592" t="s">
        <v>1116</v>
      </c>
      <c r="B2592" s="1">
        <v>45802</v>
      </c>
      <c r="C2592" t="s">
        <v>33</v>
      </c>
      <c r="D2592" t="s">
        <v>42</v>
      </c>
      <c r="E2592">
        <v>6900</v>
      </c>
      <c r="F2592">
        <v>7</v>
      </c>
      <c r="G2592">
        <f t="shared" si="120"/>
        <v>48300</v>
      </c>
      <c r="H2592" t="s">
        <v>7</v>
      </c>
      <c r="I2592">
        <f t="shared" si="121"/>
        <v>8280</v>
      </c>
      <c r="J2592">
        <f t="shared" si="122"/>
        <v>57960</v>
      </c>
    </row>
    <row r="2593" spans="1:10" x14ac:dyDescent="0.45">
      <c r="A2593" t="s">
        <v>1117</v>
      </c>
      <c r="B2593" s="1">
        <v>45802</v>
      </c>
      <c r="C2593" t="s">
        <v>4007</v>
      </c>
      <c r="D2593" t="s">
        <v>4005</v>
      </c>
      <c r="E2593">
        <v>60000</v>
      </c>
      <c r="F2593">
        <v>1</v>
      </c>
      <c r="G2593">
        <f t="shared" si="120"/>
        <v>60000</v>
      </c>
      <c r="H2593" t="s">
        <v>7</v>
      </c>
      <c r="I2593">
        <f t="shared" si="121"/>
        <v>72000</v>
      </c>
      <c r="J2593">
        <f t="shared" si="122"/>
        <v>72000</v>
      </c>
    </row>
    <row r="2594" spans="1:10" x14ac:dyDescent="0.45">
      <c r="A2594" t="s">
        <v>1118</v>
      </c>
      <c r="B2594" s="1">
        <v>45802</v>
      </c>
      <c r="C2594" t="s">
        <v>4007</v>
      </c>
      <c r="D2594" t="s">
        <v>28</v>
      </c>
      <c r="E2594">
        <v>500</v>
      </c>
      <c r="F2594">
        <v>8</v>
      </c>
      <c r="G2594">
        <f t="shared" si="120"/>
        <v>4000</v>
      </c>
      <c r="H2594" t="s">
        <v>7</v>
      </c>
      <c r="I2594">
        <f t="shared" si="121"/>
        <v>600</v>
      </c>
      <c r="J2594">
        <f t="shared" si="122"/>
        <v>4800</v>
      </c>
    </row>
    <row r="2595" spans="1:10" x14ac:dyDescent="0.45">
      <c r="A2595" t="s">
        <v>3438</v>
      </c>
      <c r="B2595" s="1">
        <v>45802</v>
      </c>
      <c r="C2595" t="s">
        <v>4007</v>
      </c>
      <c r="D2595" t="s">
        <v>2770</v>
      </c>
      <c r="E2595">
        <v>600</v>
      </c>
      <c r="F2595">
        <v>7</v>
      </c>
      <c r="G2595">
        <f t="shared" si="120"/>
        <v>4200</v>
      </c>
      <c r="H2595" t="s">
        <v>21</v>
      </c>
      <c r="I2595">
        <f t="shared" si="121"/>
        <v>720</v>
      </c>
      <c r="J2595">
        <f t="shared" si="122"/>
        <v>5040</v>
      </c>
    </row>
    <row r="2596" spans="1:10" x14ac:dyDescent="0.45">
      <c r="A2596" t="s">
        <v>3801</v>
      </c>
      <c r="B2596" s="1">
        <v>45802</v>
      </c>
      <c r="C2596" t="s">
        <v>4007</v>
      </c>
      <c r="D2596" t="s">
        <v>28</v>
      </c>
      <c r="E2596">
        <v>500</v>
      </c>
      <c r="F2596">
        <v>10</v>
      </c>
      <c r="G2596">
        <f t="shared" si="120"/>
        <v>5000</v>
      </c>
      <c r="H2596" t="s">
        <v>17</v>
      </c>
      <c r="I2596">
        <f t="shared" si="121"/>
        <v>600</v>
      </c>
      <c r="J2596">
        <f t="shared" si="122"/>
        <v>6000</v>
      </c>
    </row>
    <row r="2597" spans="1:10" x14ac:dyDescent="0.45">
      <c r="A2597" t="s">
        <v>1119</v>
      </c>
      <c r="B2597" s="1">
        <v>45803</v>
      </c>
      <c r="C2597" t="s">
        <v>9</v>
      </c>
      <c r="D2597" t="s">
        <v>10</v>
      </c>
      <c r="E2597">
        <v>400</v>
      </c>
      <c r="F2597">
        <v>7</v>
      </c>
      <c r="G2597">
        <f t="shared" si="120"/>
        <v>2800</v>
      </c>
      <c r="H2597" t="s">
        <v>17</v>
      </c>
      <c r="I2597">
        <f t="shared" si="121"/>
        <v>480</v>
      </c>
      <c r="J2597">
        <f t="shared" si="122"/>
        <v>3360</v>
      </c>
    </row>
    <row r="2598" spans="1:10" x14ac:dyDescent="0.45">
      <c r="A2598" t="s">
        <v>1120</v>
      </c>
      <c r="B2598" s="1">
        <v>45803</v>
      </c>
      <c r="C2598" t="s">
        <v>9</v>
      </c>
      <c r="D2598" t="s">
        <v>19</v>
      </c>
      <c r="E2598">
        <v>3000</v>
      </c>
      <c r="F2598">
        <v>7</v>
      </c>
      <c r="G2598">
        <f t="shared" si="120"/>
        <v>21000</v>
      </c>
      <c r="H2598" t="s">
        <v>7</v>
      </c>
      <c r="I2598">
        <f t="shared" si="121"/>
        <v>3600</v>
      </c>
      <c r="J2598">
        <f t="shared" si="122"/>
        <v>25200</v>
      </c>
    </row>
    <row r="2599" spans="1:10" x14ac:dyDescent="0.45">
      <c r="A2599" t="s">
        <v>1121</v>
      </c>
      <c r="B2599" s="1">
        <v>45803</v>
      </c>
      <c r="C2599" t="s">
        <v>33</v>
      </c>
      <c r="D2599" t="s">
        <v>42</v>
      </c>
      <c r="E2599">
        <v>6900</v>
      </c>
      <c r="F2599">
        <v>8</v>
      </c>
      <c r="G2599">
        <f t="shared" si="120"/>
        <v>55200</v>
      </c>
      <c r="H2599" t="s">
        <v>21</v>
      </c>
      <c r="I2599">
        <f t="shared" si="121"/>
        <v>8280</v>
      </c>
      <c r="J2599">
        <f t="shared" si="122"/>
        <v>66240</v>
      </c>
    </row>
    <row r="2600" spans="1:10" x14ac:dyDescent="0.45">
      <c r="A2600" t="s">
        <v>1122</v>
      </c>
      <c r="B2600" s="1">
        <v>45803</v>
      </c>
      <c r="C2600" t="s">
        <v>12</v>
      </c>
      <c r="D2600" t="s">
        <v>5020</v>
      </c>
      <c r="E2600">
        <v>2880</v>
      </c>
      <c r="F2600">
        <v>5</v>
      </c>
      <c r="G2600">
        <f t="shared" si="120"/>
        <v>14400</v>
      </c>
      <c r="H2600" t="s">
        <v>7</v>
      </c>
      <c r="I2600">
        <f t="shared" si="121"/>
        <v>3456</v>
      </c>
      <c r="J2600">
        <f t="shared" si="122"/>
        <v>17280</v>
      </c>
    </row>
    <row r="2601" spans="1:10" x14ac:dyDescent="0.45">
      <c r="A2601" t="s">
        <v>1123</v>
      </c>
      <c r="B2601" s="1">
        <v>45803</v>
      </c>
      <c r="C2601" t="s">
        <v>12</v>
      </c>
      <c r="D2601" t="s">
        <v>5023</v>
      </c>
      <c r="E2601">
        <v>1750</v>
      </c>
      <c r="F2601">
        <v>10</v>
      </c>
      <c r="G2601">
        <f t="shared" si="120"/>
        <v>17500</v>
      </c>
      <c r="H2601" t="s">
        <v>17</v>
      </c>
      <c r="I2601">
        <f t="shared" si="121"/>
        <v>2100</v>
      </c>
      <c r="J2601">
        <f t="shared" si="122"/>
        <v>21000</v>
      </c>
    </row>
    <row r="2602" spans="1:10" x14ac:dyDescent="0.45">
      <c r="A2602" t="s">
        <v>1124</v>
      </c>
      <c r="B2602" s="1">
        <v>45803</v>
      </c>
      <c r="C2602" t="s">
        <v>4007</v>
      </c>
      <c r="D2602" t="s">
        <v>28</v>
      </c>
      <c r="E2602">
        <v>500</v>
      </c>
      <c r="F2602">
        <v>1</v>
      </c>
      <c r="G2602">
        <f t="shared" si="120"/>
        <v>500</v>
      </c>
      <c r="H2602" t="s">
        <v>21</v>
      </c>
      <c r="I2602">
        <f t="shared" si="121"/>
        <v>600</v>
      </c>
      <c r="J2602">
        <f t="shared" si="122"/>
        <v>600</v>
      </c>
    </row>
    <row r="2603" spans="1:10" x14ac:dyDescent="0.45">
      <c r="A2603" t="s">
        <v>1125</v>
      </c>
      <c r="B2603" s="1">
        <v>45803</v>
      </c>
      <c r="C2603" t="s">
        <v>12</v>
      </c>
      <c r="D2603" t="s">
        <v>5022</v>
      </c>
      <c r="E2603">
        <v>2880</v>
      </c>
      <c r="F2603">
        <v>4</v>
      </c>
      <c r="G2603">
        <f t="shared" si="120"/>
        <v>11520</v>
      </c>
      <c r="H2603" t="s">
        <v>7</v>
      </c>
      <c r="I2603">
        <f t="shared" si="121"/>
        <v>3456</v>
      </c>
      <c r="J2603">
        <f t="shared" si="122"/>
        <v>13824</v>
      </c>
    </row>
    <row r="2604" spans="1:10" x14ac:dyDescent="0.45">
      <c r="A2604" t="s">
        <v>1126</v>
      </c>
      <c r="B2604" s="1">
        <v>45803</v>
      </c>
      <c r="C2604" t="s">
        <v>9</v>
      </c>
      <c r="D2604" t="s">
        <v>10</v>
      </c>
      <c r="E2604">
        <v>400</v>
      </c>
      <c r="F2604">
        <v>9</v>
      </c>
      <c r="G2604">
        <f t="shared" si="120"/>
        <v>3600</v>
      </c>
      <c r="H2604" t="s">
        <v>17</v>
      </c>
      <c r="I2604">
        <f t="shared" si="121"/>
        <v>480</v>
      </c>
      <c r="J2604">
        <f t="shared" si="122"/>
        <v>4320</v>
      </c>
    </row>
    <row r="2605" spans="1:10" x14ac:dyDescent="0.45">
      <c r="A2605" t="s">
        <v>1127</v>
      </c>
      <c r="B2605" s="1">
        <v>45803</v>
      </c>
      <c r="C2605" t="s">
        <v>9</v>
      </c>
      <c r="D2605" t="s">
        <v>19</v>
      </c>
      <c r="E2605">
        <v>3000</v>
      </c>
      <c r="F2605">
        <v>4</v>
      </c>
      <c r="G2605">
        <f t="shared" si="120"/>
        <v>12000</v>
      </c>
      <c r="H2605" t="s">
        <v>21</v>
      </c>
      <c r="I2605">
        <f t="shared" si="121"/>
        <v>3600</v>
      </c>
      <c r="J2605">
        <f t="shared" si="122"/>
        <v>14400</v>
      </c>
    </row>
    <row r="2606" spans="1:10" x14ac:dyDescent="0.45">
      <c r="A2606" t="s">
        <v>1128</v>
      </c>
      <c r="B2606" s="1">
        <v>45803</v>
      </c>
      <c r="C2606" t="s">
        <v>9</v>
      </c>
      <c r="D2606" t="s">
        <v>10</v>
      </c>
      <c r="E2606">
        <v>400</v>
      </c>
      <c r="F2606">
        <v>7</v>
      </c>
      <c r="G2606">
        <f t="shared" si="120"/>
        <v>2800</v>
      </c>
      <c r="H2606" t="s">
        <v>7</v>
      </c>
      <c r="I2606">
        <f t="shared" si="121"/>
        <v>480</v>
      </c>
      <c r="J2606">
        <f t="shared" si="122"/>
        <v>3360</v>
      </c>
    </row>
    <row r="2607" spans="1:10" x14ac:dyDescent="0.45">
      <c r="A2607" t="s">
        <v>2825</v>
      </c>
      <c r="B2607" s="1">
        <v>45803</v>
      </c>
      <c r="C2607" t="s">
        <v>4007</v>
      </c>
      <c r="D2607" t="s">
        <v>2773</v>
      </c>
      <c r="E2607">
        <v>3300</v>
      </c>
      <c r="F2607">
        <v>8</v>
      </c>
      <c r="G2607">
        <f t="shared" si="120"/>
        <v>26400</v>
      </c>
      <c r="H2607" t="s">
        <v>17</v>
      </c>
      <c r="I2607">
        <f t="shared" si="121"/>
        <v>3960</v>
      </c>
      <c r="J2607">
        <f t="shared" si="122"/>
        <v>31680</v>
      </c>
    </row>
    <row r="2608" spans="1:10" x14ac:dyDescent="0.45">
      <c r="A2608" t="s">
        <v>2972</v>
      </c>
      <c r="B2608" s="1">
        <v>45803</v>
      </c>
      <c r="C2608" t="s">
        <v>33</v>
      </c>
      <c r="D2608" t="s">
        <v>34</v>
      </c>
      <c r="E2608">
        <v>1700</v>
      </c>
      <c r="F2608">
        <v>1</v>
      </c>
      <c r="G2608">
        <f t="shared" si="120"/>
        <v>1700</v>
      </c>
      <c r="H2608" t="s">
        <v>21</v>
      </c>
      <c r="I2608">
        <f t="shared" si="121"/>
        <v>2040</v>
      </c>
      <c r="J2608">
        <f t="shared" si="122"/>
        <v>2040</v>
      </c>
    </row>
    <row r="2609" spans="1:10" x14ac:dyDescent="0.45">
      <c r="A2609" t="s">
        <v>3048</v>
      </c>
      <c r="B2609" s="1">
        <v>45803</v>
      </c>
      <c r="C2609" t="s">
        <v>4007</v>
      </c>
      <c r="D2609" t="s">
        <v>2776</v>
      </c>
      <c r="E2609">
        <v>3600</v>
      </c>
      <c r="F2609">
        <v>4</v>
      </c>
      <c r="G2609">
        <f t="shared" si="120"/>
        <v>14400</v>
      </c>
      <c r="H2609" t="s">
        <v>17</v>
      </c>
      <c r="I2609">
        <f t="shared" si="121"/>
        <v>4320</v>
      </c>
      <c r="J2609">
        <f t="shared" si="122"/>
        <v>17280</v>
      </c>
    </row>
    <row r="2610" spans="1:10" x14ac:dyDescent="0.45">
      <c r="A2610" t="s">
        <v>1129</v>
      </c>
      <c r="B2610" s="1">
        <v>45804</v>
      </c>
      <c r="C2610" t="s">
        <v>4007</v>
      </c>
      <c r="D2610" t="s">
        <v>5015</v>
      </c>
      <c r="E2610">
        <v>48000</v>
      </c>
      <c r="F2610">
        <v>7</v>
      </c>
      <c r="G2610">
        <f t="shared" si="120"/>
        <v>336000</v>
      </c>
      <c r="H2610" t="s">
        <v>7</v>
      </c>
      <c r="I2610">
        <f t="shared" si="121"/>
        <v>57600</v>
      </c>
      <c r="J2610">
        <f t="shared" si="122"/>
        <v>403200</v>
      </c>
    </row>
    <row r="2611" spans="1:10" x14ac:dyDescent="0.45">
      <c r="A2611" t="s">
        <v>1130</v>
      </c>
      <c r="B2611" s="1">
        <v>45804</v>
      </c>
      <c r="C2611" t="s">
        <v>33</v>
      </c>
      <c r="D2611" t="s">
        <v>16</v>
      </c>
      <c r="E2611">
        <v>1200</v>
      </c>
      <c r="F2611">
        <v>8</v>
      </c>
      <c r="G2611">
        <f t="shared" si="120"/>
        <v>9600</v>
      </c>
      <c r="H2611" t="s">
        <v>17</v>
      </c>
      <c r="I2611">
        <f t="shared" si="121"/>
        <v>1440</v>
      </c>
      <c r="J2611">
        <f t="shared" si="122"/>
        <v>11520</v>
      </c>
    </row>
    <row r="2612" spans="1:10" x14ac:dyDescent="0.45">
      <c r="A2612" t="s">
        <v>1131</v>
      </c>
      <c r="B2612" s="1">
        <v>45804</v>
      </c>
      <c r="C2612" t="s">
        <v>33</v>
      </c>
      <c r="D2612" t="s">
        <v>16</v>
      </c>
      <c r="E2612">
        <v>1200</v>
      </c>
      <c r="F2612">
        <v>10</v>
      </c>
      <c r="G2612">
        <f t="shared" si="120"/>
        <v>12000</v>
      </c>
      <c r="H2612" t="s">
        <v>7</v>
      </c>
      <c r="I2612">
        <f t="shared" si="121"/>
        <v>1440</v>
      </c>
      <c r="J2612">
        <f t="shared" si="122"/>
        <v>14400</v>
      </c>
    </row>
    <row r="2613" spans="1:10" x14ac:dyDescent="0.45">
      <c r="A2613" t="s">
        <v>1132</v>
      </c>
      <c r="B2613" s="1">
        <v>45804</v>
      </c>
      <c r="C2613" t="s">
        <v>9</v>
      </c>
      <c r="D2613" t="s">
        <v>19</v>
      </c>
      <c r="E2613">
        <v>3000</v>
      </c>
      <c r="F2613">
        <v>3</v>
      </c>
      <c r="G2613">
        <f t="shared" si="120"/>
        <v>9000</v>
      </c>
      <c r="H2613" t="s">
        <v>17</v>
      </c>
      <c r="I2613">
        <f t="shared" si="121"/>
        <v>3600</v>
      </c>
      <c r="J2613">
        <f t="shared" si="122"/>
        <v>10800</v>
      </c>
    </row>
    <row r="2614" spans="1:10" x14ac:dyDescent="0.45">
      <c r="A2614" t="s">
        <v>1133</v>
      </c>
      <c r="B2614" s="1">
        <v>45804</v>
      </c>
      <c r="C2614" t="s">
        <v>9</v>
      </c>
      <c r="D2614" t="s">
        <v>19</v>
      </c>
      <c r="E2614">
        <v>3000</v>
      </c>
      <c r="F2614">
        <v>8</v>
      </c>
      <c r="G2614">
        <f t="shared" si="120"/>
        <v>24000</v>
      </c>
      <c r="H2614" t="s">
        <v>21</v>
      </c>
      <c r="I2614">
        <f t="shared" si="121"/>
        <v>3600</v>
      </c>
      <c r="J2614">
        <f t="shared" si="122"/>
        <v>28800</v>
      </c>
    </row>
    <row r="2615" spans="1:10" x14ac:dyDescent="0.45">
      <c r="A2615" t="s">
        <v>1134</v>
      </c>
      <c r="B2615" s="1">
        <v>45804</v>
      </c>
      <c r="C2615" t="s">
        <v>12</v>
      </c>
      <c r="D2615" t="s">
        <v>5021</v>
      </c>
      <c r="E2615">
        <v>2880</v>
      </c>
      <c r="F2615">
        <v>2</v>
      </c>
      <c r="G2615">
        <f t="shared" si="120"/>
        <v>5760</v>
      </c>
      <c r="H2615" t="s">
        <v>21</v>
      </c>
      <c r="I2615">
        <f t="shared" si="121"/>
        <v>3456</v>
      </c>
      <c r="J2615">
        <f t="shared" si="122"/>
        <v>6912</v>
      </c>
    </row>
    <row r="2616" spans="1:10" x14ac:dyDescent="0.45">
      <c r="A2616" t="s">
        <v>1135</v>
      </c>
      <c r="B2616" s="1">
        <v>45804</v>
      </c>
      <c r="C2616" t="s">
        <v>12</v>
      </c>
      <c r="D2616" t="s">
        <v>5023</v>
      </c>
      <c r="E2616">
        <v>1750</v>
      </c>
      <c r="F2616">
        <v>9</v>
      </c>
      <c r="G2616">
        <f t="shared" si="120"/>
        <v>15750</v>
      </c>
      <c r="H2616" t="s">
        <v>7</v>
      </c>
      <c r="I2616">
        <f t="shared" si="121"/>
        <v>2100</v>
      </c>
      <c r="J2616">
        <f t="shared" si="122"/>
        <v>18900</v>
      </c>
    </row>
    <row r="2617" spans="1:10" x14ac:dyDescent="0.45">
      <c r="A2617" t="s">
        <v>1136</v>
      </c>
      <c r="B2617" s="1">
        <v>45804</v>
      </c>
      <c r="C2617" t="s">
        <v>9</v>
      </c>
      <c r="D2617" t="s">
        <v>25</v>
      </c>
      <c r="E2617">
        <v>5200</v>
      </c>
      <c r="F2617">
        <v>5</v>
      </c>
      <c r="G2617">
        <f t="shared" si="120"/>
        <v>26000</v>
      </c>
      <c r="H2617" t="s">
        <v>21</v>
      </c>
      <c r="I2617">
        <f t="shared" si="121"/>
        <v>6240</v>
      </c>
      <c r="J2617">
        <f t="shared" si="122"/>
        <v>31200</v>
      </c>
    </row>
    <row r="2618" spans="1:10" x14ac:dyDescent="0.45">
      <c r="A2618" t="s">
        <v>1137</v>
      </c>
      <c r="B2618" s="1">
        <v>45804</v>
      </c>
      <c r="C2618" t="s">
        <v>33</v>
      </c>
      <c r="D2618" t="s">
        <v>34</v>
      </c>
      <c r="E2618">
        <v>1700</v>
      </c>
      <c r="F2618">
        <v>8</v>
      </c>
      <c r="G2618">
        <f t="shared" si="120"/>
        <v>13600</v>
      </c>
      <c r="H2618" t="s">
        <v>17</v>
      </c>
      <c r="I2618">
        <f t="shared" si="121"/>
        <v>2040</v>
      </c>
      <c r="J2618">
        <f t="shared" si="122"/>
        <v>16320</v>
      </c>
    </row>
    <row r="2619" spans="1:10" x14ac:dyDescent="0.45">
      <c r="A2619" t="s">
        <v>1138</v>
      </c>
      <c r="B2619" s="1">
        <v>45804</v>
      </c>
      <c r="C2619" t="s">
        <v>4007</v>
      </c>
      <c r="D2619" t="s">
        <v>5015</v>
      </c>
      <c r="E2619">
        <v>48000</v>
      </c>
      <c r="F2619">
        <v>9</v>
      </c>
      <c r="G2619">
        <f t="shared" si="120"/>
        <v>432000</v>
      </c>
      <c r="H2619" t="s">
        <v>21</v>
      </c>
      <c r="I2619">
        <f t="shared" si="121"/>
        <v>57600</v>
      </c>
      <c r="J2619">
        <f t="shared" si="122"/>
        <v>518400</v>
      </c>
    </row>
    <row r="2620" spans="1:10" x14ac:dyDescent="0.45">
      <c r="A2620" t="s">
        <v>3011</v>
      </c>
      <c r="B2620" s="1">
        <v>45804</v>
      </c>
      <c r="C2620" t="s">
        <v>2772</v>
      </c>
      <c r="D2620" t="s">
        <v>2775</v>
      </c>
      <c r="E2620">
        <v>9100</v>
      </c>
      <c r="F2620">
        <v>1</v>
      </c>
      <c r="G2620">
        <f t="shared" si="120"/>
        <v>9100</v>
      </c>
      <c r="H2620" t="s">
        <v>7</v>
      </c>
      <c r="I2620">
        <f t="shared" si="121"/>
        <v>10920</v>
      </c>
      <c r="J2620">
        <f t="shared" si="122"/>
        <v>10920</v>
      </c>
    </row>
    <row r="2621" spans="1:10" x14ac:dyDescent="0.45">
      <c r="A2621" t="s">
        <v>3616</v>
      </c>
      <c r="B2621" s="1">
        <v>45804</v>
      </c>
      <c r="C2621" t="s">
        <v>4007</v>
      </c>
      <c r="D2621" t="s">
        <v>28</v>
      </c>
      <c r="E2621">
        <v>500</v>
      </c>
      <c r="F2621">
        <v>1</v>
      </c>
      <c r="G2621">
        <f t="shared" si="120"/>
        <v>500</v>
      </c>
      <c r="H2621" t="s">
        <v>17</v>
      </c>
      <c r="I2621">
        <f t="shared" si="121"/>
        <v>600</v>
      </c>
      <c r="J2621">
        <f t="shared" si="122"/>
        <v>600</v>
      </c>
    </row>
    <row r="2622" spans="1:10" x14ac:dyDescent="0.45">
      <c r="A2622" t="s">
        <v>3780</v>
      </c>
      <c r="B2622" s="1">
        <v>45804</v>
      </c>
      <c r="C2622" t="s">
        <v>4007</v>
      </c>
      <c r="D2622" t="s">
        <v>28</v>
      </c>
      <c r="E2622">
        <v>500</v>
      </c>
      <c r="F2622">
        <v>2</v>
      </c>
      <c r="G2622">
        <f t="shared" si="120"/>
        <v>1000</v>
      </c>
      <c r="H2622" t="s">
        <v>7</v>
      </c>
      <c r="I2622">
        <f t="shared" si="121"/>
        <v>600</v>
      </c>
      <c r="J2622">
        <f t="shared" si="122"/>
        <v>1200</v>
      </c>
    </row>
    <row r="2623" spans="1:10" x14ac:dyDescent="0.45">
      <c r="A2623" t="s">
        <v>3943</v>
      </c>
      <c r="B2623" s="1">
        <v>45804</v>
      </c>
      <c r="C2623" t="s">
        <v>4007</v>
      </c>
      <c r="D2623" t="s">
        <v>2773</v>
      </c>
      <c r="E2623">
        <v>3300</v>
      </c>
      <c r="F2623">
        <v>7</v>
      </c>
      <c r="G2623">
        <f t="shared" si="120"/>
        <v>23100</v>
      </c>
      <c r="H2623" t="s">
        <v>17</v>
      </c>
      <c r="I2623">
        <f t="shared" si="121"/>
        <v>3960</v>
      </c>
      <c r="J2623">
        <f t="shared" si="122"/>
        <v>27720</v>
      </c>
    </row>
    <row r="2624" spans="1:10" x14ac:dyDescent="0.45">
      <c r="A2624" t="s">
        <v>1139</v>
      </c>
      <c r="B2624" s="1">
        <v>45805</v>
      </c>
      <c r="C2624" t="s">
        <v>33</v>
      </c>
      <c r="D2624" t="s">
        <v>34</v>
      </c>
      <c r="E2624">
        <v>1700</v>
      </c>
      <c r="F2624">
        <v>6</v>
      </c>
      <c r="G2624">
        <f t="shared" si="120"/>
        <v>10200</v>
      </c>
      <c r="H2624" t="s">
        <v>7</v>
      </c>
      <c r="I2624">
        <f t="shared" si="121"/>
        <v>2040</v>
      </c>
      <c r="J2624">
        <f t="shared" si="122"/>
        <v>12240</v>
      </c>
    </row>
    <row r="2625" spans="1:10" x14ac:dyDescent="0.45">
      <c r="A2625" t="s">
        <v>1140</v>
      </c>
      <c r="B2625" s="1">
        <v>45805</v>
      </c>
      <c r="C2625" t="s">
        <v>9</v>
      </c>
      <c r="D2625" t="s">
        <v>19</v>
      </c>
      <c r="E2625">
        <v>3000</v>
      </c>
      <c r="F2625">
        <v>6</v>
      </c>
      <c r="G2625">
        <f t="shared" si="120"/>
        <v>18000</v>
      </c>
      <c r="H2625" t="s">
        <v>7</v>
      </c>
      <c r="I2625">
        <f t="shared" si="121"/>
        <v>3600</v>
      </c>
      <c r="J2625">
        <f t="shared" si="122"/>
        <v>21600</v>
      </c>
    </row>
    <row r="2626" spans="1:10" x14ac:dyDescent="0.45">
      <c r="A2626" t="s">
        <v>1141</v>
      </c>
      <c r="B2626" s="1">
        <v>45805</v>
      </c>
      <c r="C2626" t="s">
        <v>12</v>
      </c>
      <c r="D2626" t="s">
        <v>5023</v>
      </c>
      <c r="E2626">
        <v>1750</v>
      </c>
      <c r="F2626">
        <v>7</v>
      </c>
      <c r="G2626">
        <f t="shared" ref="G2626:G2689" si="123">E2626*F2626</f>
        <v>12250</v>
      </c>
      <c r="H2626" t="s">
        <v>21</v>
      </c>
      <c r="I2626">
        <f t="shared" ref="I2626:I2689" si="124">E2626*1.2</f>
        <v>2100</v>
      </c>
      <c r="J2626">
        <f t="shared" ref="J2626:J2689" si="125">I2626*F2626</f>
        <v>14700</v>
      </c>
    </row>
    <row r="2627" spans="1:10" x14ac:dyDescent="0.45">
      <c r="A2627" t="s">
        <v>1142</v>
      </c>
      <c r="B2627" s="1">
        <v>45805</v>
      </c>
      <c r="C2627" t="s">
        <v>33</v>
      </c>
      <c r="D2627" t="s">
        <v>34</v>
      </c>
      <c r="E2627">
        <v>1700</v>
      </c>
      <c r="F2627">
        <v>5</v>
      </c>
      <c r="G2627">
        <f t="shared" si="123"/>
        <v>8500</v>
      </c>
      <c r="H2627" t="s">
        <v>21</v>
      </c>
      <c r="I2627">
        <f t="shared" si="124"/>
        <v>2040</v>
      </c>
      <c r="J2627">
        <f t="shared" si="125"/>
        <v>10200</v>
      </c>
    </row>
    <row r="2628" spans="1:10" x14ac:dyDescent="0.45">
      <c r="A2628" t="s">
        <v>1143</v>
      </c>
      <c r="B2628" s="1">
        <v>45805</v>
      </c>
      <c r="C2628" t="s">
        <v>9</v>
      </c>
      <c r="D2628" t="s">
        <v>19</v>
      </c>
      <c r="E2628">
        <v>3000</v>
      </c>
      <c r="F2628">
        <v>4</v>
      </c>
      <c r="G2628">
        <f t="shared" si="123"/>
        <v>12000</v>
      </c>
      <c r="H2628" t="s">
        <v>7</v>
      </c>
      <c r="I2628">
        <f t="shared" si="124"/>
        <v>3600</v>
      </c>
      <c r="J2628">
        <f t="shared" si="125"/>
        <v>14400</v>
      </c>
    </row>
    <row r="2629" spans="1:10" x14ac:dyDescent="0.45">
      <c r="A2629" t="s">
        <v>1144</v>
      </c>
      <c r="B2629" s="1">
        <v>45805</v>
      </c>
      <c r="C2629" t="s">
        <v>33</v>
      </c>
      <c r="D2629" t="s">
        <v>34</v>
      </c>
      <c r="E2629">
        <v>1700</v>
      </c>
      <c r="F2629">
        <v>3</v>
      </c>
      <c r="G2629">
        <f t="shared" si="123"/>
        <v>5100</v>
      </c>
      <c r="H2629" t="s">
        <v>17</v>
      </c>
      <c r="I2629">
        <f t="shared" si="124"/>
        <v>2040</v>
      </c>
      <c r="J2629">
        <f t="shared" si="125"/>
        <v>6120</v>
      </c>
    </row>
    <row r="2630" spans="1:10" x14ac:dyDescent="0.45">
      <c r="A2630" t="s">
        <v>1145</v>
      </c>
      <c r="B2630" s="1">
        <v>45805</v>
      </c>
      <c r="C2630" t="s">
        <v>12</v>
      </c>
      <c r="D2630" t="s">
        <v>5021</v>
      </c>
      <c r="E2630">
        <v>2880</v>
      </c>
      <c r="F2630">
        <v>6</v>
      </c>
      <c r="G2630">
        <f t="shared" si="123"/>
        <v>17280</v>
      </c>
      <c r="H2630" t="s">
        <v>17</v>
      </c>
      <c r="I2630">
        <f t="shared" si="124"/>
        <v>3456</v>
      </c>
      <c r="J2630">
        <f t="shared" si="125"/>
        <v>20736</v>
      </c>
    </row>
    <row r="2631" spans="1:10" x14ac:dyDescent="0.45">
      <c r="A2631" t="s">
        <v>1146</v>
      </c>
      <c r="B2631" s="1">
        <v>45805</v>
      </c>
      <c r="C2631" t="s">
        <v>33</v>
      </c>
      <c r="D2631" t="s">
        <v>16</v>
      </c>
      <c r="E2631">
        <v>1200</v>
      </c>
      <c r="F2631">
        <v>4</v>
      </c>
      <c r="G2631">
        <f t="shared" si="123"/>
        <v>4800</v>
      </c>
      <c r="H2631" t="s">
        <v>21</v>
      </c>
      <c r="I2631">
        <f t="shared" si="124"/>
        <v>1440</v>
      </c>
      <c r="J2631">
        <f t="shared" si="125"/>
        <v>5760</v>
      </c>
    </row>
    <row r="2632" spans="1:10" x14ac:dyDescent="0.45">
      <c r="A2632" t="s">
        <v>1147</v>
      </c>
      <c r="B2632" s="1">
        <v>45805</v>
      </c>
      <c r="C2632" t="s">
        <v>12</v>
      </c>
      <c r="D2632" t="s">
        <v>5021</v>
      </c>
      <c r="E2632">
        <v>2880</v>
      </c>
      <c r="F2632">
        <v>2</v>
      </c>
      <c r="G2632">
        <f t="shared" si="123"/>
        <v>5760</v>
      </c>
      <c r="H2632" t="s">
        <v>17</v>
      </c>
      <c r="I2632">
        <f t="shared" si="124"/>
        <v>3456</v>
      </c>
      <c r="J2632">
        <f t="shared" si="125"/>
        <v>6912</v>
      </c>
    </row>
    <row r="2633" spans="1:10" x14ac:dyDescent="0.45">
      <c r="A2633" t="s">
        <v>1148</v>
      </c>
      <c r="B2633" s="1">
        <v>45805</v>
      </c>
      <c r="C2633" t="s">
        <v>9</v>
      </c>
      <c r="D2633" t="s">
        <v>10</v>
      </c>
      <c r="E2633">
        <v>400</v>
      </c>
      <c r="F2633">
        <v>9</v>
      </c>
      <c r="G2633">
        <f t="shared" si="123"/>
        <v>3600</v>
      </c>
      <c r="H2633" t="s">
        <v>17</v>
      </c>
      <c r="I2633">
        <f t="shared" si="124"/>
        <v>480</v>
      </c>
      <c r="J2633">
        <f t="shared" si="125"/>
        <v>4320</v>
      </c>
    </row>
    <row r="2634" spans="1:10" x14ac:dyDescent="0.45">
      <c r="A2634" t="s">
        <v>3207</v>
      </c>
      <c r="B2634" s="1">
        <v>45805</v>
      </c>
      <c r="C2634" t="s">
        <v>4007</v>
      </c>
      <c r="D2634" t="s">
        <v>2774</v>
      </c>
      <c r="E2634">
        <v>1900</v>
      </c>
      <c r="F2634">
        <v>4</v>
      </c>
      <c r="G2634">
        <f t="shared" si="123"/>
        <v>7600</v>
      </c>
      <c r="H2634" t="s">
        <v>21</v>
      </c>
      <c r="I2634">
        <f t="shared" si="124"/>
        <v>2280</v>
      </c>
      <c r="J2634">
        <f t="shared" si="125"/>
        <v>9120</v>
      </c>
    </row>
    <row r="2635" spans="1:10" x14ac:dyDescent="0.45">
      <c r="A2635" t="s">
        <v>3466</v>
      </c>
      <c r="B2635" s="1">
        <v>45805</v>
      </c>
      <c r="C2635" t="s">
        <v>4007</v>
      </c>
      <c r="D2635" t="s">
        <v>2773</v>
      </c>
      <c r="E2635">
        <v>3300</v>
      </c>
      <c r="F2635">
        <v>2</v>
      </c>
      <c r="G2635">
        <f t="shared" si="123"/>
        <v>6600</v>
      </c>
      <c r="H2635" t="s">
        <v>21</v>
      </c>
      <c r="I2635">
        <f t="shared" si="124"/>
        <v>3960</v>
      </c>
      <c r="J2635">
        <f t="shared" si="125"/>
        <v>7920</v>
      </c>
    </row>
    <row r="2636" spans="1:10" x14ac:dyDescent="0.45">
      <c r="A2636" t="s">
        <v>1149</v>
      </c>
      <c r="B2636" s="1">
        <v>45806</v>
      </c>
      <c r="C2636" t="s">
        <v>4007</v>
      </c>
      <c r="D2636" t="s">
        <v>39</v>
      </c>
      <c r="E2636">
        <v>6000</v>
      </c>
      <c r="F2636">
        <v>10</v>
      </c>
      <c r="G2636">
        <f t="shared" si="123"/>
        <v>60000</v>
      </c>
      <c r="H2636" t="s">
        <v>17</v>
      </c>
      <c r="I2636">
        <f t="shared" si="124"/>
        <v>7200</v>
      </c>
      <c r="J2636">
        <f t="shared" si="125"/>
        <v>72000</v>
      </c>
    </row>
    <row r="2637" spans="1:10" x14ac:dyDescent="0.45">
      <c r="A2637" t="s">
        <v>1150</v>
      </c>
      <c r="B2637" s="1">
        <v>45806</v>
      </c>
      <c r="C2637" t="s">
        <v>12</v>
      </c>
      <c r="D2637" t="s">
        <v>5021</v>
      </c>
      <c r="E2637">
        <v>2880</v>
      </c>
      <c r="F2637">
        <v>1</v>
      </c>
      <c r="G2637">
        <f t="shared" si="123"/>
        <v>2880</v>
      </c>
      <c r="H2637" t="s">
        <v>21</v>
      </c>
      <c r="I2637">
        <f t="shared" si="124"/>
        <v>3456</v>
      </c>
      <c r="J2637">
        <f t="shared" si="125"/>
        <v>3456</v>
      </c>
    </row>
    <row r="2638" spans="1:10" x14ac:dyDescent="0.45">
      <c r="A2638" t="s">
        <v>1151</v>
      </c>
      <c r="B2638" s="1">
        <v>45806</v>
      </c>
      <c r="C2638" t="s">
        <v>9</v>
      </c>
      <c r="D2638" t="s">
        <v>10</v>
      </c>
      <c r="E2638">
        <v>400</v>
      </c>
      <c r="F2638">
        <v>3</v>
      </c>
      <c r="G2638">
        <f t="shared" si="123"/>
        <v>1200</v>
      </c>
      <c r="H2638" t="s">
        <v>7</v>
      </c>
      <c r="I2638">
        <f t="shared" si="124"/>
        <v>480</v>
      </c>
      <c r="J2638">
        <f t="shared" si="125"/>
        <v>1440</v>
      </c>
    </row>
    <row r="2639" spans="1:10" x14ac:dyDescent="0.45">
      <c r="A2639" t="s">
        <v>1152</v>
      </c>
      <c r="B2639" s="1">
        <v>45806</v>
      </c>
      <c r="C2639" t="s">
        <v>9</v>
      </c>
      <c r="D2639" t="s">
        <v>19</v>
      </c>
      <c r="E2639">
        <v>3000</v>
      </c>
      <c r="F2639">
        <v>6</v>
      </c>
      <c r="G2639">
        <f t="shared" si="123"/>
        <v>18000</v>
      </c>
      <c r="H2639" t="s">
        <v>7</v>
      </c>
      <c r="I2639">
        <f t="shared" si="124"/>
        <v>3600</v>
      </c>
      <c r="J2639">
        <f t="shared" si="125"/>
        <v>21600</v>
      </c>
    </row>
    <row r="2640" spans="1:10" x14ac:dyDescent="0.45">
      <c r="A2640" t="s">
        <v>1153</v>
      </c>
      <c r="B2640" s="1">
        <v>45806</v>
      </c>
      <c r="C2640" t="s">
        <v>4007</v>
      </c>
      <c r="D2640" t="s">
        <v>5015</v>
      </c>
      <c r="E2640">
        <v>48000</v>
      </c>
      <c r="F2640">
        <v>6</v>
      </c>
      <c r="G2640">
        <f t="shared" si="123"/>
        <v>288000</v>
      </c>
      <c r="H2640" t="s">
        <v>7</v>
      </c>
      <c r="I2640">
        <f t="shared" si="124"/>
        <v>57600</v>
      </c>
      <c r="J2640">
        <f t="shared" si="125"/>
        <v>345600</v>
      </c>
    </row>
    <row r="2641" spans="1:10" x14ac:dyDescent="0.45">
      <c r="A2641" t="s">
        <v>1154</v>
      </c>
      <c r="B2641" s="1">
        <v>45806</v>
      </c>
      <c r="C2641" t="s">
        <v>12</v>
      </c>
      <c r="D2641" t="s">
        <v>5023</v>
      </c>
      <c r="E2641">
        <v>1750</v>
      </c>
      <c r="F2641">
        <v>1</v>
      </c>
      <c r="G2641">
        <f t="shared" si="123"/>
        <v>1750</v>
      </c>
      <c r="H2641" t="s">
        <v>7</v>
      </c>
      <c r="I2641">
        <f t="shared" si="124"/>
        <v>2100</v>
      </c>
      <c r="J2641">
        <f t="shared" si="125"/>
        <v>2100</v>
      </c>
    </row>
    <row r="2642" spans="1:10" x14ac:dyDescent="0.45">
      <c r="A2642" t="s">
        <v>2862</v>
      </c>
      <c r="B2642" s="1">
        <v>45806</v>
      </c>
      <c r="C2642" t="s">
        <v>4007</v>
      </c>
      <c r="D2642" t="s">
        <v>2776</v>
      </c>
      <c r="E2642">
        <v>3600</v>
      </c>
      <c r="F2642">
        <v>6</v>
      </c>
      <c r="G2642">
        <f t="shared" si="123"/>
        <v>21600</v>
      </c>
      <c r="H2642" t="s">
        <v>17</v>
      </c>
      <c r="I2642">
        <f t="shared" si="124"/>
        <v>4320</v>
      </c>
      <c r="J2642">
        <f t="shared" si="125"/>
        <v>25920</v>
      </c>
    </row>
    <row r="2643" spans="1:10" x14ac:dyDescent="0.45">
      <c r="A2643" t="s">
        <v>1155</v>
      </c>
      <c r="B2643" s="1">
        <v>45807</v>
      </c>
      <c r="C2643" t="s">
        <v>9</v>
      </c>
      <c r="D2643" t="s">
        <v>25</v>
      </c>
      <c r="E2643">
        <v>5200</v>
      </c>
      <c r="F2643">
        <v>4</v>
      </c>
      <c r="G2643">
        <f t="shared" si="123"/>
        <v>20800</v>
      </c>
      <c r="H2643" t="s">
        <v>7</v>
      </c>
      <c r="I2643">
        <f t="shared" si="124"/>
        <v>6240</v>
      </c>
      <c r="J2643">
        <f t="shared" si="125"/>
        <v>24960</v>
      </c>
    </row>
    <row r="2644" spans="1:10" x14ac:dyDescent="0.45">
      <c r="A2644" t="s">
        <v>1156</v>
      </c>
      <c r="B2644" s="1">
        <v>45807</v>
      </c>
      <c r="C2644" t="s">
        <v>9</v>
      </c>
      <c r="D2644" t="s">
        <v>19</v>
      </c>
      <c r="E2644">
        <v>3000</v>
      </c>
      <c r="F2644">
        <v>10</v>
      </c>
      <c r="G2644">
        <f t="shared" si="123"/>
        <v>30000</v>
      </c>
      <c r="H2644" t="s">
        <v>7</v>
      </c>
      <c r="I2644">
        <f t="shared" si="124"/>
        <v>3600</v>
      </c>
      <c r="J2644">
        <f t="shared" si="125"/>
        <v>36000</v>
      </c>
    </row>
    <row r="2645" spans="1:10" x14ac:dyDescent="0.45">
      <c r="A2645" t="s">
        <v>1157</v>
      </c>
      <c r="B2645" s="1">
        <v>45807</v>
      </c>
      <c r="C2645" t="s">
        <v>12</v>
      </c>
      <c r="D2645" t="s">
        <v>5022</v>
      </c>
      <c r="E2645">
        <v>2880</v>
      </c>
      <c r="F2645">
        <v>10</v>
      </c>
      <c r="G2645">
        <f t="shared" si="123"/>
        <v>28800</v>
      </c>
      <c r="H2645" t="s">
        <v>21</v>
      </c>
      <c r="I2645">
        <f t="shared" si="124"/>
        <v>3456</v>
      </c>
      <c r="J2645">
        <f t="shared" si="125"/>
        <v>34560</v>
      </c>
    </row>
    <row r="2646" spans="1:10" x14ac:dyDescent="0.45">
      <c r="A2646" t="s">
        <v>1158</v>
      </c>
      <c r="B2646" s="1">
        <v>45807</v>
      </c>
      <c r="C2646" t="s">
        <v>9</v>
      </c>
      <c r="D2646" t="s">
        <v>10</v>
      </c>
      <c r="E2646">
        <v>400</v>
      </c>
      <c r="F2646">
        <v>4</v>
      </c>
      <c r="G2646">
        <f t="shared" si="123"/>
        <v>1600</v>
      </c>
      <c r="H2646" t="s">
        <v>21</v>
      </c>
      <c r="I2646">
        <f t="shared" si="124"/>
        <v>480</v>
      </c>
      <c r="J2646">
        <f t="shared" si="125"/>
        <v>1920</v>
      </c>
    </row>
    <row r="2647" spans="1:10" x14ac:dyDescent="0.45">
      <c r="A2647" t="s">
        <v>1159</v>
      </c>
      <c r="B2647" s="1">
        <v>45807</v>
      </c>
      <c r="C2647" t="s">
        <v>9</v>
      </c>
      <c r="D2647" t="s">
        <v>19</v>
      </c>
      <c r="E2647">
        <v>3000</v>
      </c>
      <c r="F2647">
        <v>2</v>
      </c>
      <c r="G2647">
        <f t="shared" si="123"/>
        <v>6000</v>
      </c>
      <c r="H2647" t="s">
        <v>21</v>
      </c>
      <c r="I2647">
        <f t="shared" si="124"/>
        <v>3600</v>
      </c>
      <c r="J2647">
        <f t="shared" si="125"/>
        <v>7200</v>
      </c>
    </row>
    <row r="2648" spans="1:10" x14ac:dyDescent="0.45">
      <c r="A2648" t="s">
        <v>1160</v>
      </c>
      <c r="B2648" s="1">
        <v>45807</v>
      </c>
      <c r="C2648" t="s">
        <v>4007</v>
      </c>
      <c r="D2648" t="s">
        <v>28</v>
      </c>
      <c r="E2648">
        <v>500</v>
      </c>
      <c r="F2648">
        <v>8</v>
      </c>
      <c r="G2648">
        <f t="shared" si="123"/>
        <v>4000</v>
      </c>
      <c r="H2648" t="s">
        <v>17</v>
      </c>
      <c r="I2648">
        <f t="shared" si="124"/>
        <v>600</v>
      </c>
      <c r="J2648">
        <f t="shared" si="125"/>
        <v>4800</v>
      </c>
    </row>
    <row r="2649" spans="1:10" x14ac:dyDescent="0.45">
      <c r="A2649" t="s">
        <v>1161</v>
      </c>
      <c r="B2649" s="1">
        <v>45807</v>
      </c>
      <c r="C2649" t="s">
        <v>33</v>
      </c>
      <c r="D2649" t="s">
        <v>34</v>
      </c>
      <c r="E2649">
        <v>1700</v>
      </c>
      <c r="F2649">
        <v>7</v>
      </c>
      <c r="G2649">
        <f t="shared" si="123"/>
        <v>11900</v>
      </c>
      <c r="H2649" t="s">
        <v>7</v>
      </c>
      <c r="I2649">
        <f t="shared" si="124"/>
        <v>2040</v>
      </c>
      <c r="J2649">
        <f t="shared" si="125"/>
        <v>14280</v>
      </c>
    </row>
    <row r="2650" spans="1:10" x14ac:dyDescent="0.45">
      <c r="A2650" t="s">
        <v>3095</v>
      </c>
      <c r="B2650" s="1">
        <v>45807</v>
      </c>
      <c r="C2650" t="s">
        <v>33</v>
      </c>
      <c r="D2650" t="s">
        <v>14</v>
      </c>
      <c r="E2650">
        <v>800</v>
      </c>
      <c r="F2650">
        <v>6</v>
      </c>
      <c r="G2650">
        <f t="shared" si="123"/>
        <v>4800</v>
      </c>
      <c r="H2650" t="s">
        <v>21</v>
      </c>
      <c r="I2650">
        <f t="shared" si="124"/>
        <v>960</v>
      </c>
      <c r="J2650">
        <f t="shared" si="125"/>
        <v>5760</v>
      </c>
    </row>
    <row r="2651" spans="1:10" x14ac:dyDescent="0.45">
      <c r="A2651" t="s">
        <v>3389</v>
      </c>
      <c r="B2651" s="1">
        <v>45807</v>
      </c>
      <c r="C2651" t="s">
        <v>33</v>
      </c>
      <c r="D2651" t="s">
        <v>34</v>
      </c>
      <c r="E2651">
        <v>1700</v>
      </c>
      <c r="F2651">
        <v>4</v>
      </c>
      <c r="G2651">
        <f t="shared" si="123"/>
        <v>6800</v>
      </c>
      <c r="H2651" t="s">
        <v>7</v>
      </c>
      <c r="I2651">
        <f t="shared" si="124"/>
        <v>2040</v>
      </c>
      <c r="J2651">
        <f t="shared" si="125"/>
        <v>8160</v>
      </c>
    </row>
    <row r="2652" spans="1:10" x14ac:dyDescent="0.45">
      <c r="A2652" t="s">
        <v>3889</v>
      </c>
      <c r="B2652" s="1">
        <v>45807</v>
      </c>
      <c r="C2652" t="s">
        <v>4007</v>
      </c>
      <c r="D2652" t="s">
        <v>28</v>
      </c>
      <c r="E2652">
        <v>500</v>
      </c>
      <c r="F2652">
        <v>6</v>
      </c>
      <c r="G2652">
        <f t="shared" si="123"/>
        <v>3000</v>
      </c>
      <c r="H2652" t="s">
        <v>21</v>
      </c>
      <c r="I2652">
        <f t="shared" si="124"/>
        <v>600</v>
      </c>
      <c r="J2652">
        <f t="shared" si="125"/>
        <v>3600</v>
      </c>
    </row>
    <row r="2653" spans="1:10" x14ac:dyDescent="0.45">
      <c r="A2653" t="s">
        <v>1162</v>
      </c>
      <c r="B2653" s="1">
        <v>45808</v>
      </c>
      <c r="C2653" t="s">
        <v>9</v>
      </c>
      <c r="D2653" t="s">
        <v>19</v>
      </c>
      <c r="E2653">
        <v>3000</v>
      </c>
      <c r="F2653">
        <v>4</v>
      </c>
      <c r="G2653">
        <f t="shared" si="123"/>
        <v>12000</v>
      </c>
      <c r="H2653" t="s">
        <v>21</v>
      </c>
      <c r="I2653">
        <f t="shared" si="124"/>
        <v>3600</v>
      </c>
      <c r="J2653">
        <f t="shared" si="125"/>
        <v>14400</v>
      </c>
    </row>
    <row r="2654" spans="1:10" x14ac:dyDescent="0.45">
      <c r="A2654" t="s">
        <v>1163</v>
      </c>
      <c r="B2654" s="1">
        <v>45808</v>
      </c>
      <c r="C2654" t="s">
        <v>33</v>
      </c>
      <c r="D2654" t="s">
        <v>42</v>
      </c>
      <c r="E2654">
        <v>6900</v>
      </c>
      <c r="F2654">
        <v>7</v>
      </c>
      <c r="G2654">
        <f t="shared" si="123"/>
        <v>48300</v>
      </c>
      <c r="H2654" t="s">
        <v>17</v>
      </c>
      <c r="I2654">
        <f t="shared" si="124"/>
        <v>8280</v>
      </c>
      <c r="J2654">
        <f t="shared" si="125"/>
        <v>57960</v>
      </c>
    </row>
    <row r="2655" spans="1:10" x14ac:dyDescent="0.45">
      <c r="A2655" t="s">
        <v>1164</v>
      </c>
      <c r="B2655" s="1">
        <v>45808</v>
      </c>
      <c r="C2655" t="s">
        <v>4007</v>
      </c>
      <c r="D2655" t="s">
        <v>5015</v>
      </c>
      <c r="E2655">
        <v>48000</v>
      </c>
      <c r="F2655">
        <v>10</v>
      </c>
      <c r="G2655">
        <f t="shared" si="123"/>
        <v>480000</v>
      </c>
      <c r="H2655" t="s">
        <v>7</v>
      </c>
      <c r="I2655">
        <f t="shared" si="124"/>
        <v>57600</v>
      </c>
      <c r="J2655">
        <f t="shared" si="125"/>
        <v>576000</v>
      </c>
    </row>
    <row r="2656" spans="1:10" x14ac:dyDescent="0.45">
      <c r="A2656" t="s">
        <v>1165</v>
      </c>
      <c r="B2656" s="1">
        <v>45808</v>
      </c>
      <c r="C2656" t="s">
        <v>33</v>
      </c>
      <c r="D2656" t="s">
        <v>34</v>
      </c>
      <c r="E2656">
        <v>1700</v>
      </c>
      <c r="F2656">
        <v>3</v>
      </c>
      <c r="G2656">
        <f t="shared" si="123"/>
        <v>5100</v>
      </c>
      <c r="H2656" t="s">
        <v>7</v>
      </c>
      <c r="I2656">
        <f t="shared" si="124"/>
        <v>2040</v>
      </c>
      <c r="J2656">
        <f t="shared" si="125"/>
        <v>6120</v>
      </c>
    </row>
    <row r="2657" spans="1:10" x14ac:dyDescent="0.45">
      <c r="A2657" t="s">
        <v>1166</v>
      </c>
      <c r="B2657" s="1">
        <v>45808</v>
      </c>
      <c r="C2657" t="s">
        <v>12</v>
      </c>
      <c r="D2657" t="s">
        <v>5021</v>
      </c>
      <c r="E2657">
        <v>2880</v>
      </c>
      <c r="F2657">
        <v>7</v>
      </c>
      <c r="G2657">
        <f t="shared" si="123"/>
        <v>20160</v>
      </c>
      <c r="H2657" t="s">
        <v>17</v>
      </c>
      <c r="I2657">
        <f t="shared" si="124"/>
        <v>3456</v>
      </c>
      <c r="J2657">
        <f t="shared" si="125"/>
        <v>24192</v>
      </c>
    </row>
    <row r="2658" spans="1:10" x14ac:dyDescent="0.45">
      <c r="A2658" t="s">
        <v>1167</v>
      </c>
      <c r="B2658" s="1">
        <v>45808</v>
      </c>
      <c r="C2658" t="s">
        <v>9</v>
      </c>
      <c r="D2658" t="s">
        <v>10</v>
      </c>
      <c r="E2658">
        <v>400</v>
      </c>
      <c r="F2658">
        <v>10</v>
      </c>
      <c r="G2658">
        <f t="shared" si="123"/>
        <v>4000</v>
      </c>
      <c r="H2658" t="s">
        <v>7</v>
      </c>
      <c r="I2658">
        <f t="shared" si="124"/>
        <v>480</v>
      </c>
      <c r="J2658">
        <f t="shared" si="125"/>
        <v>4800</v>
      </c>
    </row>
    <row r="2659" spans="1:10" x14ac:dyDescent="0.45">
      <c r="A2659" t="s">
        <v>1168</v>
      </c>
      <c r="B2659" s="1">
        <v>45808</v>
      </c>
      <c r="C2659" t="s">
        <v>9</v>
      </c>
      <c r="D2659" t="s">
        <v>19</v>
      </c>
      <c r="E2659">
        <v>3000</v>
      </c>
      <c r="F2659">
        <v>6</v>
      </c>
      <c r="G2659">
        <f t="shared" si="123"/>
        <v>18000</v>
      </c>
      <c r="H2659" t="s">
        <v>17</v>
      </c>
      <c r="I2659">
        <f t="shared" si="124"/>
        <v>3600</v>
      </c>
      <c r="J2659">
        <f t="shared" si="125"/>
        <v>21600</v>
      </c>
    </row>
    <row r="2660" spans="1:10" x14ac:dyDescent="0.45">
      <c r="A2660" t="s">
        <v>1169</v>
      </c>
      <c r="B2660" s="1">
        <v>45809</v>
      </c>
      <c r="C2660" t="s">
        <v>12</v>
      </c>
      <c r="D2660" t="s">
        <v>5020</v>
      </c>
      <c r="E2660">
        <v>2880</v>
      </c>
      <c r="F2660">
        <v>5</v>
      </c>
      <c r="G2660">
        <f t="shared" si="123"/>
        <v>14400</v>
      </c>
      <c r="H2660" t="s">
        <v>7</v>
      </c>
      <c r="I2660">
        <f t="shared" si="124"/>
        <v>3456</v>
      </c>
      <c r="J2660">
        <f t="shared" si="125"/>
        <v>17280</v>
      </c>
    </row>
    <row r="2661" spans="1:10" x14ac:dyDescent="0.45">
      <c r="A2661" t="s">
        <v>1170</v>
      </c>
      <c r="B2661" s="1">
        <v>45809</v>
      </c>
      <c r="C2661" t="s">
        <v>33</v>
      </c>
      <c r="D2661" t="s">
        <v>16</v>
      </c>
      <c r="E2661">
        <v>1200</v>
      </c>
      <c r="F2661">
        <v>5</v>
      </c>
      <c r="G2661">
        <f t="shared" si="123"/>
        <v>6000</v>
      </c>
      <c r="H2661" t="s">
        <v>17</v>
      </c>
      <c r="I2661">
        <f t="shared" si="124"/>
        <v>1440</v>
      </c>
      <c r="J2661">
        <f t="shared" si="125"/>
        <v>7200</v>
      </c>
    </row>
    <row r="2662" spans="1:10" x14ac:dyDescent="0.45">
      <c r="A2662" t="s">
        <v>1171</v>
      </c>
      <c r="B2662" s="1">
        <v>45809</v>
      </c>
      <c r="C2662" t="s">
        <v>12</v>
      </c>
      <c r="D2662" t="s">
        <v>5022</v>
      </c>
      <c r="E2662">
        <v>2880</v>
      </c>
      <c r="F2662">
        <v>1</v>
      </c>
      <c r="G2662">
        <f t="shared" si="123"/>
        <v>2880</v>
      </c>
      <c r="H2662" t="s">
        <v>17</v>
      </c>
      <c r="I2662">
        <f t="shared" si="124"/>
        <v>3456</v>
      </c>
      <c r="J2662">
        <f t="shared" si="125"/>
        <v>3456</v>
      </c>
    </row>
    <row r="2663" spans="1:10" x14ac:dyDescent="0.45">
      <c r="A2663" t="s">
        <v>1172</v>
      </c>
      <c r="B2663" s="1">
        <v>45809</v>
      </c>
      <c r="C2663" t="s">
        <v>33</v>
      </c>
      <c r="D2663" t="s">
        <v>34</v>
      </c>
      <c r="E2663">
        <v>1700</v>
      </c>
      <c r="F2663">
        <v>5</v>
      </c>
      <c r="G2663">
        <f t="shared" si="123"/>
        <v>8500</v>
      </c>
      <c r="H2663" t="s">
        <v>7</v>
      </c>
      <c r="I2663">
        <f t="shared" si="124"/>
        <v>2040</v>
      </c>
      <c r="J2663">
        <f t="shared" si="125"/>
        <v>10200</v>
      </c>
    </row>
    <row r="2664" spans="1:10" x14ac:dyDescent="0.45">
      <c r="A2664" t="s">
        <v>1173</v>
      </c>
      <c r="B2664" s="1">
        <v>45809</v>
      </c>
      <c r="C2664" t="s">
        <v>12</v>
      </c>
      <c r="D2664" t="s">
        <v>5022</v>
      </c>
      <c r="E2664">
        <v>2880</v>
      </c>
      <c r="F2664">
        <v>1</v>
      </c>
      <c r="G2664">
        <f t="shared" si="123"/>
        <v>2880</v>
      </c>
      <c r="H2664" t="s">
        <v>17</v>
      </c>
      <c r="I2664">
        <f t="shared" si="124"/>
        <v>3456</v>
      </c>
      <c r="J2664">
        <f t="shared" si="125"/>
        <v>3456</v>
      </c>
    </row>
    <row r="2665" spans="1:10" x14ac:dyDescent="0.45">
      <c r="A2665" t="s">
        <v>1174</v>
      </c>
      <c r="B2665" s="1">
        <v>45809</v>
      </c>
      <c r="C2665" t="s">
        <v>12</v>
      </c>
      <c r="D2665" t="s">
        <v>5020</v>
      </c>
      <c r="E2665">
        <v>2880</v>
      </c>
      <c r="F2665">
        <v>1</v>
      </c>
      <c r="G2665">
        <f t="shared" si="123"/>
        <v>2880</v>
      </c>
      <c r="H2665" t="s">
        <v>17</v>
      </c>
      <c r="I2665">
        <f t="shared" si="124"/>
        <v>3456</v>
      </c>
      <c r="J2665">
        <f t="shared" si="125"/>
        <v>3456</v>
      </c>
    </row>
    <row r="2666" spans="1:10" x14ac:dyDescent="0.45">
      <c r="A2666" t="s">
        <v>1175</v>
      </c>
      <c r="B2666" s="1">
        <v>45809</v>
      </c>
      <c r="C2666" t="s">
        <v>4007</v>
      </c>
      <c r="D2666" t="s">
        <v>28</v>
      </c>
      <c r="E2666">
        <v>500</v>
      </c>
      <c r="F2666">
        <v>2</v>
      </c>
      <c r="G2666">
        <f t="shared" si="123"/>
        <v>1000</v>
      </c>
      <c r="H2666" t="s">
        <v>17</v>
      </c>
      <c r="I2666">
        <f t="shared" si="124"/>
        <v>600</v>
      </c>
      <c r="J2666">
        <f t="shared" si="125"/>
        <v>1200</v>
      </c>
    </row>
    <row r="2667" spans="1:10" x14ac:dyDescent="0.45">
      <c r="A2667" t="s">
        <v>2920</v>
      </c>
      <c r="B2667" s="1">
        <v>45809</v>
      </c>
      <c r="C2667" t="s">
        <v>4007</v>
      </c>
      <c r="D2667" t="s">
        <v>5015</v>
      </c>
      <c r="E2667">
        <v>48000</v>
      </c>
      <c r="F2667">
        <v>7</v>
      </c>
      <c r="G2667">
        <f t="shared" si="123"/>
        <v>336000</v>
      </c>
      <c r="H2667" t="s">
        <v>21</v>
      </c>
      <c r="I2667">
        <f t="shared" si="124"/>
        <v>57600</v>
      </c>
      <c r="J2667">
        <f t="shared" si="125"/>
        <v>403200</v>
      </c>
    </row>
    <row r="2668" spans="1:10" x14ac:dyDescent="0.45">
      <c r="A2668" t="s">
        <v>3542</v>
      </c>
      <c r="B2668" s="1">
        <v>45809</v>
      </c>
      <c r="C2668" t="s">
        <v>4007</v>
      </c>
      <c r="D2668" t="s">
        <v>28</v>
      </c>
      <c r="E2668">
        <v>500</v>
      </c>
      <c r="F2668">
        <v>10</v>
      </c>
      <c r="G2668">
        <f t="shared" si="123"/>
        <v>5000</v>
      </c>
      <c r="H2668" t="s">
        <v>17</v>
      </c>
      <c r="I2668">
        <f t="shared" si="124"/>
        <v>600</v>
      </c>
      <c r="J2668">
        <f t="shared" si="125"/>
        <v>6000</v>
      </c>
    </row>
    <row r="2669" spans="1:10" x14ac:dyDescent="0.45">
      <c r="A2669" t="s">
        <v>1176</v>
      </c>
      <c r="B2669" s="1">
        <v>45810</v>
      </c>
      <c r="C2669" t="s">
        <v>12</v>
      </c>
      <c r="D2669" t="s">
        <v>5020</v>
      </c>
      <c r="E2669">
        <v>2880</v>
      </c>
      <c r="F2669">
        <v>8</v>
      </c>
      <c r="G2669">
        <f t="shared" si="123"/>
        <v>23040</v>
      </c>
      <c r="H2669" t="s">
        <v>7</v>
      </c>
      <c r="I2669">
        <f t="shared" si="124"/>
        <v>3456</v>
      </c>
      <c r="J2669">
        <f t="shared" si="125"/>
        <v>27648</v>
      </c>
    </row>
    <row r="2670" spans="1:10" x14ac:dyDescent="0.45">
      <c r="A2670" t="s">
        <v>1177</v>
      </c>
      <c r="B2670" s="1">
        <v>45810</v>
      </c>
      <c r="C2670" t="s">
        <v>9</v>
      </c>
      <c r="D2670" t="s">
        <v>19</v>
      </c>
      <c r="E2670">
        <v>3000</v>
      </c>
      <c r="F2670">
        <v>7</v>
      </c>
      <c r="G2670">
        <f t="shared" si="123"/>
        <v>21000</v>
      </c>
      <c r="H2670" t="s">
        <v>17</v>
      </c>
      <c r="I2670">
        <f t="shared" si="124"/>
        <v>3600</v>
      </c>
      <c r="J2670">
        <f t="shared" si="125"/>
        <v>25200</v>
      </c>
    </row>
    <row r="2671" spans="1:10" x14ac:dyDescent="0.45">
      <c r="A2671" t="s">
        <v>1178</v>
      </c>
      <c r="B2671" s="1">
        <v>45810</v>
      </c>
      <c r="C2671" t="s">
        <v>4007</v>
      </c>
      <c r="D2671" t="s">
        <v>28</v>
      </c>
      <c r="E2671">
        <v>500</v>
      </c>
      <c r="F2671">
        <v>5</v>
      </c>
      <c r="G2671">
        <f t="shared" si="123"/>
        <v>2500</v>
      </c>
      <c r="H2671" t="s">
        <v>21</v>
      </c>
      <c r="I2671">
        <f t="shared" si="124"/>
        <v>600</v>
      </c>
      <c r="J2671">
        <f t="shared" si="125"/>
        <v>3000</v>
      </c>
    </row>
    <row r="2672" spans="1:10" x14ac:dyDescent="0.45">
      <c r="A2672" t="s">
        <v>1179</v>
      </c>
      <c r="B2672" s="1">
        <v>45810</v>
      </c>
      <c r="C2672" t="s">
        <v>9</v>
      </c>
      <c r="D2672" t="s">
        <v>10</v>
      </c>
      <c r="E2672">
        <v>400</v>
      </c>
      <c r="F2672">
        <v>2</v>
      </c>
      <c r="G2672">
        <f t="shared" si="123"/>
        <v>800</v>
      </c>
      <c r="H2672" t="s">
        <v>7</v>
      </c>
      <c r="I2672">
        <f t="shared" si="124"/>
        <v>480</v>
      </c>
      <c r="J2672">
        <f t="shared" si="125"/>
        <v>960</v>
      </c>
    </row>
    <row r="2673" spans="1:10" x14ac:dyDescent="0.45">
      <c r="A2673" t="s">
        <v>1180</v>
      </c>
      <c r="B2673" s="1">
        <v>45810</v>
      </c>
      <c r="C2673" t="s">
        <v>9</v>
      </c>
      <c r="D2673" t="s">
        <v>10</v>
      </c>
      <c r="E2673">
        <v>400</v>
      </c>
      <c r="F2673">
        <v>1</v>
      </c>
      <c r="G2673">
        <f t="shared" si="123"/>
        <v>400</v>
      </c>
      <c r="H2673" t="s">
        <v>7</v>
      </c>
      <c r="I2673">
        <f t="shared" si="124"/>
        <v>480</v>
      </c>
      <c r="J2673">
        <f t="shared" si="125"/>
        <v>480</v>
      </c>
    </row>
    <row r="2674" spans="1:10" x14ac:dyDescent="0.45">
      <c r="A2674" t="s">
        <v>2876</v>
      </c>
      <c r="B2674" s="1">
        <v>45810</v>
      </c>
      <c r="C2674" t="s">
        <v>4007</v>
      </c>
      <c r="D2674" t="s">
        <v>2770</v>
      </c>
      <c r="E2674">
        <v>600</v>
      </c>
      <c r="F2674">
        <v>3</v>
      </c>
      <c r="G2674">
        <f t="shared" si="123"/>
        <v>1800</v>
      </c>
      <c r="H2674" t="s">
        <v>21</v>
      </c>
      <c r="I2674">
        <f t="shared" si="124"/>
        <v>720</v>
      </c>
      <c r="J2674">
        <f t="shared" si="125"/>
        <v>2160</v>
      </c>
    </row>
    <row r="2675" spans="1:10" x14ac:dyDescent="0.45">
      <c r="A2675" t="s">
        <v>1181</v>
      </c>
      <c r="B2675" s="1">
        <v>45811</v>
      </c>
      <c r="C2675" t="s">
        <v>4007</v>
      </c>
      <c r="D2675" t="s">
        <v>5015</v>
      </c>
      <c r="E2675">
        <v>48000</v>
      </c>
      <c r="F2675">
        <v>3</v>
      </c>
      <c r="G2675">
        <f t="shared" si="123"/>
        <v>144000</v>
      </c>
      <c r="H2675" t="s">
        <v>7</v>
      </c>
      <c r="I2675">
        <f t="shared" si="124"/>
        <v>57600</v>
      </c>
      <c r="J2675">
        <f t="shared" si="125"/>
        <v>172800</v>
      </c>
    </row>
    <row r="2676" spans="1:10" x14ac:dyDescent="0.45">
      <c r="A2676" t="s">
        <v>1182</v>
      </c>
      <c r="B2676" s="1">
        <v>45811</v>
      </c>
      <c r="C2676" t="s">
        <v>12</v>
      </c>
      <c r="D2676" t="s">
        <v>5022</v>
      </c>
      <c r="E2676">
        <v>2880</v>
      </c>
      <c r="F2676">
        <v>2</v>
      </c>
      <c r="G2676">
        <f t="shared" si="123"/>
        <v>5760</v>
      </c>
      <c r="H2676" t="s">
        <v>17</v>
      </c>
      <c r="I2676">
        <f t="shared" si="124"/>
        <v>3456</v>
      </c>
      <c r="J2676">
        <f t="shared" si="125"/>
        <v>6912</v>
      </c>
    </row>
    <row r="2677" spans="1:10" x14ac:dyDescent="0.45">
      <c r="A2677" t="s">
        <v>1183</v>
      </c>
      <c r="B2677" s="1">
        <v>45811</v>
      </c>
      <c r="C2677" t="s">
        <v>9</v>
      </c>
      <c r="D2677" t="s">
        <v>10</v>
      </c>
      <c r="E2677">
        <v>400</v>
      </c>
      <c r="F2677">
        <v>3</v>
      </c>
      <c r="G2677">
        <f t="shared" si="123"/>
        <v>1200</v>
      </c>
      <c r="H2677" t="s">
        <v>17</v>
      </c>
      <c r="I2677">
        <f t="shared" si="124"/>
        <v>480</v>
      </c>
      <c r="J2677">
        <f t="shared" si="125"/>
        <v>1440</v>
      </c>
    </row>
    <row r="2678" spans="1:10" x14ac:dyDescent="0.45">
      <c r="A2678" t="s">
        <v>1184</v>
      </c>
      <c r="B2678" s="1">
        <v>45811</v>
      </c>
      <c r="C2678" t="s">
        <v>9</v>
      </c>
      <c r="D2678" t="s">
        <v>10</v>
      </c>
      <c r="E2678">
        <v>400</v>
      </c>
      <c r="F2678">
        <v>3</v>
      </c>
      <c r="G2678">
        <f t="shared" si="123"/>
        <v>1200</v>
      </c>
      <c r="H2678" t="s">
        <v>7</v>
      </c>
      <c r="I2678">
        <f t="shared" si="124"/>
        <v>480</v>
      </c>
      <c r="J2678">
        <f t="shared" si="125"/>
        <v>1440</v>
      </c>
    </row>
    <row r="2679" spans="1:10" x14ac:dyDescent="0.45">
      <c r="A2679" t="s">
        <v>1185</v>
      </c>
      <c r="B2679" s="1">
        <v>45811</v>
      </c>
      <c r="C2679" t="s">
        <v>12</v>
      </c>
      <c r="D2679" t="s">
        <v>5020</v>
      </c>
      <c r="E2679">
        <v>2880</v>
      </c>
      <c r="F2679">
        <v>7</v>
      </c>
      <c r="G2679">
        <f t="shared" si="123"/>
        <v>20160</v>
      </c>
      <c r="H2679" t="s">
        <v>21</v>
      </c>
      <c r="I2679">
        <f t="shared" si="124"/>
        <v>3456</v>
      </c>
      <c r="J2679">
        <f t="shared" si="125"/>
        <v>24192</v>
      </c>
    </row>
    <row r="2680" spans="1:10" x14ac:dyDescent="0.45">
      <c r="A2680" t="s">
        <v>1186</v>
      </c>
      <c r="B2680" s="1">
        <v>45811</v>
      </c>
      <c r="C2680" t="s">
        <v>33</v>
      </c>
      <c r="D2680" t="s">
        <v>42</v>
      </c>
      <c r="E2680">
        <v>6900</v>
      </c>
      <c r="F2680">
        <v>7</v>
      </c>
      <c r="G2680">
        <f t="shared" si="123"/>
        <v>48300</v>
      </c>
      <c r="H2680" t="s">
        <v>21</v>
      </c>
      <c r="I2680">
        <f t="shared" si="124"/>
        <v>8280</v>
      </c>
      <c r="J2680">
        <f t="shared" si="125"/>
        <v>57960</v>
      </c>
    </row>
    <row r="2681" spans="1:10" x14ac:dyDescent="0.45">
      <c r="A2681" t="s">
        <v>1187</v>
      </c>
      <c r="B2681" s="1">
        <v>45811</v>
      </c>
      <c r="C2681" t="s">
        <v>12</v>
      </c>
      <c r="D2681" t="s">
        <v>5021</v>
      </c>
      <c r="E2681">
        <v>2880</v>
      </c>
      <c r="F2681">
        <v>5</v>
      </c>
      <c r="G2681">
        <f t="shared" si="123"/>
        <v>14400</v>
      </c>
      <c r="H2681" t="s">
        <v>17</v>
      </c>
      <c r="I2681">
        <f t="shared" si="124"/>
        <v>3456</v>
      </c>
      <c r="J2681">
        <f t="shared" si="125"/>
        <v>17280</v>
      </c>
    </row>
    <row r="2682" spans="1:10" x14ac:dyDescent="0.45">
      <c r="A2682" t="s">
        <v>1188</v>
      </c>
      <c r="B2682" s="1">
        <v>45811</v>
      </c>
      <c r="C2682" t="s">
        <v>9</v>
      </c>
      <c r="D2682" t="s">
        <v>10</v>
      </c>
      <c r="E2682">
        <v>400</v>
      </c>
      <c r="F2682">
        <v>5</v>
      </c>
      <c r="G2682">
        <f t="shared" si="123"/>
        <v>2000</v>
      </c>
      <c r="H2682" t="s">
        <v>7</v>
      </c>
      <c r="I2682">
        <f t="shared" si="124"/>
        <v>480</v>
      </c>
      <c r="J2682">
        <f t="shared" si="125"/>
        <v>2400</v>
      </c>
    </row>
    <row r="2683" spans="1:10" x14ac:dyDescent="0.45">
      <c r="A2683" t="s">
        <v>1189</v>
      </c>
      <c r="B2683" s="1">
        <v>45811</v>
      </c>
      <c r="C2683" t="s">
        <v>4007</v>
      </c>
      <c r="D2683" t="s">
        <v>28</v>
      </c>
      <c r="E2683">
        <v>500</v>
      </c>
      <c r="F2683">
        <v>7</v>
      </c>
      <c r="G2683">
        <f t="shared" si="123"/>
        <v>3500</v>
      </c>
      <c r="H2683" t="s">
        <v>7</v>
      </c>
      <c r="I2683">
        <f t="shared" si="124"/>
        <v>600</v>
      </c>
      <c r="J2683">
        <f t="shared" si="125"/>
        <v>4200</v>
      </c>
    </row>
    <row r="2684" spans="1:10" x14ac:dyDescent="0.45">
      <c r="A2684" t="s">
        <v>3463</v>
      </c>
      <c r="B2684" s="1">
        <v>45811</v>
      </c>
      <c r="C2684" t="s">
        <v>4007</v>
      </c>
      <c r="D2684" t="s">
        <v>2774</v>
      </c>
      <c r="E2684">
        <v>1900</v>
      </c>
      <c r="F2684">
        <v>8</v>
      </c>
      <c r="G2684">
        <f t="shared" si="123"/>
        <v>15200</v>
      </c>
      <c r="H2684" t="s">
        <v>21</v>
      </c>
      <c r="I2684">
        <f t="shared" si="124"/>
        <v>2280</v>
      </c>
      <c r="J2684">
        <f t="shared" si="125"/>
        <v>18240</v>
      </c>
    </row>
    <row r="2685" spans="1:10" x14ac:dyDescent="0.45">
      <c r="A2685" t="s">
        <v>3874</v>
      </c>
      <c r="B2685" s="1">
        <v>45811</v>
      </c>
      <c r="C2685" t="s">
        <v>33</v>
      </c>
      <c r="D2685" t="s">
        <v>14</v>
      </c>
      <c r="E2685">
        <v>800</v>
      </c>
      <c r="F2685">
        <v>8</v>
      </c>
      <c r="G2685">
        <f t="shared" si="123"/>
        <v>6400</v>
      </c>
      <c r="H2685" t="s">
        <v>7</v>
      </c>
      <c r="I2685">
        <f t="shared" si="124"/>
        <v>960</v>
      </c>
      <c r="J2685">
        <f t="shared" si="125"/>
        <v>7680</v>
      </c>
    </row>
    <row r="2686" spans="1:10" x14ac:dyDescent="0.45">
      <c r="A2686" t="s">
        <v>1190</v>
      </c>
      <c r="B2686" s="1">
        <v>45812</v>
      </c>
      <c r="C2686" t="s">
        <v>33</v>
      </c>
      <c r="D2686" t="s">
        <v>14</v>
      </c>
      <c r="E2686">
        <v>800</v>
      </c>
      <c r="F2686">
        <v>7</v>
      </c>
      <c r="G2686">
        <f t="shared" si="123"/>
        <v>5600</v>
      </c>
      <c r="H2686" t="s">
        <v>17</v>
      </c>
      <c r="I2686">
        <f t="shared" si="124"/>
        <v>960</v>
      </c>
      <c r="J2686">
        <f t="shared" si="125"/>
        <v>6720</v>
      </c>
    </row>
    <row r="2687" spans="1:10" x14ac:dyDescent="0.45">
      <c r="A2687" t="s">
        <v>1191</v>
      </c>
      <c r="B2687" s="1">
        <v>45812</v>
      </c>
      <c r="C2687" t="s">
        <v>4007</v>
      </c>
      <c r="D2687" t="s">
        <v>28</v>
      </c>
      <c r="E2687">
        <v>500</v>
      </c>
      <c r="F2687">
        <v>7</v>
      </c>
      <c r="G2687">
        <f t="shared" si="123"/>
        <v>3500</v>
      </c>
      <c r="H2687" t="s">
        <v>21</v>
      </c>
      <c r="I2687">
        <f t="shared" si="124"/>
        <v>600</v>
      </c>
      <c r="J2687">
        <f t="shared" si="125"/>
        <v>4200</v>
      </c>
    </row>
    <row r="2688" spans="1:10" x14ac:dyDescent="0.45">
      <c r="A2688" t="s">
        <v>1192</v>
      </c>
      <c r="B2688" s="1">
        <v>45812</v>
      </c>
      <c r="C2688" t="s">
        <v>4007</v>
      </c>
      <c r="D2688" t="s">
        <v>28</v>
      </c>
      <c r="E2688">
        <v>500</v>
      </c>
      <c r="F2688">
        <v>9</v>
      </c>
      <c r="G2688">
        <f t="shared" si="123"/>
        <v>4500</v>
      </c>
      <c r="H2688" t="s">
        <v>17</v>
      </c>
      <c r="I2688">
        <f t="shared" si="124"/>
        <v>600</v>
      </c>
      <c r="J2688">
        <f t="shared" si="125"/>
        <v>5400</v>
      </c>
    </row>
    <row r="2689" spans="1:10" x14ac:dyDescent="0.45">
      <c r="A2689" t="s">
        <v>1193</v>
      </c>
      <c r="B2689" s="1">
        <v>45812</v>
      </c>
      <c r="C2689" t="s">
        <v>4007</v>
      </c>
      <c r="D2689" t="s">
        <v>28</v>
      </c>
      <c r="E2689">
        <v>500</v>
      </c>
      <c r="F2689">
        <v>6</v>
      </c>
      <c r="G2689">
        <f t="shared" si="123"/>
        <v>3000</v>
      </c>
      <c r="H2689" t="s">
        <v>21</v>
      </c>
      <c r="I2689">
        <f t="shared" si="124"/>
        <v>600</v>
      </c>
      <c r="J2689">
        <f t="shared" si="125"/>
        <v>3600</v>
      </c>
    </row>
    <row r="2690" spans="1:10" x14ac:dyDescent="0.45">
      <c r="A2690" t="s">
        <v>1194</v>
      </c>
      <c r="B2690" s="1">
        <v>45812</v>
      </c>
      <c r="C2690" t="s">
        <v>9</v>
      </c>
      <c r="D2690" t="s">
        <v>10</v>
      </c>
      <c r="E2690">
        <v>400</v>
      </c>
      <c r="F2690">
        <v>2</v>
      </c>
      <c r="G2690">
        <f t="shared" ref="G2690:G2753" si="126">E2690*F2690</f>
        <v>800</v>
      </c>
      <c r="H2690" t="s">
        <v>7</v>
      </c>
      <c r="I2690">
        <f t="shared" ref="I2690:I2753" si="127">E2690*1.2</f>
        <v>480</v>
      </c>
      <c r="J2690">
        <f t="shared" ref="J2690:J2753" si="128">I2690*F2690</f>
        <v>960</v>
      </c>
    </row>
    <row r="2691" spans="1:10" x14ac:dyDescent="0.45">
      <c r="A2691" t="s">
        <v>1195</v>
      </c>
      <c r="B2691" s="1">
        <v>45812</v>
      </c>
      <c r="C2691" t="s">
        <v>12</v>
      </c>
      <c r="D2691" t="s">
        <v>5023</v>
      </c>
      <c r="E2691">
        <v>1750</v>
      </c>
      <c r="F2691">
        <v>3</v>
      </c>
      <c r="G2691">
        <f t="shared" si="126"/>
        <v>5250</v>
      </c>
      <c r="H2691" t="s">
        <v>7</v>
      </c>
      <c r="I2691">
        <f t="shared" si="127"/>
        <v>2100</v>
      </c>
      <c r="J2691">
        <f t="shared" si="128"/>
        <v>6300</v>
      </c>
    </row>
    <row r="2692" spans="1:10" x14ac:dyDescent="0.45">
      <c r="A2692" t="s">
        <v>1196</v>
      </c>
      <c r="B2692" s="1">
        <v>45812</v>
      </c>
      <c r="C2692" t="s">
        <v>9</v>
      </c>
      <c r="D2692" t="s">
        <v>25</v>
      </c>
      <c r="E2692">
        <v>5200</v>
      </c>
      <c r="F2692">
        <v>4</v>
      </c>
      <c r="G2692">
        <f t="shared" si="126"/>
        <v>20800</v>
      </c>
      <c r="H2692" t="s">
        <v>17</v>
      </c>
      <c r="I2692">
        <f t="shared" si="127"/>
        <v>6240</v>
      </c>
      <c r="J2692">
        <f t="shared" si="128"/>
        <v>24960</v>
      </c>
    </row>
    <row r="2693" spans="1:10" x14ac:dyDescent="0.45">
      <c r="A2693" t="s">
        <v>1197</v>
      </c>
      <c r="B2693" s="1">
        <v>45812</v>
      </c>
      <c r="C2693" t="s">
        <v>9</v>
      </c>
      <c r="D2693" t="s">
        <v>25</v>
      </c>
      <c r="E2693">
        <v>5200</v>
      </c>
      <c r="F2693">
        <v>3</v>
      </c>
      <c r="G2693">
        <f t="shared" si="126"/>
        <v>15600</v>
      </c>
      <c r="H2693" t="s">
        <v>7</v>
      </c>
      <c r="I2693">
        <f t="shared" si="127"/>
        <v>6240</v>
      </c>
      <c r="J2693">
        <f t="shared" si="128"/>
        <v>18720</v>
      </c>
    </row>
    <row r="2694" spans="1:10" x14ac:dyDescent="0.45">
      <c r="A2694" t="s">
        <v>1198</v>
      </c>
      <c r="B2694" s="1">
        <v>45812</v>
      </c>
      <c r="C2694" t="s">
        <v>9</v>
      </c>
      <c r="D2694" t="s">
        <v>19</v>
      </c>
      <c r="E2694">
        <v>3000</v>
      </c>
      <c r="F2694">
        <v>6</v>
      </c>
      <c r="G2694">
        <f t="shared" si="126"/>
        <v>18000</v>
      </c>
      <c r="H2694" t="s">
        <v>17</v>
      </c>
      <c r="I2694">
        <f t="shared" si="127"/>
        <v>3600</v>
      </c>
      <c r="J2694">
        <f t="shared" si="128"/>
        <v>21600</v>
      </c>
    </row>
    <row r="2695" spans="1:10" x14ac:dyDescent="0.45">
      <c r="A2695" t="s">
        <v>1199</v>
      </c>
      <c r="B2695" s="1">
        <v>45812</v>
      </c>
      <c r="C2695" t="s">
        <v>4007</v>
      </c>
      <c r="D2695" t="s">
        <v>39</v>
      </c>
      <c r="E2695">
        <v>6000</v>
      </c>
      <c r="F2695">
        <v>7</v>
      </c>
      <c r="G2695">
        <f t="shared" si="126"/>
        <v>42000</v>
      </c>
      <c r="H2695" t="s">
        <v>21</v>
      </c>
      <c r="I2695">
        <f t="shared" si="127"/>
        <v>7200</v>
      </c>
      <c r="J2695">
        <f t="shared" si="128"/>
        <v>50400</v>
      </c>
    </row>
    <row r="2696" spans="1:10" x14ac:dyDescent="0.45">
      <c r="A2696" t="s">
        <v>2782</v>
      </c>
      <c r="B2696" s="1">
        <v>45812</v>
      </c>
      <c r="C2696" t="s">
        <v>4007</v>
      </c>
      <c r="D2696" t="s">
        <v>2774</v>
      </c>
      <c r="E2696">
        <v>1900</v>
      </c>
      <c r="F2696">
        <v>3</v>
      </c>
      <c r="G2696">
        <f t="shared" si="126"/>
        <v>5700</v>
      </c>
      <c r="H2696" t="s">
        <v>17</v>
      </c>
      <c r="I2696">
        <f t="shared" si="127"/>
        <v>2280</v>
      </c>
      <c r="J2696">
        <f t="shared" si="128"/>
        <v>6840</v>
      </c>
    </row>
    <row r="2697" spans="1:10" x14ac:dyDescent="0.45">
      <c r="A2697" t="s">
        <v>3399</v>
      </c>
      <c r="B2697" s="1">
        <v>45812</v>
      </c>
      <c r="C2697" t="s">
        <v>33</v>
      </c>
      <c r="D2697" t="s">
        <v>14</v>
      </c>
      <c r="E2697">
        <v>800</v>
      </c>
      <c r="F2697">
        <v>8</v>
      </c>
      <c r="G2697">
        <f t="shared" si="126"/>
        <v>6400</v>
      </c>
      <c r="H2697" t="s">
        <v>21</v>
      </c>
      <c r="I2697">
        <f t="shared" si="127"/>
        <v>960</v>
      </c>
      <c r="J2697">
        <f t="shared" si="128"/>
        <v>7680</v>
      </c>
    </row>
    <row r="2698" spans="1:10" x14ac:dyDescent="0.45">
      <c r="A2698" t="s">
        <v>3586</v>
      </c>
      <c r="B2698" s="1">
        <v>45812</v>
      </c>
      <c r="C2698" t="s">
        <v>4007</v>
      </c>
      <c r="D2698" t="s">
        <v>2774</v>
      </c>
      <c r="E2698">
        <v>1900</v>
      </c>
      <c r="F2698">
        <v>4</v>
      </c>
      <c r="G2698">
        <f t="shared" si="126"/>
        <v>7600</v>
      </c>
      <c r="H2698" t="s">
        <v>7</v>
      </c>
      <c r="I2698">
        <f t="shared" si="127"/>
        <v>2280</v>
      </c>
      <c r="J2698">
        <f t="shared" si="128"/>
        <v>9120</v>
      </c>
    </row>
    <row r="2699" spans="1:10" x14ac:dyDescent="0.45">
      <c r="A2699" t="s">
        <v>3692</v>
      </c>
      <c r="B2699" s="1">
        <v>45812</v>
      </c>
      <c r="C2699" t="s">
        <v>2772</v>
      </c>
      <c r="D2699" t="s">
        <v>2771</v>
      </c>
      <c r="E2699">
        <v>120</v>
      </c>
      <c r="F2699">
        <v>9</v>
      </c>
      <c r="G2699">
        <f t="shared" si="126"/>
        <v>1080</v>
      </c>
      <c r="H2699" t="s">
        <v>7</v>
      </c>
      <c r="I2699">
        <f t="shared" si="127"/>
        <v>144</v>
      </c>
      <c r="J2699">
        <f t="shared" si="128"/>
        <v>1296</v>
      </c>
    </row>
    <row r="2700" spans="1:10" x14ac:dyDescent="0.45">
      <c r="A2700" t="s">
        <v>1200</v>
      </c>
      <c r="B2700" s="1">
        <v>45813</v>
      </c>
      <c r="C2700" t="s">
        <v>33</v>
      </c>
      <c r="D2700" t="s">
        <v>16</v>
      </c>
      <c r="E2700">
        <v>1200</v>
      </c>
      <c r="F2700">
        <v>10</v>
      </c>
      <c r="G2700">
        <f t="shared" si="126"/>
        <v>12000</v>
      </c>
      <c r="H2700" t="s">
        <v>17</v>
      </c>
      <c r="I2700">
        <f t="shared" si="127"/>
        <v>1440</v>
      </c>
      <c r="J2700">
        <f t="shared" si="128"/>
        <v>14400</v>
      </c>
    </row>
    <row r="2701" spans="1:10" x14ac:dyDescent="0.45">
      <c r="A2701" t="s">
        <v>1201</v>
      </c>
      <c r="B2701" s="1">
        <v>45813</v>
      </c>
      <c r="C2701" t="s">
        <v>9</v>
      </c>
      <c r="D2701" t="s">
        <v>25</v>
      </c>
      <c r="E2701">
        <v>5200</v>
      </c>
      <c r="F2701">
        <v>10</v>
      </c>
      <c r="G2701">
        <f t="shared" si="126"/>
        <v>52000</v>
      </c>
      <c r="H2701" t="s">
        <v>7</v>
      </c>
      <c r="I2701">
        <f t="shared" si="127"/>
        <v>6240</v>
      </c>
      <c r="J2701">
        <f t="shared" si="128"/>
        <v>62400</v>
      </c>
    </row>
    <row r="2702" spans="1:10" x14ac:dyDescent="0.45">
      <c r="A2702" t="s">
        <v>1202</v>
      </c>
      <c r="B2702" s="1">
        <v>45813</v>
      </c>
      <c r="C2702" t="s">
        <v>33</v>
      </c>
      <c r="D2702" t="s">
        <v>42</v>
      </c>
      <c r="E2702">
        <v>6900</v>
      </c>
      <c r="F2702">
        <v>2</v>
      </c>
      <c r="G2702">
        <f t="shared" si="126"/>
        <v>13800</v>
      </c>
      <c r="H2702" t="s">
        <v>7</v>
      </c>
      <c r="I2702">
        <f t="shared" si="127"/>
        <v>8280</v>
      </c>
      <c r="J2702">
        <f t="shared" si="128"/>
        <v>16560</v>
      </c>
    </row>
    <row r="2703" spans="1:10" x14ac:dyDescent="0.45">
      <c r="A2703" t="s">
        <v>1203</v>
      </c>
      <c r="B2703" s="1">
        <v>45813</v>
      </c>
      <c r="C2703" t="s">
        <v>33</v>
      </c>
      <c r="D2703" t="s">
        <v>16</v>
      </c>
      <c r="E2703">
        <v>1200</v>
      </c>
      <c r="F2703">
        <v>8</v>
      </c>
      <c r="G2703">
        <f t="shared" si="126"/>
        <v>9600</v>
      </c>
      <c r="H2703" t="s">
        <v>17</v>
      </c>
      <c r="I2703">
        <f t="shared" si="127"/>
        <v>1440</v>
      </c>
      <c r="J2703">
        <f t="shared" si="128"/>
        <v>11520</v>
      </c>
    </row>
    <row r="2704" spans="1:10" x14ac:dyDescent="0.45">
      <c r="A2704" t="s">
        <v>1204</v>
      </c>
      <c r="B2704" s="1">
        <v>45813</v>
      </c>
      <c r="C2704" t="s">
        <v>4007</v>
      </c>
      <c r="D2704" t="s">
        <v>5015</v>
      </c>
      <c r="E2704">
        <v>48000</v>
      </c>
      <c r="F2704">
        <v>6</v>
      </c>
      <c r="G2704">
        <f t="shared" si="126"/>
        <v>288000</v>
      </c>
      <c r="H2704" t="s">
        <v>7</v>
      </c>
      <c r="I2704">
        <f t="shared" si="127"/>
        <v>57600</v>
      </c>
      <c r="J2704">
        <f t="shared" si="128"/>
        <v>345600</v>
      </c>
    </row>
    <row r="2705" spans="1:10" x14ac:dyDescent="0.45">
      <c r="A2705" t="s">
        <v>1205</v>
      </c>
      <c r="B2705" s="1">
        <v>45813</v>
      </c>
      <c r="C2705" t="s">
        <v>33</v>
      </c>
      <c r="D2705" t="s">
        <v>42</v>
      </c>
      <c r="E2705">
        <v>6900</v>
      </c>
      <c r="F2705">
        <v>8</v>
      </c>
      <c r="G2705">
        <f t="shared" si="126"/>
        <v>55200</v>
      </c>
      <c r="H2705" t="s">
        <v>17</v>
      </c>
      <c r="I2705">
        <f t="shared" si="127"/>
        <v>8280</v>
      </c>
      <c r="J2705">
        <f t="shared" si="128"/>
        <v>66240</v>
      </c>
    </row>
    <row r="2706" spans="1:10" x14ac:dyDescent="0.45">
      <c r="A2706" t="s">
        <v>1206</v>
      </c>
      <c r="B2706" s="1">
        <v>45813</v>
      </c>
      <c r="C2706" t="s">
        <v>33</v>
      </c>
      <c r="D2706" t="s">
        <v>34</v>
      </c>
      <c r="E2706">
        <v>1700</v>
      </c>
      <c r="F2706">
        <v>4</v>
      </c>
      <c r="G2706">
        <f t="shared" si="126"/>
        <v>6800</v>
      </c>
      <c r="H2706" t="s">
        <v>7</v>
      </c>
      <c r="I2706">
        <f t="shared" si="127"/>
        <v>2040</v>
      </c>
      <c r="J2706">
        <f t="shared" si="128"/>
        <v>8160</v>
      </c>
    </row>
    <row r="2707" spans="1:10" x14ac:dyDescent="0.45">
      <c r="A2707" t="s">
        <v>2786</v>
      </c>
      <c r="B2707" s="1">
        <v>45813</v>
      </c>
      <c r="C2707" t="s">
        <v>33</v>
      </c>
      <c r="D2707" t="s">
        <v>34</v>
      </c>
      <c r="E2707">
        <v>1700</v>
      </c>
      <c r="F2707">
        <v>6</v>
      </c>
      <c r="G2707">
        <f t="shared" si="126"/>
        <v>10200</v>
      </c>
      <c r="H2707" t="s">
        <v>21</v>
      </c>
      <c r="I2707">
        <f t="shared" si="127"/>
        <v>2040</v>
      </c>
      <c r="J2707">
        <f t="shared" si="128"/>
        <v>12240</v>
      </c>
    </row>
    <row r="2708" spans="1:10" x14ac:dyDescent="0.45">
      <c r="A2708" t="s">
        <v>3226</v>
      </c>
      <c r="B2708" s="1">
        <v>45813</v>
      </c>
      <c r="C2708" t="s">
        <v>4007</v>
      </c>
      <c r="D2708" t="s">
        <v>2773</v>
      </c>
      <c r="E2708">
        <v>3300</v>
      </c>
      <c r="F2708">
        <v>9</v>
      </c>
      <c r="G2708">
        <f t="shared" si="126"/>
        <v>29700</v>
      </c>
      <c r="H2708" t="s">
        <v>21</v>
      </c>
      <c r="I2708">
        <f t="shared" si="127"/>
        <v>3960</v>
      </c>
      <c r="J2708">
        <f t="shared" si="128"/>
        <v>35640</v>
      </c>
    </row>
    <row r="2709" spans="1:10" x14ac:dyDescent="0.45">
      <c r="A2709" t="s">
        <v>3842</v>
      </c>
      <c r="B2709" s="1">
        <v>45813</v>
      </c>
      <c r="C2709" t="s">
        <v>33</v>
      </c>
      <c r="D2709" t="s">
        <v>14</v>
      </c>
      <c r="E2709">
        <v>800</v>
      </c>
      <c r="F2709">
        <v>5</v>
      </c>
      <c r="G2709">
        <f t="shared" si="126"/>
        <v>4000</v>
      </c>
      <c r="H2709" t="s">
        <v>7</v>
      </c>
      <c r="I2709">
        <f t="shared" si="127"/>
        <v>960</v>
      </c>
      <c r="J2709">
        <f t="shared" si="128"/>
        <v>4800</v>
      </c>
    </row>
    <row r="2710" spans="1:10" x14ac:dyDescent="0.45">
      <c r="A2710" t="s">
        <v>1207</v>
      </c>
      <c r="B2710" s="1">
        <v>45814</v>
      </c>
      <c r="C2710" t="s">
        <v>9</v>
      </c>
      <c r="D2710" t="s">
        <v>10</v>
      </c>
      <c r="E2710">
        <v>400</v>
      </c>
      <c r="F2710">
        <v>10</v>
      </c>
      <c r="G2710">
        <f t="shared" si="126"/>
        <v>4000</v>
      </c>
      <c r="H2710" t="s">
        <v>7</v>
      </c>
      <c r="I2710">
        <f t="shared" si="127"/>
        <v>480</v>
      </c>
      <c r="J2710">
        <f t="shared" si="128"/>
        <v>4800</v>
      </c>
    </row>
    <row r="2711" spans="1:10" x14ac:dyDescent="0.45">
      <c r="A2711" t="s">
        <v>1208</v>
      </c>
      <c r="B2711" s="1">
        <v>45814</v>
      </c>
      <c r="C2711" t="s">
        <v>12</v>
      </c>
      <c r="D2711" t="s">
        <v>5023</v>
      </c>
      <c r="E2711">
        <v>1750</v>
      </c>
      <c r="F2711">
        <v>9</v>
      </c>
      <c r="G2711">
        <f t="shared" si="126"/>
        <v>15750</v>
      </c>
      <c r="H2711" t="s">
        <v>7</v>
      </c>
      <c r="I2711">
        <f t="shared" si="127"/>
        <v>2100</v>
      </c>
      <c r="J2711">
        <f t="shared" si="128"/>
        <v>18900</v>
      </c>
    </row>
    <row r="2712" spans="1:10" x14ac:dyDescent="0.45">
      <c r="A2712" t="s">
        <v>1209</v>
      </c>
      <c r="B2712" s="1">
        <v>45814</v>
      </c>
      <c r="C2712" t="s">
        <v>4007</v>
      </c>
      <c r="D2712" t="s">
        <v>5015</v>
      </c>
      <c r="E2712">
        <v>48000</v>
      </c>
      <c r="F2712">
        <v>3</v>
      </c>
      <c r="G2712">
        <f t="shared" si="126"/>
        <v>144000</v>
      </c>
      <c r="H2712" t="s">
        <v>21</v>
      </c>
      <c r="I2712">
        <f t="shared" si="127"/>
        <v>57600</v>
      </c>
      <c r="J2712">
        <f t="shared" si="128"/>
        <v>172800</v>
      </c>
    </row>
    <row r="2713" spans="1:10" x14ac:dyDescent="0.45">
      <c r="A2713" t="s">
        <v>1210</v>
      </c>
      <c r="B2713" s="1">
        <v>45814</v>
      </c>
      <c r="C2713" t="s">
        <v>33</v>
      </c>
      <c r="D2713" t="s">
        <v>34</v>
      </c>
      <c r="E2713">
        <v>1700</v>
      </c>
      <c r="F2713">
        <v>7</v>
      </c>
      <c r="G2713">
        <f t="shared" si="126"/>
        <v>11900</v>
      </c>
      <c r="H2713" t="s">
        <v>7</v>
      </c>
      <c r="I2713">
        <f t="shared" si="127"/>
        <v>2040</v>
      </c>
      <c r="J2713">
        <f t="shared" si="128"/>
        <v>14280</v>
      </c>
    </row>
    <row r="2714" spans="1:10" x14ac:dyDescent="0.45">
      <c r="A2714" t="s">
        <v>1211</v>
      </c>
      <c r="B2714" s="1">
        <v>45814</v>
      </c>
      <c r="C2714" t="s">
        <v>4007</v>
      </c>
      <c r="D2714" t="s">
        <v>28</v>
      </c>
      <c r="E2714">
        <v>500</v>
      </c>
      <c r="F2714">
        <v>9</v>
      </c>
      <c r="G2714">
        <f t="shared" si="126"/>
        <v>4500</v>
      </c>
      <c r="H2714" t="s">
        <v>7</v>
      </c>
      <c r="I2714">
        <f t="shared" si="127"/>
        <v>600</v>
      </c>
      <c r="J2714">
        <f t="shared" si="128"/>
        <v>5400</v>
      </c>
    </row>
    <row r="2715" spans="1:10" x14ac:dyDescent="0.45">
      <c r="A2715" t="s">
        <v>1212</v>
      </c>
      <c r="B2715" s="1">
        <v>45814</v>
      </c>
      <c r="C2715" t="s">
        <v>12</v>
      </c>
      <c r="D2715" t="s">
        <v>5021</v>
      </c>
      <c r="E2715">
        <v>2880</v>
      </c>
      <c r="F2715">
        <v>9</v>
      </c>
      <c r="G2715">
        <f t="shared" si="126"/>
        <v>25920</v>
      </c>
      <c r="H2715" t="s">
        <v>21</v>
      </c>
      <c r="I2715">
        <f t="shared" si="127"/>
        <v>3456</v>
      </c>
      <c r="J2715">
        <f t="shared" si="128"/>
        <v>31104</v>
      </c>
    </row>
    <row r="2716" spans="1:10" x14ac:dyDescent="0.45">
      <c r="A2716" t="s">
        <v>1213</v>
      </c>
      <c r="B2716" s="1">
        <v>45814</v>
      </c>
      <c r="C2716" t="s">
        <v>4007</v>
      </c>
      <c r="D2716" t="s">
        <v>5015</v>
      </c>
      <c r="E2716">
        <v>48000</v>
      </c>
      <c r="F2716">
        <v>1</v>
      </c>
      <c r="G2716">
        <f t="shared" si="126"/>
        <v>48000</v>
      </c>
      <c r="H2716" t="s">
        <v>7</v>
      </c>
      <c r="I2716">
        <f t="shared" si="127"/>
        <v>57600</v>
      </c>
      <c r="J2716">
        <f t="shared" si="128"/>
        <v>57600</v>
      </c>
    </row>
    <row r="2717" spans="1:10" x14ac:dyDescent="0.45">
      <c r="A2717" t="s">
        <v>1214</v>
      </c>
      <c r="B2717" s="1">
        <v>45814</v>
      </c>
      <c r="C2717" t="s">
        <v>12</v>
      </c>
      <c r="D2717" t="s">
        <v>5020</v>
      </c>
      <c r="E2717">
        <v>2880</v>
      </c>
      <c r="F2717">
        <v>5</v>
      </c>
      <c r="G2717">
        <f t="shared" si="126"/>
        <v>14400</v>
      </c>
      <c r="H2717" t="s">
        <v>21</v>
      </c>
      <c r="I2717">
        <f t="shared" si="127"/>
        <v>3456</v>
      </c>
      <c r="J2717">
        <f t="shared" si="128"/>
        <v>17280</v>
      </c>
    </row>
    <row r="2718" spans="1:10" x14ac:dyDescent="0.45">
      <c r="A2718" t="s">
        <v>1215</v>
      </c>
      <c r="B2718" s="1">
        <v>45814</v>
      </c>
      <c r="C2718" t="s">
        <v>12</v>
      </c>
      <c r="D2718" t="s">
        <v>5021</v>
      </c>
      <c r="E2718">
        <v>2880</v>
      </c>
      <c r="F2718">
        <v>4</v>
      </c>
      <c r="G2718">
        <f t="shared" si="126"/>
        <v>11520</v>
      </c>
      <c r="H2718" t="s">
        <v>21</v>
      </c>
      <c r="I2718">
        <f t="shared" si="127"/>
        <v>3456</v>
      </c>
      <c r="J2718">
        <f t="shared" si="128"/>
        <v>13824</v>
      </c>
    </row>
    <row r="2719" spans="1:10" x14ac:dyDescent="0.45">
      <c r="A2719" t="s">
        <v>2869</v>
      </c>
      <c r="B2719" s="1">
        <v>45814</v>
      </c>
      <c r="C2719" t="s">
        <v>4007</v>
      </c>
      <c r="D2719" t="s">
        <v>5015</v>
      </c>
      <c r="E2719">
        <v>48000</v>
      </c>
      <c r="F2719">
        <v>3</v>
      </c>
      <c r="G2719">
        <f t="shared" si="126"/>
        <v>144000</v>
      </c>
      <c r="H2719" t="s">
        <v>7</v>
      </c>
      <c r="I2719">
        <f t="shared" si="127"/>
        <v>57600</v>
      </c>
      <c r="J2719">
        <f t="shared" si="128"/>
        <v>172800</v>
      </c>
    </row>
    <row r="2720" spans="1:10" x14ac:dyDescent="0.45">
      <c r="A2720" t="s">
        <v>3052</v>
      </c>
      <c r="B2720" s="1">
        <v>45814</v>
      </c>
      <c r="C2720" t="s">
        <v>4007</v>
      </c>
      <c r="D2720" t="s">
        <v>2773</v>
      </c>
      <c r="E2720">
        <v>3300</v>
      </c>
      <c r="F2720">
        <v>1</v>
      </c>
      <c r="G2720">
        <f t="shared" si="126"/>
        <v>3300</v>
      </c>
      <c r="H2720" t="s">
        <v>21</v>
      </c>
      <c r="I2720">
        <f t="shared" si="127"/>
        <v>3960</v>
      </c>
      <c r="J2720">
        <f t="shared" si="128"/>
        <v>3960</v>
      </c>
    </row>
    <row r="2721" spans="1:10" x14ac:dyDescent="0.45">
      <c r="A2721" t="s">
        <v>3192</v>
      </c>
      <c r="B2721" s="1">
        <v>45814</v>
      </c>
      <c r="C2721" t="s">
        <v>2772</v>
      </c>
      <c r="D2721" t="s">
        <v>2775</v>
      </c>
      <c r="E2721">
        <v>9100</v>
      </c>
      <c r="F2721">
        <v>9</v>
      </c>
      <c r="G2721">
        <f t="shared" si="126"/>
        <v>81900</v>
      </c>
      <c r="H2721" t="s">
        <v>7</v>
      </c>
      <c r="I2721">
        <f t="shared" si="127"/>
        <v>10920</v>
      </c>
      <c r="J2721">
        <f t="shared" si="128"/>
        <v>98280</v>
      </c>
    </row>
    <row r="2722" spans="1:10" x14ac:dyDescent="0.45">
      <c r="A2722" t="s">
        <v>3200</v>
      </c>
      <c r="B2722" s="1">
        <v>45814</v>
      </c>
      <c r="C2722" t="s">
        <v>4007</v>
      </c>
      <c r="D2722" t="s">
        <v>2773</v>
      </c>
      <c r="E2722">
        <v>3300</v>
      </c>
      <c r="F2722">
        <v>5</v>
      </c>
      <c r="G2722">
        <f t="shared" si="126"/>
        <v>16500</v>
      </c>
      <c r="H2722" t="s">
        <v>21</v>
      </c>
      <c r="I2722">
        <f t="shared" si="127"/>
        <v>3960</v>
      </c>
      <c r="J2722">
        <f t="shared" si="128"/>
        <v>19800</v>
      </c>
    </row>
    <row r="2723" spans="1:10" x14ac:dyDescent="0.45">
      <c r="A2723" t="s">
        <v>3352</v>
      </c>
      <c r="B2723" s="1">
        <v>45814</v>
      </c>
      <c r="C2723" t="s">
        <v>2772</v>
      </c>
      <c r="D2723" t="s">
        <v>2771</v>
      </c>
      <c r="E2723">
        <v>120</v>
      </c>
      <c r="F2723">
        <v>1</v>
      </c>
      <c r="G2723">
        <f t="shared" si="126"/>
        <v>120</v>
      </c>
      <c r="H2723" t="s">
        <v>21</v>
      </c>
      <c r="I2723">
        <f t="shared" si="127"/>
        <v>144</v>
      </c>
      <c r="J2723">
        <f t="shared" si="128"/>
        <v>144</v>
      </c>
    </row>
    <row r="2724" spans="1:10" x14ac:dyDescent="0.45">
      <c r="A2724" t="s">
        <v>3485</v>
      </c>
      <c r="B2724" s="1">
        <v>45814</v>
      </c>
      <c r="C2724" t="s">
        <v>4007</v>
      </c>
      <c r="D2724" t="s">
        <v>2770</v>
      </c>
      <c r="E2724">
        <v>600</v>
      </c>
      <c r="F2724">
        <v>3</v>
      </c>
      <c r="G2724">
        <f t="shared" si="126"/>
        <v>1800</v>
      </c>
      <c r="H2724" t="s">
        <v>17</v>
      </c>
      <c r="I2724">
        <f t="shared" si="127"/>
        <v>720</v>
      </c>
      <c r="J2724">
        <f t="shared" si="128"/>
        <v>2160</v>
      </c>
    </row>
    <row r="2725" spans="1:10" x14ac:dyDescent="0.45">
      <c r="A2725" t="s">
        <v>3932</v>
      </c>
      <c r="B2725" s="1">
        <v>45814</v>
      </c>
      <c r="C2725" t="s">
        <v>33</v>
      </c>
      <c r="D2725" t="s">
        <v>14</v>
      </c>
      <c r="E2725">
        <v>800</v>
      </c>
      <c r="F2725">
        <v>3</v>
      </c>
      <c r="G2725">
        <f t="shared" si="126"/>
        <v>2400</v>
      </c>
      <c r="H2725" t="s">
        <v>7</v>
      </c>
      <c r="I2725">
        <f t="shared" si="127"/>
        <v>960</v>
      </c>
      <c r="J2725">
        <f t="shared" si="128"/>
        <v>2880</v>
      </c>
    </row>
    <row r="2726" spans="1:10" x14ac:dyDescent="0.45">
      <c r="A2726" t="s">
        <v>1216</v>
      </c>
      <c r="B2726" s="1">
        <v>45815</v>
      </c>
      <c r="C2726" t="s">
        <v>9</v>
      </c>
      <c r="D2726" t="s">
        <v>25</v>
      </c>
      <c r="E2726">
        <v>5200</v>
      </c>
      <c r="F2726">
        <v>1</v>
      </c>
      <c r="G2726">
        <f t="shared" si="126"/>
        <v>5200</v>
      </c>
      <c r="H2726" t="s">
        <v>7</v>
      </c>
      <c r="I2726">
        <f t="shared" si="127"/>
        <v>6240</v>
      </c>
      <c r="J2726">
        <f t="shared" si="128"/>
        <v>6240</v>
      </c>
    </row>
    <row r="2727" spans="1:10" x14ac:dyDescent="0.45">
      <c r="A2727" t="s">
        <v>1217</v>
      </c>
      <c r="B2727" s="1">
        <v>45815</v>
      </c>
      <c r="C2727" t="s">
        <v>4007</v>
      </c>
      <c r="D2727" t="s">
        <v>39</v>
      </c>
      <c r="E2727">
        <v>6000</v>
      </c>
      <c r="F2727">
        <v>9</v>
      </c>
      <c r="G2727">
        <f t="shared" si="126"/>
        <v>54000</v>
      </c>
      <c r="H2727" t="s">
        <v>7</v>
      </c>
      <c r="I2727">
        <f t="shared" si="127"/>
        <v>7200</v>
      </c>
      <c r="J2727">
        <f t="shared" si="128"/>
        <v>64800</v>
      </c>
    </row>
    <row r="2728" spans="1:10" x14ac:dyDescent="0.45">
      <c r="A2728" t="s">
        <v>1218</v>
      </c>
      <c r="B2728" s="1">
        <v>45815</v>
      </c>
      <c r="C2728" t="s">
        <v>4007</v>
      </c>
      <c r="D2728" t="s">
        <v>39</v>
      </c>
      <c r="E2728">
        <v>6000</v>
      </c>
      <c r="F2728">
        <v>1</v>
      </c>
      <c r="G2728">
        <f t="shared" si="126"/>
        <v>6000</v>
      </c>
      <c r="H2728" t="s">
        <v>7</v>
      </c>
      <c r="I2728">
        <f t="shared" si="127"/>
        <v>7200</v>
      </c>
      <c r="J2728">
        <f t="shared" si="128"/>
        <v>7200</v>
      </c>
    </row>
    <row r="2729" spans="1:10" x14ac:dyDescent="0.45">
      <c r="A2729" t="s">
        <v>1219</v>
      </c>
      <c r="B2729" s="1">
        <v>45815</v>
      </c>
      <c r="C2729" t="s">
        <v>12</v>
      </c>
      <c r="D2729" t="s">
        <v>5021</v>
      </c>
      <c r="E2729">
        <v>2880</v>
      </c>
      <c r="F2729">
        <v>5</v>
      </c>
      <c r="G2729">
        <f t="shared" si="126"/>
        <v>14400</v>
      </c>
      <c r="H2729" t="s">
        <v>17</v>
      </c>
      <c r="I2729">
        <f t="shared" si="127"/>
        <v>3456</v>
      </c>
      <c r="J2729">
        <f t="shared" si="128"/>
        <v>17280</v>
      </c>
    </row>
    <row r="2730" spans="1:10" x14ac:dyDescent="0.45">
      <c r="A2730" t="s">
        <v>1220</v>
      </c>
      <c r="B2730" s="1">
        <v>45815</v>
      </c>
      <c r="C2730" t="s">
        <v>4007</v>
      </c>
      <c r="D2730" t="s">
        <v>4005</v>
      </c>
      <c r="E2730">
        <v>60000</v>
      </c>
      <c r="F2730">
        <v>2</v>
      </c>
      <c r="G2730">
        <f t="shared" si="126"/>
        <v>120000</v>
      </c>
      <c r="H2730" t="s">
        <v>17</v>
      </c>
      <c r="I2730">
        <f t="shared" si="127"/>
        <v>72000</v>
      </c>
      <c r="J2730">
        <f t="shared" si="128"/>
        <v>144000</v>
      </c>
    </row>
    <row r="2731" spans="1:10" x14ac:dyDescent="0.45">
      <c r="A2731" t="s">
        <v>1221</v>
      </c>
      <c r="B2731" s="1">
        <v>45815</v>
      </c>
      <c r="C2731" t="s">
        <v>12</v>
      </c>
      <c r="D2731" t="s">
        <v>5020</v>
      </c>
      <c r="E2731">
        <v>2880</v>
      </c>
      <c r="F2731">
        <v>3</v>
      </c>
      <c r="G2731">
        <f t="shared" si="126"/>
        <v>8640</v>
      </c>
      <c r="H2731" t="s">
        <v>21</v>
      </c>
      <c r="I2731">
        <f t="shared" si="127"/>
        <v>3456</v>
      </c>
      <c r="J2731">
        <f t="shared" si="128"/>
        <v>10368</v>
      </c>
    </row>
    <row r="2732" spans="1:10" x14ac:dyDescent="0.45">
      <c r="A2732" t="s">
        <v>3472</v>
      </c>
      <c r="B2732" s="1">
        <v>45815</v>
      </c>
      <c r="C2732" t="s">
        <v>4007</v>
      </c>
      <c r="D2732" t="s">
        <v>2770</v>
      </c>
      <c r="E2732">
        <v>600</v>
      </c>
      <c r="F2732">
        <v>6</v>
      </c>
      <c r="G2732">
        <f t="shared" si="126"/>
        <v>3600</v>
      </c>
      <c r="H2732" t="s">
        <v>17</v>
      </c>
      <c r="I2732">
        <f t="shared" si="127"/>
        <v>720</v>
      </c>
      <c r="J2732">
        <f t="shared" si="128"/>
        <v>4320</v>
      </c>
    </row>
    <row r="2733" spans="1:10" x14ac:dyDescent="0.45">
      <c r="A2733" t="s">
        <v>3895</v>
      </c>
      <c r="B2733" s="1">
        <v>45815</v>
      </c>
      <c r="C2733" t="s">
        <v>4007</v>
      </c>
      <c r="D2733" t="s">
        <v>2776</v>
      </c>
      <c r="E2733">
        <v>3600</v>
      </c>
      <c r="F2733">
        <v>7</v>
      </c>
      <c r="G2733">
        <f t="shared" si="126"/>
        <v>25200</v>
      </c>
      <c r="H2733" t="s">
        <v>7</v>
      </c>
      <c r="I2733">
        <f t="shared" si="127"/>
        <v>4320</v>
      </c>
      <c r="J2733">
        <f t="shared" si="128"/>
        <v>30240</v>
      </c>
    </row>
    <row r="2734" spans="1:10" x14ac:dyDescent="0.45">
      <c r="A2734" t="s">
        <v>1222</v>
      </c>
      <c r="B2734" s="1">
        <v>45816</v>
      </c>
      <c r="C2734" t="s">
        <v>33</v>
      </c>
      <c r="D2734" t="s">
        <v>16</v>
      </c>
      <c r="E2734">
        <v>1200</v>
      </c>
      <c r="F2734">
        <v>2</v>
      </c>
      <c r="G2734">
        <f t="shared" si="126"/>
        <v>2400</v>
      </c>
      <c r="H2734" t="s">
        <v>7</v>
      </c>
      <c r="I2734">
        <f t="shared" si="127"/>
        <v>1440</v>
      </c>
      <c r="J2734">
        <f t="shared" si="128"/>
        <v>2880</v>
      </c>
    </row>
    <row r="2735" spans="1:10" x14ac:dyDescent="0.45">
      <c r="A2735" t="s">
        <v>1223</v>
      </c>
      <c r="B2735" s="1">
        <v>45816</v>
      </c>
      <c r="C2735" t="s">
        <v>33</v>
      </c>
      <c r="D2735" t="s">
        <v>42</v>
      </c>
      <c r="E2735">
        <v>6900</v>
      </c>
      <c r="F2735">
        <v>9</v>
      </c>
      <c r="G2735">
        <f t="shared" si="126"/>
        <v>62100</v>
      </c>
      <c r="H2735" t="s">
        <v>17</v>
      </c>
      <c r="I2735">
        <f t="shared" si="127"/>
        <v>8280</v>
      </c>
      <c r="J2735">
        <f t="shared" si="128"/>
        <v>74520</v>
      </c>
    </row>
    <row r="2736" spans="1:10" x14ac:dyDescent="0.45">
      <c r="A2736" t="s">
        <v>1224</v>
      </c>
      <c r="B2736" s="1">
        <v>45816</v>
      </c>
      <c r="C2736" t="s">
        <v>9</v>
      </c>
      <c r="D2736" t="s">
        <v>10</v>
      </c>
      <c r="E2736">
        <v>400</v>
      </c>
      <c r="F2736">
        <v>4</v>
      </c>
      <c r="G2736">
        <f t="shared" si="126"/>
        <v>1600</v>
      </c>
      <c r="H2736" t="s">
        <v>7</v>
      </c>
      <c r="I2736">
        <f t="shared" si="127"/>
        <v>480</v>
      </c>
      <c r="J2736">
        <f t="shared" si="128"/>
        <v>1920</v>
      </c>
    </row>
    <row r="2737" spans="1:10" x14ac:dyDescent="0.45">
      <c r="A2737" t="s">
        <v>1225</v>
      </c>
      <c r="B2737" s="1">
        <v>45816</v>
      </c>
      <c r="C2737" t="s">
        <v>4007</v>
      </c>
      <c r="D2737" t="s">
        <v>4005</v>
      </c>
      <c r="E2737">
        <v>60000</v>
      </c>
      <c r="F2737">
        <v>2</v>
      </c>
      <c r="G2737">
        <f t="shared" si="126"/>
        <v>120000</v>
      </c>
      <c r="H2737" t="s">
        <v>7</v>
      </c>
      <c r="I2737">
        <f t="shared" si="127"/>
        <v>72000</v>
      </c>
      <c r="J2737">
        <f t="shared" si="128"/>
        <v>144000</v>
      </c>
    </row>
    <row r="2738" spans="1:10" x14ac:dyDescent="0.45">
      <c r="A2738" t="s">
        <v>1226</v>
      </c>
      <c r="B2738" s="1">
        <v>45816</v>
      </c>
      <c r="C2738" t="s">
        <v>4007</v>
      </c>
      <c r="D2738" t="s">
        <v>28</v>
      </c>
      <c r="E2738">
        <v>500</v>
      </c>
      <c r="F2738">
        <v>6</v>
      </c>
      <c r="G2738">
        <f t="shared" si="126"/>
        <v>3000</v>
      </c>
      <c r="H2738" t="s">
        <v>7</v>
      </c>
      <c r="I2738">
        <f t="shared" si="127"/>
        <v>600</v>
      </c>
      <c r="J2738">
        <f t="shared" si="128"/>
        <v>3600</v>
      </c>
    </row>
    <row r="2739" spans="1:10" x14ac:dyDescent="0.45">
      <c r="A2739" t="s">
        <v>1227</v>
      </c>
      <c r="B2739" s="1">
        <v>45816</v>
      </c>
      <c r="C2739" t="s">
        <v>9</v>
      </c>
      <c r="D2739" t="s">
        <v>10</v>
      </c>
      <c r="E2739">
        <v>400</v>
      </c>
      <c r="F2739">
        <v>2</v>
      </c>
      <c r="G2739">
        <f t="shared" si="126"/>
        <v>800</v>
      </c>
      <c r="H2739" t="s">
        <v>21</v>
      </c>
      <c r="I2739">
        <f t="shared" si="127"/>
        <v>480</v>
      </c>
      <c r="J2739">
        <f t="shared" si="128"/>
        <v>960</v>
      </c>
    </row>
    <row r="2740" spans="1:10" x14ac:dyDescent="0.45">
      <c r="A2740" t="s">
        <v>2900</v>
      </c>
      <c r="B2740" s="1">
        <v>45816</v>
      </c>
      <c r="C2740" t="s">
        <v>4007</v>
      </c>
      <c r="D2740" t="s">
        <v>2774</v>
      </c>
      <c r="E2740">
        <v>1900</v>
      </c>
      <c r="F2740">
        <v>10</v>
      </c>
      <c r="G2740">
        <f t="shared" si="126"/>
        <v>19000</v>
      </c>
      <c r="H2740" t="s">
        <v>17</v>
      </c>
      <c r="I2740">
        <f t="shared" si="127"/>
        <v>2280</v>
      </c>
      <c r="J2740">
        <f t="shared" si="128"/>
        <v>22800</v>
      </c>
    </row>
    <row r="2741" spans="1:10" x14ac:dyDescent="0.45">
      <c r="A2741" t="s">
        <v>2912</v>
      </c>
      <c r="B2741" s="1">
        <v>45816</v>
      </c>
      <c r="C2741" t="s">
        <v>33</v>
      </c>
      <c r="D2741" t="s">
        <v>14</v>
      </c>
      <c r="E2741">
        <v>800</v>
      </c>
      <c r="F2741">
        <v>10</v>
      </c>
      <c r="G2741">
        <f t="shared" si="126"/>
        <v>8000</v>
      </c>
      <c r="H2741" t="s">
        <v>21</v>
      </c>
      <c r="I2741">
        <f t="shared" si="127"/>
        <v>960</v>
      </c>
      <c r="J2741">
        <f t="shared" si="128"/>
        <v>9600</v>
      </c>
    </row>
    <row r="2742" spans="1:10" x14ac:dyDescent="0.45">
      <c r="A2742" t="s">
        <v>2925</v>
      </c>
      <c r="B2742" s="1">
        <v>45816</v>
      </c>
      <c r="C2742" t="s">
        <v>2772</v>
      </c>
      <c r="D2742" t="s">
        <v>2771</v>
      </c>
      <c r="E2742">
        <v>120</v>
      </c>
      <c r="F2742">
        <v>2</v>
      </c>
      <c r="G2742">
        <f t="shared" si="126"/>
        <v>240</v>
      </c>
      <c r="H2742" t="s">
        <v>17</v>
      </c>
      <c r="I2742">
        <f t="shared" si="127"/>
        <v>144</v>
      </c>
      <c r="J2742">
        <f t="shared" si="128"/>
        <v>288</v>
      </c>
    </row>
    <row r="2743" spans="1:10" x14ac:dyDescent="0.45">
      <c r="A2743" t="s">
        <v>3859</v>
      </c>
      <c r="B2743" s="1">
        <v>45816</v>
      </c>
      <c r="C2743" t="s">
        <v>4007</v>
      </c>
      <c r="D2743" t="s">
        <v>28</v>
      </c>
      <c r="E2743">
        <v>500</v>
      </c>
      <c r="F2743">
        <v>4</v>
      </c>
      <c r="G2743">
        <f t="shared" si="126"/>
        <v>2000</v>
      </c>
      <c r="H2743" t="s">
        <v>17</v>
      </c>
      <c r="I2743">
        <f t="shared" si="127"/>
        <v>600</v>
      </c>
      <c r="J2743">
        <f t="shared" si="128"/>
        <v>2400</v>
      </c>
    </row>
    <row r="2744" spans="1:10" x14ac:dyDescent="0.45">
      <c r="A2744" t="s">
        <v>3898</v>
      </c>
      <c r="B2744" s="1">
        <v>45816</v>
      </c>
      <c r="C2744" t="s">
        <v>4007</v>
      </c>
      <c r="D2744" t="s">
        <v>5015</v>
      </c>
      <c r="E2744">
        <v>48000</v>
      </c>
      <c r="F2744">
        <v>8</v>
      </c>
      <c r="G2744">
        <f t="shared" si="126"/>
        <v>384000</v>
      </c>
      <c r="H2744" t="s">
        <v>21</v>
      </c>
      <c r="I2744">
        <f t="shared" si="127"/>
        <v>57600</v>
      </c>
      <c r="J2744">
        <f t="shared" si="128"/>
        <v>460800</v>
      </c>
    </row>
    <row r="2745" spans="1:10" x14ac:dyDescent="0.45">
      <c r="A2745" t="s">
        <v>1228</v>
      </c>
      <c r="B2745" s="1">
        <v>45817</v>
      </c>
      <c r="C2745" t="s">
        <v>33</v>
      </c>
      <c r="D2745" t="s">
        <v>42</v>
      </c>
      <c r="E2745">
        <v>6900</v>
      </c>
      <c r="F2745">
        <v>4</v>
      </c>
      <c r="G2745">
        <f t="shared" si="126"/>
        <v>27600</v>
      </c>
      <c r="H2745" t="s">
        <v>7</v>
      </c>
      <c r="I2745">
        <f t="shared" si="127"/>
        <v>8280</v>
      </c>
      <c r="J2745">
        <f t="shared" si="128"/>
        <v>33120</v>
      </c>
    </row>
    <row r="2746" spans="1:10" x14ac:dyDescent="0.45">
      <c r="A2746" t="s">
        <v>1229</v>
      </c>
      <c r="B2746" s="1">
        <v>45817</v>
      </c>
      <c r="C2746" t="s">
        <v>33</v>
      </c>
      <c r="D2746" t="s">
        <v>14</v>
      </c>
      <c r="E2746">
        <v>800</v>
      </c>
      <c r="F2746">
        <v>10</v>
      </c>
      <c r="G2746">
        <f t="shared" si="126"/>
        <v>8000</v>
      </c>
      <c r="H2746" t="s">
        <v>7</v>
      </c>
      <c r="I2746">
        <f t="shared" si="127"/>
        <v>960</v>
      </c>
      <c r="J2746">
        <f t="shared" si="128"/>
        <v>9600</v>
      </c>
    </row>
    <row r="2747" spans="1:10" x14ac:dyDescent="0.45">
      <c r="A2747" t="s">
        <v>1230</v>
      </c>
      <c r="B2747" s="1">
        <v>45817</v>
      </c>
      <c r="C2747" t="s">
        <v>9</v>
      </c>
      <c r="D2747" t="s">
        <v>19</v>
      </c>
      <c r="E2747">
        <v>3000</v>
      </c>
      <c r="F2747">
        <v>6</v>
      </c>
      <c r="G2747">
        <f t="shared" si="126"/>
        <v>18000</v>
      </c>
      <c r="H2747" t="s">
        <v>21</v>
      </c>
      <c r="I2747">
        <f t="shared" si="127"/>
        <v>3600</v>
      </c>
      <c r="J2747">
        <f t="shared" si="128"/>
        <v>21600</v>
      </c>
    </row>
    <row r="2748" spans="1:10" x14ac:dyDescent="0.45">
      <c r="A2748" t="s">
        <v>1231</v>
      </c>
      <c r="B2748" s="1">
        <v>45817</v>
      </c>
      <c r="C2748" t="s">
        <v>9</v>
      </c>
      <c r="D2748" t="s">
        <v>19</v>
      </c>
      <c r="E2748">
        <v>3000</v>
      </c>
      <c r="F2748">
        <v>8</v>
      </c>
      <c r="G2748">
        <f t="shared" si="126"/>
        <v>24000</v>
      </c>
      <c r="H2748" t="s">
        <v>17</v>
      </c>
      <c r="I2748">
        <f t="shared" si="127"/>
        <v>3600</v>
      </c>
      <c r="J2748">
        <f t="shared" si="128"/>
        <v>28800</v>
      </c>
    </row>
    <row r="2749" spans="1:10" x14ac:dyDescent="0.45">
      <c r="A2749" t="s">
        <v>1232</v>
      </c>
      <c r="B2749" s="1">
        <v>45817</v>
      </c>
      <c r="C2749" t="s">
        <v>12</v>
      </c>
      <c r="D2749" t="s">
        <v>5020</v>
      </c>
      <c r="E2749">
        <v>2880</v>
      </c>
      <c r="F2749">
        <v>1</v>
      </c>
      <c r="G2749">
        <f t="shared" si="126"/>
        <v>2880</v>
      </c>
      <c r="H2749" t="s">
        <v>21</v>
      </c>
      <c r="I2749">
        <f t="shared" si="127"/>
        <v>3456</v>
      </c>
      <c r="J2749">
        <f t="shared" si="128"/>
        <v>3456</v>
      </c>
    </row>
    <row r="2750" spans="1:10" x14ac:dyDescent="0.45">
      <c r="A2750" t="s">
        <v>1233</v>
      </c>
      <c r="B2750" s="1">
        <v>45817</v>
      </c>
      <c r="C2750" t="s">
        <v>4007</v>
      </c>
      <c r="D2750" t="s">
        <v>39</v>
      </c>
      <c r="E2750">
        <v>6000</v>
      </c>
      <c r="F2750">
        <v>2</v>
      </c>
      <c r="G2750">
        <f t="shared" si="126"/>
        <v>12000</v>
      </c>
      <c r="H2750" t="s">
        <v>17</v>
      </c>
      <c r="I2750">
        <f t="shared" si="127"/>
        <v>7200</v>
      </c>
      <c r="J2750">
        <f t="shared" si="128"/>
        <v>14400</v>
      </c>
    </row>
    <row r="2751" spans="1:10" x14ac:dyDescent="0.45">
      <c r="A2751" t="s">
        <v>1234</v>
      </c>
      <c r="B2751" s="1">
        <v>45817</v>
      </c>
      <c r="C2751" t="s">
        <v>33</v>
      </c>
      <c r="D2751" t="s">
        <v>16</v>
      </c>
      <c r="E2751">
        <v>1200</v>
      </c>
      <c r="F2751">
        <v>2</v>
      </c>
      <c r="G2751">
        <f t="shared" si="126"/>
        <v>2400</v>
      </c>
      <c r="H2751" t="s">
        <v>7</v>
      </c>
      <c r="I2751">
        <f t="shared" si="127"/>
        <v>1440</v>
      </c>
      <c r="J2751">
        <f t="shared" si="128"/>
        <v>2880</v>
      </c>
    </row>
    <row r="2752" spans="1:10" x14ac:dyDescent="0.45">
      <c r="A2752" t="s">
        <v>3008</v>
      </c>
      <c r="B2752" s="1">
        <v>45817</v>
      </c>
      <c r="C2752" t="s">
        <v>4007</v>
      </c>
      <c r="D2752" t="s">
        <v>2773</v>
      </c>
      <c r="E2752">
        <v>3300</v>
      </c>
      <c r="F2752">
        <v>5</v>
      </c>
      <c r="G2752">
        <f t="shared" si="126"/>
        <v>16500</v>
      </c>
      <c r="H2752" t="s">
        <v>21</v>
      </c>
      <c r="I2752">
        <f t="shared" si="127"/>
        <v>3960</v>
      </c>
      <c r="J2752">
        <f t="shared" si="128"/>
        <v>19800</v>
      </c>
    </row>
    <row r="2753" spans="1:10" x14ac:dyDescent="0.45">
      <c r="A2753" t="s">
        <v>3282</v>
      </c>
      <c r="B2753" s="1">
        <v>45817</v>
      </c>
      <c r="C2753" t="s">
        <v>2772</v>
      </c>
      <c r="D2753" t="s">
        <v>2771</v>
      </c>
      <c r="E2753">
        <v>120</v>
      </c>
      <c r="F2753">
        <v>6</v>
      </c>
      <c r="G2753">
        <f t="shared" si="126"/>
        <v>720</v>
      </c>
      <c r="H2753" t="s">
        <v>21</v>
      </c>
      <c r="I2753">
        <f t="shared" si="127"/>
        <v>144</v>
      </c>
      <c r="J2753">
        <f t="shared" si="128"/>
        <v>864</v>
      </c>
    </row>
    <row r="2754" spans="1:10" x14ac:dyDescent="0.45">
      <c r="A2754" t="s">
        <v>1235</v>
      </c>
      <c r="B2754" s="1">
        <v>45818</v>
      </c>
      <c r="C2754" t="s">
        <v>33</v>
      </c>
      <c r="D2754" t="s">
        <v>42</v>
      </c>
      <c r="E2754">
        <v>6900</v>
      </c>
      <c r="F2754">
        <v>8</v>
      </c>
      <c r="G2754">
        <f t="shared" ref="G2754:G2817" si="129">E2754*F2754</f>
        <v>55200</v>
      </c>
      <c r="H2754" t="s">
        <v>7</v>
      </c>
      <c r="I2754">
        <f t="shared" ref="I2754:I2817" si="130">E2754*1.2</f>
        <v>8280</v>
      </c>
      <c r="J2754">
        <f t="shared" ref="J2754:J2817" si="131">I2754*F2754</f>
        <v>66240</v>
      </c>
    </row>
    <row r="2755" spans="1:10" x14ac:dyDescent="0.45">
      <c r="A2755" t="s">
        <v>1236</v>
      </c>
      <c r="B2755" s="1">
        <v>45818</v>
      </c>
      <c r="C2755" t="s">
        <v>12</v>
      </c>
      <c r="D2755" t="s">
        <v>5023</v>
      </c>
      <c r="E2755">
        <v>1750</v>
      </c>
      <c r="F2755">
        <v>1</v>
      </c>
      <c r="G2755">
        <f t="shared" si="129"/>
        <v>1750</v>
      </c>
      <c r="H2755" t="s">
        <v>21</v>
      </c>
      <c r="I2755">
        <f t="shared" si="130"/>
        <v>2100</v>
      </c>
      <c r="J2755">
        <f t="shared" si="131"/>
        <v>2100</v>
      </c>
    </row>
    <row r="2756" spans="1:10" x14ac:dyDescent="0.45">
      <c r="A2756" t="s">
        <v>1237</v>
      </c>
      <c r="B2756" s="1">
        <v>45818</v>
      </c>
      <c r="C2756" t="s">
        <v>33</v>
      </c>
      <c r="D2756" t="s">
        <v>34</v>
      </c>
      <c r="E2756">
        <v>1700</v>
      </c>
      <c r="F2756">
        <v>5</v>
      </c>
      <c r="G2756">
        <f t="shared" si="129"/>
        <v>8500</v>
      </c>
      <c r="H2756" t="s">
        <v>21</v>
      </c>
      <c r="I2756">
        <f t="shared" si="130"/>
        <v>2040</v>
      </c>
      <c r="J2756">
        <f t="shared" si="131"/>
        <v>10200</v>
      </c>
    </row>
    <row r="2757" spans="1:10" x14ac:dyDescent="0.45">
      <c r="A2757" t="s">
        <v>1238</v>
      </c>
      <c r="B2757" s="1">
        <v>45818</v>
      </c>
      <c r="C2757" t="s">
        <v>9</v>
      </c>
      <c r="D2757" t="s">
        <v>25</v>
      </c>
      <c r="E2757">
        <v>5200</v>
      </c>
      <c r="F2757">
        <v>10</v>
      </c>
      <c r="G2757">
        <f t="shared" si="129"/>
        <v>52000</v>
      </c>
      <c r="H2757" t="s">
        <v>17</v>
      </c>
      <c r="I2757">
        <f t="shared" si="130"/>
        <v>6240</v>
      </c>
      <c r="J2757">
        <f t="shared" si="131"/>
        <v>62400</v>
      </c>
    </row>
    <row r="2758" spans="1:10" x14ac:dyDescent="0.45">
      <c r="A2758" t="s">
        <v>1239</v>
      </c>
      <c r="B2758" s="1">
        <v>45818</v>
      </c>
      <c r="C2758" t="s">
        <v>33</v>
      </c>
      <c r="D2758" t="s">
        <v>42</v>
      </c>
      <c r="E2758">
        <v>6900</v>
      </c>
      <c r="F2758">
        <v>6</v>
      </c>
      <c r="G2758">
        <f t="shared" si="129"/>
        <v>41400</v>
      </c>
      <c r="H2758" t="s">
        <v>21</v>
      </c>
      <c r="I2758">
        <f t="shared" si="130"/>
        <v>8280</v>
      </c>
      <c r="J2758">
        <f t="shared" si="131"/>
        <v>49680</v>
      </c>
    </row>
    <row r="2759" spans="1:10" x14ac:dyDescent="0.45">
      <c r="A2759" t="s">
        <v>1240</v>
      </c>
      <c r="B2759" s="1">
        <v>45818</v>
      </c>
      <c r="C2759" t="s">
        <v>12</v>
      </c>
      <c r="D2759" t="s">
        <v>5020</v>
      </c>
      <c r="E2759">
        <v>2880</v>
      </c>
      <c r="F2759">
        <v>9</v>
      </c>
      <c r="G2759">
        <f t="shared" si="129"/>
        <v>25920</v>
      </c>
      <c r="H2759" t="s">
        <v>17</v>
      </c>
      <c r="I2759">
        <f t="shared" si="130"/>
        <v>3456</v>
      </c>
      <c r="J2759">
        <f t="shared" si="131"/>
        <v>31104</v>
      </c>
    </row>
    <row r="2760" spans="1:10" x14ac:dyDescent="0.45">
      <c r="A2760" t="s">
        <v>1241</v>
      </c>
      <c r="B2760" s="1">
        <v>45818</v>
      </c>
      <c r="C2760" t="s">
        <v>33</v>
      </c>
      <c r="D2760" t="s">
        <v>14</v>
      </c>
      <c r="E2760">
        <v>800</v>
      </c>
      <c r="F2760">
        <v>2</v>
      </c>
      <c r="G2760">
        <f t="shared" si="129"/>
        <v>1600</v>
      </c>
      <c r="H2760" t="s">
        <v>17</v>
      </c>
      <c r="I2760">
        <f t="shared" si="130"/>
        <v>960</v>
      </c>
      <c r="J2760">
        <f t="shared" si="131"/>
        <v>1920</v>
      </c>
    </row>
    <row r="2761" spans="1:10" x14ac:dyDescent="0.45">
      <c r="A2761" t="s">
        <v>1242</v>
      </c>
      <c r="B2761" s="1">
        <v>45818</v>
      </c>
      <c r="C2761" t="s">
        <v>12</v>
      </c>
      <c r="D2761" t="s">
        <v>5021</v>
      </c>
      <c r="E2761">
        <v>2880</v>
      </c>
      <c r="F2761">
        <v>7</v>
      </c>
      <c r="G2761">
        <f t="shared" si="129"/>
        <v>20160</v>
      </c>
      <c r="H2761" t="s">
        <v>7</v>
      </c>
      <c r="I2761">
        <f t="shared" si="130"/>
        <v>3456</v>
      </c>
      <c r="J2761">
        <f t="shared" si="131"/>
        <v>24192</v>
      </c>
    </row>
    <row r="2762" spans="1:10" x14ac:dyDescent="0.45">
      <c r="A2762" t="s">
        <v>1243</v>
      </c>
      <c r="B2762" s="1">
        <v>45818</v>
      </c>
      <c r="C2762" t="s">
        <v>9</v>
      </c>
      <c r="D2762" t="s">
        <v>10</v>
      </c>
      <c r="E2762">
        <v>400</v>
      </c>
      <c r="F2762">
        <v>10</v>
      </c>
      <c r="G2762">
        <f t="shared" si="129"/>
        <v>4000</v>
      </c>
      <c r="H2762" t="s">
        <v>17</v>
      </c>
      <c r="I2762">
        <f t="shared" si="130"/>
        <v>480</v>
      </c>
      <c r="J2762">
        <f t="shared" si="131"/>
        <v>4800</v>
      </c>
    </row>
    <row r="2763" spans="1:10" x14ac:dyDescent="0.45">
      <c r="A2763" t="s">
        <v>3058</v>
      </c>
      <c r="B2763" s="1">
        <v>45818</v>
      </c>
      <c r="C2763" t="s">
        <v>4007</v>
      </c>
      <c r="D2763" t="s">
        <v>2770</v>
      </c>
      <c r="E2763">
        <v>600</v>
      </c>
      <c r="F2763">
        <v>9</v>
      </c>
      <c r="G2763">
        <f t="shared" si="129"/>
        <v>5400</v>
      </c>
      <c r="H2763" t="s">
        <v>7</v>
      </c>
      <c r="I2763">
        <f t="shared" si="130"/>
        <v>720</v>
      </c>
      <c r="J2763">
        <f t="shared" si="131"/>
        <v>6480</v>
      </c>
    </row>
    <row r="2764" spans="1:10" x14ac:dyDescent="0.45">
      <c r="A2764" t="s">
        <v>3159</v>
      </c>
      <c r="B2764" s="1">
        <v>45818</v>
      </c>
      <c r="C2764" t="s">
        <v>4007</v>
      </c>
      <c r="D2764" t="s">
        <v>2770</v>
      </c>
      <c r="E2764">
        <v>600</v>
      </c>
      <c r="F2764">
        <v>8</v>
      </c>
      <c r="G2764">
        <f t="shared" si="129"/>
        <v>4800</v>
      </c>
      <c r="H2764" t="s">
        <v>21</v>
      </c>
      <c r="I2764">
        <f t="shared" si="130"/>
        <v>720</v>
      </c>
      <c r="J2764">
        <f t="shared" si="131"/>
        <v>5760</v>
      </c>
    </row>
    <row r="2765" spans="1:10" x14ac:dyDescent="0.45">
      <c r="A2765" t="s">
        <v>3223</v>
      </c>
      <c r="B2765" s="1">
        <v>45818</v>
      </c>
      <c r="C2765" t="s">
        <v>2772</v>
      </c>
      <c r="D2765" t="s">
        <v>2775</v>
      </c>
      <c r="E2765">
        <v>9100</v>
      </c>
      <c r="F2765">
        <v>6</v>
      </c>
      <c r="G2765">
        <f t="shared" si="129"/>
        <v>54600</v>
      </c>
      <c r="H2765" t="s">
        <v>7</v>
      </c>
      <c r="I2765">
        <f t="shared" si="130"/>
        <v>10920</v>
      </c>
      <c r="J2765">
        <f t="shared" si="131"/>
        <v>65520</v>
      </c>
    </row>
    <row r="2766" spans="1:10" x14ac:dyDescent="0.45">
      <c r="A2766" t="s">
        <v>1244</v>
      </c>
      <c r="B2766" s="1">
        <v>45819</v>
      </c>
      <c r="C2766" t="s">
        <v>4007</v>
      </c>
      <c r="D2766" t="s">
        <v>5015</v>
      </c>
      <c r="E2766">
        <v>48000</v>
      </c>
      <c r="F2766">
        <v>1</v>
      </c>
      <c r="G2766">
        <f t="shared" si="129"/>
        <v>48000</v>
      </c>
      <c r="H2766" t="s">
        <v>7</v>
      </c>
      <c r="I2766">
        <f t="shared" si="130"/>
        <v>57600</v>
      </c>
      <c r="J2766">
        <f t="shared" si="131"/>
        <v>57600</v>
      </c>
    </row>
    <row r="2767" spans="1:10" x14ac:dyDescent="0.45">
      <c r="A2767" t="s">
        <v>1245</v>
      </c>
      <c r="B2767" s="1">
        <v>45819</v>
      </c>
      <c r="C2767" t="s">
        <v>12</v>
      </c>
      <c r="D2767" t="s">
        <v>5022</v>
      </c>
      <c r="E2767">
        <v>2880</v>
      </c>
      <c r="F2767">
        <v>10</v>
      </c>
      <c r="G2767">
        <f t="shared" si="129"/>
        <v>28800</v>
      </c>
      <c r="H2767" t="s">
        <v>21</v>
      </c>
      <c r="I2767">
        <f t="shared" si="130"/>
        <v>3456</v>
      </c>
      <c r="J2767">
        <f t="shared" si="131"/>
        <v>34560</v>
      </c>
    </row>
    <row r="2768" spans="1:10" x14ac:dyDescent="0.45">
      <c r="A2768" t="s">
        <v>1246</v>
      </c>
      <c r="B2768" s="1">
        <v>45819</v>
      </c>
      <c r="C2768" t="s">
        <v>4007</v>
      </c>
      <c r="D2768" t="s">
        <v>4005</v>
      </c>
      <c r="E2768">
        <v>60000</v>
      </c>
      <c r="F2768">
        <v>5</v>
      </c>
      <c r="G2768">
        <f t="shared" si="129"/>
        <v>300000</v>
      </c>
      <c r="H2768" t="s">
        <v>17</v>
      </c>
      <c r="I2768">
        <f t="shared" si="130"/>
        <v>72000</v>
      </c>
      <c r="J2768">
        <f t="shared" si="131"/>
        <v>360000</v>
      </c>
    </row>
    <row r="2769" spans="1:10" x14ac:dyDescent="0.45">
      <c r="A2769" t="s">
        <v>1247</v>
      </c>
      <c r="B2769" s="1">
        <v>45819</v>
      </c>
      <c r="C2769" t="s">
        <v>12</v>
      </c>
      <c r="D2769" t="s">
        <v>5022</v>
      </c>
      <c r="E2769">
        <v>2880</v>
      </c>
      <c r="F2769">
        <v>1</v>
      </c>
      <c r="G2769">
        <f t="shared" si="129"/>
        <v>2880</v>
      </c>
      <c r="H2769" t="s">
        <v>17</v>
      </c>
      <c r="I2769">
        <f t="shared" si="130"/>
        <v>3456</v>
      </c>
      <c r="J2769">
        <f t="shared" si="131"/>
        <v>3456</v>
      </c>
    </row>
    <row r="2770" spans="1:10" x14ac:dyDescent="0.45">
      <c r="A2770" t="s">
        <v>1248</v>
      </c>
      <c r="B2770" s="1">
        <v>45819</v>
      </c>
      <c r="C2770" t="s">
        <v>9</v>
      </c>
      <c r="D2770" t="s">
        <v>19</v>
      </c>
      <c r="E2770">
        <v>3000</v>
      </c>
      <c r="F2770">
        <v>6</v>
      </c>
      <c r="G2770">
        <f t="shared" si="129"/>
        <v>18000</v>
      </c>
      <c r="H2770" t="s">
        <v>7</v>
      </c>
      <c r="I2770">
        <f t="shared" si="130"/>
        <v>3600</v>
      </c>
      <c r="J2770">
        <f t="shared" si="131"/>
        <v>21600</v>
      </c>
    </row>
    <row r="2771" spans="1:10" x14ac:dyDescent="0.45">
      <c r="A2771" t="s">
        <v>1249</v>
      </c>
      <c r="B2771" s="1">
        <v>45819</v>
      </c>
      <c r="C2771" t="s">
        <v>4007</v>
      </c>
      <c r="D2771" t="s">
        <v>28</v>
      </c>
      <c r="E2771">
        <v>500</v>
      </c>
      <c r="F2771">
        <v>2</v>
      </c>
      <c r="G2771">
        <f t="shared" si="129"/>
        <v>1000</v>
      </c>
      <c r="H2771" t="s">
        <v>17</v>
      </c>
      <c r="I2771">
        <f t="shared" si="130"/>
        <v>600</v>
      </c>
      <c r="J2771">
        <f t="shared" si="131"/>
        <v>1200</v>
      </c>
    </row>
    <row r="2772" spans="1:10" x14ac:dyDescent="0.45">
      <c r="A2772" t="s">
        <v>1250</v>
      </c>
      <c r="B2772" s="1">
        <v>45819</v>
      </c>
      <c r="C2772" t="s">
        <v>4007</v>
      </c>
      <c r="D2772" t="s">
        <v>39</v>
      </c>
      <c r="E2772">
        <v>6000</v>
      </c>
      <c r="F2772">
        <v>1</v>
      </c>
      <c r="G2772">
        <f t="shared" si="129"/>
        <v>6000</v>
      </c>
      <c r="H2772" t="s">
        <v>7</v>
      </c>
      <c r="I2772">
        <f t="shared" si="130"/>
        <v>7200</v>
      </c>
      <c r="J2772">
        <f t="shared" si="131"/>
        <v>7200</v>
      </c>
    </row>
    <row r="2773" spans="1:10" x14ac:dyDescent="0.45">
      <c r="A2773" t="s">
        <v>1251</v>
      </c>
      <c r="B2773" s="1">
        <v>45819</v>
      </c>
      <c r="C2773" t="s">
        <v>9</v>
      </c>
      <c r="D2773" t="s">
        <v>25</v>
      </c>
      <c r="E2773">
        <v>5200</v>
      </c>
      <c r="F2773">
        <v>4</v>
      </c>
      <c r="G2773">
        <f t="shared" si="129"/>
        <v>20800</v>
      </c>
      <c r="H2773" t="s">
        <v>7</v>
      </c>
      <c r="I2773">
        <f t="shared" si="130"/>
        <v>6240</v>
      </c>
      <c r="J2773">
        <f t="shared" si="131"/>
        <v>24960</v>
      </c>
    </row>
    <row r="2774" spans="1:10" x14ac:dyDescent="0.45">
      <c r="A2774" t="s">
        <v>2821</v>
      </c>
      <c r="B2774" s="1">
        <v>45819</v>
      </c>
      <c r="C2774" t="s">
        <v>2772</v>
      </c>
      <c r="D2774" t="s">
        <v>2775</v>
      </c>
      <c r="E2774">
        <v>9100</v>
      </c>
      <c r="F2774">
        <v>5</v>
      </c>
      <c r="G2774">
        <f t="shared" si="129"/>
        <v>45500</v>
      </c>
      <c r="H2774" t="s">
        <v>7</v>
      </c>
      <c r="I2774">
        <f t="shared" si="130"/>
        <v>10920</v>
      </c>
      <c r="J2774">
        <f t="shared" si="131"/>
        <v>54600</v>
      </c>
    </row>
    <row r="2775" spans="1:10" x14ac:dyDescent="0.45">
      <c r="A2775" t="s">
        <v>3075</v>
      </c>
      <c r="B2775" s="1">
        <v>45819</v>
      </c>
      <c r="C2775" t="s">
        <v>4007</v>
      </c>
      <c r="D2775" t="s">
        <v>2770</v>
      </c>
      <c r="E2775">
        <v>600</v>
      </c>
      <c r="F2775">
        <v>4</v>
      </c>
      <c r="G2775">
        <f t="shared" si="129"/>
        <v>2400</v>
      </c>
      <c r="H2775" t="s">
        <v>21</v>
      </c>
      <c r="I2775">
        <f t="shared" si="130"/>
        <v>720</v>
      </c>
      <c r="J2775">
        <f t="shared" si="131"/>
        <v>2880</v>
      </c>
    </row>
    <row r="2776" spans="1:10" x14ac:dyDescent="0.45">
      <c r="A2776" t="s">
        <v>3154</v>
      </c>
      <c r="B2776" s="1">
        <v>45819</v>
      </c>
      <c r="C2776" t="s">
        <v>4007</v>
      </c>
      <c r="D2776" t="s">
        <v>28</v>
      </c>
      <c r="E2776">
        <v>500</v>
      </c>
      <c r="F2776">
        <v>1</v>
      </c>
      <c r="G2776">
        <f t="shared" si="129"/>
        <v>500</v>
      </c>
      <c r="H2776" t="s">
        <v>7</v>
      </c>
      <c r="I2776">
        <f t="shared" si="130"/>
        <v>600</v>
      </c>
      <c r="J2776">
        <f t="shared" si="131"/>
        <v>600</v>
      </c>
    </row>
    <row r="2777" spans="1:10" x14ac:dyDescent="0.45">
      <c r="A2777" t="s">
        <v>1252</v>
      </c>
      <c r="B2777" s="1">
        <v>45820</v>
      </c>
      <c r="C2777" t="s">
        <v>4007</v>
      </c>
      <c r="D2777" t="s">
        <v>5015</v>
      </c>
      <c r="E2777">
        <v>48000</v>
      </c>
      <c r="F2777">
        <v>2</v>
      </c>
      <c r="G2777">
        <f t="shared" si="129"/>
        <v>96000</v>
      </c>
      <c r="H2777" t="s">
        <v>17</v>
      </c>
      <c r="I2777">
        <f t="shared" si="130"/>
        <v>57600</v>
      </c>
      <c r="J2777">
        <f t="shared" si="131"/>
        <v>115200</v>
      </c>
    </row>
    <row r="2778" spans="1:10" x14ac:dyDescent="0.45">
      <c r="A2778" t="s">
        <v>1253</v>
      </c>
      <c r="B2778" s="1">
        <v>45820</v>
      </c>
      <c r="C2778" t="s">
        <v>12</v>
      </c>
      <c r="D2778" t="s">
        <v>5022</v>
      </c>
      <c r="E2778">
        <v>2880</v>
      </c>
      <c r="F2778">
        <v>6</v>
      </c>
      <c r="G2778">
        <f t="shared" si="129"/>
        <v>17280</v>
      </c>
      <c r="H2778" t="s">
        <v>21</v>
      </c>
      <c r="I2778">
        <f t="shared" si="130"/>
        <v>3456</v>
      </c>
      <c r="J2778">
        <f t="shared" si="131"/>
        <v>20736</v>
      </c>
    </row>
    <row r="2779" spans="1:10" x14ac:dyDescent="0.45">
      <c r="A2779" t="s">
        <v>1254</v>
      </c>
      <c r="B2779" s="1">
        <v>45820</v>
      </c>
      <c r="C2779" t="s">
        <v>4007</v>
      </c>
      <c r="D2779" t="s">
        <v>28</v>
      </c>
      <c r="E2779">
        <v>500</v>
      </c>
      <c r="F2779">
        <v>7</v>
      </c>
      <c r="G2779">
        <f t="shared" si="129"/>
        <v>3500</v>
      </c>
      <c r="H2779" t="s">
        <v>21</v>
      </c>
      <c r="I2779">
        <f t="shared" si="130"/>
        <v>600</v>
      </c>
      <c r="J2779">
        <f t="shared" si="131"/>
        <v>4200</v>
      </c>
    </row>
    <row r="2780" spans="1:10" x14ac:dyDescent="0.45">
      <c r="A2780" t="s">
        <v>1255</v>
      </c>
      <c r="B2780" s="1">
        <v>45820</v>
      </c>
      <c r="C2780" t="s">
        <v>33</v>
      </c>
      <c r="D2780" t="s">
        <v>16</v>
      </c>
      <c r="E2780">
        <v>1200</v>
      </c>
      <c r="F2780">
        <v>2</v>
      </c>
      <c r="G2780">
        <f t="shared" si="129"/>
        <v>2400</v>
      </c>
      <c r="H2780" t="s">
        <v>21</v>
      </c>
      <c r="I2780">
        <f t="shared" si="130"/>
        <v>1440</v>
      </c>
      <c r="J2780">
        <f t="shared" si="131"/>
        <v>2880</v>
      </c>
    </row>
    <row r="2781" spans="1:10" x14ac:dyDescent="0.45">
      <c r="A2781" t="s">
        <v>1256</v>
      </c>
      <c r="B2781" s="1">
        <v>45820</v>
      </c>
      <c r="C2781" t="s">
        <v>33</v>
      </c>
      <c r="D2781" t="s">
        <v>16</v>
      </c>
      <c r="E2781">
        <v>1200</v>
      </c>
      <c r="F2781">
        <v>3</v>
      </c>
      <c r="G2781">
        <f t="shared" si="129"/>
        <v>3600</v>
      </c>
      <c r="H2781" t="s">
        <v>7</v>
      </c>
      <c r="I2781">
        <f t="shared" si="130"/>
        <v>1440</v>
      </c>
      <c r="J2781">
        <f t="shared" si="131"/>
        <v>4320</v>
      </c>
    </row>
    <row r="2782" spans="1:10" x14ac:dyDescent="0.45">
      <c r="A2782" t="s">
        <v>1257</v>
      </c>
      <c r="B2782" s="1">
        <v>45820</v>
      </c>
      <c r="C2782" t="s">
        <v>9</v>
      </c>
      <c r="D2782" t="s">
        <v>25</v>
      </c>
      <c r="E2782">
        <v>5200</v>
      </c>
      <c r="F2782">
        <v>7</v>
      </c>
      <c r="G2782">
        <f t="shared" si="129"/>
        <v>36400</v>
      </c>
      <c r="H2782" t="s">
        <v>17</v>
      </c>
      <c r="I2782">
        <f t="shared" si="130"/>
        <v>6240</v>
      </c>
      <c r="J2782">
        <f t="shared" si="131"/>
        <v>43680</v>
      </c>
    </row>
    <row r="2783" spans="1:10" x14ac:dyDescent="0.45">
      <c r="A2783" t="s">
        <v>3115</v>
      </c>
      <c r="B2783" s="1">
        <v>45820</v>
      </c>
      <c r="C2783" t="s">
        <v>2772</v>
      </c>
      <c r="D2783" t="s">
        <v>2775</v>
      </c>
      <c r="E2783">
        <v>9100</v>
      </c>
      <c r="F2783">
        <v>9</v>
      </c>
      <c r="G2783">
        <f t="shared" si="129"/>
        <v>81900</v>
      </c>
      <c r="H2783" t="s">
        <v>17</v>
      </c>
      <c r="I2783">
        <f t="shared" si="130"/>
        <v>10920</v>
      </c>
      <c r="J2783">
        <f t="shared" si="131"/>
        <v>98280</v>
      </c>
    </row>
    <row r="2784" spans="1:10" x14ac:dyDescent="0.45">
      <c r="A2784" t="s">
        <v>3942</v>
      </c>
      <c r="B2784" s="1">
        <v>45820</v>
      </c>
      <c r="C2784" t="s">
        <v>4007</v>
      </c>
      <c r="D2784" t="s">
        <v>5015</v>
      </c>
      <c r="E2784">
        <v>48000</v>
      </c>
      <c r="F2784">
        <v>2</v>
      </c>
      <c r="G2784">
        <f t="shared" si="129"/>
        <v>96000</v>
      </c>
      <c r="H2784" t="s">
        <v>21</v>
      </c>
      <c r="I2784">
        <f t="shared" si="130"/>
        <v>57600</v>
      </c>
      <c r="J2784">
        <f t="shared" si="131"/>
        <v>115200</v>
      </c>
    </row>
    <row r="2785" spans="1:10" x14ac:dyDescent="0.45">
      <c r="A2785" t="s">
        <v>3960</v>
      </c>
      <c r="B2785" s="1">
        <v>45820</v>
      </c>
      <c r="C2785" t="s">
        <v>33</v>
      </c>
      <c r="D2785" t="s">
        <v>14</v>
      </c>
      <c r="E2785">
        <v>800</v>
      </c>
      <c r="F2785">
        <v>2</v>
      </c>
      <c r="G2785">
        <f t="shared" si="129"/>
        <v>1600</v>
      </c>
      <c r="H2785" t="s">
        <v>7</v>
      </c>
      <c r="I2785">
        <f t="shared" si="130"/>
        <v>960</v>
      </c>
      <c r="J2785">
        <f t="shared" si="131"/>
        <v>1920</v>
      </c>
    </row>
    <row r="2786" spans="1:10" x14ac:dyDescent="0.45">
      <c r="A2786" t="s">
        <v>1258</v>
      </c>
      <c r="B2786" s="1">
        <v>45821</v>
      </c>
      <c r="C2786" t="s">
        <v>12</v>
      </c>
      <c r="D2786" t="s">
        <v>5022</v>
      </c>
      <c r="E2786">
        <v>2880</v>
      </c>
      <c r="F2786">
        <v>6</v>
      </c>
      <c r="G2786">
        <f t="shared" si="129"/>
        <v>17280</v>
      </c>
      <c r="H2786" t="s">
        <v>21</v>
      </c>
      <c r="I2786">
        <f t="shared" si="130"/>
        <v>3456</v>
      </c>
      <c r="J2786">
        <f t="shared" si="131"/>
        <v>20736</v>
      </c>
    </row>
    <row r="2787" spans="1:10" x14ac:dyDescent="0.45">
      <c r="A2787" t="s">
        <v>1259</v>
      </c>
      <c r="B2787" s="1">
        <v>45821</v>
      </c>
      <c r="C2787" t="s">
        <v>33</v>
      </c>
      <c r="D2787" t="s">
        <v>34</v>
      </c>
      <c r="E2787">
        <v>1700</v>
      </c>
      <c r="F2787">
        <v>10</v>
      </c>
      <c r="G2787">
        <f t="shared" si="129"/>
        <v>17000</v>
      </c>
      <c r="H2787" t="s">
        <v>21</v>
      </c>
      <c r="I2787">
        <f t="shared" si="130"/>
        <v>2040</v>
      </c>
      <c r="J2787">
        <f t="shared" si="131"/>
        <v>20400</v>
      </c>
    </row>
    <row r="2788" spans="1:10" x14ac:dyDescent="0.45">
      <c r="A2788" t="s">
        <v>1260</v>
      </c>
      <c r="B2788" s="1">
        <v>45821</v>
      </c>
      <c r="C2788" t="s">
        <v>4007</v>
      </c>
      <c r="D2788" t="s">
        <v>4005</v>
      </c>
      <c r="E2788">
        <v>60000</v>
      </c>
      <c r="F2788">
        <v>4</v>
      </c>
      <c r="G2788">
        <f t="shared" si="129"/>
        <v>240000</v>
      </c>
      <c r="H2788" t="s">
        <v>7</v>
      </c>
      <c r="I2788">
        <f t="shared" si="130"/>
        <v>72000</v>
      </c>
      <c r="J2788">
        <f t="shared" si="131"/>
        <v>288000</v>
      </c>
    </row>
    <row r="2789" spans="1:10" x14ac:dyDescent="0.45">
      <c r="A2789" t="s">
        <v>1261</v>
      </c>
      <c r="B2789" s="1">
        <v>45821</v>
      </c>
      <c r="C2789" t="s">
        <v>12</v>
      </c>
      <c r="D2789" t="s">
        <v>5021</v>
      </c>
      <c r="E2789">
        <v>2880</v>
      </c>
      <c r="F2789">
        <v>8</v>
      </c>
      <c r="G2789">
        <f t="shared" si="129"/>
        <v>23040</v>
      </c>
      <c r="H2789" t="s">
        <v>17</v>
      </c>
      <c r="I2789">
        <f t="shared" si="130"/>
        <v>3456</v>
      </c>
      <c r="J2789">
        <f t="shared" si="131"/>
        <v>27648</v>
      </c>
    </row>
    <row r="2790" spans="1:10" x14ac:dyDescent="0.45">
      <c r="A2790" t="s">
        <v>1262</v>
      </c>
      <c r="B2790" s="1">
        <v>45821</v>
      </c>
      <c r="C2790" t="s">
        <v>4007</v>
      </c>
      <c r="D2790" t="s">
        <v>39</v>
      </c>
      <c r="E2790">
        <v>6000</v>
      </c>
      <c r="F2790">
        <v>6</v>
      </c>
      <c r="G2790">
        <f t="shared" si="129"/>
        <v>36000</v>
      </c>
      <c r="H2790" t="s">
        <v>17</v>
      </c>
      <c r="I2790">
        <f t="shared" si="130"/>
        <v>7200</v>
      </c>
      <c r="J2790">
        <f t="shared" si="131"/>
        <v>43200</v>
      </c>
    </row>
    <row r="2791" spans="1:10" x14ac:dyDescent="0.45">
      <c r="A2791" t="s">
        <v>1263</v>
      </c>
      <c r="B2791" s="1">
        <v>45821</v>
      </c>
      <c r="C2791" t="s">
        <v>12</v>
      </c>
      <c r="D2791" t="s">
        <v>5022</v>
      </c>
      <c r="E2791">
        <v>2880</v>
      </c>
      <c r="F2791">
        <v>4</v>
      </c>
      <c r="G2791">
        <f t="shared" si="129"/>
        <v>11520</v>
      </c>
      <c r="H2791" t="s">
        <v>7</v>
      </c>
      <c r="I2791">
        <f t="shared" si="130"/>
        <v>3456</v>
      </c>
      <c r="J2791">
        <f t="shared" si="131"/>
        <v>13824</v>
      </c>
    </row>
    <row r="2792" spans="1:10" x14ac:dyDescent="0.45">
      <c r="A2792" t="s">
        <v>1264</v>
      </c>
      <c r="B2792" s="1">
        <v>45821</v>
      </c>
      <c r="C2792" t="s">
        <v>33</v>
      </c>
      <c r="D2792" t="s">
        <v>42</v>
      </c>
      <c r="E2792">
        <v>6900</v>
      </c>
      <c r="F2792">
        <v>1</v>
      </c>
      <c r="G2792">
        <f t="shared" si="129"/>
        <v>6900</v>
      </c>
      <c r="H2792" t="s">
        <v>21</v>
      </c>
      <c r="I2792">
        <f t="shared" si="130"/>
        <v>8280</v>
      </c>
      <c r="J2792">
        <f t="shared" si="131"/>
        <v>8280</v>
      </c>
    </row>
    <row r="2793" spans="1:10" x14ac:dyDescent="0.45">
      <c r="A2793" t="s">
        <v>3096</v>
      </c>
      <c r="B2793" s="1">
        <v>45821</v>
      </c>
      <c r="C2793" t="s">
        <v>4007</v>
      </c>
      <c r="D2793" t="s">
        <v>2774</v>
      </c>
      <c r="E2793">
        <v>1900</v>
      </c>
      <c r="F2793">
        <v>9</v>
      </c>
      <c r="G2793">
        <f t="shared" si="129"/>
        <v>17100</v>
      </c>
      <c r="H2793" t="s">
        <v>7</v>
      </c>
      <c r="I2793">
        <f t="shared" si="130"/>
        <v>2280</v>
      </c>
      <c r="J2793">
        <f t="shared" si="131"/>
        <v>20520</v>
      </c>
    </row>
    <row r="2794" spans="1:10" x14ac:dyDescent="0.45">
      <c r="A2794" t="s">
        <v>3134</v>
      </c>
      <c r="B2794" s="1">
        <v>45821</v>
      </c>
      <c r="C2794" t="s">
        <v>4007</v>
      </c>
      <c r="D2794" t="s">
        <v>5015</v>
      </c>
      <c r="E2794">
        <v>48000</v>
      </c>
      <c r="F2794">
        <v>10</v>
      </c>
      <c r="G2794">
        <f t="shared" si="129"/>
        <v>480000</v>
      </c>
      <c r="H2794" t="s">
        <v>21</v>
      </c>
      <c r="I2794">
        <f t="shared" si="130"/>
        <v>57600</v>
      </c>
      <c r="J2794">
        <f t="shared" si="131"/>
        <v>576000</v>
      </c>
    </row>
    <row r="2795" spans="1:10" x14ac:dyDescent="0.45">
      <c r="A2795" t="s">
        <v>3298</v>
      </c>
      <c r="B2795" s="1">
        <v>45821</v>
      </c>
      <c r="C2795" t="s">
        <v>4007</v>
      </c>
      <c r="D2795" t="s">
        <v>2776</v>
      </c>
      <c r="E2795">
        <v>3600</v>
      </c>
      <c r="F2795">
        <v>4</v>
      </c>
      <c r="G2795">
        <f t="shared" si="129"/>
        <v>14400</v>
      </c>
      <c r="H2795" t="s">
        <v>7</v>
      </c>
      <c r="I2795">
        <f t="shared" si="130"/>
        <v>4320</v>
      </c>
      <c r="J2795">
        <f t="shared" si="131"/>
        <v>17280</v>
      </c>
    </row>
    <row r="2796" spans="1:10" x14ac:dyDescent="0.45">
      <c r="A2796" t="s">
        <v>3396</v>
      </c>
      <c r="B2796" s="1">
        <v>45821</v>
      </c>
      <c r="C2796" t="s">
        <v>2772</v>
      </c>
      <c r="D2796" t="s">
        <v>2771</v>
      </c>
      <c r="E2796">
        <v>120</v>
      </c>
      <c r="F2796">
        <v>5</v>
      </c>
      <c r="G2796">
        <f t="shared" si="129"/>
        <v>600</v>
      </c>
      <c r="H2796" t="s">
        <v>17</v>
      </c>
      <c r="I2796">
        <f t="shared" si="130"/>
        <v>144</v>
      </c>
      <c r="J2796">
        <f t="shared" si="131"/>
        <v>720</v>
      </c>
    </row>
    <row r="2797" spans="1:10" x14ac:dyDescent="0.45">
      <c r="A2797" t="s">
        <v>1265</v>
      </c>
      <c r="B2797" s="1">
        <v>45822</v>
      </c>
      <c r="C2797" t="s">
        <v>33</v>
      </c>
      <c r="D2797" t="s">
        <v>16</v>
      </c>
      <c r="E2797">
        <v>1200</v>
      </c>
      <c r="F2797">
        <v>8</v>
      </c>
      <c r="G2797">
        <f t="shared" si="129"/>
        <v>9600</v>
      </c>
      <c r="H2797" t="s">
        <v>7</v>
      </c>
      <c r="I2797">
        <f t="shared" si="130"/>
        <v>1440</v>
      </c>
      <c r="J2797">
        <f t="shared" si="131"/>
        <v>11520</v>
      </c>
    </row>
    <row r="2798" spans="1:10" x14ac:dyDescent="0.45">
      <c r="A2798" t="s">
        <v>1266</v>
      </c>
      <c r="B2798" s="1">
        <v>45822</v>
      </c>
      <c r="C2798" t="s">
        <v>33</v>
      </c>
      <c r="D2798" t="s">
        <v>42</v>
      </c>
      <c r="E2798">
        <v>6900</v>
      </c>
      <c r="F2798">
        <v>3</v>
      </c>
      <c r="G2798">
        <f t="shared" si="129"/>
        <v>20700</v>
      </c>
      <c r="H2798" t="s">
        <v>21</v>
      </c>
      <c r="I2798">
        <f t="shared" si="130"/>
        <v>8280</v>
      </c>
      <c r="J2798">
        <f t="shared" si="131"/>
        <v>24840</v>
      </c>
    </row>
    <row r="2799" spans="1:10" x14ac:dyDescent="0.45">
      <c r="A2799" t="s">
        <v>1267</v>
      </c>
      <c r="B2799" s="1">
        <v>45822</v>
      </c>
      <c r="C2799" t="s">
        <v>12</v>
      </c>
      <c r="D2799" t="s">
        <v>5023</v>
      </c>
      <c r="E2799">
        <v>1750</v>
      </c>
      <c r="F2799">
        <v>5</v>
      </c>
      <c r="G2799">
        <f t="shared" si="129"/>
        <v>8750</v>
      </c>
      <c r="H2799" t="s">
        <v>21</v>
      </c>
      <c r="I2799">
        <f t="shared" si="130"/>
        <v>2100</v>
      </c>
      <c r="J2799">
        <f t="shared" si="131"/>
        <v>10500</v>
      </c>
    </row>
    <row r="2800" spans="1:10" x14ac:dyDescent="0.45">
      <c r="A2800" t="s">
        <v>1268</v>
      </c>
      <c r="B2800" s="1">
        <v>45822</v>
      </c>
      <c r="C2800" t="s">
        <v>33</v>
      </c>
      <c r="D2800" t="s">
        <v>14</v>
      </c>
      <c r="E2800">
        <v>800</v>
      </c>
      <c r="F2800">
        <v>7</v>
      </c>
      <c r="G2800">
        <f t="shared" si="129"/>
        <v>5600</v>
      </c>
      <c r="H2800" t="s">
        <v>17</v>
      </c>
      <c r="I2800">
        <f t="shared" si="130"/>
        <v>960</v>
      </c>
      <c r="J2800">
        <f t="shared" si="131"/>
        <v>6720</v>
      </c>
    </row>
    <row r="2801" spans="1:10" x14ac:dyDescent="0.45">
      <c r="A2801" t="s">
        <v>1269</v>
      </c>
      <c r="B2801" s="1">
        <v>45822</v>
      </c>
      <c r="C2801" t="s">
        <v>9</v>
      </c>
      <c r="D2801" t="s">
        <v>10</v>
      </c>
      <c r="E2801">
        <v>400</v>
      </c>
      <c r="F2801">
        <v>7</v>
      </c>
      <c r="G2801">
        <f t="shared" si="129"/>
        <v>2800</v>
      </c>
      <c r="H2801" t="s">
        <v>21</v>
      </c>
      <c r="I2801">
        <f t="shared" si="130"/>
        <v>480</v>
      </c>
      <c r="J2801">
        <f t="shared" si="131"/>
        <v>3360</v>
      </c>
    </row>
    <row r="2802" spans="1:10" x14ac:dyDescent="0.45">
      <c r="A2802" t="s">
        <v>1270</v>
      </c>
      <c r="B2802" s="1">
        <v>45822</v>
      </c>
      <c r="C2802" t="s">
        <v>9</v>
      </c>
      <c r="D2802" t="s">
        <v>19</v>
      </c>
      <c r="E2802">
        <v>3000</v>
      </c>
      <c r="F2802">
        <v>8</v>
      </c>
      <c r="G2802">
        <f t="shared" si="129"/>
        <v>24000</v>
      </c>
      <c r="H2802" t="s">
        <v>17</v>
      </c>
      <c r="I2802">
        <f t="shared" si="130"/>
        <v>3600</v>
      </c>
      <c r="J2802">
        <f t="shared" si="131"/>
        <v>28800</v>
      </c>
    </row>
    <row r="2803" spans="1:10" x14ac:dyDescent="0.45">
      <c r="A2803" t="s">
        <v>1271</v>
      </c>
      <c r="B2803" s="1">
        <v>45822</v>
      </c>
      <c r="C2803" t="s">
        <v>12</v>
      </c>
      <c r="D2803" t="s">
        <v>5020</v>
      </c>
      <c r="E2803">
        <v>2880</v>
      </c>
      <c r="F2803">
        <v>1</v>
      </c>
      <c r="G2803">
        <f t="shared" si="129"/>
        <v>2880</v>
      </c>
      <c r="H2803" t="s">
        <v>21</v>
      </c>
      <c r="I2803">
        <f t="shared" si="130"/>
        <v>3456</v>
      </c>
      <c r="J2803">
        <f t="shared" si="131"/>
        <v>3456</v>
      </c>
    </row>
    <row r="2804" spans="1:10" x14ac:dyDescent="0.45">
      <c r="A2804" t="s">
        <v>3128</v>
      </c>
      <c r="B2804" s="1">
        <v>45822</v>
      </c>
      <c r="C2804" t="s">
        <v>4007</v>
      </c>
      <c r="D2804" t="s">
        <v>2770</v>
      </c>
      <c r="E2804">
        <v>600</v>
      </c>
      <c r="F2804">
        <v>2</v>
      </c>
      <c r="G2804">
        <f t="shared" si="129"/>
        <v>1200</v>
      </c>
      <c r="H2804" t="s">
        <v>17</v>
      </c>
      <c r="I2804">
        <f t="shared" si="130"/>
        <v>720</v>
      </c>
      <c r="J2804">
        <f t="shared" si="131"/>
        <v>1440</v>
      </c>
    </row>
    <row r="2805" spans="1:10" x14ac:dyDescent="0.45">
      <c r="A2805" t="s">
        <v>3693</v>
      </c>
      <c r="B2805" s="1">
        <v>45822</v>
      </c>
      <c r="C2805" t="s">
        <v>4007</v>
      </c>
      <c r="D2805" t="s">
        <v>5015</v>
      </c>
      <c r="E2805">
        <v>48000</v>
      </c>
      <c r="F2805">
        <v>8</v>
      </c>
      <c r="G2805">
        <f t="shared" si="129"/>
        <v>384000</v>
      </c>
      <c r="H2805" t="s">
        <v>7</v>
      </c>
      <c r="I2805">
        <f t="shared" si="130"/>
        <v>57600</v>
      </c>
      <c r="J2805">
        <f t="shared" si="131"/>
        <v>460800</v>
      </c>
    </row>
    <row r="2806" spans="1:10" x14ac:dyDescent="0.45">
      <c r="A2806" t="s">
        <v>3697</v>
      </c>
      <c r="B2806" s="1">
        <v>45822</v>
      </c>
      <c r="C2806" t="s">
        <v>4007</v>
      </c>
      <c r="D2806" t="s">
        <v>2774</v>
      </c>
      <c r="E2806">
        <v>1900</v>
      </c>
      <c r="F2806">
        <v>6</v>
      </c>
      <c r="G2806">
        <f t="shared" si="129"/>
        <v>11400</v>
      </c>
      <c r="H2806" t="s">
        <v>21</v>
      </c>
      <c r="I2806">
        <f t="shared" si="130"/>
        <v>2280</v>
      </c>
      <c r="J2806">
        <f t="shared" si="131"/>
        <v>13680</v>
      </c>
    </row>
    <row r="2807" spans="1:10" x14ac:dyDescent="0.45">
      <c r="A2807" t="s">
        <v>1272</v>
      </c>
      <c r="B2807" s="1">
        <v>45823</v>
      </c>
      <c r="C2807" t="s">
        <v>12</v>
      </c>
      <c r="D2807" t="s">
        <v>5023</v>
      </c>
      <c r="E2807">
        <v>1750</v>
      </c>
      <c r="F2807">
        <v>9</v>
      </c>
      <c r="G2807">
        <f t="shared" si="129"/>
        <v>15750</v>
      </c>
      <c r="H2807" t="s">
        <v>21</v>
      </c>
      <c r="I2807">
        <f t="shared" si="130"/>
        <v>2100</v>
      </c>
      <c r="J2807">
        <f t="shared" si="131"/>
        <v>18900</v>
      </c>
    </row>
    <row r="2808" spans="1:10" x14ac:dyDescent="0.45">
      <c r="A2808" t="s">
        <v>1273</v>
      </c>
      <c r="B2808" s="1">
        <v>45823</v>
      </c>
      <c r="C2808" t="s">
        <v>4007</v>
      </c>
      <c r="D2808" t="s">
        <v>4005</v>
      </c>
      <c r="E2808">
        <v>60000</v>
      </c>
      <c r="F2808">
        <v>9</v>
      </c>
      <c r="G2808">
        <f t="shared" si="129"/>
        <v>540000</v>
      </c>
      <c r="H2808" t="s">
        <v>21</v>
      </c>
      <c r="I2808">
        <f t="shared" si="130"/>
        <v>72000</v>
      </c>
      <c r="J2808">
        <f t="shared" si="131"/>
        <v>648000</v>
      </c>
    </row>
    <row r="2809" spans="1:10" x14ac:dyDescent="0.45">
      <c r="A2809" t="s">
        <v>1274</v>
      </c>
      <c r="B2809" s="1">
        <v>45823</v>
      </c>
      <c r="C2809" t="s">
        <v>33</v>
      </c>
      <c r="D2809" t="s">
        <v>34</v>
      </c>
      <c r="E2809">
        <v>1700</v>
      </c>
      <c r="F2809">
        <v>10</v>
      </c>
      <c r="G2809">
        <f t="shared" si="129"/>
        <v>17000</v>
      </c>
      <c r="H2809" t="s">
        <v>17</v>
      </c>
      <c r="I2809">
        <f t="shared" si="130"/>
        <v>2040</v>
      </c>
      <c r="J2809">
        <f t="shared" si="131"/>
        <v>20400</v>
      </c>
    </row>
    <row r="2810" spans="1:10" x14ac:dyDescent="0.45">
      <c r="A2810" t="s">
        <v>1275</v>
      </c>
      <c r="B2810" s="1">
        <v>45823</v>
      </c>
      <c r="C2810" t="s">
        <v>33</v>
      </c>
      <c r="D2810" t="s">
        <v>14</v>
      </c>
      <c r="E2810">
        <v>800</v>
      </c>
      <c r="F2810">
        <v>5</v>
      </c>
      <c r="G2810">
        <f t="shared" si="129"/>
        <v>4000</v>
      </c>
      <c r="H2810" t="s">
        <v>17</v>
      </c>
      <c r="I2810">
        <f t="shared" si="130"/>
        <v>960</v>
      </c>
      <c r="J2810">
        <f t="shared" si="131"/>
        <v>4800</v>
      </c>
    </row>
    <row r="2811" spans="1:10" x14ac:dyDescent="0.45">
      <c r="A2811" t="s">
        <v>1276</v>
      </c>
      <c r="B2811" s="1">
        <v>45823</v>
      </c>
      <c r="C2811" t="s">
        <v>4007</v>
      </c>
      <c r="D2811" t="s">
        <v>4005</v>
      </c>
      <c r="E2811">
        <v>60000</v>
      </c>
      <c r="F2811">
        <v>6</v>
      </c>
      <c r="G2811">
        <f t="shared" si="129"/>
        <v>360000</v>
      </c>
      <c r="H2811" t="s">
        <v>17</v>
      </c>
      <c r="I2811">
        <f t="shared" si="130"/>
        <v>72000</v>
      </c>
      <c r="J2811">
        <f t="shared" si="131"/>
        <v>432000</v>
      </c>
    </row>
    <row r="2812" spans="1:10" x14ac:dyDescent="0.45">
      <c r="A2812" t="s">
        <v>1277</v>
      </c>
      <c r="B2812" s="1">
        <v>45823</v>
      </c>
      <c r="C2812" t="s">
        <v>9</v>
      </c>
      <c r="D2812" t="s">
        <v>25</v>
      </c>
      <c r="E2812">
        <v>5200</v>
      </c>
      <c r="F2812">
        <v>7</v>
      </c>
      <c r="G2812">
        <f t="shared" si="129"/>
        <v>36400</v>
      </c>
      <c r="H2812" t="s">
        <v>21</v>
      </c>
      <c r="I2812">
        <f t="shared" si="130"/>
        <v>6240</v>
      </c>
      <c r="J2812">
        <f t="shared" si="131"/>
        <v>43680</v>
      </c>
    </row>
    <row r="2813" spans="1:10" x14ac:dyDescent="0.45">
      <c r="A2813" t="s">
        <v>1278</v>
      </c>
      <c r="B2813" s="1">
        <v>45823</v>
      </c>
      <c r="C2813" t="s">
        <v>9</v>
      </c>
      <c r="D2813" t="s">
        <v>10</v>
      </c>
      <c r="E2813">
        <v>400</v>
      </c>
      <c r="F2813">
        <v>1</v>
      </c>
      <c r="G2813">
        <f t="shared" si="129"/>
        <v>400</v>
      </c>
      <c r="H2813" t="s">
        <v>21</v>
      </c>
      <c r="I2813">
        <f t="shared" si="130"/>
        <v>480</v>
      </c>
      <c r="J2813">
        <f t="shared" si="131"/>
        <v>480</v>
      </c>
    </row>
    <row r="2814" spans="1:10" x14ac:dyDescent="0.45">
      <c r="A2814" t="s">
        <v>1279</v>
      </c>
      <c r="B2814" s="1">
        <v>45823</v>
      </c>
      <c r="C2814" t="s">
        <v>12</v>
      </c>
      <c r="D2814" t="s">
        <v>5023</v>
      </c>
      <c r="E2814">
        <v>1750</v>
      </c>
      <c r="F2814">
        <v>3</v>
      </c>
      <c r="G2814">
        <f t="shared" si="129"/>
        <v>5250</v>
      </c>
      <c r="H2814" t="s">
        <v>7</v>
      </c>
      <c r="I2814">
        <f t="shared" si="130"/>
        <v>2100</v>
      </c>
      <c r="J2814">
        <f t="shared" si="131"/>
        <v>6300</v>
      </c>
    </row>
    <row r="2815" spans="1:10" x14ac:dyDescent="0.45">
      <c r="A2815" t="s">
        <v>1280</v>
      </c>
      <c r="B2815" s="1">
        <v>45823</v>
      </c>
      <c r="C2815" t="s">
        <v>4007</v>
      </c>
      <c r="D2815" t="s">
        <v>5015</v>
      </c>
      <c r="E2815">
        <v>48000</v>
      </c>
      <c r="F2815">
        <v>5</v>
      </c>
      <c r="G2815">
        <f t="shared" si="129"/>
        <v>240000</v>
      </c>
      <c r="H2815" t="s">
        <v>7</v>
      </c>
      <c r="I2815">
        <f t="shared" si="130"/>
        <v>57600</v>
      </c>
      <c r="J2815">
        <f t="shared" si="131"/>
        <v>288000</v>
      </c>
    </row>
    <row r="2816" spans="1:10" x14ac:dyDescent="0.45">
      <c r="A2816" t="s">
        <v>2780</v>
      </c>
      <c r="B2816" s="1">
        <v>45823</v>
      </c>
      <c r="C2816" t="s">
        <v>33</v>
      </c>
      <c r="D2816" t="s">
        <v>14</v>
      </c>
      <c r="E2816">
        <v>800</v>
      </c>
      <c r="F2816">
        <v>7</v>
      </c>
      <c r="G2816">
        <f t="shared" si="129"/>
        <v>5600</v>
      </c>
      <c r="H2816" t="s">
        <v>7</v>
      </c>
      <c r="I2816">
        <f t="shared" si="130"/>
        <v>960</v>
      </c>
      <c r="J2816">
        <f t="shared" si="131"/>
        <v>6720</v>
      </c>
    </row>
    <row r="2817" spans="1:10" x14ac:dyDescent="0.45">
      <c r="A2817" t="s">
        <v>2913</v>
      </c>
      <c r="B2817" s="1">
        <v>45823</v>
      </c>
      <c r="C2817" t="s">
        <v>4007</v>
      </c>
      <c r="D2817" t="s">
        <v>2770</v>
      </c>
      <c r="E2817">
        <v>600</v>
      </c>
      <c r="F2817">
        <v>2</v>
      </c>
      <c r="G2817">
        <f t="shared" si="129"/>
        <v>1200</v>
      </c>
      <c r="H2817" t="s">
        <v>17</v>
      </c>
      <c r="I2817">
        <f t="shared" si="130"/>
        <v>720</v>
      </c>
      <c r="J2817">
        <f t="shared" si="131"/>
        <v>1440</v>
      </c>
    </row>
    <row r="2818" spans="1:10" x14ac:dyDescent="0.45">
      <c r="A2818" t="s">
        <v>3426</v>
      </c>
      <c r="B2818" s="1">
        <v>45823</v>
      </c>
      <c r="C2818" t="s">
        <v>4007</v>
      </c>
      <c r="D2818" t="s">
        <v>2776</v>
      </c>
      <c r="E2818">
        <v>3600</v>
      </c>
      <c r="F2818">
        <v>6</v>
      </c>
      <c r="G2818">
        <f t="shared" ref="G2818:G2881" si="132">E2818*F2818</f>
        <v>21600</v>
      </c>
      <c r="H2818" t="s">
        <v>17</v>
      </c>
      <c r="I2818">
        <f t="shared" ref="I2818:I2881" si="133">E2818*1.2</f>
        <v>4320</v>
      </c>
      <c r="J2818">
        <f t="shared" ref="J2818:J2881" si="134">I2818*F2818</f>
        <v>25920</v>
      </c>
    </row>
    <row r="2819" spans="1:10" x14ac:dyDescent="0.45">
      <c r="A2819" t="s">
        <v>1281</v>
      </c>
      <c r="B2819" s="1">
        <v>45824</v>
      </c>
      <c r="C2819" t="s">
        <v>33</v>
      </c>
      <c r="D2819" t="s">
        <v>42</v>
      </c>
      <c r="E2819">
        <v>6900</v>
      </c>
      <c r="F2819">
        <v>2</v>
      </c>
      <c r="G2819">
        <f t="shared" si="132"/>
        <v>13800</v>
      </c>
      <c r="H2819" t="s">
        <v>17</v>
      </c>
      <c r="I2819">
        <f t="shared" si="133"/>
        <v>8280</v>
      </c>
      <c r="J2819">
        <f t="shared" si="134"/>
        <v>16560</v>
      </c>
    </row>
    <row r="2820" spans="1:10" x14ac:dyDescent="0.45">
      <c r="A2820" t="s">
        <v>1282</v>
      </c>
      <c r="B2820" s="1">
        <v>45824</v>
      </c>
      <c r="C2820" t="s">
        <v>4007</v>
      </c>
      <c r="D2820" t="s">
        <v>39</v>
      </c>
      <c r="E2820">
        <v>6000</v>
      </c>
      <c r="F2820">
        <v>9</v>
      </c>
      <c r="G2820">
        <f t="shared" si="132"/>
        <v>54000</v>
      </c>
      <c r="H2820" t="s">
        <v>7</v>
      </c>
      <c r="I2820">
        <f t="shared" si="133"/>
        <v>7200</v>
      </c>
      <c r="J2820">
        <f t="shared" si="134"/>
        <v>64800</v>
      </c>
    </row>
    <row r="2821" spans="1:10" x14ac:dyDescent="0.45">
      <c r="A2821" t="s">
        <v>1283</v>
      </c>
      <c r="B2821" s="1">
        <v>45824</v>
      </c>
      <c r="C2821" t="s">
        <v>4007</v>
      </c>
      <c r="D2821" t="s">
        <v>28</v>
      </c>
      <c r="E2821">
        <v>500</v>
      </c>
      <c r="F2821">
        <v>5</v>
      </c>
      <c r="G2821">
        <f t="shared" si="132"/>
        <v>2500</v>
      </c>
      <c r="H2821" t="s">
        <v>17</v>
      </c>
      <c r="I2821">
        <f t="shared" si="133"/>
        <v>600</v>
      </c>
      <c r="J2821">
        <f t="shared" si="134"/>
        <v>3000</v>
      </c>
    </row>
    <row r="2822" spans="1:10" x14ac:dyDescent="0.45">
      <c r="A2822" t="s">
        <v>1284</v>
      </c>
      <c r="B2822" s="1">
        <v>45824</v>
      </c>
      <c r="C2822" t="s">
        <v>9</v>
      </c>
      <c r="D2822" t="s">
        <v>10</v>
      </c>
      <c r="E2822">
        <v>400</v>
      </c>
      <c r="F2822">
        <v>3</v>
      </c>
      <c r="G2822">
        <f t="shared" si="132"/>
        <v>1200</v>
      </c>
      <c r="H2822" t="s">
        <v>17</v>
      </c>
      <c r="I2822">
        <f t="shared" si="133"/>
        <v>480</v>
      </c>
      <c r="J2822">
        <f t="shared" si="134"/>
        <v>1440</v>
      </c>
    </row>
    <row r="2823" spans="1:10" x14ac:dyDescent="0.45">
      <c r="A2823" t="s">
        <v>1285</v>
      </c>
      <c r="B2823" s="1">
        <v>45824</v>
      </c>
      <c r="C2823" t="s">
        <v>33</v>
      </c>
      <c r="D2823" t="s">
        <v>14</v>
      </c>
      <c r="E2823">
        <v>800</v>
      </c>
      <c r="F2823">
        <v>9</v>
      </c>
      <c r="G2823">
        <f t="shared" si="132"/>
        <v>7200</v>
      </c>
      <c r="H2823" t="s">
        <v>7</v>
      </c>
      <c r="I2823">
        <f t="shared" si="133"/>
        <v>960</v>
      </c>
      <c r="J2823">
        <f t="shared" si="134"/>
        <v>8640</v>
      </c>
    </row>
    <row r="2824" spans="1:10" x14ac:dyDescent="0.45">
      <c r="A2824" t="s">
        <v>1286</v>
      </c>
      <c r="B2824" s="1">
        <v>45824</v>
      </c>
      <c r="C2824" t="s">
        <v>33</v>
      </c>
      <c r="D2824" t="s">
        <v>34</v>
      </c>
      <c r="E2824">
        <v>1700</v>
      </c>
      <c r="F2824">
        <v>4</v>
      </c>
      <c r="G2824">
        <f t="shared" si="132"/>
        <v>6800</v>
      </c>
      <c r="H2824" t="s">
        <v>7</v>
      </c>
      <c r="I2824">
        <f t="shared" si="133"/>
        <v>2040</v>
      </c>
      <c r="J2824">
        <f t="shared" si="134"/>
        <v>8160</v>
      </c>
    </row>
    <row r="2825" spans="1:10" x14ac:dyDescent="0.45">
      <c r="A2825" t="s">
        <v>1287</v>
      </c>
      <c r="B2825" s="1">
        <v>45824</v>
      </c>
      <c r="C2825" t="s">
        <v>12</v>
      </c>
      <c r="D2825" t="s">
        <v>5021</v>
      </c>
      <c r="E2825">
        <v>2880</v>
      </c>
      <c r="F2825">
        <v>8</v>
      </c>
      <c r="G2825">
        <f t="shared" si="132"/>
        <v>23040</v>
      </c>
      <c r="H2825" t="s">
        <v>21</v>
      </c>
      <c r="I2825">
        <f t="shared" si="133"/>
        <v>3456</v>
      </c>
      <c r="J2825">
        <f t="shared" si="134"/>
        <v>27648</v>
      </c>
    </row>
    <row r="2826" spans="1:10" x14ac:dyDescent="0.45">
      <c r="A2826" t="s">
        <v>1288</v>
      </c>
      <c r="B2826" s="1">
        <v>45824</v>
      </c>
      <c r="C2826" t="s">
        <v>4007</v>
      </c>
      <c r="D2826" t="s">
        <v>28</v>
      </c>
      <c r="E2826">
        <v>500</v>
      </c>
      <c r="F2826">
        <v>4</v>
      </c>
      <c r="G2826">
        <f t="shared" si="132"/>
        <v>2000</v>
      </c>
      <c r="H2826" t="s">
        <v>17</v>
      </c>
      <c r="I2826">
        <f t="shared" si="133"/>
        <v>600</v>
      </c>
      <c r="J2826">
        <f t="shared" si="134"/>
        <v>2400</v>
      </c>
    </row>
    <row r="2827" spans="1:10" x14ac:dyDescent="0.45">
      <c r="A2827" t="s">
        <v>1289</v>
      </c>
      <c r="B2827" s="1">
        <v>45824</v>
      </c>
      <c r="C2827" t="s">
        <v>33</v>
      </c>
      <c r="D2827" t="s">
        <v>34</v>
      </c>
      <c r="E2827">
        <v>1700</v>
      </c>
      <c r="F2827">
        <v>5</v>
      </c>
      <c r="G2827">
        <f t="shared" si="132"/>
        <v>8500</v>
      </c>
      <c r="H2827" t="s">
        <v>17</v>
      </c>
      <c r="I2827">
        <f t="shared" si="133"/>
        <v>2040</v>
      </c>
      <c r="J2827">
        <f t="shared" si="134"/>
        <v>10200</v>
      </c>
    </row>
    <row r="2828" spans="1:10" x14ac:dyDescent="0.45">
      <c r="A2828" t="s">
        <v>2816</v>
      </c>
      <c r="B2828" s="1">
        <v>45824</v>
      </c>
      <c r="C2828" t="s">
        <v>2772</v>
      </c>
      <c r="D2828" t="s">
        <v>2771</v>
      </c>
      <c r="E2828">
        <v>120</v>
      </c>
      <c r="F2828">
        <v>9</v>
      </c>
      <c r="G2828">
        <f t="shared" si="132"/>
        <v>1080</v>
      </c>
      <c r="H2828" t="s">
        <v>21</v>
      </c>
      <c r="I2828">
        <f t="shared" si="133"/>
        <v>144</v>
      </c>
      <c r="J2828">
        <f t="shared" si="134"/>
        <v>1296</v>
      </c>
    </row>
    <row r="2829" spans="1:10" x14ac:dyDescent="0.45">
      <c r="A2829" t="s">
        <v>2980</v>
      </c>
      <c r="B2829" s="1">
        <v>45824</v>
      </c>
      <c r="C2829" t="s">
        <v>4007</v>
      </c>
      <c r="D2829" t="s">
        <v>2770</v>
      </c>
      <c r="E2829">
        <v>600</v>
      </c>
      <c r="F2829">
        <v>2</v>
      </c>
      <c r="G2829">
        <f t="shared" si="132"/>
        <v>1200</v>
      </c>
      <c r="H2829" t="s">
        <v>17</v>
      </c>
      <c r="I2829">
        <f t="shared" si="133"/>
        <v>720</v>
      </c>
      <c r="J2829">
        <f t="shared" si="134"/>
        <v>1440</v>
      </c>
    </row>
    <row r="2830" spans="1:10" x14ac:dyDescent="0.45">
      <c r="A2830" t="s">
        <v>3747</v>
      </c>
      <c r="B2830" s="1">
        <v>45824</v>
      </c>
      <c r="C2830" t="s">
        <v>4007</v>
      </c>
      <c r="D2830" t="s">
        <v>2770</v>
      </c>
      <c r="E2830">
        <v>600</v>
      </c>
      <c r="F2830">
        <v>8</v>
      </c>
      <c r="G2830">
        <f t="shared" si="132"/>
        <v>4800</v>
      </c>
      <c r="H2830" t="s">
        <v>17</v>
      </c>
      <c r="I2830">
        <f t="shared" si="133"/>
        <v>720</v>
      </c>
      <c r="J2830">
        <f t="shared" si="134"/>
        <v>5760</v>
      </c>
    </row>
    <row r="2831" spans="1:10" x14ac:dyDescent="0.45">
      <c r="A2831" t="s">
        <v>3813</v>
      </c>
      <c r="B2831" s="1">
        <v>45824</v>
      </c>
      <c r="C2831" t="s">
        <v>4007</v>
      </c>
      <c r="D2831" t="s">
        <v>2773</v>
      </c>
      <c r="E2831">
        <v>3300</v>
      </c>
      <c r="F2831">
        <v>3</v>
      </c>
      <c r="G2831">
        <f t="shared" si="132"/>
        <v>9900</v>
      </c>
      <c r="H2831" t="s">
        <v>17</v>
      </c>
      <c r="I2831">
        <f t="shared" si="133"/>
        <v>3960</v>
      </c>
      <c r="J2831">
        <f t="shared" si="134"/>
        <v>11880</v>
      </c>
    </row>
    <row r="2832" spans="1:10" x14ac:dyDescent="0.45">
      <c r="A2832" t="s">
        <v>1290</v>
      </c>
      <c r="B2832" s="1">
        <v>45825</v>
      </c>
      <c r="C2832" t="s">
        <v>9</v>
      </c>
      <c r="D2832" t="s">
        <v>25</v>
      </c>
      <c r="E2832">
        <v>5200</v>
      </c>
      <c r="F2832">
        <v>8</v>
      </c>
      <c r="G2832">
        <f t="shared" si="132"/>
        <v>41600</v>
      </c>
      <c r="H2832" t="s">
        <v>17</v>
      </c>
      <c r="I2832">
        <f t="shared" si="133"/>
        <v>6240</v>
      </c>
      <c r="J2832">
        <f t="shared" si="134"/>
        <v>49920</v>
      </c>
    </row>
    <row r="2833" spans="1:10" x14ac:dyDescent="0.45">
      <c r="A2833" t="s">
        <v>1291</v>
      </c>
      <c r="B2833" s="1">
        <v>45825</v>
      </c>
      <c r="C2833" t="s">
        <v>33</v>
      </c>
      <c r="D2833" t="s">
        <v>34</v>
      </c>
      <c r="E2833">
        <v>1700</v>
      </c>
      <c r="F2833">
        <v>3</v>
      </c>
      <c r="G2833">
        <f t="shared" si="132"/>
        <v>5100</v>
      </c>
      <c r="H2833" t="s">
        <v>7</v>
      </c>
      <c r="I2833">
        <f t="shared" si="133"/>
        <v>2040</v>
      </c>
      <c r="J2833">
        <f t="shared" si="134"/>
        <v>6120</v>
      </c>
    </row>
    <row r="2834" spans="1:10" x14ac:dyDescent="0.45">
      <c r="A2834" t="s">
        <v>1292</v>
      </c>
      <c r="B2834" s="1">
        <v>45825</v>
      </c>
      <c r="C2834" t="s">
        <v>33</v>
      </c>
      <c r="D2834" t="s">
        <v>34</v>
      </c>
      <c r="E2834">
        <v>1700</v>
      </c>
      <c r="F2834">
        <v>10</v>
      </c>
      <c r="G2834">
        <f t="shared" si="132"/>
        <v>17000</v>
      </c>
      <c r="H2834" t="s">
        <v>7</v>
      </c>
      <c r="I2834">
        <f t="shared" si="133"/>
        <v>2040</v>
      </c>
      <c r="J2834">
        <f t="shared" si="134"/>
        <v>20400</v>
      </c>
    </row>
    <row r="2835" spans="1:10" x14ac:dyDescent="0.45">
      <c r="A2835" t="s">
        <v>1293</v>
      </c>
      <c r="B2835" s="1">
        <v>45825</v>
      </c>
      <c r="C2835" t="s">
        <v>33</v>
      </c>
      <c r="D2835" t="s">
        <v>16</v>
      </c>
      <c r="E2835">
        <v>1200</v>
      </c>
      <c r="F2835">
        <v>10</v>
      </c>
      <c r="G2835">
        <f t="shared" si="132"/>
        <v>12000</v>
      </c>
      <c r="H2835" t="s">
        <v>21</v>
      </c>
      <c r="I2835">
        <f t="shared" si="133"/>
        <v>1440</v>
      </c>
      <c r="J2835">
        <f t="shared" si="134"/>
        <v>14400</v>
      </c>
    </row>
    <row r="2836" spans="1:10" x14ac:dyDescent="0.45">
      <c r="A2836" t="s">
        <v>1294</v>
      </c>
      <c r="B2836" s="1">
        <v>45825</v>
      </c>
      <c r="C2836" t="s">
        <v>12</v>
      </c>
      <c r="D2836" t="s">
        <v>5022</v>
      </c>
      <c r="E2836">
        <v>2880</v>
      </c>
      <c r="F2836">
        <v>1</v>
      </c>
      <c r="G2836">
        <f t="shared" si="132"/>
        <v>2880</v>
      </c>
      <c r="H2836" t="s">
        <v>17</v>
      </c>
      <c r="I2836">
        <f t="shared" si="133"/>
        <v>3456</v>
      </c>
      <c r="J2836">
        <f t="shared" si="134"/>
        <v>3456</v>
      </c>
    </row>
    <row r="2837" spans="1:10" x14ac:dyDescent="0.45">
      <c r="A2837" t="s">
        <v>1295</v>
      </c>
      <c r="B2837" s="1">
        <v>45825</v>
      </c>
      <c r="C2837" t="s">
        <v>12</v>
      </c>
      <c r="D2837" t="s">
        <v>5022</v>
      </c>
      <c r="E2837">
        <v>2880</v>
      </c>
      <c r="F2837">
        <v>1</v>
      </c>
      <c r="G2837">
        <f t="shared" si="132"/>
        <v>2880</v>
      </c>
      <c r="H2837" t="s">
        <v>21</v>
      </c>
      <c r="I2837">
        <f t="shared" si="133"/>
        <v>3456</v>
      </c>
      <c r="J2837">
        <f t="shared" si="134"/>
        <v>3456</v>
      </c>
    </row>
    <row r="2838" spans="1:10" x14ac:dyDescent="0.45">
      <c r="A2838" t="s">
        <v>1296</v>
      </c>
      <c r="B2838" s="1">
        <v>45825</v>
      </c>
      <c r="C2838" t="s">
        <v>9</v>
      </c>
      <c r="D2838" t="s">
        <v>19</v>
      </c>
      <c r="E2838">
        <v>3000</v>
      </c>
      <c r="F2838">
        <v>7</v>
      </c>
      <c r="G2838">
        <f t="shared" si="132"/>
        <v>21000</v>
      </c>
      <c r="H2838" t="s">
        <v>17</v>
      </c>
      <c r="I2838">
        <f t="shared" si="133"/>
        <v>3600</v>
      </c>
      <c r="J2838">
        <f t="shared" si="134"/>
        <v>25200</v>
      </c>
    </row>
    <row r="2839" spans="1:10" x14ac:dyDescent="0.45">
      <c r="A2839" t="s">
        <v>1297</v>
      </c>
      <c r="B2839" s="1">
        <v>45825</v>
      </c>
      <c r="C2839" t="s">
        <v>33</v>
      </c>
      <c r="D2839" t="s">
        <v>42</v>
      </c>
      <c r="E2839">
        <v>6900</v>
      </c>
      <c r="F2839">
        <v>3</v>
      </c>
      <c r="G2839">
        <f t="shared" si="132"/>
        <v>20700</v>
      </c>
      <c r="H2839" t="s">
        <v>17</v>
      </c>
      <c r="I2839">
        <f t="shared" si="133"/>
        <v>8280</v>
      </c>
      <c r="J2839">
        <f t="shared" si="134"/>
        <v>24840</v>
      </c>
    </row>
    <row r="2840" spans="1:10" x14ac:dyDescent="0.45">
      <c r="A2840" t="s">
        <v>2836</v>
      </c>
      <c r="B2840" s="1">
        <v>45825</v>
      </c>
      <c r="C2840" t="s">
        <v>2772</v>
      </c>
      <c r="D2840" t="s">
        <v>2771</v>
      </c>
      <c r="E2840">
        <v>120</v>
      </c>
      <c r="F2840">
        <v>2</v>
      </c>
      <c r="G2840">
        <f t="shared" si="132"/>
        <v>240</v>
      </c>
      <c r="H2840" t="s">
        <v>17</v>
      </c>
      <c r="I2840">
        <f t="shared" si="133"/>
        <v>144</v>
      </c>
      <c r="J2840">
        <f t="shared" si="134"/>
        <v>288</v>
      </c>
    </row>
    <row r="2841" spans="1:10" x14ac:dyDescent="0.45">
      <c r="A2841" t="s">
        <v>2939</v>
      </c>
      <c r="B2841" s="1">
        <v>45825</v>
      </c>
      <c r="C2841" t="s">
        <v>4007</v>
      </c>
      <c r="D2841" t="s">
        <v>2776</v>
      </c>
      <c r="E2841">
        <v>3600</v>
      </c>
      <c r="F2841">
        <v>8</v>
      </c>
      <c r="G2841">
        <f t="shared" si="132"/>
        <v>28800</v>
      </c>
      <c r="H2841" t="s">
        <v>7</v>
      </c>
      <c r="I2841">
        <f t="shared" si="133"/>
        <v>4320</v>
      </c>
      <c r="J2841">
        <f t="shared" si="134"/>
        <v>34560</v>
      </c>
    </row>
    <row r="2842" spans="1:10" x14ac:dyDescent="0.45">
      <c r="A2842" t="s">
        <v>3196</v>
      </c>
      <c r="B2842" s="1">
        <v>45825</v>
      </c>
      <c r="C2842" t="s">
        <v>2772</v>
      </c>
      <c r="D2842" t="s">
        <v>2771</v>
      </c>
      <c r="E2842">
        <v>120</v>
      </c>
      <c r="F2842">
        <v>4</v>
      </c>
      <c r="G2842">
        <f t="shared" si="132"/>
        <v>480</v>
      </c>
      <c r="H2842" t="s">
        <v>17</v>
      </c>
      <c r="I2842">
        <f t="shared" si="133"/>
        <v>144</v>
      </c>
      <c r="J2842">
        <f t="shared" si="134"/>
        <v>576</v>
      </c>
    </row>
    <row r="2843" spans="1:10" x14ac:dyDescent="0.45">
      <c r="A2843" t="s">
        <v>3215</v>
      </c>
      <c r="B2843" s="1">
        <v>45825</v>
      </c>
      <c r="C2843" t="s">
        <v>4007</v>
      </c>
      <c r="D2843" t="s">
        <v>5015</v>
      </c>
      <c r="E2843">
        <v>48000</v>
      </c>
      <c r="F2843">
        <v>6</v>
      </c>
      <c r="G2843">
        <f t="shared" si="132"/>
        <v>288000</v>
      </c>
      <c r="H2843" t="s">
        <v>21</v>
      </c>
      <c r="I2843">
        <f t="shared" si="133"/>
        <v>57600</v>
      </c>
      <c r="J2843">
        <f t="shared" si="134"/>
        <v>345600</v>
      </c>
    </row>
    <row r="2844" spans="1:10" x14ac:dyDescent="0.45">
      <c r="A2844" t="s">
        <v>3277</v>
      </c>
      <c r="B2844" s="1">
        <v>45825</v>
      </c>
      <c r="C2844" t="s">
        <v>4007</v>
      </c>
      <c r="D2844" t="s">
        <v>2773</v>
      </c>
      <c r="E2844">
        <v>3300</v>
      </c>
      <c r="F2844">
        <v>3</v>
      </c>
      <c r="G2844">
        <f t="shared" si="132"/>
        <v>9900</v>
      </c>
      <c r="H2844" t="s">
        <v>21</v>
      </c>
      <c r="I2844">
        <f t="shared" si="133"/>
        <v>3960</v>
      </c>
      <c r="J2844">
        <f t="shared" si="134"/>
        <v>11880</v>
      </c>
    </row>
    <row r="2845" spans="1:10" x14ac:dyDescent="0.45">
      <c r="A2845" t="s">
        <v>3391</v>
      </c>
      <c r="B2845" s="1">
        <v>45825</v>
      </c>
      <c r="C2845" t="s">
        <v>2772</v>
      </c>
      <c r="D2845" t="s">
        <v>2771</v>
      </c>
      <c r="E2845">
        <v>120</v>
      </c>
      <c r="F2845">
        <v>5</v>
      </c>
      <c r="G2845">
        <f t="shared" si="132"/>
        <v>600</v>
      </c>
      <c r="H2845" t="s">
        <v>7</v>
      </c>
      <c r="I2845">
        <f t="shared" si="133"/>
        <v>144</v>
      </c>
      <c r="J2845">
        <f t="shared" si="134"/>
        <v>720</v>
      </c>
    </row>
    <row r="2846" spans="1:10" x14ac:dyDescent="0.45">
      <c r="A2846" t="s">
        <v>3621</v>
      </c>
      <c r="B2846" s="1">
        <v>45825</v>
      </c>
      <c r="C2846" t="s">
        <v>4007</v>
      </c>
      <c r="D2846" t="s">
        <v>5015</v>
      </c>
      <c r="E2846">
        <v>48000</v>
      </c>
      <c r="F2846">
        <v>8</v>
      </c>
      <c r="G2846">
        <f t="shared" si="132"/>
        <v>384000</v>
      </c>
      <c r="H2846" t="s">
        <v>21</v>
      </c>
      <c r="I2846">
        <f t="shared" si="133"/>
        <v>57600</v>
      </c>
      <c r="J2846">
        <f t="shared" si="134"/>
        <v>460800</v>
      </c>
    </row>
    <row r="2847" spans="1:10" x14ac:dyDescent="0.45">
      <c r="A2847" t="s">
        <v>3869</v>
      </c>
      <c r="B2847" s="1">
        <v>45825</v>
      </c>
      <c r="C2847" t="s">
        <v>4007</v>
      </c>
      <c r="D2847" t="s">
        <v>2776</v>
      </c>
      <c r="E2847">
        <v>3600</v>
      </c>
      <c r="F2847">
        <v>3</v>
      </c>
      <c r="G2847">
        <f t="shared" si="132"/>
        <v>10800</v>
      </c>
      <c r="H2847" t="s">
        <v>7</v>
      </c>
      <c r="I2847">
        <f t="shared" si="133"/>
        <v>4320</v>
      </c>
      <c r="J2847">
        <f t="shared" si="134"/>
        <v>12960</v>
      </c>
    </row>
    <row r="2848" spans="1:10" x14ac:dyDescent="0.45">
      <c r="A2848" t="s">
        <v>3938</v>
      </c>
      <c r="B2848" s="1">
        <v>45825</v>
      </c>
      <c r="C2848" t="s">
        <v>4007</v>
      </c>
      <c r="D2848" t="s">
        <v>2774</v>
      </c>
      <c r="E2848">
        <v>1900</v>
      </c>
      <c r="F2848">
        <v>10</v>
      </c>
      <c r="G2848">
        <f t="shared" si="132"/>
        <v>19000</v>
      </c>
      <c r="H2848" t="s">
        <v>17</v>
      </c>
      <c r="I2848">
        <f t="shared" si="133"/>
        <v>2280</v>
      </c>
      <c r="J2848">
        <f t="shared" si="134"/>
        <v>22800</v>
      </c>
    </row>
    <row r="2849" spans="1:10" x14ac:dyDescent="0.45">
      <c r="A2849" t="s">
        <v>1298</v>
      </c>
      <c r="B2849" s="1">
        <v>45826</v>
      </c>
      <c r="C2849" t="s">
        <v>33</v>
      </c>
      <c r="D2849" t="s">
        <v>34</v>
      </c>
      <c r="E2849">
        <v>1700</v>
      </c>
      <c r="F2849">
        <v>6</v>
      </c>
      <c r="G2849">
        <f t="shared" si="132"/>
        <v>10200</v>
      </c>
      <c r="H2849" t="s">
        <v>21</v>
      </c>
      <c r="I2849">
        <f t="shared" si="133"/>
        <v>2040</v>
      </c>
      <c r="J2849">
        <f t="shared" si="134"/>
        <v>12240</v>
      </c>
    </row>
    <row r="2850" spans="1:10" x14ac:dyDescent="0.45">
      <c r="A2850" t="s">
        <v>1299</v>
      </c>
      <c r="B2850" s="1">
        <v>45826</v>
      </c>
      <c r="C2850" t="s">
        <v>33</v>
      </c>
      <c r="D2850" t="s">
        <v>42</v>
      </c>
      <c r="E2850">
        <v>6900</v>
      </c>
      <c r="F2850">
        <v>1</v>
      </c>
      <c r="G2850">
        <f t="shared" si="132"/>
        <v>6900</v>
      </c>
      <c r="H2850" t="s">
        <v>17</v>
      </c>
      <c r="I2850">
        <f t="shared" si="133"/>
        <v>8280</v>
      </c>
      <c r="J2850">
        <f t="shared" si="134"/>
        <v>8280</v>
      </c>
    </row>
    <row r="2851" spans="1:10" x14ac:dyDescent="0.45">
      <c r="A2851" t="s">
        <v>1300</v>
      </c>
      <c r="B2851" s="1">
        <v>45826</v>
      </c>
      <c r="C2851" t="s">
        <v>33</v>
      </c>
      <c r="D2851" t="s">
        <v>34</v>
      </c>
      <c r="E2851">
        <v>1700</v>
      </c>
      <c r="F2851">
        <v>10</v>
      </c>
      <c r="G2851">
        <f t="shared" si="132"/>
        <v>17000</v>
      </c>
      <c r="H2851" t="s">
        <v>7</v>
      </c>
      <c r="I2851">
        <f t="shared" si="133"/>
        <v>2040</v>
      </c>
      <c r="J2851">
        <f t="shared" si="134"/>
        <v>20400</v>
      </c>
    </row>
    <row r="2852" spans="1:10" x14ac:dyDescent="0.45">
      <c r="A2852" t="s">
        <v>1301</v>
      </c>
      <c r="B2852" s="1">
        <v>45826</v>
      </c>
      <c r="C2852" t="s">
        <v>33</v>
      </c>
      <c r="D2852" t="s">
        <v>14</v>
      </c>
      <c r="E2852">
        <v>800</v>
      </c>
      <c r="F2852">
        <v>6</v>
      </c>
      <c r="G2852">
        <f t="shared" si="132"/>
        <v>4800</v>
      </c>
      <c r="H2852" t="s">
        <v>17</v>
      </c>
      <c r="I2852">
        <f t="shared" si="133"/>
        <v>960</v>
      </c>
      <c r="J2852">
        <f t="shared" si="134"/>
        <v>5760</v>
      </c>
    </row>
    <row r="2853" spans="1:10" x14ac:dyDescent="0.45">
      <c r="A2853" t="s">
        <v>1302</v>
      </c>
      <c r="B2853" s="1">
        <v>45826</v>
      </c>
      <c r="C2853" t="s">
        <v>33</v>
      </c>
      <c r="D2853" t="s">
        <v>16</v>
      </c>
      <c r="E2853">
        <v>1200</v>
      </c>
      <c r="F2853">
        <v>9</v>
      </c>
      <c r="G2853">
        <f t="shared" si="132"/>
        <v>10800</v>
      </c>
      <c r="H2853" t="s">
        <v>17</v>
      </c>
      <c r="I2853">
        <f t="shared" si="133"/>
        <v>1440</v>
      </c>
      <c r="J2853">
        <f t="shared" si="134"/>
        <v>12960</v>
      </c>
    </row>
    <row r="2854" spans="1:10" x14ac:dyDescent="0.45">
      <c r="A2854" t="s">
        <v>1303</v>
      </c>
      <c r="B2854" s="1">
        <v>45826</v>
      </c>
      <c r="C2854" t="s">
        <v>33</v>
      </c>
      <c r="D2854" t="s">
        <v>34</v>
      </c>
      <c r="E2854">
        <v>1700</v>
      </c>
      <c r="F2854">
        <v>10</v>
      </c>
      <c r="G2854">
        <f t="shared" si="132"/>
        <v>17000</v>
      </c>
      <c r="H2854" t="s">
        <v>7</v>
      </c>
      <c r="I2854">
        <f t="shared" si="133"/>
        <v>2040</v>
      </c>
      <c r="J2854">
        <f t="shared" si="134"/>
        <v>20400</v>
      </c>
    </row>
    <row r="2855" spans="1:10" x14ac:dyDescent="0.45">
      <c r="A2855" t="s">
        <v>3657</v>
      </c>
      <c r="B2855" s="1">
        <v>45826</v>
      </c>
      <c r="C2855" t="s">
        <v>2772</v>
      </c>
      <c r="D2855" t="s">
        <v>2775</v>
      </c>
      <c r="E2855">
        <v>9100</v>
      </c>
      <c r="F2855">
        <v>8</v>
      </c>
      <c r="G2855">
        <f t="shared" si="132"/>
        <v>72800</v>
      </c>
      <c r="H2855" t="s">
        <v>7</v>
      </c>
      <c r="I2855">
        <f t="shared" si="133"/>
        <v>10920</v>
      </c>
      <c r="J2855">
        <f t="shared" si="134"/>
        <v>87360</v>
      </c>
    </row>
    <row r="2856" spans="1:10" x14ac:dyDescent="0.45">
      <c r="A2856" t="s">
        <v>3824</v>
      </c>
      <c r="B2856" s="1">
        <v>45826</v>
      </c>
      <c r="C2856" t="s">
        <v>4007</v>
      </c>
      <c r="D2856" t="s">
        <v>2776</v>
      </c>
      <c r="E2856">
        <v>3600</v>
      </c>
      <c r="F2856">
        <v>2</v>
      </c>
      <c r="G2856">
        <f t="shared" si="132"/>
        <v>7200</v>
      </c>
      <c r="H2856" t="s">
        <v>21</v>
      </c>
      <c r="I2856">
        <f t="shared" si="133"/>
        <v>4320</v>
      </c>
      <c r="J2856">
        <f t="shared" si="134"/>
        <v>8640</v>
      </c>
    </row>
    <row r="2857" spans="1:10" x14ac:dyDescent="0.45">
      <c r="A2857" t="s">
        <v>1304</v>
      </c>
      <c r="B2857" s="1">
        <v>45827</v>
      </c>
      <c r="C2857" t="s">
        <v>4007</v>
      </c>
      <c r="D2857" t="s">
        <v>28</v>
      </c>
      <c r="E2857">
        <v>500</v>
      </c>
      <c r="F2857">
        <v>7</v>
      </c>
      <c r="G2857">
        <f t="shared" si="132"/>
        <v>3500</v>
      </c>
      <c r="H2857" t="s">
        <v>21</v>
      </c>
      <c r="I2857">
        <f t="shared" si="133"/>
        <v>600</v>
      </c>
      <c r="J2857">
        <f t="shared" si="134"/>
        <v>4200</v>
      </c>
    </row>
    <row r="2858" spans="1:10" x14ac:dyDescent="0.45">
      <c r="A2858" t="s">
        <v>1305</v>
      </c>
      <c r="B2858" s="1">
        <v>45827</v>
      </c>
      <c r="C2858" t="s">
        <v>33</v>
      </c>
      <c r="D2858" t="s">
        <v>14</v>
      </c>
      <c r="E2858">
        <v>800</v>
      </c>
      <c r="F2858">
        <v>5</v>
      </c>
      <c r="G2858">
        <f t="shared" si="132"/>
        <v>4000</v>
      </c>
      <c r="H2858" t="s">
        <v>7</v>
      </c>
      <c r="I2858">
        <f t="shared" si="133"/>
        <v>960</v>
      </c>
      <c r="J2858">
        <f t="shared" si="134"/>
        <v>4800</v>
      </c>
    </row>
    <row r="2859" spans="1:10" x14ac:dyDescent="0.45">
      <c r="A2859" t="s">
        <v>1306</v>
      </c>
      <c r="B2859" s="1">
        <v>45827</v>
      </c>
      <c r="C2859" t="s">
        <v>33</v>
      </c>
      <c r="D2859" t="s">
        <v>34</v>
      </c>
      <c r="E2859">
        <v>1700</v>
      </c>
      <c r="F2859">
        <v>10</v>
      </c>
      <c r="G2859">
        <f t="shared" si="132"/>
        <v>17000</v>
      </c>
      <c r="H2859" t="s">
        <v>17</v>
      </c>
      <c r="I2859">
        <f t="shared" si="133"/>
        <v>2040</v>
      </c>
      <c r="J2859">
        <f t="shared" si="134"/>
        <v>20400</v>
      </c>
    </row>
    <row r="2860" spans="1:10" x14ac:dyDescent="0.45">
      <c r="A2860" t="s">
        <v>1307</v>
      </c>
      <c r="B2860" s="1">
        <v>45827</v>
      </c>
      <c r="C2860" t="s">
        <v>12</v>
      </c>
      <c r="D2860" t="s">
        <v>5023</v>
      </c>
      <c r="E2860">
        <v>1750</v>
      </c>
      <c r="F2860">
        <v>3</v>
      </c>
      <c r="G2860">
        <f t="shared" si="132"/>
        <v>5250</v>
      </c>
      <c r="H2860" t="s">
        <v>21</v>
      </c>
      <c r="I2860">
        <f t="shared" si="133"/>
        <v>2100</v>
      </c>
      <c r="J2860">
        <f t="shared" si="134"/>
        <v>6300</v>
      </c>
    </row>
    <row r="2861" spans="1:10" x14ac:dyDescent="0.45">
      <c r="A2861" t="s">
        <v>1308</v>
      </c>
      <c r="B2861" s="1">
        <v>45827</v>
      </c>
      <c r="C2861" t="s">
        <v>12</v>
      </c>
      <c r="D2861" t="s">
        <v>5021</v>
      </c>
      <c r="E2861">
        <v>2880</v>
      </c>
      <c r="F2861">
        <v>8</v>
      </c>
      <c r="G2861">
        <f t="shared" si="132"/>
        <v>23040</v>
      </c>
      <c r="H2861" t="s">
        <v>7</v>
      </c>
      <c r="I2861">
        <f t="shared" si="133"/>
        <v>3456</v>
      </c>
      <c r="J2861">
        <f t="shared" si="134"/>
        <v>27648</v>
      </c>
    </row>
    <row r="2862" spans="1:10" x14ac:dyDescent="0.45">
      <c r="A2862" t="s">
        <v>1309</v>
      </c>
      <c r="B2862" s="1">
        <v>45827</v>
      </c>
      <c r="C2862" t="s">
        <v>4007</v>
      </c>
      <c r="D2862" t="s">
        <v>39</v>
      </c>
      <c r="E2862">
        <v>6000</v>
      </c>
      <c r="F2862">
        <v>7</v>
      </c>
      <c r="G2862">
        <f t="shared" si="132"/>
        <v>42000</v>
      </c>
      <c r="H2862" t="s">
        <v>7</v>
      </c>
      <c r="I2862">
        <f t="shared" si="133"/>
        <v>7200</v>
      </c>
      <c r="J2862">
        <f t="shared" si="134"/>
        <v>50400</v>
      </c>
    </row>
    <row r="2863" spans="1:10" x14ac:dyDescent="0.45">
      <c r="A2863" t="s">
        <v>1310</v>
      </c>
      <c r="B2863" s="1">
        <v>45827</v>
      </c>
      <c r="C2863" t="s">
        <v>4007</v>
      </c>
      <c r="D2863" t="s">
        <v>4005</v>
      </c>
      <c r="E2863">
        <v>60000</v>
      </c>
      <c r="F2863">
        <v>5</v>
      </c>
      <c r="G2863">
        <f t="shared" si="132"/>
        <v>300000</v>
      </c>
      <c r="H2863" t="s">
        <v>7</v>
      </c>
      <c r="I2863">
        <f t="shared" si="133"/>
        <v>72000</v>
      </c>
      <c r="J2863">
        <f t="shared" si="134"/>
        <v>360000</v>
      </c>
    </row>
    <row r="2864" spans="1:10" x14ac:dyDescent="0.45">
      <c r="A2864" t="s">
        <v>1311</v>
      </c>
      <c r="B2864" s="1">
        <v>45827</v>
      </c>
      <c r="C2864" t="s">
        <v>4007</v>
      </c>
      <c r="D2864" t="s">
        <v>5015</v>
      </c>
      <c r="E2864">
        <v>48000</v>
      </c>
      <c r="F2864">
        <v>7</v>
      </c>
      <c r="G2864">
        <f t="shared" si="132"/>
        <v>336000</v>
      </c>
      <c r="H2864" t="s">
        <v>7</v>
      </c>
      <c r="I2864">
        <f t="shared" si="133"/>
        <v>57600</v>
      </c>
      <c r="J2864">
        <f t="shared" si="134"/>
        <v>403200</v>
      </c>
    </row>
    <row r="2865" spans="1:10" x14ac:dyDescent="0.45">
      <c r="A2865" t="s">
        <v>3162</v>
      </c>
      <c r="B2865" s="1">
        <v>45827</v>
      </c>
      <c r="C2865" t="s">
        <v>33</v>
      </c>
      <c r="D2865" t="s">
        <v>14</v>
      </c>
      <c r="E2865">
        <v>800</v>
      </c>
      <c r="F2865">
        <v>5</v>
      </c>
      <c r="G2865">
        <f t="shared" si="132"/>
        <v>4000</v>
      </c>
      <c r="H2865" t="s">
        <v>7</v>
      </c>
      <c r="I2865">
        <f t="shared" si="133"/>
        <v>960</v>
      </c>
      <c r="J2865">
        <f t="shared" si="134"/>
        <v>4800</v>
      </c>
    </row>
    <row r="2866" spans="1:10" x14ac:dyDescent="0.45">
      <c r="A2866" t="s">
        <v>3436</v>
      </c>
      <c r="B2866" s="1">
        <v>45827</v>
      </c>
      <c r="C2866" t="s">
        <v>4007</v>
      </c>
      <c r="D2866" t="s">
        <v>5015</v>
      </c>
      <c r="E2866">
        <v>48000</v>
      </c>
      <c r="F2866">
        <v>9</v>
      </c>
      <c r="G2866">
        <f t="shared" si="132"/>
        <v>432000</v>
      </c>
      <c r="H2866" t="s">
        <v>21</v>
      </c>
      <c r="I2866">
        <f t="shared" si="133"/>
        <v>57600</v>
      </c>
      <c r="J2866">
        <f t="shared" si="134"/>
        <v>518400</v>
      </c>
    </row>
    <row r="2867" spans="1:10" x14ac:dyDescent="0.45">
      <c r="A2867" t="s">
        <v>3750</v>
      </c>
      <c r="B2867" s="1">
        <v>45827</v>
      </c>
      <c r="C2867" t="s">
        <v>2772</v>
      </c>
      <c r="D2867" t="s">
        <v>2771</v>
      </c>
      <c r="E2867">
        <v>120</v>
      </c>
      <c r="F2867">
        <v>5</v>
      </c>
      <c r="G2867">
        <f t="shared" si="132"/>
        <v>600</v>
      </c>
      <c r="H2867" t="s">
        <v>17</v>
      </c>
      <c r="I2867">
        <f t="shared" si="133"/>
        <v>144</v>
      </c>
      <c r="J2867">
        <f t="shared" si="134"/>
        <v>720</v>
      </c>
    </row>
    <row r="2868" spans="1:10" x14ac:dyDescent="0.45">
      <c r="A2868" t="s">
        <v>1312</v>
      </c>
      <c r="B2868" s="1">
        <v>45828</v>
      </c>
      <c r="C2868" t="s">
        <v>9</v>
      </c>
      <c r="D2868" t="s">
        <v>25</v>
      </c>
      <c r="E2868">
        <v>5200</v>
      </c>
      <c r="F2868">
        <v>10</v>
      </c>
      <c r="G2868">
        <f t="shared" si="132"/>
        <v>52000</v>
      </c>
      <c r="H2868" t="s">
        <v>7</v>
      </c>
      <c r="I2868">
        <f t="shared" si="133"/>
        <v>6240</v>
      </c>
      <c r="J2868">
        <f t="shared" si="134"/>
        <v>62400</v>
      </c>
    </row>
    <row r="2869" spans="1:10" x14ac:dyDescent="0.45">
      <c r="A2869" t="s">
        <v>1313</v>
      </c>
      <c r="B2869" s="1">
        <v>45828</v>
      </c>
      <c r="C2869" t="s">
        <v>33</v>
      </c>
      <c r="D2869" t="s">
        <v>34</v>
      </c>
      <c r="E2869">
        <v>1700</v>
      </c>
      <c r="F2869">
        <v>4</v>
      </c>
      <c r="G2869">
        <f t="shared" si="132"/>
        <v>6800</v>
      </c>
      <c r="H2869" t="s">
        <v>21</v>
      </c>
      <c r="I2869">
        <f t="shared" si="133"/>
        <v>2040</v>
      </c>
      <c r="J2869">
        <f t="shared" si="134"/>
        <v>8160</v>
      </c>
    </row>
    <row r="2870" spans="1:10" x14ac:dyDescent="0.45">
      <c r="A2870" t="s">
        <v>1314</v>
      </c>
      <c r="B2870" s="1">
        <v>45828</v>
      </c>
      <c r="C2870" t="s">
        <v>33</v>
      </c>
      <c r="D2870" t="s">
        <v>42</v>
      </c>
      <c r="E2870">
        <v>6900</v>
      </c>
      <c r="F2870">
        <v>7</v>
      </c>
      <c r="G2870">
        <f t="shared" si="132"/>
        <v>48300</v>
      </c>
      <c r="H2870" t="s">
        <v>17</v>
      </c>
      <c r="I2870">
        <f t="shared" si="133"/>
        <v>8280</v>
      </c>
      <c r="J2870">
        <f t="shared" si="134"/>
        <v>57960</v>
      </c>
    </row>
    <row r="2871" spans="1:10" x14ac:dyDescent="0.45">
      <c r="A2871" t="s">
        <v>1315</v>
      </c>
      <c r="B2871" s="1">
        <v>45828</v>
      </c>
      <c r="C2871" t="s">
        <v>12</v>
      </c>
      <c r="D2871" t="s">
        <v>5022</v>
      </c>
      <c r="E2871">
        <v>2880</v>
      </c>
      <c r="F2871">
        <v>1</v>
      </c>
      <c r="G2871">
        <f t="shared" si="132"/>
        <v>2880</v>
      </c>
      <c r="H2871" t="s">
        <v>21</v>
      </c>
      <c r="I2871">
        <f t="shared" si="133"/>
        <v>3456</v>
      </c>
      <c r="J2871">
        <f t="shared" si="134"/>
        <v>3456</v>
      </c>
    </row>
    <row r="2872" spans="1:10" x14ac:dyDescent="0.45">
      <c r="A2872" t="s">
        <v>1316</v>
      </c>
      <c r="B2872" s="1">
        <v>45828</v>
      </c>
      <c r="C2872" t="s">
        <v>9</v>
      </c>
      <c r="D2872" t="s">
        <v>10</v>
      </c>
      <c r="E2872">
        <v>400</v>
      </c>
      <c r="F2872">
        <v>2</v>
      </c>
      <c r="G2872">
        <f t="shared" si="132"/>
        <v>800</v>
      </c>
      <c r="H2872" t="s">
        <v>7</v>
      </c>
      <c r="I2872">
        <f t="shared" si="133"/>
        <v>480</v>
      </c>
      <c r="J2872">
        <f t="shared" si="134"/>
        <v>960</v>
      </c>
    </row>
    <row r="2873" spans="1:10" x14ac:dyDescent="0.45">
      <c r="A2873" t="s">
        <v>1317</v>
      </c>
      <c r="B2873" s="1">
        <v>45828</v>
      </c>
      <c r="C2873" t="s">
        <v>4007</v>
      </c>
      <c r="D2873" t="s">
        <v>5015</v>
      </c>
      <c r="E2873">
        <v>48000</v>
      </c>
      <c r="F2873">
        <v>1</v>
      </c>
      <c r="G2873">
        <f t="shared" si="132"/>
        <v>48000</v>
      </c>
      <c r="H2873" t="s">
        <v>17</v>
      </c>
      <c r="I2873">
        <f t="shared" si="133"/>
        <v>57600</v>
      </c>
      <c r="J2873">
        <f t="shared" si="134"/>
        <v>57600</v>
      </c>
    </row>
    <row r="2874" spans="1:10" x14ac:dyDescent="0.45">
      <c r="A2874" t="s">
        <v>1318</v>
      </c>
      <c r="B2874" s="1">
        <v>45828</v>
      </c>
      <c r="C2874" t="s">
        <v>12</v>
      </c>
      <c r="D2874" t="s">
        <v>5021</v>
      </c>
      <c r="E2874">
        <v>2880</v>
      </c>
      <c r="F2874">
        <v>6</v>
      </c>
      <c r="G2874">
        <f t="shared" si="132"/>
        <v>17280</v>
      </c>
      <c r="H2874" t="s">
        <v>17</v>
      </c>
      <c r="I2874">
        <f t="shared" si="133"/>
        <v>3456</v>
      </c>
      <c r="J2874">
        <f t="shared" si="134"/>
        <v>20736</v>
      </c>
    </row>
    <row r="2875" spans="1:10" x14ac:dyDescent="0.45">
      <c r="A2875" t="s">
        <v>1319</v>
      </c>
      <c r="B2875" s="1">
        <v>45828</v>
      </c>
      <c r="C2875" t="s">
        <v>4007</v>
      </c>
      <c r="D2875" t="s">
        <v>39</v>
      </c>
      <c r="E2875">
        <v>6000</v>
      </c>
      <c r="F2875">
        <v>10</v>
      </c>
      <c r="G2875">
        <f t="shared" si="132"/>
        <v>60000</v>
      </c>
      <c r="H2875" t="s">
        <v>7</v>
      </c>
      <c r="I2875">
        <f t="shared" si="133"/>
        <v>7200</v>
      </c>
      <c r="J2875">
        <f t="shared" si="134"/>
        <v>72000</v>
      </c>
    </row>
    <row r="2876" spans="1:10" x14ac:dyDescent="0.45">
      <c r="A2876" t="s">
        <v>3001</v>
      </c>
      <c r="B2876" s="1">
        <v>45828</v>
      </c>
      <c r="C2876" t="s">
        <v>33</v>
      </c>
      <c r="D2876" t="s">
        <v>14</v>
      </c>
      <c r="E2876">
        <v>800</v>
      </c>
      <c r="F2876">
        <v>8</v>
      </c>
      <c r="G2876">
        <f t="shared" si="132"/>
        <v>6400</v>
      </c>
      <c r="H2876" t="s">
        <v>7</v>
      </c>
      <c r="I2876">
        <f t="shared" si="133"/>
        <v>960</v>
      </c>
      <c r="J2876">
        <f t="shared" si="134"/>
        <v>7680</v>
      </c>
    </row>
    <row r="2877" spans="1:10" x14ac:dyDescent="0.45">
      <c r="A2877" t="s">
        <v>3805</v>
      </c>
      <c r="B2877" s="1">
        <v>45828</v>
      </c>
      <c r="C2877" t="s">
        <v>4007</v>
      </c>
      <c r="D2877" t="s">
        <v>28</v>
      </c>
      <c r="E2877">
        <v>500</v>
      </c>
      <c r="F2877">
        <v>1</v>
      </c>
      <c r="G2877">
        <f t="shared" si="132"/>
        <v>500</v>
      </c>
      <c r="H2877" t="s">
        <v>21</v>
      </c>
      <c r="I2877">
        <f t="shared" si="133"/>
        <v>600</v>
      </c>
      <c r="J2877">
        <f t="shared" si="134"/>
        <v>600</v>
      </c>
    </row>
    <row r="2878" spans="1:10" x14ac:dyDescent="0.45">
      <c r="A2878" t="s">
        <v>3848</v>
      </c>
      <c r="B2878" s="1">
        <v>45828</v>
      </c>
      <c r="C2878" t="s">
        <v>4007</v>
      </c>
      <c r="D2878" t="s">
        <v>2774</v>
      </c>
      <c r="E2878">
        <v>1900</v>
      </c>
      <c r="F2878">
        <v>6</v>
      </c>
      <c r="G2878">
        <f t="shared" si="132"/>
        <v>11400</v>
      </c>
      <c r="H2878" t="s">
        <v>17</v>
      </c>
      <c r="I2878">
        <f t="shared" si="133"/>
        <v>2280</v>
      </c>
      <c r="J2878">
        <f t="shared" si="134"/>
        <v>13680</v>
      </c>
    </row>
    <row r="2879" spans="1:10" x14ac:dyDescent="0.45">
      <c r="A2879" t="s">
        <v>1320</v>
      </c>
      <c r="B2879" s="1">
        <v>45829</v>
      </c>
      <c r="C2879" t="s">
        <v>4007</v>
      </c>
      <c r="D2879" t="s">
        <v>28</v>
      </c>
      <c r="E2879">
        <v>500</v>
      </c>
      <c r="F2879">
        <v>5</v>
      </c>
      <c r="G2879">
        <f t="shared" si="132"/>
        <v>2500</v>
      </c>
      <c r="H2879" t="s">
        <v>21</v>
      </c>
      <c r="I2879">
        <f t="shared" si="133"/>
        <v>600</v>
      </c>
      <c r="J2879">
        <f t="shared" si="134"/>
        <v>3000</v>
      </c>
    </row>
    <row r="2880" spans="1:10" x14ac:dyDescent="0.45">
      <c r="A2880" t="s">
        <v>1321</v>
      </c>
      <c r="B2880" s="1">
        <v>45829</v>
      </c>
      <c r="C2880" t="s">
        <v>4007</v>
      </c>
      <c r="D2880" t="s">
        <v>5015</v>
      </c>
      <c r="E2880">
        <v>48000</v>
      </c>
      <c r="F2880">
        <v>6</v>
      </c>
      <c r="G2880">
        <f t="shared" si="132"/>
        <v>288000</v>
      </c>
      <c r="H2880" t="s">
        <v>7</v>
      </c>
      <c r="I2880">
        <f t="shared" si="133"/>
        <v>57600</v>
      </c>
      <c r="J2880">
        <f t="shared" si="134"/>
        <v>345600</v>
      </c>
    </row>
    <row r="2881" spans="1:10" x14ac:dyDescent="0.45">
      <c r="A2881" t="s">
        <v>1322</v>
      </c>
      <c r="B2881" s="1">
        <v>45829</v>
      </c>
      <c r="C2881" t="s">
        <v>12</v>
      </c>
      <c r="D2881" t="s">
        <v>5021</v>
      </c>
      <c r="E2881">
        <v>2880</v>
      </c>
      <c r="F2881">
        <v>4</v>
      </c>
      <c r="G2881">
        <f t="shared" si="132"/>
        <v>11520</v>
      </c>
      <c r="H2881" t="s">
        <v>17</v>
      </c>
      <c r="I2881">
        <f t="shared" si="133"/>
        <v>3456</v>
      </c>
      <c r="J2881">
        <f t="shared" si="134"/>
        <v>13824</v>
      </c>
    </row>
    <row r="2882" spans="1:10" x14ac:dyDescent="0.45">
      <c r="A2882" t="s">
        <v>1323</v>
      </c>
      <c r="B2882" s="1">
        <v>45829</v>
      </c>
      <c r="C2882" t="s">
        <v>33</v>
      </c>
      <c r="D2882" t="s">
        <v>42</v>
      </c>
      <c r="E2882">
        <v>6900</v>
      </c>
      <c r="F2882">
        <v>9</v>
      </c>
      <c r="G2882">
        <f t="shared" ref="G2882:G2945" si="135">E2882*F2882</f>
        <v>62100</v>
      </c>
      <c r="H2882" t="s">
        <v>7</v>
      </c>
      <c r="I2882">
        <f t="shared" ref="I2882:I2945" si="136">E2882*1.2</f>
        <v>8280</v>
      </c>
      <c r="J2882">
        <f t="shared" ref="J2882:J2945" si="137">I2882*F2882</f>
        <v>74520</v>
      </c>
    </row>
    <row r="2883" spans="1:10" x14ac:dyDescent="0.45">
      <c r="A2883" t="s">
        <v>1324</v>
      </c>
      <c r="B2883" s="1">
        <v>45829</v>
      </c>
      <c r="C2883" t="s">
        <v>4007</v>
      </c>
      <c r="D2883" t="s">
        <v>28</v>
      </c>
      <c r="E2883">
        <v>500</v>
      </c>
      <c r="F2883">
        <v>9</v>
      </c>
      <c r="G2883">
        <f t="shared" si="135"/>
        <v>4500</v>
      </c>
      <c r="H2883" t="s">
        <v>17</v>
      </c>
      <c r="I2883">
        <f t="shared" si="136"/>
        <v>600</v>
      </c>
      <c r="J2883">
        <f t="shared" si="137"/>
        <v>5400</v>
      </c>
    </row>
    <row r="2884" spans="1:10" x14ac:dyDescent="0.45">
      <c r="A2884" t="s">
        <v>1325</v>
      </c>
      <c r="B2884" s="1">
        <v>45829</v>
      </c>
      <c r="C2884" t="s">
        <v>33</v>
      </c>
      <c r="D2884" t="s">
        <v>34</v>
      </c>
      <c r="E2884">
        <v>1700</v>
      </c>
      <c r="F2884">
        <v>2</v>
      </c>
      <c r="G2884">
        <f t="shared" si="135"/>
        <v>3400</v>
      </c>
      <c r="H2884" t="s">
        <v>7</v>
      </c>
      <c r="I2884">
        <f t="shared" si="136"/>
        <v>2040</v>
      </c>
      <c r="J2884">
        <f t="shared" si="137"/>
        <v>4080</v>
      </c>
    </row>
    <row r="2885" spans="1:10" x14ac:dyDescent="0.45">
      <c r="A2885" t="s">
        <v>1326</v>
      </c>
      <c r="B2885" s="1">
        <v>45829</v>
      </c>
      <c r="C2885" t="s">
        <v>4007</v>
      </c>
      <c r="D2885" t="s">
        <v>4005</v>
      </c>
      <c r="E2885">
        <v>60000</v>
      </c>
      <c r="F2885">
        <v>4</v>
      </c>
      <c r="G2885">
        <f t="shared" si="135"/>
        <v>240000</v>
      </c>
      <c r="H2885" t="s">
        <v>7</v>
      </c>
      <c r="I2885">
        <f t="shared" si="136"/>
        <v>72000</v>
      </c>
      <c r="J2885">
        <f t="shared" si="137"/>
        <v>288000</v>
      </c>
    </row>
    <row r="2886" spans="1:10" x14ac:dyDescent="0.45">
      <c r="A2886" t="s">
        <v>1327</v>
      </c>
      <c r="B2886" s="1">
        <v>45829</v>
      </c>
      <c r="C2886" t="s">
        <v>4007</v>
      </c>
      <c r="D2886" t="s">
        <v>28</v>
      </c>
      <c r="E2886">
        <v>500</v>
      </c>
      <c r="F2886">
        <v>9</v>
      </c>
      <c r="G2886">
        <f t="shared" si="135"/>
        <v>4500</v>
      </c>
      <c r="H2886" t="s">
        <v>21</v>
      </c>
      <c r="I2886">
        <f t="shared" si="136"/>
        <v>600</v>
      </c>
      <c r="J2886">
        <f t="shared" si="137"/>
        <v>5400</v>
      </c>
    </row>
    <row r="2887" spans="1:10" x14ac:dyDescent="0.45">
      <c r="A2887" t="s">
        <v>2902</v>
      </c>
      <c r="B2887" s="1">
        <v>45829</v>
      </c>
      <c r="C2887" t="s">
        <v>2772</v>
      </c>
      <c r="D2887" t="s">
        <v>2771</v>
      </c>
      <c r="E2887">
        <v>120</v>
      </c>
      <c r="F2887">
        <v>3</v>
      </c>
      <c r="G2887">
        <f t="shared" si="135"/>
        <v>360</v>
      </c>
      <c r="H2887" t="s">
        <v>21</v>
      </c>
      <c r="I2887">
        <f t="shared" si="136"/>
        <v>144</v>
      </c>
      <c r="J2887">
        <f t="shared" si="137"/>
        <v>432</v>
      </c>
    </row>
    <row r="2888" spans="1:10" x14ac:dyDescent="0.45">
      <c r="A2888" t="s">
        <v>3078</v>
      </c>
      <c r="B2888" s="1">
        <v>45829</v>
      </c>
      <c r="C2888" t="s">
        <v>33</v>
      </c>
      <c r="D2888" t="s">
        <v>14</v>
      </c>
      <c r="E2888">
        <v>800</v>
      </c>
      <c r="F2888">
        <v>8</v>
      </c>
      <c r="G2888">
        <f t="shared" si="135"/>
        <v>6400</v>
      </c>
      <c r="H2888" t="s">
        <v>17</v>
      </c>
      <c r="I2888">
        <f t="shared" si="136"/>
        <v>960</v>
      </c>
      <c r="J2888">
        <f t="shared" si="137"/>
        <v>7680</v>
      </c>
    </row>
    <row r="2889" spans="1:10" x14ac:dyDescent="0.45">
      <c r="A2889" t="s">
        <v>1328</v>
      </c>
      <c r="B2889" s="1">
        <v>45830</v>
      </c>
      <c r="C2889" t="s">
        <v>33</v>
      </c>
      <c r="D2889" t="s">
        <v>16</v>
      </c>
      <c r="E2889">
        <v>1200</v>
      </c>
      <c r="F2889">
        <v>3</v>
      </c>
      <c r="G2889">
        <f t="shared" si="135"/>
        <v>3600</v>
      </c>
      <c r="H2889" t="s">
        <v>7</v>
      </c>
      <c r="I2889">
        <f t="shared" si="136"/>
        <v>1440</v>
      </c>
      <c r="J2889">
        <f t="shared" si="137"/>
        <v>4320</v>
      </c>
    </row>
    <row r="2890" spans="1:10" x14ac:dyDescent="0.45">
      <c r="A2890" t="s">
        <v>1329</v>
      </c>
      <c r="B2890" s="1">
        <v>45830</v>
      </c>
      <c r="C2890" t="s">
        <v>33</v>
      </c>
      <c r="D2890" t="s">
        <v>16</v>
      </c>
      <c r="E2890">
        <v>1200</v>
      </c>
      <c r="F2890">
        <v>6</v>
      </c>
      <c r="G2890">
        <f t="shared" si="135"/>
        <v>7200</v>
      </c>
      <c r="H2890" t="s">
        <v>7</v>
      </c>
      <c r="I2890">
        <f t="shared" si="136"/>
        <v>1440</v>
      </c>
      <c r="J2890">
        <f t="shared" si="137"/>
        <v>8640</v>
      </c>
    </row>
    <row r="2891" spans="1:10" x14ac:dyDescent="0.45">
      <c r="A2891" t="s">
        <v>1330</v>
      </c>
      <c r="B2891" s="1">
        <v>45830</v>
      </c>
      <c r="C2891" t="s">
        <v>12</v>
      </c>
      <c r="D2891" t="s">
        <v>5021</v>
      </c>
      <c r="E2891">
        <v>2880</v>
      </c>
      <c r="F2891">
        <v>2</v>
      </c>
      <c r="G2891">
        <f t="shared" si="135"/>
        <v>5760</v>
      </c>
      <c r="H2891" t="s">
        <v>17</v>
      </c>
      <c r="I2891">
        <f t="shared" si="136"/>
        <v>3456</v>
      </c>
      <c r="J2891">
        <f t="shared" si="137"/>
        <v>6912</v>
      </c>
    </row>
    <row r="2892" spans="1:10" x14ac:dyDescent="0.45">
      <c r="A2892" t="s">
        <v>1331</v>
      </c>
      <c r="B2892" s="1">
        <v>45830</v>
      </c>
      <c r="C2892" t="s">
        <v>33</v>
      </c>
      <c r="D2892" t="s">
        <v>14</v>
      </c>
      <c r="E2892">
        <v>800</v>
      </c>
      <c r="F2892">
        <v>10</v>
      </c>
      <c r="G2892">
        <f t="shared" si="135"/>
        <v>8000</v>
      </c>
      <c r="H2892" t="s">
        <v>17</v>
      </c>
      <c r="I2892">
        <f t="shared" si="136"/>
        <v>960</v>
      </c>
      <c r="J2892">
        <f t="shared" si="137"/>
        <v>9600</v>
      </c>
    </row>
    <row r="2893" spans="1:10" x14ac:dyDescent="0.45">
      <c r="A2893" t="s">
        <v>1332</v>
      </c>
      <c r="B2893" s="1">
        <v>45830</v>
      </c>
      <c r="C2893" t="s">
        <v>33</v>
      </c>
      <c r="D2893" t="s">
        <v>34</v>
      </c>
      <c r="E2893">
        <v>1700</v>
      </c>
      <c r="F2893">
        <v>3</v>
      </c>
      <c r="G2893">
        <f t="shared" si="135"/>
        <v>5100</v>
      </c>
      <c r="H2893" t="s">
        <v>7</v>
      </c>
      <c r="I2893">
        <f t="shared" si="136"/>
        <v>2040</v>
      </c>
      <c r="J2893">
        <f t="shared" si="137"/>
        <v>6120</v>
      </c>
    </row>
    <row r="2894" spans="1:10" x14ac:dyDescent="0.45">
      <c r="A2894" t="s">
        <v>1333</v>
      </c>
      <c r="B2894" s="1">
        <v>45830</v>
      </c>
      <c r="C2894" t="s">
        <v>4007</v>
      </c>
      <c r="D2894" t="s">
        <v>28</v>
      </c>
      <c r="E2894">
        <v>500</v>
      </c>
      <c r="F2894">
        <v>4</v>
      </c>
      <c r="G2894">
        <f t="shared" si="135"/>
        <v>2000</v>
      </c>
      <c r="H2894" t="s">
        <v>21</v>
      </c>
      <c r="I2894">
        <f t="shared" si="136"/>
        <v>600</v>
      </c>
      <c r="J2894">
        <f t="shared" si="137"/>
        <v>2400</v>
      </c>
    </row>
    <row r="2895" spans="1:10" x14ac:dyDescent="0.45">
      <c r="A2895" t="s">
        <v>1334</v>
      </c>
      <c r="B2895" s="1">
        <v>45830</v>
      </c>
      <c r="C2895" t="s">
        <v>33</v>
      </c>
      <c r="D2895" t="s">
        <v>14</v>
      </c>
      <c r="E2895">
        <v>800</v>
      </c>
      <c r="F2895">
        <v>8</v>
      </c>
      <c r="G2895">
        <f t="shared" si="135"/>
        <v>6400</v>
      </c>
      <c r="H2895" t="s">
        <v>7</v>
      </c>
      <c r="I2895">
        <f t="shared" si="136"/>
        <v>960</v>
      </c>
      <c r="J2895">
        <f t="shared" si="137"/>
        <v>7680</v>
      </c>
    </row>
    <row r="2896" spans="1:10" x14ac:dyDescent="0.45">
      <c r="A2896" t="s">
        <v>2818</v>
      </c>
      <c r="B2896" s="1">
        <v>45830</v>
      </c>
      <c r="C2896" t="s">
        <v>4007</v>
      </c>
      <c r="D2896" t="s">
        <v>2774</v>
      </c>
      <c r="E2896">
        <v>1900</v>
      </c>
      <c r="F2896">
        <v>4</v>
      </c>
      <c r="G2896">
        <f t="shared" si="135"/>
        <v>7600</v>
      </c>
      <c r="H2896" t="s">
        <v>21</v>
      </c>
      <c r="I2896">
        <f t="shared" si="136"/>
        <v>2280</v>
      </c>
      <c r="J2896">
        <f t="shared" si="137"/>
        <v>9120</v>
      </c>
    </row>
    <row r="2897" spans="1:10" x14ac:dyDescent="0.45">
      <c r="A2897" t="s">
        <v>2915</v>
      </c>
      <c r="B2897" s="1">
        <v>45830</v>
      </c>
      <c r="C2897" t="s">
        <v>4007</v>
      </c>
      <c r="D2897" t="s">
        <v>2774</v>
      </c>
      <c r="E2897">
        <v>1900</v>
      </c>
      <c r="F2897">
        <v>7</v>
      </c>
      <c r="G2897">
        <f t="shared" si="135"/>
        <v>13300</v>
      </c>
      <c r="H2897" t="s">
        <v>17</v>
      </c>
      <c r="I2897">
        <f t="shared" si="136"/>
        <v>2280</v>
      </c>
      <c r="J2897">
        <f t="shared" si="137"/>
        <v>15960</v>
      </c>
    </row>
    <row r="2898" spans="1:10" x14ac:dyDescent="0.45">
      <c r="A2898" t="s">
        <v>2949</v>
      </c>
      <c r="B2898" s="1">
        <v>45830</v>
      </c>
      <c r="C2898" t="s">
        <v>33</v>
      </c>
      <c r="D2898" t="s">
        <v>14</v>
      </c>
      <c r="E2898">
        <v>800</v>
      </c>
      <c r="F2898">
        <v>6</v>
      </c>
      <c r="G2898">
        <f t="shared" si="135"/>
        <v>4800</v>
      </c>
      <c r="H2898" t="s">
        <v>7</v>
      </c>
      <c r="I2898">
        <f t="shared" si="136"/>
        <v>960</v>
      </c>
      <c r="J2898">
        <f t="shared" si="137"/>
        <v>5760</v>
      </c>
    </row>
    <row r="2899" spans="1:10" x14ac:dyDescent="0.45">
      <c r="A2899" t="s">
        <v>3211</v>
      </c>
      <c r="B2899" s="1">
        <v>45830</v>
      </c>
      <c r="C2899" t="s">
        <v>2772</v>
      </c>
      <c r="D2899" t="s">
        <v>2775</v>
      </c>
      <c r="E2899">
        <v>9100</v>
      </c>
      <c r="F2899">
        <v>8</v>
      </c>
      <c r="G2899">
        <f t="shared" si="135"/>
        <v>72800</v>
      </c>
      <c r="H2899" t="s">
        <v>21</v>
      </c>
      <c r="I2899">
        <f t="shared" si="136"/>
        <v>10920</v>
      </c>
      <c r="J2899">
        <f t="shared" si="137"/>
        <v>87360</v>
      </c>
    </row>
    <row r="2900" spans="1:10" x14ac:dyDescent="0.45">
      <c r="A2900" t="s">
        <v>3260</v>
      </c>
      <c r="B2900" s="1">
        <v>45830</v>
      </c>
      <c r="C2900" t="s">
        <v>4007</v>
      </c>
      <c r="D2900" t="s">
        <v>2773</v>
      </c>
      <c r="E2900">
        <v>3300</v>
      </c>
      <c r="F2900">
        <v>9</v>
      </c>
      <c r="G2900">
        <f t="shared" si="135"/>
        <v>29700</v>
      </c>
      <c r="H2900" t="s">
        <v>21</v>
      </c>
      <c r="I2900">
        <f t="shared" si="136"/>
        <v>3960</v>
      </c>
      <c r="J2900">
        <f t="shared" si="137"/>
        <v>35640</v>
      </c>
    </row>
    <row r="2901" spans="1:10" x14ac:dyDescent="0.45">
      <c r="A2901" t="s">
        <v>3337</v>
      </c>
      <c r="B2901" s="1">
        <v>45830</v>
      </c>
      <c r="C2901" t="s">
        <v>4007</v>
      </c>
      <c r="D2901" t="s">
        <v>2770</v>
      </c>
      <c r="E2901">
        <v>600</v>
      </c>
      <c r="F2901">
        <v>6</v>
      </c>
      <c r="G2901">
        <f t="shared" si="135"/>
        <v>3600</v>
      </c>
      <c r="H2901" t="s">
        <v>7</v>
      </c>
      <c r="I2901">
        <f t="shared" si="136"/>
        <v>720</v>
      </c>
      <c r="J2901">
        <f t="shared" si="137"/>
        <v>4320</v>
      </c>
    </row>
    <row r="2902" spans="1:10" x14ac:dyDescent="0.45">
      <c r="A2902" t="s">
        <v>1335</v>
      </c>
      <c r="B2902" s="1">
        <v>45831</v>
      </c>
      <c r="C2902" t="s">
        <v>12</v>
      </c>
      <c r="D2902" t="s">
        <v>5021</v>
      </c>
      <c r="E2902">
        <v>2880</v>
      </c>
      <c r="F2902">
        <v>7</v>
      </c>
      <c r="G2902">
        <f t="shared" si="135"/>
        <v>20160</v>
      </c>
      <c r="H2902" t="s">
        <v>17</v>
      </c>
      <c r="I2902">
        <f t="shared" si="136"/>
        <v>3456</v>
      </c>
      <c r="J2902">
        <f t="shared" si="137"/>
        <v>24192</v>
      </c>
    </row>
    <row r="2903" spans="1:10" x14ac:dyDescent="0.45">
      <c r="A2903" t="s">
        <v>1336</v>
      </c>
      <c r="B2903" s="1">
        <v>45831</v>
      </c>
      <c r="C2903" t="s">
        <v>9</v>
      </c>
      <c r="D2903" t="s">
        <v>10</v>
      </c>
      <c r="E2903">
        <v>400</v>
      </c>
      <c r="F2903">
        <v>10</v>
      </c>
      <c r="G2903">
        <f t="shared" si="135"/>
        <v>4000</v>
      </c>
      <c r="H2903" t="s">
        <v>17</v>
      </c>
      <c r="I2903">
        <f t="shared" si="136"/>
        <v>480</v>
      </c>
      <c r="J2903">
        <f t="shared" si="137"/>
        <v>4800</v>
      </c>
    </row>
    <row r="2904" spans="1:10" x14ac:dyDescent="0.45">
      <c r="A2904" t="s">
        <v>1337</v>
      </c>
      <c r="B2904" s="1">
        <v>45831</v>
      </c>
      <c r="C2904" t="s">
        <v>4007</v>
      </c>
      <c r="D2904" t="s">
        <v>39</v>
      </c>
      <c r="E2904">
        <v>6000</v>
      </c>
      <c r="F2904">
        <v>8</v>
      </c>
      <c r="G2904">
        <f t="shared" si="135"/>
        <v>48000</v>
      </c>
      <c r="H2904" t="s">
        <v>7</v>
      </c>
      <c r="I2904">
        <f t="shared" si="136"/>
        <v>7200</v>
      </c>
      <c r="J2904">
        <f t="shared" si="137"/>
        <v>57600</v>
      </c>
    </row>
    <row r="2905" spans="1:10" x14ac:dyDescent="0.45">
      <c r="A2905" t="s">
        <v>1338</v>
      </c>
      <c r="B2905" s="1">
        <v>45831</v>
      </c>
      <c r="C2905" t="s">
        <v>33</v>
      </c>
      <c r="D2905" t="s">
        <v>14</v>
      </c>
      <c r="E2905">
        <v>800</v>
      </c>
      <c r="F2905">
        <v>10</v>
      </c>
      <c r="G2905">
        <f t="shared" si="135"/>
        <v>8000</v>
      </c>
      <c r="H2905" t="s">
        <v>21</v>
      </c>
      <c r="I2905">
        <f t="shared" si="136"/>
        <v>960</v>
      </c>
      <c r="J2905">
        <f t="shared" si="137"/>
        <v>9600</v>
      </c>
    </row>
    <row r="2906" spans="1:10" x14ac:dyDescent="0.45">
      <c r="A2906" t="s">
        <v>1339</v>
      </c>
      <c r="B2906" s="1">
        <v>45831</v>
      </c>
      <c r="C2906" t="s">
        <v>4007</v>
      </c>
      <c r="D2906" t="s">
        <v>4005</v>
      </c>
      <c r="E2906">
        <v>60000</v>
      </c>
      <c r="F2906">
        <v>2</v>
      </c>
      <c r="G2906">
        <f t="shared" si="135"/>
        <v>120000</v>
      </c>
      <c r="H2906" t="s">
        <v>7</v>
      </c>
      <c r="I2906">
        <f t="shared" si="136"/>
        <v>72000</v>
      </c>
      <c r="J2906">
        <f t="shared" si="137"/>
        <v>144000</v>
      </c>
    </row>
    <row r="2907" spans="1:10" x14ac:dyDescent="0.45">
      <c r="A2907" t="s">
        <v>1340</v>
      </c>
      <c r="B2907" s="1">
        <v>45831</v>
      </c>
      <c r="C2907" t="s">
        <v>12</v>
      </c>
      <c r="D2907" t="s">
        <v>5023</v>
      </c>
      <c r="E2907">
        <v>1750</v>
      </c>
      <c r="F2907">
        <v>7</v>
      </c>
      <c r="G2907">
        <f t="shared" si="135"/>
        <v>12250</v>
      </c>
      <c r="H2907" t="s">
        <v>7</v>
      </c>
      <c r="I2907">
        <f t="shared" si="136"/>
        <v>2100</v>
      </c>
      <c r="J2907">
        <f t="shared" si="137"/>
        <v>14700</v>
      </c>
    </row>
    <row r="2908" spans="1:10" x14ac:dyDescent="0.45">
      <c r="A2908" t="s">
        <v>1341</v>
      </c>
      <c r="B2908" s="1">
        <v>45831</v>
      </c>
      <c r="C2908" t="s">
        <v>9</v>
      </c>
      <c r="D2908" t="s">
        <v>19</v>
      </c>
      <c r="E2908">
        <v>3000</v>
      </c>
      <c r="F2908">
        <v>1</v>
      </c>
      <c r="G2908">
        <f t="shared" si="135"/>
        <v>3000</v>
      </c>
      <c r="H2908" t="s">
        <v>7</v>
      </c>
      <c r="I2908">
        <f t="shared" si="136"/>
        <v>3600</v>
      </c>
      <c r="J2908">
        <f t="shared" si="137"/>
        <v>3600</v>
      </c>
    </row>
    <row r="2909" spans="1:10" x14ac:dyDescent="0.45">
      <c r="A2909" t="s">
        <v>1342</v>
      </c>
      <c r="B2909" s="1">
        <v>45831</v>
      </c>
      <c r="C2909" t="s">
        <v>33</v>
      </c>
      <c r="D2909" t="s">
        <v>42</v>
      </c>
      <c r="E2909">
        <v>6900</v>
      </c>
      <c r="F2909">
        <v>8</v>
      </c>
      <c r="G2909">
        <f t="shared" si="135"/>
        <v>55200</v>
      </c>
      <c r="H2909" t="s">
        <v>21</v>
      </c>
      <c r="I2909">
        <f t="shared" si="136"/>
        <v>8280</v>
      </c>
      <c r="J2909">
        <f t="shared" si="137"/>
        <v>66240</v>
      </c>
    </row>
    <row r="2910" spans="1:10" x14ac:dyDescent="0.45">
      <c r="A2910" t="s">
        <v>1343</v>
      </c>
      <c r="B2910" s="1">
        <v>45831</v>
      </c>
      <c r="C2910" t="s">
        <v>12</v>
      </c>
      <c r="D2910" t="s">
        <v>5020</v>
      </c>
      <c r="E2910">
        <v>2880</v>
      </c>
      <c r="F2910">
        <v>4</v>
      </c>
      <c r="G2910">
        <f t="shared" si="135"/>
        <v>11520</v>
      </c>
      <c r="H2910" t="s">
        <v>21</v>
      </c>
      <c r="I2910">
        <f t="shared" si="136"/>
        <v>3456</v>
      </c>
      <c r="J2910">
        <f t="shared" si="137"/>
        <v>13824</v>
      </c>
    </row>
    <row r="2911" spans="1:10" x14ac:dyDescent="0.45">
      <c r="A2911" t="s">
        <v>1344</v>
      </c>
      <c r="B2911" s="1">
        <v>45831</v>
      </c>
      <c r="C2911" t="s">
        <v>9</v>
      </c>
      <c r="D2911" t="s">
        <v>19</v>
      </c>
      <c r="E2911">
        <v>3000</v>
      </c>
      <c r="F2911">
        <v>8</v>
      </c>
      <c r="G2911">
        <f t="shared" si="135"/>
        <v>24000</v>
      </c>
      <c r="H2911" t="s">
        <v>7</v>
      </c>
      <c r="I2911">
        <f t="shared" si="136"/>
        <v>3600</v>
      </c>
      <c r="J2911">
        <f t="shared" si="137"/>
        <v>28800</v>
      </c>
    </row>
    <row r="2912" spans="1:10" x14ac:dyDescent="0.45">
      <c r="A2912" t="s">
        <v>2851</v>
      </c>
      <c r="B2912" s="1">
        <v>45831</v>
      </c>
      <c r="C2912" t="s">
        <v>4007</v>
      </c>
      <c r="D2912" t="s">
        <v>2774</v>
      </c>
      <c r="E2912">
        <v>1900</v>
      </c>
      <c r="F2912">
        <v>2</v>
      </c>
      <c r="G2912">
        <f t="shared" si="135"/>
        <v>3800</v>
      </c>
      <c r="H2912" t="s">
        <v>17</v>
      </c>
      <c r="I2912">
        <f t="shared" si="136"/>
        <v>2280</v>
      </c>
      <c r="J2912">
        <f t="shared" si="137"/>
        <v>4560</v>
      </c>
    </row>
    <row r="2913" spans="1:10" x14ac:dyDescent="0.45">
      <c r="A2913" t="s">
        <v>3416</v>
      </c>
      <c r="B2913" s="1">
        <v>45831</v>
      </c>
      <c r="C2913" t="s">
        <v>33</v>
      </c>
      <c r="D2913" t="s">
        <v>34</v>
      </c>
      <c r="E2913">
        <v>1700</v>
      </c>
      <c r="F2913">
        <v>6</v>
      </c>
      <c r="G2913">
        <f t="shared" si="135"/>
        <v>10200</v>
      </c>
      <c r="H2913" t="s">
        <v>7</v>
      </c>
      <c r="I2913">
        <f t="shared" si="136"/>
        <v>2040</v>
      </c>
      <c r="J2913">
        <f t="shared" si="137"/>
        <v>12240</v>
      </c>
    </row>
    <row r="2914" spans="1:10" x14ac:dyDescent="0.45">
      <c r="A2914" t="s">
        <v>3719</v>
      </c>
      <c r="B2914" s="1">
        <v>45831</v>
      </c>
      <c r="C2914" t="s">
        <v>4007</v>
      </c>
      <c r="D2914" t="s">
        <v>2776</v>
      </c>
      <c r="E2914">
        <v>3600</v>
      </c>
      <c r="F2914">
        <v>2</v>
      </c>
      <c r="G2914">
        <f t="shared" si="135"/>
        <v>7200</v>
      </c>
      <c r="H2914" t="s">
        <v>7</v>
      </c>
      <c r="I2914">
        <f t="shared" si="136"/>
        <v>4320</v>
      </c>
      <c r="J2914">
        <f t="shared" si="137"/>
        <v>8640</v>
      </c>
    </row>
    <row r="2915" spans="1:10" x14ac:dyDescent="0.45">
      <c r="A2915" t="s">
        <v>1345</v>
      </c>
      <c r="B2915" s="1">
        <v>45832</v>
      </c>
      <c r="C2915" t="s">
        <v>12</v>
      </c>
      <c r="D2915" t="s">
        <v>5021</v>
      </c>
      <c r="E2915">
        <v>2880</v>
      </c>
      <c r="F2915">
        <v>2</v>
      </c>
      <c r="G2915">
        <f t="shared" si="135"/>
        <v>5760</v>
      </c>
      <c r="H2915" t="s">
        <v>7</v>
      </c>
      <c r="I2915">
        <f t="shared" si="136"/>
        <v>3456</v>
      </c>
      <c r="J2915">
        <f t="shared" si="137"/>
        <v>6912</v>
      </c>
    </row>
    <row r="2916" spans="1:10" x14ac:dyDescent="0.45">
      <c r="A2916" t="s">
        <v>1346</v>
      </c>
      <c r="B2916" s="1">
        <v>45832</v>
      </c>
      <c r="C2916" t="s">
        <v>4007</v>
      </c>
      <c r="D2916" t="s">
        <v>28</v>
      </c>
      <c r="E2916">
        <v>500</v>
      </c>
      <c r="F2916">
        <v>10</v>
      </c>
      <c r="G2916">
        <f t="shared" si="135"/>
        <v>5000</v>
      </c>
      <c r="H2916" t="s">
        <v>17</v>
      </c>
      <c r="I2916">
        <f t="shared" si="136"/>
        <v>600</v>
      </c>
      <c r="J2916">
        <f t="shared" si="137"/>
        <v>6000</v>
      </c>
    </row>
    <row r="2917" spans="1:10" x14ac:dyDescent="0.45">
      <c r="A2917" t="s">
        <v>1347</v>
      </c>
      <c r="B2917" s="1">
        <v>45832</v>
      </c>
      <c r="C2917" t="s">
        <v>12</v>
      </c>
      <c r="D2917" t="s">
        <v>5022</v>
      </c>
      <c r="E2917">
        <v>2880</v>
      </c>
      <c r="F2917">
        <v>2</v>
      </c>
      <c r="G2917">
        <f t="shared" si="135"/>
        <v>5760</v>
      </c>
      <c r="H2917" t="s">
        <v>7</v>
      </c>
      <c r="I2917">
        <f t="shared" si="136"/>
        <v>3456</v>
      </c>
      <c r="J2917">
        <f t="shared" si="137"/>
        <v>6912</v>
      </c>
    </row>
    <row r="2918" spans="1:10" x14ac:dyDescent="0.45">
      <c r="A2918" t="s">
        <v>1348</v>
      </c>
      <c r="B2918" s="1">
        <v>45832</v>
      </c>
      <c r="C2918" t="s">
        <v>33</v>
      </c>
      <c r="D2918" t="s">
        <v>14</v>
      </c>
      <c r="E2918">
        <v>800</v>
      </c>
      <c r="F2918">
        <v>7</v>
      </c>
      <c r="G2918">
        <f t="shared" si="135"/>
        <v>5600</v>
      </c>
      <c r="H2918" t="s">
        <v>7</v>
      </c>
      <c r="I2918">
        <f t="shared" si="136"/>
        <v>960</v>
      </c>
      <c r="J2918">
        <f t="shared" si="137"/>
        <v>6720</v>
      </c>
    </row>
    <row r="2919" spans="1:10" x14ac:dyDescent="0.45">
      <c r="A2919" t="s">
        <v>1349</v>
      </c>
      <c r="B2919" s="1">
        <v>45832</v>
      </c>
      <c r="C2919" t="s">
        <v>4007</v>
      </c>
      <c r="D2919" t="s">
        <v>28</v>
      </c>
      <c r="E2919">
        <v>500</v>
      </c>
      <c r="F2919">
        <v>4</v>
      </c>
      <c r="G2919">
        <f t="shared" si="135"/>
        <v>2000</v>
      </c>
      <c r="H2919" t="s">
        <v>21</v>
      </c>
      <c r="I2919">
        <f t="shared" si="136"/>
        <v>600</v>
      </c>
      <c r="J2919">
        <f t="shared" si="137"/>
        <v>2400</v>
      </c>
    </row>
    <row r="2920" spans="1:10" x14ac:dyDescent="0.45">
      <c r="A2920" t="s">
        <v>1350</v>
      </c>
      <c r="B2920" s="1">
        <v>45832</v>
      </c>
      <c r="C2920" t="s">
        <v>12</v>
      </c>
      <c r="D2920" t="s">
        <v>5023</v>
      </c>
      <c r="E2920">
        <v>1750</v>
      </c>
      <c r="F2920">
        <v>1</v>
      </c>
      <c r="G2920">
        <f t="shared" si="135"/>
        <v>1750</v>
      </c>
      <c r="H2920" t="s">
        <v>21</v>
      </c>
      <c r="I2920">
        <f t="shared" si="136"/>
        <v>2100</v>
      </c>
      <c r="J2920">
        <f t="shared" si="137"/>
        <v>2100</v>
      </c>
    </row>
    <row r="2921" spans="1:10" x14ac:dyDescent="0.45">
      <c r="A2921" t="s">
        <v>1351</v>
      </c>
      <c r="B2921" s="1">
        <v>45832</v>
      </c>
      <c r="C2921" t="s">
        <v>12</v>
      </c>
      <c r="D2921" t="s">
        <v>5023</v>
      </c>
      <c r="E2921">
        <v>1750</v>
      </c>
      <c r="F2921">
        <v>9</v>
      </c>
      <c r="G2921">
        <f t="shared" si="135"/>
        <v>15750</v>
      </c>
      <c r="H2921" t="s">
        <v>17</v>
      </c>
      <c r="I2921">
        <f t="shared" si="136"/>
        <v>2100</v>
      </c>
      <c r="J2921">
        <f t="shared" si="137"/>
        <v>18900</v>
      </c>
    </row>
    <row r="2922" spans="1:10" x14ac:dyDescent="0.45">
      <c r="A2922" t="s">
        <v>1352</v>
      </c>
      <c r="B2922" s="1">
        <v>45832</v>
      </c>
      <c r="C2922" t="s">
        <v>33</v>
      </c>
      <c r="D2922" t="s">
        <v>16</v>
      </c>
      <c r="E2922">
        <v>1200</v>
      </c>
      <c r="F2922">
        <v>1</v>
      </c>
      <c r="G2922">
        <f t="shared" si="135"/>
        <v>1200</v>
      </c>
      <c r="H2922" t="s">
        <v>21</v>
      </c>
      <c r="I2922">
        <f t="shared" si="136"/>
        <v>1440</v>
      </c>
      <c r="J2922">
        <f t="shared" si="137"/>
        <v>1440</v>
      </c>
    </row>
    <row r="2923" spans="1:10" x14ac:dyDescent="0.45">
      <c r="A2923" t="s">
        <v>2908</v>
      </c>
      <c r="B2923" s="1">
        <v>45832</v>
      </c>
      <c r="C2923" t="s">
        <v>33</v>
      </c>
      <c r="D2923" t="s">
        <v>14</v>
      </c>
      <c r="E2923">
        <v>800</v>
      </c>
      <c r="F2923">
        <v>9</v>
      </c>
      <c r="G2923">
        <f t="shared" si="135"/>
        <v>7200</v>
      </c>
      <c r="H2923" t="s">
        <v>7</v>
      </c>
      <c r="I2923">
        <f t="shared" si="136"/>
        <v>960</v>
      </c>
      <c r="J2923">
        <f t="shared" si="137"/>
        <v>8640</v>
      </c>
    </row>
    <row r="2924" spans="1:10" x14ac:dyDescent="0.45">
      <c r="A2924" t="s">
        <v>3300</v>
      </c>
      <c r="B2924" s="1">
        <v>45832</v>
      </c>
      <c r="C2924" t="s">
        <v>33</v>
      </c>
      <c r="D2924" t="s">
        <v>34</v>
      </c>
      <c r="E2924">
        <v>1700</v>
      </c>
      <c r="F2924">
        <v>6</v>
      </c>
      <c r="G2924">
        <f t="shared" si="135"/>
        <v>10200</v>
      </c>
      <c r="H2924" t="s">
        <v>21</v>
      </c>
      <c r="I2924">
        <f t="shared" si="136"/>
        <v>2040</v>
      </c>
      <c r="J2924">
        <f t="shared" si="137"/>
        <v>12240</v>
      </c>
    </row>
    <row r="2925" spans="1:10" x14ac:dyDescent="0.45">
      <c r="A2925" t="s">
        <v>3452</v>
      </c>
      <c r="B2925" s="1">
        <v>45832</v>
      </c>
      <c r="C2925" t="s">
        <v>33</v>
      </c>
      <c r="D2925" t="s">
        <v>34</v>
      </c>
      <c r="E2925">
        <v>1700</v>
      </c>
      <c r="F2925">
        <v>1</v>
      </c>
      <c r="G2925">
        <f t="shared" si="135"/>
        <v>1700</v>
      </c>
      <c r="H2925" t="s">
        <v>21</v>
      </c>
      <c r="I2925">
        <f t="shared" si="136"/>
        <v>2040</v>
      </c>
      <c r="J2925">
        <f t="shared" si="137"/>
        <v>2040</v>
      </c>
    </row>
    <row r="2926" spans="1:10" x14ac:dyDescent="0.45">
      <c r="A2926" t="s">
        <v>3901</v>
      </c>
      <c r="B2926" s="1">
        <v>45832</v>
      </c>
      <c r="C2926" t="s">
        <v>4007</v>
      </c>
      <c r="D2926" t="s">
        <v>2773</v>
      </c>
      <c r="E2926">
        <v>3300</v>
      </c>
      <c r="F2926">
        <v>10</v>
      </c>
      <c r="G2926">
        <f t="shared" si="135"/>
        <v>33000</v>
      </c>
      <c r="H2926" t="s">
        <v>17</v>
      </c>
      <c r="I2926">
        <f t="shared" si="136"/>
        <v>3960</v>
      </c>
      <c r="J2926">
        <f t="shared" si="137"/>
        <v>39600</v>
      </c>
    </row>
    <row r="2927" spans="1:10" x14ac:dyDescent="0.45">
      <c r="A2927" t="s">
        <v>1353</v>
      </c>
      <c r="B2927" s="1">
        <v>45833</v>
      </c>
      <c r="C2927" t="s">
        <v>9</v>
      </c>
      <c r="D2927" t="s">
        <v>19</v>
      </c>
      <c r="E2927">
        <v>3000</v>
      </c>
      <c r="F2927">
        <v>3</v>
      </c>
      <c r="G2927">
        <f t="shared" si="135"/>
        <v>9000</v>
      </c>
      <c r="H2927" t="s">
        <v>7</v>
      </c>
      <c r="I2927">
        <f t="shared" si="136"/>
        <v>3600</v>
      </c>
      <c r="J2927">
        <f t="shared" si="137"/>
        <v>10800</v>
      </c>
    </row>
    <row r="2928" spans="1:10" x14ac:dyDescent="0.45">
      <c r="A2928" t="s">
        <v>1354</v>
      </c>
      <c r="B2928" s="1">
        <v>45833</v>
      </c>
      <c r="C2928" t="s">
        <v>4007</v>
      </c>
      <c r="D2928" t="s">
        <v>39</v>
      </c>
      <c r="E2928">
        <v>6000</v>
      </c>
      <c r="F2928">
        <v>1</v>
      </c>
      <c r="G2928">
        <f t="shared" si="135"/>
        <v>6000</v>
      </c>
      <c r="H2928" t="s">
        <v>21</v>
      </c>
      <c r="I2928">
        <f t="shared" si="136"/>
        <v>7200</v>
      </c>
      <c r="J2928">
        <f t="shared" si="137"/>
        <v>7200</v>
      </c>
    </row>
    <row r="2929" spans="1:10" x14ac:dyDescent="0.45">
      <c r="A2929" t="s">
        <v>1355</v>
      </c>
      <c r="B2929" s="1">
        <v>45833</v>
      </c>
      <c r="C2929" t="s">
        <v>9</v>
      </c>
      <c r="D2929" t="s">
        <v>25</v>
      </c>
      <c r="E2929">
        <v>5200</v>
      </c>
      <c r="F2929">
        <v>7</v>
      </c>
      <c r="G2929">
        <f t="shared" si="135"/>
        <v>36400</v>
      </c>
      <c r="H2929" t="s">
        <v>21</v>
      </c>
      <c r="I2929">
        <f t="shared" si="136"/>
        <v>6240</v>
      </c>
      <c r="J2929">
        <f t="shared" si="137"/>
        <v>43680</v>
      </c>
    </row>
    <row r="2930" spans="1:10" x14ac:dyDescent="0.45">
      <c r="A2930" t="s">
        <v>1356</v>
      </c>
      <c r="B2930" s="1">
        <v>45833</v>
      </c>
      <c r="C2930" t="s">
        <v>12</v>
      </c>
      <c r="D2930" t="s">
        <v>5021</v>
      </c>
      <c r="E2930">
        <v>2880</v>
      </c>
      <c r="F2930">
        <v>10</v>
      </c>
      <c r="G2930">
        <f t="shared" si="135"/>
        <v>28800</v>
      </c>
      <c r="H2930" t="s">
        <v>17</v>
      </c>
      <c r="I2930">
        <f t="shared" si="136"/>
        <v>3456</v>
      </c>
      <c r="J2930">
        <f t="shared" si="137"/>
        <v>34560</v>
      </c>
    </row>
    <row r="2931" spans="1:10" x14ac:dyDescent="0.45">
      <c r="A2931" t="s">
        <v>1357</v>
      </c>
      <c r="B2931" s="1">
        <v>45833</v>
      </c>
      <c r="C2931" t="s">
        <v>12</v>
      </c>
      <c r="D2931" t="s">
        <v>5021</v>
      </c>
      <c r="E2931">
        <v>2880</v>
      </c>
      <c r="F2931">
        <v>3</v>
      </c>
      <c r="G2931">
        <f t="shared" si="135"/>
        <v>8640</v>
      </c>
      <c r="H2931" t="s">
        <v>7</v>
      </c>
      <c r="I2931">
        <f t="shared" si="136"/>
        <v>3456</v>
      </c>
      <c r="J2931">
        <f t="shared" si="137"/>
        <v>10368</v>
      </c>
    </row>
    <row r="2932" spans="1:10" x14ac:dyDescent="0.45">
      <c r="A2932" t="s">
        <v>1358</v>
      </c>
      <c r="B2932" s="1">
        <v>45833</v>
      </c>
      <c r="C2932" t="s">
        <v>9</v>
      </c>
      <c r="D2932" t="s">
        <v>25</v>
      </c>
      <c r="E2932">
        <v>5200</v>
      </c>
      <c r="F2932">
        <v>2</v>
      </c>
      <c r="G2932">
        <f t="shared" si="135"/>
        <v>10400</v>
      </c>
      <c r="H2932" t="s">
        <v>21</v>
      </c>
      <c r="I2932">
        <f t="shared" si="136"/>
        <v>6240</v>
      </c>
      <c r="J2932">
        <f t="shared" si="137"/>
        <v>12480</v>
      </c>
    </row>
    <row r="2933" spans="1:10" x14ac:dyDescent="0.45">
      <c r="A2933" t="s">
        <v>1359</v>
      </c>
      <c r="B2933" s="1">
        <v>45833</v>
      </c>
      <c r="C2933" t="s">
        <v>9</v>
      </c>
      <c r="D2933" t="s">
        <v>10</v>
      </c>
      <c r="E2933">
        <v>400</v>
      </c>
      <c r="F2933">
        <v>8</v>
      </c>
      <c r="G2933">
        <f t="shared" si="135"/>
        <v>3200</v>
      </c>
      <c r="H2933" t="s">
        <v>21</v>
      </c>
      <c r="I2933">
        <f t="shared" si="136"/>
        <v>480</v>
      </c>
      <c r="J2933">
        <f t="shared" si="137"/>
        <v>3840</v>
      </c>
    </row>
    <row r="2934" spans="1:10" x14ac:dyDescent="0.45">
      <c r="A2934" t="s">
        <v>1360</v>
      </c>
      <c r="B2934" s="1">
        <v>45833</v>
      </c>
      <c r="C2934" t="s">
        <v>9</v>
      </c>
      <c r="D2934" t="s">
        <v>25</v>
      </c>
      <c r="E2934">
        <v>5200</v>
      </c>
      <c r="F2934">
        <v>2</v>
      </c>
      <c r="G2934">
        <f t="shared" si="135"/>
        <v>10400</v>
      </c>
      <c r="H2934" t="s">
        <v>17</v>
      </c>
      <c r="I2934">
        <f t="shared" si="136"/>
        <v>6240</v>
      </c>
      <c r="J2934">
        <f t="shared" si="137"/>
        <v>12480</v>
      </c>
    </row>
    <row r="2935" spans="1:10" x14ac:dyDescent="0.45">
      <c r="A2935" t="s">
        <v>1361</v>
      </c>
      <c r="B2935" s="1">
        <v>45833</v>
      </c>
      <c r="C2935" t="s">
        <v>4007</v>
      </c>
      <c r="D2935" t="s">
        <v>4005</v>
      </c>
      <c r="E2935">
        <v>60000</v>
      </c>
      <c r="F2935">
        <v>6</v>
      </c>
      <c r="G2935">
        <f t="shared" si="135"/>
        <v>360000</v>
      </c>
      <c r="H2935" t="s">
        <v>17</v>
      </c>
      <c r="I2935">
        <f t="shared" si="136"/>
        <v>72000</v>
      </c>
      <c r="J2935">
        <f t="shared" si="137"/>
        <v>432000</v>
      </c>
    </row>
    <row r="2936" spans="1:10" x14ac:dyDescent="0.45">
      <c r="A2936" t="s">
        <v>2841</v>
      </c>
      <c r="B2936" s="1">
        <v>45833</v>
      </c>
      <c r="C2936" t="s">
        <v>4007</v>
      </c>
      <c r="D2936" t="s">
        <v>2774</v>
      </c>
      <c r="E2936">
        <v>1900</v>
      </c>
      <c r="F2936">
        <v>10</v>
      </c>
      <c r="G2936">
        <f t="shared" si="135"/>
        <v>19000</v>
      </c>
      <c r="H2936" t="s">
        <v>7</v>
      </c>
      <c r="I2936">
        <f t="shared" si="136"/>
        <v>2280</v>
      </c>
      <c r="J2936">
        <f t="shared" si="137"/>
        <v>22800</v>
      </c>
    </row>
    <row r="2937" spans="1:10" x14ac:dyDescent="0.45">
      <c r="A2937" t="s">
        <v>3085</v>
      </c>
      <c r="B2937" s="1">
        <v>45833</v>
      </c>
      <c r="C2937" t="s">
        <v>4007</v>
      </c>
      <c r="D2937" t="s">
        <v>2776</v>
      </c>
      <c r="E2937">
        <v>3600</v>
      </c>
      <c r="F2937">
        <v>6</v>
      </c>
      <c r="G2937">
        <f t="shared" si="135"/>
        <v>21600</v>
      </c>
      <c r="H2937" t="s">
        <v>21</v>
      </c>
      <c r="I2937">
        <f t="shared" si="136"/>
        <v>4320</v>
      </c>
      <c r="J2937">
        <f t="shared" si="137"/>
        <v>25920</v>
      </c>
    </row>
    <row r="2938" spans="1:10" x14ac:dyDescent="0.45">
      <c r="A2938" t="s">
        <v>3206</v>
      </c>
      <c r="B2938" s="1">
        <v>45833</v>
      </c>
      <c r="C2938" t="s">
        <v>4007</v>
      </c>
      <c r="D2938" t="s">
        <v>2774</v>
      </c>
      <c r="E2938">
        <v>1900</v>
      </c>
      <c r="F2938">
        <v>4</v>
      </c>
      <c r="G2938">
        <f t="shared" si="135"/>
        <v>7600</v>
      </c>
      <c r="H2938" t="s">
        <v>21</v>
      </c>
      <c r="I2938">
        <f t="shared" si="136"/>
        <v>2280</v>
      </c>
      <c r="J2938">
        <f t="shared" si="137"/>
        <v>9120</v>
      </c>
    </row>
    <row r="2939" spans="1:10" x14ac:dyDescent="0.45">
      <c r="A2939" t="s">
        <v>3289</v>
      </c>
      <c r="B2939" s="1">
        <v>45833</v>
      </c>
      <c r="C2939" t="s">
        <v>2772</v>
      </c>
      <c r="D2939" t="s">
        <v>2771</v>
      </c>
      <c r="E2939">
        <v>120</v>
      </c>
      <c r="F2939">
        <v>5</v>
      </c>
      <c r="G2939">
        <f t="shared" si="135"/>
        <v>600</v>
      </c>
      <c r="H2939" t="s">
        <v>7</v>
      </c>
      <c r="I2939">
        <f t="shared" si="136"/>
        <v>144</v>
      </c>
      <c r="J2939">
        <f t="shared" si="137"/>
        <v>720</v>
      </c>
    </row>
    <row r="2940" spans="1:10" x14ac:dyDescent="0.45">
      <c r="A2940" t="s">
        <v>3906</v>
      </c>
      <c r="B2940" s="1">
        <v>45833</v>
      </c>
      <c r="C2940" t="s">
        <v>2772</v>
      </c>
      <c r="D2940" t="s">
        <v>2771</v>
      </c>
      <c r="E2940">
        <v>120</v>
      </c>
      <c r="F2940">
        <v>3</v>
      </c>
      <c r="G2940">
        <f t="shared" si="135"/>
        <v>360</v>
      </c>
      <c r="H2940" t="s">
        <v>21</v>
      </c>
      <c r="I2940">
        <f t="shared" si="136"/>
        <v>144</v>
      </c>
      <c r="J2940">
        <f t="shared" si="137"/>
        <v>432</v>
      </c>
    </row>
    <row r="2941" spans="1:10" x14ac:dyDescent="0.45">
      <c r="A2941" t="s">
        <v>1362</v>
      </c>
      <c r="B2941" s="1">
        <v>45834</v>
      </c>
      <c r="C2941" t="s">
        <v>9</v>
      </c>
      <c r="D2941" t="s">
        <v>19</v>
      </c>
      <c r="E2941">
        <v>3000</v>
      </c>
      <c r="F2941">
        <v>5</v>
      </c>
      <c r="G2941">
        <f t="shared" si="135"/>
        <v>15000</v>
      </c>
      <c r="H2941" t="s">
        <v>7</v>
      </c>
      <c r="I2941">
        <f t="shared" si="136"/>
        <v>3600</v>
      </c>
      <c r="J2941">
        <f t="shared" si="137"/>
        <v>18000</v>
      </c>
    </row>
    <row r="2942" spans="1:10" x14ac:dyDescent="0.45">
      <c r="A2942" t="s">
        <v>1363</v>
      </c>
      <c r="B2942" s="1">
        <v>45834</v>
      </c>
      <c r="C2942" t="s">
        <v>12</v>
      </c>
      <c r="D2942" t="s">
        <v>5022</v>
      </c>
      <c r="E2942">
        <v>2880</v>
      </c>
      <c r="F2942">
        <v>9</v>
      </c>
      <c r="G2942">
        <f t="shared" si="135"/>
        <v>25920</v>
      </c>
      <c r="H2942" t="s">
        <v>7</v>
      </c>
      <c r="I2942">
        <f t="shared" si="136"/>
        <v>3456</v>
      </c>
      <c r="J2942">
        <f t="shared" si="137"/>
        <v>31104</v>
      </c>
    </row>
    <row r="2943" spans="1:10" x14ac:dyDescent="0.45">
      <c r="A2943" t="s">
        <v>1364</v>
      </c>
      <c r="B2943" s="1">
        <v>45834</v>
      </c>
      <c r="C2943" t="s">
        <v>33</v>
      </c>
      <c r="D2943" t="s">
        <v>42</v>
      </c>
      <c r="E2943">
        <v>6900</v>
      </c>
      <c r="F2943">
        <v>3</v>
      </c>
      <c r="G2943">
        <f t="shared" si="135"/>
        <v>20700</v>
      </c>
      <c r="H2943" t="s">
        <v>7</v>
      </c>
      <c r="I2943">
        <f t="shared" si="136"/>
        <v>8280</v>
      </c>
      <c r="J2943">
        <f t="shared" si="137"/>
        <v>24840</v>
      </c>
    </row>
    <row r="2944" spans="1:10" x14ac:dyDescent="0.45">
      <c r="A2944" t="s">
        <v>1365</v>
      </c>
      <c r="B2944" s="1">
        <v>45834</v>
      </c>
      <c r="C2944" t="s">
        <v>33</v>
      </c>
      <c r="D2944" t="s">
        <v>42</v>
      </c>
      <c r="E2944">
        <v>6900</v>
      </c>
      <c r="F2944">
        <v>5</v>
      </c>
      <c r="G2944">
        <f t="shared" si="135"/>
        <v>34500</v>
      </c>
      <c r="H2944" t="s">
        <v>21</v>
      </c>
      <c r="I2944">
        <f t="shared" si="136"/>
        <v>8280</v>
      </c>
      <c r="J2944">
        <f t="shared" si="137"/>
        <v>41400</v>
      </c>
    </row>
    <row r="2945" spans="1:10" x14ac:dyDescent="0.45">
      <c r="A2945" t="s">
        <v>1366</v>
      </c>
      <c r="B2945" s="1">
        <v>45834</v>
      </c>
      <c r="C2945" t="s">
        <v>9</v>
      </c>
      <c r="D2945" t="s">
        <v>25</v>
      </c>
      <c r="E2945">
        <v>5200</v>
      </c>
      <c r="F2945">
        <v>5</v>
      </c>
      <c r="G2945">
        <f t="shared" si="135"/>
        <v>26000</v>
      </c>
      <c r="H2945" t="s">
        <v>7</v>
      </c>
      <c r="I2945">
        <f t="shared" si="136"/>
        <v>6240</v>
      </c>
      <c r="J2945">
        <f t="shared" si="137"/>
        <v>31200</v>
      </c>
    </row>
    <row r="2946" spans="1:10" x14ac:dyDescent="0.45">
      <c r="A2946" t="s">
        <v>1367</v>
      </c>
      <c r="B2946" s="1">
        <v>45834</v>
      </c>
      <c r="C2946" t="s">
        <v>33</v>
      </c>
      <c r="D2946" t="s">
        <v>14</v>
      </c>
      <c r="E2946">
        <v>800</v>
      </c>
      <c r="F2946">
        <v>3</v>
      </c>
      <c r="G2946">
        <f t="shared" ref="G2946:G3009" si="138">E2946*F2946</f>
        <v>2400</v>
      </c>
      <c r="H2946" t="s">
        <v>17</v>
      </c>
      <c r="I2946">
        <f t="shared" ref="I2946:I3009" si="139">E2946*1.2</f>
        <v>960</v>
      </c>
      <c r="J2946">
        <f t="shared" ref="J2946:J3009" si="140">I2946*F2946</f>
        <v>2880</v>
      </c>
    </row>
    <row r="2947" spans="1:10" x14ac:dyDescent="0.45">
      <c r="A2947" t="s">
        <v>1368</v>
      </c>
      <c r="B2947" s="1">
        <v>45834</v>
      </c>
      <c r="C2947" t="s">
        <v>12</v>
      </c>
      <c r="D2947" t="s">
        <v>5020</v>
      </c>
      <c r="E2947">
        <v>2880</v>
      </c>
      <c r="F2947">
        <v>7</v>
      </c>
      <c r="G2947">
        <f t="shared" si="138"/>
        <v>20160</v>
      </c>
      <c r="H2947" t="s">
        <v>17</v>
      </c>
      <c r="I2947">
        <f t="shared" si="139"/>
        <v>3456</v>
      </c>
      <c r="J2947">
        <f t="shared" si="140"/>
        <v>24192</v>
      </c>
    </row>
    <row r="2948" spans="1:10" x14ac:dyDescent="0.45">
      <c r="A2948" t="s">
        <v>1369</v>
      </c>
      <c r="B2948" s="1">
        <v>45834</v>
      </c>
      <c r="C2948" t="s">
        <v>12</v>
      </c>
      <c r="D2948" t="s">
        <v>5023</v>
      </c>
      <c r="E2948">
        <v>1750</v>
      </c>
      <c r="F2948">
        <v>9</v>
      </c>
      <c r="G2948">
        <f t="shared" si="138"/>
        <v>15750</v>
      </c>
      <c r="H2948" t="s">
        <v>17</v>
      </c>
      <c r="I2948">
        <f t="shared" si="139"/>
        <v>2100</v>
      </c>
      <c r="J2948">
        <f t="shared" si="140"/>
        <v>18900</v>
      </c>
    </row>
    <row r="2949" spans="1:10" x14ac:dyDescent="0.45">
      <c r="A2949" t="s">
        <v>1370</v>
      </c>
      <c r="B2949" s="1">
        <v>45835</v>
      </c>
      <c r="C2949" t="s">
        <v>9</v>
      </c>
      <c r="D2949" t="s">
        <v>19</v>
      </c>
      <c r="E2949">
        <v>3000</v>
      </c>
      <c r="F2949">
        <v>1</v>
      </c>
      <c r="G2949">
        <f t="shared" si="138"/>
        <v>3000</v>
      </c>
      <c r="H2949" t="s">
        <v>17</v>
      </c>
      <c r="I2949">
        <f t="shared" si="139"/>
        <v>3600</v>
      </c>
      <c r="J2949">
        <f t="shared" si="140"/>
        <v>3600</v>
      </c>
    </row>
    <row r="2950" spans="1:10" x14ac:dyDescent="0.45">
      <c r="A2950" t="s">
        <v>1371</v>
      </c>
      <c r="B2950" s="1">
        <v>45835</v>
      </c>
      <c r="C2950" t="s">
        <v>9</v>
      </c>
      <c r="D2950" t="s">
        <v>10</v>
      </c>
      <c r="E2950">
        <v>400</v>
      </c>
      <c r="F2950">
        <v>1</v>
      </c>
      <c r="G2950">
        <f t="shared" si="138"/>
        <v>400</v>
      </c>
      <c r="H2950" t="s">
        <v>17</v>
      </c>
      <c r="I2950">
        <f t="shared" si="139"/>
        <v>480</v>
      </c>
      <c r="J2950">
        <f t="shared" si="140"/>
        <v>480</v>
      </c>
    </row>
    <row r="2951" spans="1:10" x14ac:dyDescent="0.45">
      <c r="A2951" t="s">
        <v>1372</v>
      </c>
      <c r="B2951" s="1">
        <v>45835</v>
      </c>
      <c r="C2951" t="s">
        <v>12</v>
      </c>
      <c r="D2951" t="s">
        <v>5023</v>
      </c>
      <c r="E2951">
        <v>1750</v>
      </c>
      <c r="F2951">
        <v>2</v>
      </c>
      <c r="G2951">
        <f t="shared" si="138"/>
        <v>3500</v>
      </c>
      <c r="H2951" t="s">
        <v>21</v>
      </c>
      <c r="I2951">
        <f t="shared" si="139"/>
        <v>2100</v>
      </c>
      <c r="J2951">
        <f t="shared" si="140"/>
        <v>4200</v>
      </c>
    </row>
    <row r="2952" spans="1:10" x14ac:dyDescent="0.45">
      <c r="A2952" t="s">
        <v>1373</v>
      </c>
      <c r="B2952" s="1">
        <v>45835</v>
      </c>
      <c r="C2952" t="s">
        <v>33</v>
      </c>
      <c r="D2952" t="s">
        <v>34</v>
      </c>
      <c r="E2952">
        <v>1700</v>
      </c>
      <c r="F2952">
        <v>1</v>
      </c>
      <c r="G2952">
        <f t="shared" si="138"/>
        <v>1700</v>
      </c>
      <c r="H2952" t="s">
        <v>7</v>
      </c>
      <c r="I2952">
        <f t="shared" si="139"/>
        <v>2040</v>
      </c>
      <c r="J2952">
        <f t="shared" si="140"/>
        <v>2040</v>
      </c>
    </row>
    <row r="2953" spans="1:10" x14ac:dyDescent="0.45">
      <c r="A2953" t="s">
        <v>1374</v>
      </c>
      <c r="B2953" s="1">
        <v>45835</v>
      </c>
      <c r="C2953" t="s">
        <v>33</v>
      </c>
      <c r="D2953" t="s">
        <v>14</v>
      </c>
      <c r="E2953">
        <v>800</v>
      </c>
      <c r="F2953">
        <v>2</v>
      </c>
      <c r="G2953">
        <f t="shared" si="138"/>
        <v>1600</v>
      </c>
      <c r="H2953" t="s">
        <v>17</v>
      </c>
      <c r="I2953">
        <f t="shared" si="139"/>
        <v>960</v>
      </c>
      <c r="J2953">
        <f t="shared" si="140"/>
        <v>1920</v>
      </c>
    </row>
    <row r="2954" spans="1:10" x14ac:dyDescent="0.45">
      <c r="A2954" t="s">
        <v>1375</v>
      </c>
      <c r="B2954" s="1">
        <v>45835</v>
      </c>
      <c r="C2954" t="s">
        <v>4007</v>
      </c>
      <c r="D2954" t="s">
        <v>28</v>
      </c>
      <c r="E2954">
        <v>500</v>
      </c>
      <c r="F2954">
        <v>5</v>
      </c>
      <c r="G2954">
        <f t="shared" si="138"/>
        <v>2500</v>
      </c>
      <c r="H2954" t="s">
        <v>17</v>
      </c>
      <c r="I2954">
        <f t="shared" si="139"/>
        <v>600</v>
      </c>
      <c r="J2954">
        <f t="shared" si="140"/>
        <v>3000</v>
      </c>
    </row>
    <row r="2955" spans="1:10" x14ac:dyDescent="0.45">
      <c r="A2955" t="s">
        <v>1376</v>
      </c>
      <c r="B2955" s="1">
        <v>45835</v>
      </c>
      <c r="C2955" t="s">
        <v>33</v>
      </c>
      <c r="D2955" t="s">
        <v>16</v>
      </c>
      <c r="E2955">
        <v>1200</v>
      </c>
      <c r="F2955">
        <v>4</v>
      </c>
      <c r="G2955">
        <f t="shared" si="138"/>
        <v>4800</v>
      </c>
      <c r="H2955" t="s">
        <v>17</v>
      </c>
      <c r="I2955">
        <f t="shared" si="139"/>
        <v>1440</v>
      </c>
      <c r="J2955">
        <f t="shared" si="140"/>
        <v>5760</v>
      </c>
    </row>
    <row r="2956" spans="1:10" x14ac:dyDescent="0.45">
      <c r="A2956" t="s">
        <v>1377</v>
      </c>
      <c r="B2956" s="1">
        <v>45835</v>
      </c>
      <c r="C2956" t="s">
        <v>12</v>
      </c>
      <c r="D2956" t="s">
        <v>5020</v>
      </c>
      <c r="E2956">
        <v>2880</v>
      </c>
      <c r="F2956">
        <v>3</v>
      </c>
      <c r="G2956">
        <f t="shared" si="138"/>
        <v>8640</v>
      </c>
      <c r="H2956" t="s">
        <v>17</v>
      </c>
      <c r="I2956">
        <f t="shared" si="139"/>
        <v>3456</v>
      </c>
      <c r="J2956">
        <f t="shared" si="140"/>
        <v>10368</v>
      </c>
    </row>
    <row r="2957" spans="1:10" x14ac:dyDescent="0.45">
      <c r="A2957" t="s">
        <v>1378</v>
      </c>
      <c r="B2957" s="1">
        <v>45835</v>
      </c>
      <c r="C2957" t="s">
        <v>12</v>
      </c>
      <c r="D2957" t="s">
        <v>5022</v>
      </c>
      <c r="E2957">
        <v>2880</v>
      </c>
      <c r="F2957">
        <v>1</v>
      </c>
      <c r="G2957">
        <f t="shared" si="138"/>
        <v>2880</v>
      </c>
      <c r="H2957" t="s">
        <v>17</v>
      </c>
      <c r="I2957">
        <f t="shared" si="139"/>
        <v>3456</v>
      </c>
      <c r="J2957">
        <f t="shared" si="140"/>
        <v>3456</v>
      </c>
    </row>
    <row r="2958" spans="1:10" x14ac:dyDescent="0.45">
      <c r="A2958" t="s">
        <v>1379</v>
      </c>
      <c r="B2958" s="1">
        <v>45835</v>
      </c>
      <c r="C2958" t="s">
        <v>33</v>
      </c>
      <c r="D2958" t="s">
        <v>14</v>
      </c>
      <c r="E2958">
        <v>800</v>
      </c>
      <c r="F2958">
        <v>4</v>
      </c>
      <c r="G2958">
        <f t="shared" si="138"/>
        <v>3200</v>
      </c>
      <c r="H2958" t="s">
        <v>21</v>
      </c>
      <c r="I2958">
        <f t="shared" si="139"/>
        <v>960</v>
      </c>
      <c r="J2958">
        <f t="shared" si="140"/>
        <v>3840</v>
      </c>
    </row>
    <row r="2959" spans="1:10" x14ac:dyDescent="0.45">
      <c r="A2959" t="s">
        <v>2906</v>
      </c>
      <c r="B2959" s="1">
        <v>45835</v>
      </c>
      <c r="C2959" t="s">
        <v>4007</v>
      </c>
      <c r="D2959" t="s">
        <v>2774</v>
      </c>
      <c r="E2959">
        <v>1900</v>
      </c>
      <c r="F2959">
        <v>5</v>
      </c>
      <c r="G2959">
        <f t="shared" si="138"/>
        <v>9500</v>
      </c>
      <c r="H2959" t="s">
        <v>21</v>
      </c>
      <c r="I2959">
        <f t="shared" si="139"/>
        <v>2280</v>
      </c>
      <c r="J2959">
        <f t="shared" si="140"/>
        <v>11400</v>
      </c>
    </row>
    <row r="2960" spans="1:10" x14ac:dyDescent="0.45">
      <c r="A2960" t="s">
        <v>3548</v>
      </c>
      <c r="B2960" s="1">
        <v>45835</v>
      </c>
      <c r="C2960" t="s">
        <v>4007</v>
      </c>
      <c r="D2960" t="s">
        <v>2773</v>
      </c>
      <c r="E2960">
        <v>3300</v>
      </c>
      <c r="F2960">
        <v>5</v>
      </c>
      <c r="G2960">
        <f t="shared" si="138"/>
        <v>16500</v>
      </c>
      <c r="H2960" t="s">
        <v>21</v>
      </c>
      <c r="I2960">
        <f t="shared" si="139"/>
        <v>3960</v>
      </c>
      <c r="J2960">
        <f t="shared" si="140"/>
        <v>19800</v>
      </c>
    </row>
    <row r="2961" spans="1:10" x14ac:dyDescent="0.45">
      <c r="A2961" t="s">
        <v>1380</v>
      </c>
      <c r="B2961" s="1">
        <v>45836</v>
      </c>
      <c r="C2961" t="s">
        <v>9</v>
      </c>
      <c r="D2961" t="s">
        <v>19</v>
      </c>
      <c r="E2961">
        <v>3000</v>
      </c>
      <c r="F2961">
        <v>10</v>
      </c>
      <c r="G2961">
        <f t="shared" si="138"/>
        <v>30000</v>
      </c>
      <c r="H2961" t="s">
        <v>21</v>
      </c>
      <c r="I2961">
        <f t="shared" si="139"/>
        <v>3600</v>
      </c>
      <c r="J2961">
        <f t="shared" si="140"/>
        <v>36000</v>
      </c>
    </row>
    <row r="2962" spans="1:10" x14ac:dyDescent="0.45">
      <c r="A2962" t="s">
        <v>1381</v>
      </c>
      <c r="B2962" s="1">
        <v>45836</v>
      </c>
      <c r="C2962" t="s">
        <v>33</v>
      </c>
      <c r="D2962" t="s">
        <v>14</v>
      </c>
      <c r="E2962">
        <v>800</v>
      </c>
      <c r="F2962">
        <v>7</v>
      </c>
      <c r="G2962">
        <f t="shared" si="138"/>
        <v>5600</v>
      </c>
      <c r="H2962" t="s">
        <v>17</v>
      </c>
      <c r="I2962">
        <f t="shared" si="139"/>
        <v>960</v>
      </c>
      <c r="J2962">
        <f t="shared" si="140"/>
        <v>6720</v>
      </c>
    </row>
    <row r="2963" spans="1:10" x14ac:dyDescent="0.45">
      <c r="A2963" t="s">
        <v>1382</v>
      </c>
      <c r="B2963" s="1">
        <v>45836</v>
      </c>
      <c r="C2963" t="s">
        <v>9</v>
      </c>
      <c r="D2963" t="s">
        <v>19</v>
      </c>
      <c r="E2963">
        <v>3000</v>
      </c>
      <c r="F2963">
        <v>4</v>
      </c>
      <c r="G2963">
        <f t="shared" si="138"/>
        <v>12000</v>
      </c>
      <c r="H2963" t="s">
        <v>21</v>
      </c>
      <c r="I2963">
        <f t="shared" si="139"/>
        <v>3600</v>
      </c>
      <c r="J2963">
        <f t="shared" si="140"/>
        <v>14400</v>
      </c>
    </row>
    <row r="2964" spans="1:10" x14ac:dyDescent="0.45">
      <c r="A2964" t="s">
        <v>1383</v>
      </c>
      <c r="B2964" s="1">
        <v>45836</v>
      </c>
      <c r="C2964" t="s">
        <v>12</v>
      </c>
      <c r="D2964" t="s">
        <v>5023</v>
      </c>
      <c r="E2964">
        <v>1750</v>
      </c>
      <c r="F2964">
        <v>2</v>
      </c>
      <c r="G2964">
        <f t="shared" si="138"/>
        <v>3500</v>
      </c>
      <c r="H2964" t="s">
        <v>7</v>
      </c>
      <c r="I2964">
        <f t="shared" si="139"/>
        <v>2100</v>
      </c>
      <c r="J2964">
        <f t="shared" si="140"/>
        <v>4200</v>
      </c>
    </row>
    <row r="2965" spans="1:10" x14ac:dyDescent="0.45">
      <c r="A2965" t="s">
        <v>1384</v>
      </c>
      <c r="B2965" s="1">
        <v>45836</v>
      </c>
      <c r="C2965" t="s">
        <v>4007</v>
      </c>
      <c r="D2965" t="s">
        <v>28</v>
      </c>
      <c r="E2965">
        <v>500</v>
      </c>
      <c r="F2965">
        <v>2</v>
      </c>
      <c r="G2965">
        <f t="shared" si="138"/>
        <v>1000</v>
      </c>
      <c r="H2965" t="s">
        <v>7</v>
      </c>
      <c r="I2965">
        <f t="shared" si="139"/>
        <v>600</v>
      </c>
      <c r="J2965">
        <f t="shared" si="140"/>
        <v>1200</v>
      </c>
    </row>
    <row r="2966" spans="1:10" x14ac:dyDescent="0.45">
      <c r="A2966" t="s">
        <v>2985</v>
      </c>
      <c r="B2966" s="1">
        <v>45836</v>
      </c>
      <c r="C2966" t="s">
        <v>4007</v>
      </c>
      <c r="D2966" t="s">
        <v>5015</v>
      </c>
      <c r="E2966">
        <v>48000</v>
      </c>
      <c r="F2966">
        <v>2</v>
      </c>
      <c r="G2966">
        <f t="shared" si="138"/>
        <v>96000</v>
      </c>
      <c r="H2966" t="s">
        <v>17</v>
      </c>
      <c r="I2966">
        <f t="shared" si="139"/>
        <v>57600</v>
      </c>
      <c r="J2966">
        <f t="shared" si="140"/>
        <v>115200</v>
      </c>
    </row>
    <row r="2967" spans="1:10" x14ac:dyDescent="0.45">
      <c r="A2967" t="s">
        <v>3320</v>
      </c>
      <c r="B2967" s="1">
        <v>45836</v>
      </c>
      <c r="C2967" t="s">
        <v>33</v>
      </c>
      <c r="D2967" t="s">
        <v>14</v>
      </c>
      <c r="E2967">
        <v>800</v>
      </c>
      <c r="F2967">
        <v>2</v>
      </c>
      <c r="G2967">
        <f t="shared" si="138"/>
        <v>1600</v>
      </c>
      <c r="H2967" t="s">
        <v>7</v>
      </c>
      <c r="I2967">
        <f t="shared" si="139"/>
        <v>960</v>
      </c>
      <c r="J2967">
        <f t="shared" si="140"/>
        <v>1920</v>
      </c>
    </row>
    <row r="2968" spans="1:10" x14ac:dyDescent="0.45">
      <c r="A2968" t="s">
        <v>3685</v>
      </c>
      <c r="B2968" s="1">
        <v>45836</v>
      </c>
      <c r="C2968" t="s">
        <v>4007</v>
      </c>
      <c r="D2968" t="s">
        <v>28</v>
      </c>
      <c r="E2968">
        <v>500</v>
      </c>
      <c r="F2968">
        <v>7</v>
      </c>
      <c r="G2968">
        <f t="shared" si="138"/>
        <v>3500</v>
      </c>
      <c r="H2968" t="s">
        <v>21</v>
      </c>
      <c r="I2968">
        <f t="shared" si="139"/>
        <v>600</v>
      </c>
      <c r="J2968">
        <f t="shared" si="140"/>
        <v>4200</v>
      </c>
    </row>
    <row r="2969" spans="1:10" x14ac:dyDescent="0.45">
      <c r="A2969" t="s">
        <v>3729</v>
      </c>
      <c r="B2969" s="1">
        <v>45836</v>
      </c>
      <c r="C2969" t="s">
        <v>2772</v>
      </c>
      <c r="D2969" t="s">
        <v>2775</v>
      </c>
      <c r="E2969">
        <v>9100</v>
      </c>
      <c r="F2969">
        <v>6</v>
      </c>
      <c r="G2969">
        <f t="shared" si="138"/>
        <v>54600</v>
      </c>
      <c r="H2969" t="s">
        <v>7</v>
      </c>
      <c r="I2969">
        <f t="shared" si="139"/>
        <v>10920</v>
      </c>
      <c r="J2969">
        <f t="shared" si="140"/>
        <v>65520</v>
      </c>
    </row>
    <row r="2970" spans="1:10" x14ac:dyDescent="0.45">
      <c r="A2970" t="s">
        <v>3922</v>
      </c>
      <c r="B2970" s="1">
        <v>45836</v>
      </c>
      <c r="C2970" t="s">
        <v>4007</v>
      </c>
      <c r="D2970" t="s">
        <v>5015</v>
      </c>
      <c r="E2970">
        <v>48000</v>
      </c>
      <c r="F2970">
        <v>4</v>
      </c>
      <c r="G2970">
        <f t="shared" si="138"/>
        <v>192000</v>
      </c>
      <c r="H2970" t="s">
        <v>17</v>
      </c>
      <c r="I2970">
        <f t="shared" si="139"/>
        <v>57600</v>
      </c>
      <c r="J2970">
        <f t="shared" si="140"/>
        <v>230400</v>
      </c>
    </row>
    <row r="2971" spans="1:10" x14ac:dyDescent="0.45">
      <c r="A2971" t="s">
        <v>1385</v>
      </c>
      <c r="B2971" s="1">
        <v>45837</v>
      </c>
      <c r="C2971" t="s">
        <v>12</v>
      </c>
      <c r="D2971" t="s">
        <v>5020</v>
      </c>
      <c r="E2971">
        <v>2880</v>
      </c>
      <c r="F2971">
        <v>1</v>
      </c>
      <c r="G2971">
        <f t="shared" si="138"/>
        <v>2880</v>
      </c>
      <c r="H2971" t="s">
        <v>7</v>
      </c>
      <c r="I2971">
        <f t="shared" si="139"/>
        <v>3456</v>
      </c>
      <c r="J2971">
        <f t="shared" si="140"/>
        <v>3456</v>
      </c>
    </row>
    <row r="2972" spans="1:10" x14ac:dyDescent="0.45">
      <c r="A2972" t="s">
        <v>1386</v>
      </c>
      <c r="B2972" s="1">
        <v>45837</v>
      </c>
      <c r="C2972" t="s">
        <v>12</v>
      </c>
      <c r="D2972" t="s">
        <v>5023</v>
      </c>
      <c r="E2972">
        <v>1750</v>
      </c>
      <c r="F2972">
        <v>1</v>
      </c>
      <c r="G2972">
        <f t="shared" si="138"/>
        <v>1750</v>
      </c>
      <c r="H2972" t="s">
        <v>7</v>
      </c>
      <c r="I2972">
        <f t="shared" si="139"/>
        <v>2100</v>
      </c>
      <c r="J2972">
        <f t="shared" si="140"/>
        <v>2100</v>
      </c>
    </row>
    <row r="2973" spans="1:10" x14ac:dyDescent="0.45">
      <c r="A2973" t="s">
        <v>1387</v>
      </c>
      <c r="B2973" s="1">
        <v>45837</v>
      </c>
      <c r="C2973" t="s">
        <v>9</v>
      </c>
      <c r="D2973" t="s">
        <v>10</v>
      </c>
      <c r="E2973">
        <v>400</v>
      </c>
      <c r="F2973">
        <v>2</v>
      </c>
      <c r="G2973">
        <f t="shared" si="138"/>
        <v>800</v>
      </c>
      <c r="H2973" t="s">
        <v>7</v>
      </c>
      <c r="I2973">
        <f t="shared" si="139"/>
        <v>480</v>
      </c>
      <c r="J2973">
        <f t="shared" si="140"/>
        <v>960</v>
      </c>
    </row>
    <row r="2974" spans="1:10" x14ac:dyDescent="0.45">
      <c r="A2974" t="s">
        <v>1388</v>
      </c>
      <c r="B2974" s="1">
        <v>45837</v>
      </c>
      <c r="C2974" t="s">
        <v>33</v>
      </c>
      <c r="D2974" t="s">
        <v>16</v>
      </c>
      <c r="E2974">
        <v>1200</v>
      </c>
      <c r="F2974">
        <v>8</v>
      </c>
      <c r="G2974">
        <f t="shared" si="138"/>
        <v>9600</v>
      </c>
      <c r="H2974" t="s">
        <v>21</v>
      </c>
      <c r="I2974">
        <f t="shared" si="139"/>
        <v>1440</v>
      </c>
      <c r="J2974">
        <f t="shared" si="140"/>
        <v>11520</v>
      </c>
    </row>
    <row r="2975" spans="1:10" x14ac:dyDescent="0.45">
      <c r="A2975" t="s">
        <v>1389</v>
      </c>
      <c r="B2975" s="1">
        <v>45837</v>
      </c>
      <c r="C2975" t="s">
        <v>12</v>
      </c>
      <c r="D2975" t="s">
        <v>5021</v>
      </c>
      <c r="E2975">
        <v>2880</v>
      </c>
      <c r="F2975">
        <v>4</v>
      </c>
      <c r="G2975">
        <f t="shared" si="138"/>
        <v>11520</v>
      </c>
      <c r="H2975" t="s">
        <v>17</v>
      </c>
      <c r="I2975">
        <f t="shared" si="139"/>
        <v>3456</v>
      </c>
      <c r="J2975">
        <f t="shared" si="140"/>
        <v>13824</v>
      </c>
    </row>
    <row r="2976" spans="1:10" x14ac:dyDescent="0.45">
      <c r="A2976" t="s">
        <v>1390</v>
      </c>
      <c r="B2976" s="1">
        <v>45837</v>
      </c>
      <c r="C2976" t="s">
        <v>12</v>
      </c>
      <c r="D2976" t="s">
        <v>5023</v>
      </c>
      <c r="E2976">
        <v>1750</v>
      </c>
      <c r="F2976">
        <v>10</v>
      </c>
      <c r="G2976">
        <f t="shared" si="138"/>
        <v>17500</v>
      </c>
      <c r="H2976" t="s">
        <v>17</v>
      </c>
      <c r="I2976">
        <f t="shared" si="139"/>
        <v>2100</v>
      </c>
      <c r="J2976">
        <f t="shared" si="140"/>
        <v>21000</v>
      </c>
    </row>
    <row r="2977" spans="1:10" x14ac:dyDescent="0.45">
      <c r="A2977" t="s">
        <v>1391</v>
      </c>
      <c r="B2977" s="1">
        <v>45837</v>
      </c>
      <c r="C2977" t="s">
        <v>4007</v>
      </c>
      <c r="D2977" t="s">
        <v>39</v>
      </c>
      <c r="E2977">
        <v>6000</v>
      </c>
      <c r="F2977">
        <v>8</v>
      </c>
      <c r="G2977">
        <f t="shared" si="138"/>
        <v>48000</v>
      </c>
      <c r="H2977" t="s">
        <v>17</v>
      </c>
      <c r="I2977">
        <f t="shared" si="139"/>
        <v>7200</v>
      </c>
      <c r="J2977">
        <f t="shared" si="140"/>
        <v>57600</v>
      </c>
    </row>
    <row r="2978" spans="1:10" x14ac:dyDescent="0.45">
      <c r="A2978" t="s">
        <v>1392</v>
      </c>
      <c r="B2978" s="1">
        <v>45837</v>
      </c>
      <c r="C2978" t="s">
        <v>33</v>
      </c>
      <c r="D2978" t="s">
        <v>16</v>
      </c>
      <c r="E2978">
        <v>1200</v>
      </c>
      <c r="F2978">
        <v>7</v>
      </c>
      <c r="G2978">
        <f t="shared" si="138"/>
        <v>8400</v>
      </c>
      <c r="H2978" t="s">
        <v>7</v>
      </c>
      <c r="I2978">
        <f t="shared" si="139"/>
        <v>1440</v>
      </c>
      <c r="J2978">
        <f t="shared" si="140"/>
        <v>10080</v>
      </c>
    </row>
    <row r="2979" spans="1:10" x14ac:dyDescent="0.45">
      <c r="A2979" t="s">
        <v>1393</v>
      </c>
      <c r="B2979" s="1">
        <v>45837</v>
      </c>
      <c r="C2979" t="s">
        <v>4007</v>
      </c>
      <c r="D2979" t="s">
        <v>4005</v>
      </c>
      <c r="E2979">
        <v>60000</v>
      </c>
      <c r="F2979">
        <v>4</v>
      </c>
      <c r="G2979">
        <f t="shared" si="138"/>
        <v>240000</v>
      </c>
      <c r="H2979" t="s">
        <v>7</v>
      </c>
      <c r="I2979">
        <f t="shared" si="139"/>
        <v>72000</v>
      </c>
      <c r="J2979">
        <f t="shared" si="140"/>
        <v>288000</v>
      </c>
    </row>
    <row r="2980" spans="1:10" x14ac:dyDescent="0.45">
      <c r="A2980" t="s">
        <v>2824</v>
      </c>
      <c r="B2980" s="1">
        <v>45837</v>
      </c>
      <c r="C2980" t="s">
        <v>33</v>
      </c>
      <c r="D2980" t="s">
        <v>34</v>
      </c>
      <c r="E2980">
        <v>1700</v>
      </c>
      <c r="F2980">
        <v>6</v>
      </c>
      <c r="G2980">
        <f t="shared" si="138"/>
        <v>10200</v>
      </c>
      <c r="H2980" t="s">
        <v>7</v>
      </c>
      <c r="I2980">
        <f t="shared" si="139"/>
        <v>2040</v>
      </c>
      <c r="J2980">
        <f t="shared" si="140"/>
        <v>12240</v>
      </c>
    </row>
    <row r="2981" spans="1:10" x14ac:dyDescent="0.45">
      <c r="A2981" t="s">
        <v>3807</v>
      </c>
      <c r="B2981" s="1">
        <v>45837</v>
      </c>
      <c r="C2981" t="s">
        <v>4007</v>
      </c>
      <c r="D2981" t="s">
        <v>5015</v>
      </c>
      <c r="E2981">
        <v>48000</v>
      </c>
      <c r="F2981">
        <v>9</v>
      </c>
      <c r="G2981">
        <f t="shared" si="138"/>
        <v>432000</v>
      </c>
      <c r="H2981" t="s">
        <v>7</v>
      </c>
      <c r="I2981">
        <f t="shared" si="139"/>
        <v>57600</v>
      </c>
      <c r="J2981">
        <f t="shared" si="140"/>
        <v>518400</v>
      </c>
    </row>
    <row r="2982" spans="1:10" x14ac:dyDescent="0.45">
      <c r="A2982" t="s">
        <v>1394</v>
      </c>
      <c r="B2982" s="1">
        <v>45838</v>
      </c>
      <c r="C2982" t="s">
        <v>9</v>
      </c>
      <c r="D2982" t="s">
        <v>10</v>
      </c>
      <c r="E2982">
        <v>400</v>
      </c>
      <c r="F2982">
        <v>8</v>
      </c>
      <c r="G2982">
        <f t="shared" si="138"/>
        <v>3200</v>
      </c>
      <c r="H2982" t="s">
        <v>21</v>
      </c>
      <c r="I2982">
        <f t="shared" si="139"/>
        <v>480</v>
      </c>
      <c r="J2982">
        <f t="shared" si="140"/>
        <v>3840</v>
      </c>
    </row>
    <row r="2983" spans="1:10" x14ac:dyDescent="0.45">
      <c r="A2983" t="s">
        <v>1395</v>
      </c>
      <c r="B2983" s="1">
        <v>45838</v>
      </c>
      <c r="C2983" t="s">
        <v>4007</v>
      </c>
      <c r="D2983" t="s">
        <v>4005</v>
      </c>
      <c r="E2983">
        <v>60000</v>
      </c>
      <c r="F2983">
        <v>5</v>
      </c>
      <c r="G2983">
        <f t="shared" si="138"/>
        <v>300000</v>
      </c>
      <c r="H2983" t="s">
        <v>17</v>
      </c>
      <c r="I2983">
        <f t="shared" si="139"/>
        <v>72000</v>
      </c>
      <c r="J2983">
        <f t="shared" si="140"/>
        <v>360000</v>
      </c>
    </row>
    <row r="2984" spans="1:10" x14ac:dyDescent="0.45">
      <c r="A2984" t="s">
        <v>1396</v>
      </c>
      <c r="B2984" s="1">
        <v>45838</v>
      </c>
      <c r="C2984" t="s">
        <v>9</v>
      </c>
      <c r="D2984" t="s">
        <v>10</v>
      </c>
      <c r="E2984">
        <v>400</v>
      </c>
      <c r="F2984">
        <v>6</v>
      </c>
      <c r="G2984">
        <f t="shared" si="138"/>
        <v>2400</v>
      </c>
      <c r="H2984" t="s">
        <v>17</v>
      </c>
      <c r="I2984">
        <f t="shared" si="139"/>
        <v>480</v>
      </c>
      <c r="J2984">
        <f t="shared" si="140"/>
        <v>2880</v>
      </c>
    </row>
    <row r="2985" spans="1:10" x14ac:dyDescent="0.45">
      <c r="A2985" t="s">
        <v>1397</v>
      </c>
      <c r="B2985" s="1">
        <v>45838</v>
      </c>
      <c r="C2985" t="s">
        <v>9</v>
      </c>
      <c r="D2985" t="s">
        <v>10</v>
      </c>
      <c r="E2985">
        <v>400</v>
      </c>
      <c r="F2985">
        <v>7</v>
      </c>
      <c r="G2985">
        <f t="shared" si="138"/>
        <v>2800</v>
      </c>
      <c r="H2985" t="s">
        <v>17</v>
      </c>
      <c r="I2985">
        <f t="shared" si="139"/>
        <v>480</v>
      </c>
      <c r="J2985">
        <f t="shared" si="140"/>
        <v>3360</v>
      </c>
    </row>
    <row r="2986" spans="1:10" x14ac:dyDescent="0.45">
      <c r="A2986" t="s">
        <v>1398</v>
      </c>
      <c r="B2986" s="1">
        <v>45838</v>
      </c>
      <c r="C2986" t="s">
        <v>4007</v>
      </c>
      <c r="D2986" t="s">
        <v>39</v>
      </c>
      <c r="E2986">
        <v>6000</v>
      </c>
      <c r="F2986">
        <v>10</v>
      </c>
      <c r="G2986">
        <f t="shared" si="138"/>
        <v>60000</v>
      </c>
      <c r="H2986" t="s">
        <v>17</v>
      </c>
      <c r="I2986">
        <f t="shared" si="139"/>
        <v>7200</v>
      </c>
      <c r="J2986">
        <f t="shared" si="140"/>
        <v>72000</v>
      </c>
    </row>
    <row r="2987" spans="1:10" x14ac:dyDescent="0.45">
      <c r="A2987" t="s">
        <v>1399</v>
      </c>
      <c r="B2987" s="1">
        <v>45838</v>
      </c>
      <c r="C2987" t="s">
        <v>4007</v>
      </c>
      <c r="D2987" t="s">
        <v>39</v>
      </c>
      <c r="E2987">
        <v>6000</v>
      </c>
      <c r="F2987">
        <v>2</v>
      </c>
      <c r="G2987">
        <f t="shared" si="138"/>
        <v>12000</v>
      </c>
      <c r="H2987" t="s">
        <v>21</v>
      </c>
      <c r="I2987">
        <f t="shared" si="139"/>
        <v>7200</v>
      </c>
      <c r="J2987">
        <f t="shared" si="140"/>
        <v>14400</v>
      </c>
    </row>
    <row r="2988" spans="1:10" x14ac:dyDescent="0.45">
      <c r="A2988" t="s">
        <v>1400</v>
      </c>
      <c r="B2988" s="1">
        <v>45838</v>
      </c>
      <c r="C2988" t="s">
        <v>12</v>
      </c>
      <c r="D2988" t="s">
        <v>5023</v>
      </c>
      <c r="E2988">
        <v>1750</v>
      </c>
      <c r="F2988">
        <v>10</v>
      </c>
      <c r="G2988">
        <f t="shared" si="138"/>
        <v>17500</v>
      </c>
      <c r="H2988" t="s">
        <v>17</v>
      </c>
      <c r="I2988">
        <f t="shared" si="139"/>
        <v>2100</v>
      </c>
      <c r="J2988">
        <f t="shared" si="140"/>
        <v>21000</v>
      </c>
    </row>
    <row r="2989" spans="1:10" x14ac:dyDescent="0.45">
      <c r="A2989" t="s">
        <v>1401</v>
      </c>
      <c r="B2989" s="1">
        <v>45838</v>
      </c>
      <c r="C2989" t="s">
        <v>33</v>
      </c>
      <c r="D2989" t="s">
        <v>14</v>
      </c>
      <c r="E2989">
        <v>800</v>
      </c>
      <c r="F2989">
        <v>8</v>
      </c>
      <c r="G2989">
        <f t="shared" si="138"/>
        <v>6400</v>
      </c>
      <c r="H2989" t="s">
        <v>21</v>
      </c>
      <c r="I2989">
        <f t="shared" si="139"/>
        <v>960</v>
      </c>
      <c r="J2989">
        <f t="shared" si="140"/>
        <v>7680</v>
      </c>
    </row>
    <row r="2990" spans="1:10" x14ac:dyDescent="0.45">
      <c r="A2990" t="s">
        <v>3140</v>
      </c>
      <c r="B2990" s="1">
        <v>45838</v>
      </c>
      <c r="C2990" t="s">
        <v>4007</v>
      </c>
      <c r="D2990" t="s">
        <v>5015</v>
      </c>
      <c r="E2990">
        <v>48000</v>
      </c>
      <c r="F2990">
        <v>2</v>
      </c>
      <c r="G2990">
        <f t="shared" si="138"/>
        <v>96000</v>
      </c>
      <c r="H2990" t="s">
        <v>21</v>
      </c>
      <c r="I2990">
        <f t="shared" si="139"/>
        <v>57600</v>
      </c>
      <c r="J2990">
        <f t="shared" si="140"/>
        <v>115200</v>
      </c>
    </row>
    <row r="2991" spans="1:10" x14ac:dyDescent="0.45">
      <c r="A2991" t="s">
        <v>1402</v>
      </c>
      <c r="B2991" s="1">
        <v>45839</v>
      </c>
      <c r="C2991" t="s">
        <v>9</v>
      </c>
      <c r="D2991" t="s">
        <v>10</v>
      </c>
      <c r="E2991">
        <v>400</v>
      </c>
      <c r="F2991">
        <v>6</v>
      </c>
      <c r="G2991">
        <f t="shared" si="138"/>
        <v>2400</v>
      </c>
      <c r="H2991" t="s">
        <v>7</v>
      </c>
      <c r="I2991">
        <f t="shared" si="139"/>
        <v>480</v>
      </c>
      <c r="J2991">
        <f t="shared" si="140"/>
        <v>2880</v>
      </c>
    </row>
    <row r="2992" spans="1:10" x14ac:dyDescent="0.45">
      <c r="A2992" t="s">
        <v>1403</v>
      </c>
      <c r="B2992" s="1">
        <v>45839</v>
      </c>
      <c r="C2992" t="s">
        <v>12</v>
      </c>
      <c r="D2992" t="s">
        <v>5021</v>
      </c>
      <c r="E2992">
        <v>2880</v>
      </c>
      <c r="F2992">
        <v>10</v>
      </c>
      <c r="G2992">
        <f t="shared" si="138"/>
        <v>28800</v>
      </c>
      <c r="H2992" t="s">
        <v>21</v>
      </c>
      <c r="I2992">
        <f t="shared" si="139"/>
        <v>3456</v>
      </c>
      <c r="J2992">
        <f t="shared" si="140"/>
        <v>34560</v>
      </c>
    </row>
    <row r="2993" spans="1:10" x14ac:dyDescent="0.45">
      <c r="A2993" t="s">
        <v>1404</v>
      </c>
      <c r="B2993" s="1">
        <v>45839</v>
      </c>
      <c r="C2993" t="s">
        <v>33</v>
      </c>
      <c r="D2993" t="s">
        <v>42</v>
      </c>
      <c r="E2993">
        <v>6900</v>
      </c>
      <c r="F2993">
        <v>8</v>
      </c>
      <c r="G2993">
        <f t="shared" si="138"/>
        <v>55200</v>
      </c>
      <c r="H2993" t="s">
        <v>21</v>
      </c>
      <c r="I2993">
        <f t="shared" si="139"/>
        <v>8280</v>
      </c>
      <c r="J2993">
        <f t="shared" si="140"/>
        <v>66240</v>
      </c>
    </row>
    <row r="2994" spans="1:10" x14ac:dyDescent="0.45">
      <c r="A2994" t="s">
        <v>1405</v>
      </c>
      <c r="B2994" s="1">
        <v>45839</v>
      </c>
      <c r="C2994" t="s">
        <v>33</v>
      </c>
      <c r="D2994" t="s">
        <v>16</v>
      </c>
      <c r="E2994">
        <v>1200</v>
      </c>
      <c r="F2994">
        <v>9</v>
      </c>
      <c r="G2994">
        <f t="shared" si="138"/>
        <v>10800</v>
      </c>
      <c r="H2994" t="s">
        <v>17</v>
      </c>
      <c r="I2994">
        <f t="shared" si="139"/>
        <v>1440</v>
      </c>
      <c r="J2994">
        <f t="shared" si="140"/>
        <v>12960</v>
      </c>
    </row>
    <row r="2995" spans="1:10" x14ac:dyDescent="0.45">
      <c r="A2995" t="s">
        <v>1406</v>
      </c>
      <c r="B2995" s="1">
        <v>45839</v>
      </c>
      <c r="C2995" t="s">
        <v>4007</v>
      </c>
      <c r="D2995" t="s">
        <v>39</v>
      </c>
      <c r="E2995">
        <v>6000</v>
      </c>
      <c r="F2995">
        <v>9</v>
      </c>
      <c r="G2995">
        <f t="shared" si="138"/>
        <v>54000</v>
      </c>
      <c r="H2995" t="s">
        <v>17</v>
      </c>
      <c r="I2995">
        <f t="shared" si="139"/>
        <v>7200</v>
      </c>
      <c r="J2995">
        <f t="shared" si="140"/>
        <v>64800</v>
      </c>
    </row>
    <row r="2996" spans="1:10" x14ac:dyDescent="0.45">
      <c r="A2996" t="s">
        <v>1407</v>
      </c>
      <c r="B2996" s="1">
        <v>45839</v>
      </c>
      <c r="C2996" t="s">
        <v>9</v>
      </c>
      <c r="D2996" t="s">
        <v>19</v>
      </c>
      <c r="E2996">
        <v>3000</v>
      </c>
      <c r="F2996">
        <v>5</v>
      </c>
      <c r="G2996">
        <f t="shared" si="138"/>
        <v>15000</v>
      </c>
      <c r="H2996" t="s">
        <v>7</v>
      </c>
      <c r="I2996">
        <f t="shared" si="139"/>
        <v>3600</v>
      </c>
      <c r="J2996">
        <f t="shared" si="140"/>
        <v>18000</v>
      </c>
    </row>
    <row r="2997" spans="1:10" x14ac:dyDescent="0.45">
      <c r="A2997" t="s">
        <v>1408</v>
      </c>
      <c r="B2997" s="1">
        <v>45839</v>
      </c>
      <c r="C2997" t="s">
        <v>9</v>
      </c>
      <c r="D2997" t="s">
        <v>25</v>
      </c>
      <c r="E2997">
        <v>5200</v>
      </c>
      <c r="F2997">
        <v>6</v>
      </c>
      <c r="G2997">
        <f t="shared" si="138"/>
        <v>31200</v>
      </c>
      <c r="H2997" t="s">
        <v>17</v>
      </c>
      <c r="I2997">
        <f t="shared" si="139"/>
        <v>6240</v>
      </c>
      <c r="J2997">
        <f t="shared" si="140"/>
        <v>37440</v>
      </c>
    </row>
    <row r="2998" spans="1:10" x14ac:dyDescent="0.45">
      <c r="A2998" t="s">
        <v>3090</v>
      </c>
      <c r="B2998" s="1">
        <v>45839</v>
      </c>
      <c r="C2998" t="s">
        <v>2772</v>
      </c>
      <c r="D2998" t="s">
        <v>2771</v>
      </c>
      <c r="E2998">
        <v>120</v>
      </c>
      <c r="F2998">
        <v>9</v>
      </c>
      <c r="G2998">
        <f t="shared" si="138"/>
        <v>1080</v>
      </c>
      <c r="H2998" t="s">
        <v>17</v>
      </c>
      <c r="I2998">
        <f t="shared" si="139"/>
        <v>144</v>
      </c>
      <c r="J2998">
        <f t="shared" si="140"/>
        <v>1296</v>
      </c>
    </row>
    <row r="2999" spans="1:10" x14ac:dyDescent="0.45">
      <c r="A2999" t="s">
        <v>3644</v>
      </c>
      <c r="B2999" s="1">
        <v>45839</v>
      </c>
      <c r="C2999" t="s">
        <v>4007</v>
      </c>
      <c r="D2999" t="s">
        <v>2776</v>
      </c>
      <c r="E2999">
        <v>3600</v>
      </c>
      <c r="F2999">
        <v>9</v>
      </c>
      <c r="G2999">
        <f t="shared" si="138"/>
        <v>32400</v>
      </c>
      <c r="H2999" t="s">
        <v>21</v>
      </c>
      <c r="I2999">
        <f t="shared" si="139"/>
        <v>4320</v>
      </c>
      <c r="J2999">
        <f t="shared" si="140"/>
        <v>38880</v>
      </c>
    </row>
    <row r="3000" spans="1:10" x14ac:dyDescent="0.45">
      <c r="A3000" t="s">
        <v>1409</v>
      </c>
      <c r="B3000" s="1">
        <v>45840</v>
      </c>
      <c r="C3000" t="s">
        <v>4007</v>
      </c>
      <c r="D3000" t="s">
        <v>4005</v>
      </c>
      <c r="E3000">
        <v>60000</v>
      </c>
      <c r="F3000">
        <v>10</v>
      </c>
      <c r="G3000">
        <f t="shared" si="138"/>
        <v>600000</v>
      </c>
      <c r="H3000" t="s">
        <v>21</v>
      </c>
      <c r="I3000">
        <f t="shared" si="139"/>
        <v>72000</v>
      </c>
      <c r="J3000">
        <f t="shared" si="140"/>
        <v>720000</v>
      </c>
    </row>
    <row r="3001" spans="1:10" x14ac:dyDescent="0.45">
      <c r="A3001" t="s">
        <v>1410</v>
      </c>
      <c r="B3001" s="1">
        <v>45840</v>
      </c>
      <c r="C3001" t="s">
        <v>12</v>
      </c>
      <c r="D3001" t="s">
        <v>5021</v>
      </c>
      <c r="E3001">
        <v>2880</v>
      </c>
      <c r="F3001">
        <v>6</v>
      </c>
      <c r="G3001">
        <f t="shared" si="138"/>
        <v>17280</v>
      </c>
      <c r="H3001" t="s">
        <v>21</v>
      </c>
      <c r="I3001">
        <f t="shared" si="139"/>
        <v>3456</v>
      </c>
      <c r="J3001">
        <f t="shared" si="140"/>
        <v>20736</v>
      </c>
    </row>
    <row r="3002" spans="1:10" x14ac:dyDescent="0.45">
      <c r="A3002" t="s">
        <v>1411</v>
      </c>
      <c r="B3002" s="1">
        <v>45840</v>
      </c>
      <c r="C3002" t="s">
        <v>4007</v>
      </c>
      <c r="D3002" t="s">
        <v>28</v>
      </c>
      <c r="E3002">
        <v>500</v>
      </c>
      <c r="F3002">
        <v>10</v>
      </c>
      <c r="G3002">
        <f t="shared" si="138"/>
        <v>5000</v>
      </c>
      <c r="H3002" t="s">
        <v>17</v>
      </c>
      <c r="I3002">
        <f t="shared" si="139"/>
        <v>600</v>
      </c>
      <c r="J3002">
        <f t="shared" si="140"/>
        <v>6000</v>
      </c>
    </row>
    <row r="3003" spans="1:10" x14ac:dyDescent="0.45">
      <c r="A3003" t="s">
        <v>1412</v>
      </c>
      <c r="B3003" s="1">
        <v>45840</v>
      </c>
      <c r="C3003" t="s">
        <v>4007</v>
      </c>
      <c r="D3003" t="s">
        <v>28</v>
      </c>
      <c r="E3003">
        <v>500</v>
      </c>
      <c r="F3003">
        <v>2</v>
      </c>
      <c r="G3003">
        <f t="shared" si="138"/>
        <v>1000</v>
      </c>
      <c r="H3003" t="s">
        <v>17</v>
      </c>
      <c r="I3003">
        <f t="shared" si="139"/>
        <v>600</v>
      </c>
      <c r="J3003">
        <f t="shared" si="140"/>
        <v>1200</v>
      </c>
    </row>
    <row r="3004" spans="1:10" x14ac:dyDescent="0.45">
      <c r="A3004" t="s">
        <v>1413</v>
      </c>
      <c r="B3004" s="1">
        <v>45840</v>
      </c>
      <c r="C3004" t="s">
        <v>12</v>
      </c>
      <c r="D3004" t="s">
        <v>5020</v>
      </c>
      <c r="E3004">
        <v>2880</v>
      </c>
      <c r="F3004">
        <v>5</v>
      </c>
      <c r="G3004">
        <f t="shared" si="138"/>
        <v>14400</v>
      </c>
      <c r="H3004" t="s">
        <v>17</v>
      </c>
      <c r="I3004">
        <f t="shared" si="139"/>
        <v>3456</v>
      </c>
      <c r="J3004">
        <f t="shared" si="140"/>
        <v>17280</v>
      </c>
    </row>
    <row r="3005" spans="1:10" x14ac:dyDescent="0.45">
      <c r="A3005" t="s">
        <v>1414</v>
      </c>
      <c r="B3005" s="1">
        <v>45840</v>
      </c>
      <c r="C3005" t="s">
        <v>4007</v>
      </c>
      <c r="D3005" t="s">
        <v>39</v>
      </c>
      <c r="E3005">
        <v>6000</v>
      </c>
      <c r="F3005">
        <v>8</v>
      </c>
      <c r="G3005">
        <f t="shared" si="138"/>
        <v>48000</v>
      </c>
      <c r="H3005" t="s">
        <v>7</v>
      </c>
      <c r="I3005">
        <f t="shared" si="139"/>
        <v>7200</v>
      </c>
      <c r="J3005">
        <f t="shared" si="140"/>
        <v>57600</v>
      </c>
    </row>
    <row r="3006" spans="1:10" x14ac:dyDescent="0.45">
      <c r="A3006" t="s">
        <v>1415</v>
      </c>
      <c r="B3006" s="1">
        <v>45840</v>
      </c>
      <c r="C3006" t="s">
        <v>12</v>
      </c>
      <c r="D3006" t="s">
        <v>5021</v>
      </c>
      <c r="E3006">
        <v>2880</v>
      </c>
      <c r="F3006">
        <v>7</v>
      </c>
      <c r="G3006">
        <f t="shared" si="138"/>
        <v>20160</v>
      </c>
      <c r="H3006" t="s">
        <v>7</v>
      </c>
      <c r="I3006">
        <f t="shared" si="139"/>
        <v>3456</v>
      </c>
      <c r="J3006">
        <f t="shared" si="140"/>
        <v>24192</v>
      </c>
    </row>
    <row r="3007" spans="1:10" x14ac:dyDescent="0.45">
      <c r="A3007" t="s">
        <v>1416</v>
      </c>
      <c r="B3007" s="1">
        <v>45840</v>
      </c>
      <c r="C3007" t="s">
        <v>12</v>
      </c>
      <c r="D3007" t="s">
        <v>5023</v>
      </c>
      <c r="E3007">
        <v>1750</v>
      </c>
      <c r="F3007">
        <v>1</v>
      </c>
      <c r="G3007">
        <f t="shared" si="138"/>
        <v>1750</v>
      </c>
      <c r="H3007" t="s">
        <v>17</v>
      </c>
      <c r="I3007">
        <f t="shared" si="139"/>
        <v>2100</v>
      </c>
      <c r="J3007">
        <f t="shared" si="140"/>
        <v>2100</v>
      </c>
    </row>
    <row r="3008" spans="1:10" x14ac:dyDescent="0.45">
      <c r="A3008" t="s">
        <v>1417</v>
      </c>
      <c r="B3008" s="1">
        <v>45840</v>
      </c>
      <c r="C3008" t="s">
        <v>33</v>
      </c>
      <c r="D3008" t="s">
        <v>34</v>
      </c>
      <c r="E3008">
        <v>1700</v>
      </c>
      <c r="F3008">
        <v>3</v>
      </c>
      <c r="G3008">
        <f t="shared" si="138"/>
        <v>5100</v>
      </c>
      <c r="H3008" t="s">
        <v>21</v>
      </c>
      <c r="I3008">
        <f t="shared" si="139"/>
        <v>2040</v>
      </c>
      <c r="J3008">
        <f t="shared" si="140"/>
        <v>6120</v>
      </c>
    </row>
    <row r="3009" spans="1:10" x14ac:dyDescent="0.45">
      <c r="A3009" t="s">
        <v>3435</v>
      </c>
      <c r="B3009" s="1">
        <v>45840</v>
      </c>
      <c r="C3009" t="s">
        <v>2772</v>
      </c>
      <c r="D3009" t="s">
        <v>2771</v>
      </c>
      <c r="E3009">
        <v>120</v>
      </c>
      <c r="F3009">
        <v>1</v>
      </c>
      <c r="G3009">
        <f t="shared" si="138"/>
        <v>120</v>
      </c>
      <c r="H3009" t="s">
        <v>17</v>
      </c>
      <c r="I3009">
        <f t="shared" si="139"/>
        <v>144</v>
      </c>
      <c r="J3009">
        <f t="shared" si="140"/>
        <v>144</v>
      </c>
    </row>
    <row r="3010" spans="1:10" x14ac:dyDescent="0.45">
      <c r="A3010" t="s">
        <v>3767</v>
      </c>
      <c r="B3010" s="1">
        <v>45840</v>
      </c>
      <c r="C3010" t="s">
        <v>33</v>
      </c>
      <c r="D3010" t="s">
        <v>34</v>
      </c>
      <c r="E3010">
        <v>1700</v>
      </c>
      <c r="F3010">
        <v>4</v>
      </c>
      <c r="G3010">
        <f t="shared" ref="G3010:G3073" si="141">E3010*F3010</f>
        <v>6800</v>
      </c>
      <c r="H3010" t="s">
        <v>17</v>
      </c>
      <c r="I3010">
        <f t="shared" ref="I3010:I3073" si="142">E3010*1.2</f>
        <v>2040</v>
      </c>
      <c r="J3010">
        <f t="shared" ref="J3010:J3073" si="143">I3010*F3010</f>
        <v>8160</v>
      </c>
    </row>
    <row r="3011" spans="1:10" x14ac:dyDescent="0.45">
      <c r="A3011" t="s">
        <v>1418</v>
      </c>
      <c r="B3011" s="1">
        <v>45841</v>
      </c>
      <c r="C3011" t="s">
        <v>33</v>
      </c>
      <c r="D3011" t="s">
        <v>42</v>
      </c>
      <c r="E3011">
        <v>6900</v>
      </c>
      <c r="F3011">
        <v>1</v>
      </c>
      <c r="G3011">
        <f t="shared" si="141"/>
        <v>6900</v>
      </c>
      <c r="H3011" t="s">
        <v>17</v>
      </c>
      <c r="I3011">
        <f t="shared" si="142"/>
        <v>8280</v>
      </c>
      <c r="J3011">
        <f t="shared" si="143"/>
        <v>8280</v>
      </c>
    </row>
    <row r="3012" spans="1:10" x14ac:dyDescent="0.45">
      <c r="A3012" t="s">
        <v>1419</v>
      </c>
      <c r="B3012" s="1">
        <v>45841</v>
      </c>
      <c r="C3012" t="s">
        <v>9</v>
      </c>
      <c r="D3012" t="s">
        <v>19</v>
      </c>
      <c r="E3012">
        <v>3000</v>
      </c>
      <c r="F3012">
        <v>9</v>
      </c>
      <c r="G3012">
        <f t="shared" si="141"/>
        <v>27000</v>
      </c>
      <c r="H3012" t="s">
        <v>21</v>
      </c>
      <c r="I3012">
        <f t="shared" si="142"/>
        <v>3600</v>
      </c>
      <c r="J3012">
        <f t="shared" si="143"/>
        <v>32400</v>
      </c>
    </row>
    <row r="3013" spans="1:10" x14ac:dyDescent="0.45">
      <c r="A3013" t="s">
        <v>1420</v>
      </c>
      <c r="B3013" s="1">
        <v>45841</v>
      </c>
      <c r="C3013" t="s">
        <v>9</v>
      </c>
      <c r="D3013" t="s">
        <v>19</v>
      </c>
      <c r="E3013">
        <v>3000</v>
      </c>
      <c r="F3013">
        <v>9</v>
      </c>
      <c r="G3013">
        <f t="shared" si="141"/>
        <v>27000</v>
      </c>
      <c r="H3013" t="s">
        <v>7</v>
      </c>
      <c r="I3013">
        <f t="shared" si="142"/>
        <v>3600</v>
      </c>
      <c r="J3013">
        <f t="shared" si="143"/>
        <v>32400</v>
      </c>
    </row>
    <row r="3014" spans="1:10" x14ac:dyDescent="0.45">
      <c r="A3014" t="s">
        <v>1421</v>
      </c>
      <c r="B3014" s="1">
        <v>45841</v>
      </c>
      <c r="C3014" t="s">
        <v>9</v>
      </c>
      <c r="D3014" t="s">
        <v>25</v>
      </c>
      <c r="E3014">
        <v>5200</v>
      </c>
      <c r="F3014">
        <v>2</v>
      </c>
      <c r="G3014">
        <f t="shared" si="141"/>
        <v>10400</v>
      </c>
      <c r="H3014" t="s">
        <v>21</v>
      </c>
      <c r="I3014">
        <f t="shared" si="142"/>
        <v>6240</v>
      </c>
      <c r="J3014">
        <f t="shared" si="143"/>
        <v>12480</v>
      </c>
    </row>
    <row r="3015" spans="1:10" x14ac:dyDescent="0.45">
      <c r="A3015" t="s">
        <v>1422</v>
      </c>
      <c r="B3015" s="1">
        <v>45841</v>
      </c>
      <c r="C3015" t="s">
        <v>12</v>
      </c>
      <c r="D3015" t="s">
        <v>5020</v>
      </c>
      <c r="E3015">
        <v>2880</v>
      </c>
      <c r="F3015">
        <v>2</v>
      </c>
      <c r="G3015">
        <f t="shared" si="141"/>
        <v>5760</v>
      </c>
      <c r="H3015" t="s">
        <v>7</v>
      </c>
      <c r="I3015">
        <f t="shared" si="142"/>
        <v>3456</v>
      </c>
      <c r="J3015">
        <f t="shared" si="143"/>
        <v>6912</v>
      </c>
    </row>
    <row r="3016" spans="1:10" x14ac:dyDescent="0.45">
      <c r="A3016" t="s">
        <v>1423</v>
      </c>
      <c r="B3016" s="1">
        <v>45841</v>
      </c>
      <c r="C3016" t="s">
        <v>12</v>
      </c>
      <c r="D3016" t="s">
        <v>5022</v>
      </c>
      <c r="E3016">
        <v>2880</v>
      </c>
      <c r="F3016">
        <v>4</v>
      </c>
      <c r="G3016">
        <f t="shared" si="141"/>
        <v>11520</v>
      </c>
      <c r="H3016" t="s">
        <v>21</v>
      </c>
      <c r="I3016">
        <f t="shared" si="142"/>
        <v>3456</v>
      </c>
      <c r="J3016">
        <f t="shared" si="143"/>
        <v>13824</v>
      </c>
    </row>
    <row r="3017" spans="1:10" x14ac:dyDescent="0.45">
      <c r="A3017" t="s">
        <v>1424</v>
      </c>
      <c r="B3017" s="1">
        <v>45841</v>
      </c>
      <c r="C3017" t="s">
        <v>33</v>
      </c>
      <c r="D3017" t="s">
        <v>14</v>
      </c>
      <c r="E3017">
        <v>800</v>
      </c>
      <c r="F3017">
        <v>7</v>
      </c>
      <c r="G3017">
        <f t="shared" si="141"/>
        <v>5600</v>
      </c>
      <c r="H3017" t="s">
        <v>21</v>
      </c>
      <c r="I3017">
        <f t="shared" si="142"/>
        <v>960</v>
      </c>
      <c r="J3017">
        <f t="shared" si="143"/>
        <v>6720</v>
      </c>
    </row>
    <row r="3018" spans="1:10" x14ac:dyDescent="0.45">
      <c r="A3018" t="s">
        <v>1425</v>
      </c>
      <c r="B3018" s="1">
        <v>45841</v>
      </c>
      <c r="C3018" t="s">
        <v>4007</v>
      </c>
      <c r="D3018" t="s">
        <v>39</v>
      </c>
      <c r="E3018">
        <v>6000</v>
      </c>
      <c r="F3018">
        <v>4</v>
      </c>
      <c r="G3018">
        <f t="shared" si="141"/>
        <v>24000</v>
      </c>
      <c r="H3018" t="s">
        <v>21</v>
      </c>
      <c r="I3018">
        <f t="shared" si="142"/>
        <v>7200</v>
      </c>
      <c r="J3018">
        <f t="shared" si="143"/>
        <v>28800</v>
      </c>
    </row>
    <row r="3019" spans="1:10" x14ac:dyDescent="0.45">
      <c r="A3019" t="s">
        <v>1426</v>
      </c>
      <c r="B3019" s="1">
        <v>45841</v>
      </c>
      <c r="C3019" t="s">
        <v>12</v>
      </c>
      <c r="D3019" t="s">
        <v>5023</v>
      </c>
      <c r="E3019">
        <v>1750</v>
      </c>
      <c r="F3019">
        <v>9</v>
      </c>
      <c r="G3019">
        <f t="shared" si="141"/>
        <v>15750</v>
      </c>
      <c r="H3019" t="s">
        <v>21</v>
      </c>
      <c r="I3019">
        <f t="shared" si="142"/>
        <v>2100</v>
      </c>
      <c r="J3019">
        <f t="shared" si="143"/>
        <v>18900</v>
      </c>
    </row>
    <row r="3020" spans="1:10" x14ac:dyDescent="0.45">
      <c r="A3020" t="s">
        <v>3529</v>
      </c>
      <c r="B3020" s="1">
        <v>45841</v>
      </c>
      <c r="C3020" t="s">
        <v>4007</v>
      </c>
      <c r="D3020" t="s">
        <v>2776</v>
      </c>
      <c r="E3020">
        <v>3600</v>
      </c>
      <c r="F3020">
        <v>10</v>
      </c>
      <c r="G3020">
        <f t="shared" si="141"/>
        <v>36000</v>
      </c>
      <c r="H3020" t="s">
        <v>21</v>
      </c>
      <c r="I3020">
        <f t="shared" si="142"/>
        <v>4320</v>
      </c>
      <c r="J3020">
        <f t="shared" si="143"/>
        <v>43200</v>
      </c>
    </row>
    <row r="3021" spans="1:10" x14ac:dyDescent="0.45">
      <c r="A3021" t="s">
        <v>3588</v>
      </c>
      <c r="B3021" s="1">
        <v>45841</v>
      </c>
      <c r="C3021" t="s">
        <v>4007</v>
      </c>
      <c r="D3021" t="s">
        <v>2776</v>
      </c>
      <c r="E3021">
        <v>3600</v>
      </c>
      <c r="F3021">
        <v>8</v>
      </c>
      <c r="G3021">
        <f t="shared" si="141"/>
        <v>28800</v>
      </c>
      <c r="H3021" t="s">
        <v>17</v>
      </c>
      <c r="I3021">
        <f t="shared" si="142"/>
        <v>4320</v>
      </c>
      <c r="J3021">
        <f t="shared" si="143"/>
        <v>34560</v>
      </c>
    </row>
    <row r="3022" spans="1:10" x14ac:dyDescent="0.45">
      <c r="A3022" t="s">
        <v>3688</v>
      </c>
      <c r="B3022" s="1">
        <v>45841</v>
      </c>
      <c r="C3022" t="s">
        <v>2772</v>
      </c>
      <c r="D3022" t="s">
        <v>2775</v>
      </c>
      <c r="E3022">
        <v>9100</v>
      </c>
      <c r="F3022">
        <v>5</v>
      </c>
      <c r="G3022">
        <f t="shared" si="141"/>
        <v>45500</v>
      </c>
      <c r="H3022" t="s">
        <v>7</v>
      </c>
      <c r="I3022">
        <f t="shared" si="142"/>
        <v>10920</v>
      </c>
      <c r="J3022">
        <f t="shared" si="143"/>
        <v>54600</v>
      </c>
    </row>
    <row r="3023" spans="1:10" x14ac:dyDescent="0.45">
      <c r="A3023" t="s">
        <v>3691</v>
      </c>
      <c r="B3023" s="1">
        <v>45841</v>
      </c>
      <c r="C3023" t="s">
        <v>4007</v>
      </c>
      <c r="D3023" t="s">
        <v>2773</v>
      </c>
      <c r="E3023">
        <v>3300</v>
      </c>
      <c r="F3023">
        <v>6</v>
      </c>
      <c r="G3023">
        <f t="shared" si="141"/>
        <v>19800</v>
      </c>
      <c r="H3023" t="s">
        <v>17</v>
      </c>
      <c r="I3023">
        <f t="shared" si="142"/>
        <v>3960</v>
      </c>
      <c r="J3023">
        <f t="shared" si="143"/>
        <v>23760</v>
      </c>
    </row>
    <row r="3024" spans="1:10" x14ac:dyDescent="0.45">
      <c r="A3024" t="s">
        <v>3708</v>
      </c>
      <c r="B3024" s="1">
        <v>45841</v>
      </c>
      <c r="C3024" t="s">
        <v>4007</v>
      </c>
      <c r="D3024" t="s">
        <v>2774</v>
      </c>
      <c r="E3024">
        <v>1900</v>
      </c>
      <c r="F3024">
        <v>10</v>
      </c>
      <c r="G3024">
        <f t="shared" si="141"/>
        <v>19000</v>
      </c>
      <c r="H3024" t="s">
        <v>7</v>
      </c>
      <c r="I3024">
        <f t="shared" si="142"/>
        <v>2280</v>
      </c>
      <c r="J3024">
        <f t="shared" si="143"/>
        <v>22800</v>
      </c>
    </row>
    <row r="3025" spans="1:10" x14ac:dyDescent="0.45">
      <c r="A3025" t="s">
        <v>3727</v>
      </c>
      <c r="B3025" s="1">
        <v>45841</v>
      </c>
      <c r="C3025" t="s">
        <v>33</v>
      </c>
      <c r="D3025" t="s">
        <v>34</v>
      </c>
      <c r="E3025">
        <v>1700</v>
      </c>
      <c r="F3025">
        <v>8</v>
      </c>
      <c r="G3025">
        <f t="shared" si="141"/>
        <v>13600</v>
      </c>
      <c r="H3025" t="s">
        <v>7</v>
      </c>
      <c r="I3025">
        <f t="shared" si="142"/>
        <v>2040</v>
      </c>
      <c r="J3025">
        <f t="shared" si="143"/>
        <v>16320</v>
      </c>
    </row>
    <row r="3026" spans="1:10" x14ac:dyDescent="0.45">
      <c r="A3026" t="s">
        <v>1427</v>
      </c>
      <c r="B3026" s="1">
        <v>45842</v>
      </c>
      <c r="C3026" t="s">
        <v>9</v>
      </c>
      <c r="D3026" t="s">
        <v>19</v>
      </c>
      <c r="E3026">
        <v>3000</v>
      </c>
      <c r="F3026">
        <v>2</v>
      </c>
      <c r="G3026">
        <f t="shared" si="141"/>
        <v>6000</v>
      </c>
      <c r="H3026" t="s">
        <v>7</v>
      </c>
      <c r="I3026">
        <f t="shared" si="142"/>
        <v>3600</v>
      </c>
      <c r="J3026">
        <f t="shared" si="143"/>
        <v>7200</v>
      </c>
    </row>
    <row r="3027" spans="1:10" x14ac:dyDescent="0.45">
      <c r="A3027" t="s">
        <v>1428</v>
      </c>
      <c r="B3027" s="1">
        <v>45842</v>
      </c>
      <c r="C3027" t="s">
        <v>12</v>
      </c>
      <c r="D3027" t="s">
        <v>5021</v>
      </c>
      <c r="E3027">
        <v>2880</v>
      </c>
      <c r="F3027">
        <v>1</v>
      </c>
      <c r="G3027">
        <f t="shared" si="141"/>
        <v>2880</v>
      </c>
      <c r="H3027" t="s">
        <v>17</v>
      </c>
      <c r="I3027">
        <f t="shared" si="142"/>
        <v>3456</v>
      </c>
      <c r="J3027">
        <f t="shared" si="143"/>
        <v>3456</v>
      </c>
    </row>
    <row r="3028" spans="1:10" x14ac:dyDescent="0.45">
      <c r="A3028" t="s">
        <v>1429</v>
      </c>
      <c r="B3028" s="1">
        <v>45842</v>
      </c>
      <c r="C3028" t="s">
        <v>9</v>
      </c>
      <c r="D3028" t="s">
        <v>10</v>
      </c>
      <c r="E3028">
        <v>400</v>
      </c>
      <c r="F3028">
        <v>7</v>
      </c>
      <c r="G3028">
        <f t="shared" si="141"/>
        <v>2800</v>
      </c>
      <c r="H3028" t="s">
        <v>17</v>
      </c>
      <c r="I3028">
        <f t="shared" si="142"/>
        <v>480</v>
      </c>
      <c r="J3028">
        <f t="shared" si="143"/>
        <v>3360</v>
      </c>
    </row>
    <row r="3029" spans="1:10" x14ac:dyDescent="0.45">
      <c r="A3029" t="s">
        <v>1430</v>
      </c>
      <c r="B3029" s="1">
        <v>45842</v>
      </c>
      <c r="C3029" t="s">
        <v>12</v>
      </c>
      <c r="D3029" t="s">
        <v>5023</v>
      </c>
      <c r="E3029">
        <v>1750</v>
      </c>
      <c r="F3029">
        <v>8</v>
      </c>
      <c r="G3029">
        <f t="shared" si="141"/>
        <v>14000</v>
      </c>
      <c r="H3029" t="s">
        <v>17</v>
      </c>
      <c r="I3029">
        <f t="shared" si="142"/>
        <v>2100</v>
      </c>
      <c r="J3029">
        <f t="shared" si="143"/>
        <v>16800</v>
      </c>
    </row>
    <row r="3030" spans="1:10" x14ac:dyDescent="0.45">
      <c r="A3030" t="s">
        <v>1431</v>
      </c>
      <c r="B3030" s="1">
        <v>45842</v>
      </c>
      <c r="C3030" t="s">
        <v>12</v>
      </c>
      <c r="D3030" t="s">
        <v>5021</v>
      </c>
      <c r="E3030">
        <v>2880</v>
      </c>
      <c r="F3030">
        <v>9</v>
      </c>
      <c r="G3030">
        <f t="shared" si="141"/>
        <v>25920</v>
      </c>
      <c r="H3030" t="s">
        <v>17</v>
      </c>
      <c r="I3030">
        <f t="shared" si="142"/>
        <v>3456</v>
      </c>
      <c r="J3030">
        <f t="shared" si="143"/>
        <v>31104</v>
      </c>
    </row>
    <row r="3031" spans="1:10" x14ac:dyDescent="0.45">
      <c r="A3031" t="s">
        <v>1432</v>
      </c>
      <c r="B3031" s="1">
        <v>45842</v>
      </c>
      <c r="C3031" t="s">
        <v>4007</v>
      </c>
      <c r="D3031" t="s">
        <v>28</v>
      </c>
      <c r="E3031">
        <v>500</v>
      </c>
      <c r="F3031">
        <v>1</v>
      </c>
      <c r="G3031">
        <f t="shared" si="141"/>
        <v>500</v>
      </c>
      <c r="H3031" t="s">
        <v>7</v>
      </c>
      <c r="I3031">
        <f t="shared" si="142"/>
        <v>600</v>
      </c>
      <c r="J3031">
        <f t="shared" si="143"/>
        <v>600</v>
      </c>
    </row>
    <row r="3032" spans="1:10" x14ac:dyDescent="0.45">
      <c r="A3032" t="s">
        <v>1433</v>
      </c>
      <c r="B3032" s="1">
        <v>45842</v>
      </c>
      <c r="C3032" t="s">
        <v>4007</v>
      </c>
      <c r="D3032" t="s">
        <v>4005</v>
      </c>
      <c r="E3032">
        <v>60000</v>
      </c>
      <c r="F3032">
        <v>8</v>
      </c>
      <c r="G3032">
        <f t="shared" si="141"/>
        <v>480000</v>
      </c>
      <c r="H3032" t="s">
        <v>17</v>
      </c>
      <c r="I3032">
        <f t="shared" si="142"/>
        <v>72000</v>
      </c>
      <c r="J3032">
        <f t="shared" si="143"/>
        <v>576000</v>
      </c>
    </row>
    <row r="3033" spans="1:10" x14ac:dyDescent="0.45">
      <c r="A3033" t="s">
        <v>1434</v>
      </c>
      <c r="B3033" s="1">
        <v>45842</v>
      </c>
      <c r="C3033" t="s">
        <v>9</v>
      </c>
      <c r="D3033" t="s">
        <v>10</v>
      </c>
      <c r="E3033">
        <v>400</v>
      </c>
      <c r="F3033">
        <v>4</v>
      </c>
      <c r="G3033">
        <f t="shared" si="141"/>
        <v>1600</v>
      </c>
      <c r="H3033" t="s">
        <v>7</v>
      </c>
      <c r="I3033">
        <f t="shared" si="142"/>
        <v>480</v>
      </c>
      <c r="J3033">
        <f t="shared" si="143"/>
        <v>1920</v>
      </c>
    </row>
    <row r="3034" spans="1:10" x14ac:dyDescent="0.45">
      <c r="A3034" t="s">
        <v>1435</v>
      </c>
      <c r="B3034" s="1">
        <v>45842</v>
      </c>
      <c r="C3034" t="s">
        <v>9</v>
      </c>
      <c r="D3034" t="s">
        <v>25</v>
      </c>
      <c r="E3034">
        <v>5200</v>
      </c>
      <c r="F3034">
        <v>2</v>
      </c>
      <c r="G3034">
        <f t="shared" si="141"/>
        <v>10400</v>
      </c>
      <c r="H3034" t="s">
        <v>7</v>
      </c>
      <c r="I3034">
        <f t="shared" si="142"/>
        <v>6240</v>
      </c>
      <c r="J3034">
        <f t="shared" si="143"/>
        <v>12480</v>
      </c>
    </row>
    <row r="3035" spans="1:10" x14ac:dyDescent="0.45">
      <c r="A3035" t="s">
        <v>2984</v>
      </c>
      <c r="B3035" s="1">
        <v>45842</v>
      </c>
      <c r="C3035" t="s">
        <v>4007</v>
      </c>
      <c r="D3035" t="s">
        <v>2770</v>
      </c>
      <c r="E3035">
        <v>600</v>
      </c>
      <c r="F3035">
        <v>5</v>
      </c>
      <c r="G3035">
        <f t="shared" si="141"/>
        <v>3000</v>
      </c>
      <c r="H3035" t="s">
        <v>21</v>
      </c>
      <c r="I3035">
        <f t="shared" si="142"/>
        <v>720</v>
      </c>
      <c r="J3035">
        <f t="shared" si="143"/>
        <v>3600</v>
      </c>
    </row>
    <row r="3036" spans="1:10" x14ac:dyDescent="0.45">
      <c r="A3036" t="s">
        <v>1436</v>
      </c>
      <c r="B3036" s="1">
        <v>45843</v>
      </c>
      <c r="C3036" t="s">
        <v>4007</v>
      </c>
      <c r="D3036" t="s">
        <v>39</v>
      </c>
      <c r="E3036">
        <v>6000</v>
      </c>
      <c r="F3036">
        <v>1</v>
      </c>
      <c r="G3036">
        <f t="shared" si="141"/>
        <v>6000</v>
      </c>
      <c r="H3036" t="s">
        <v>17</v>
      </c>
      <c r="I3036">
        <f t="shared" si="142"/>
        <v>7200</v>
      </c>
      <c r="J3036">
        <f t="shared" si="143"/>
        <v>7200</v>
      </c>
    </row>
    <row r="3037" spans="1:10" x14ac:dyDescent="0.45">
      <c r="A3037" t="s">
        <v>1437</v>
      </c>
      <c r="B3037" s="1">
        <v>45843</v>
      </c>
      <c r="C3037" t="s">
        <v>12</v>
      </c>
      <c r="D3037" t="s">
        <v>5022</v>
      </c>
      <c r="E3037">
        <v>2880</v>
      </c>
      <c r="F3037">
        <v>7</v>
      </c>
      <c r="G3037">
        <f t="shared" si="141"/>
        <v>20160</v>
      </c>
      <c r="H3037" t="s">
        <v>17</v>
      </c>
      <c r="I3037">
        <f t="shared" si="142"/>
        <v>3456</v>
      </c>
      <c r="J3037">
        <f t="shared" si="143"/>
        <v>24192</v>
      </c>
    </row>
    <row r="3038" spans="1:10" x14ac:dyDescent="0.45">
      <c r="A3038" t="s">
        <v>1438</v>
      </c>
      <c r="B3038" s="1">
        <v>45843</v>
      </c>
      <c r="C3038" t="s">
        <v>33</v>
      </c>
      <c r="D3038" t="s">
        <v>16</v>
      </c>
      <c r="E3038">
        <v>1200</v>
      </c>
      <c r="F3038">
        <v>8</v>
      </c>
      <c r="G3038">
        <f t="shared" si="141"/>
        <v>9600</v>
      </c>
      <c r="H3038" t="s">
        <v>21</v>
      </c>
      <c r="I3038">
        <f t="shared" si="142"/>
        <v>1440</v>
      </c>
      <c r="J3038">
        <f t="shared" si="143"/>
        <v>11520</v>
      </c>
    </row>
    <row r="3039" spans="1:10" x14ac:dyDescent="0.45">
      <c r="A3039" t="s">
        <v>1439</v>
      </c>
      <c r="B3039" s="1">
        <v>45843</v>
      </c>
      <c r="C3039" t="s">
        <v>33</v>
      </c>
      <c r="D3039" t="s">
        <v>16</v>
      </c>
      <c r="E3039">
        <v>1200</v>
      </c>
      <c r="F3039">
        <v>1</v>
      </c>
      <c r="G3039">
        <f t="shared" si="141"/>
        <v>1200</v>
      </c>
      <c r="H3039" t="s">
        <v>7</v>
      </c>
      <c r="I3039">
        <f t="shared" si="142"/>
        <v>1440</v>
      </c>
      <c r="J3039">
        <f t="shared" si="143"/>
        <v>1440</v>
      </c>
    </row>
    <row r="3040" spans="1:10" x14ac:dyDescent="0.45">
      <c r="A3040" t="s">
        <v>1440</v>
      </c>
      <c r="B3040" s="1">
        <v>45843</v>
      </c>
      <c r="C3040" t="s">
        <v>4007</v>
      </c>
      <c r="D3040" t="s">
        <v>4005</v>
      </c>
      <c r="E3040">
        <v>60000</v>
      </c>
      <c r="F3040">
        <v>1</v>
      </c>
      <c r="G3040">
        <f t="shared" si="141"/>
        <v>60000</v>
      </c>
      <c r="H3040" t="s">
        <v>21</v>
      </c>
      <c r="I3040">
        <f t="shared" si="142"/>
        <v>72000</v>
      </c>
      <c r="J3040">
        <f t="shared" si="143"/>
        <v>72000</v>
      </c>
    </row>
    <row r="3041" spans="1:10" x14ac:dyDescent="0.45">
      <c r="A3041" t="s">
        <v>3864</v>
      </c>
      <c r="B3041" s="1">
        <v>45843</v>
      </c>
      <c r="C3041" t="s">
        <v>2772</v>
      </c>
      <c r="D3041" t="s">
        <v>2775</v>
      </c>
      <c r="E3041">
        <v>9100</v>
      </c>
      <c r="F3041">
        <v>1</v>
      </c>
      <c r="G3041">
        <f t="shared" si="141"/>
        <v>9100</v>
      </c>
      <c r="H3041" t="s">
        <v>7</v>
      </c>
      <c r="I3041">
        <f t="shared" si="142"/>
        <v>10920</v>
      </c>
      <c r="J3041">
        <f t="shared" si="143"/>
        <v>10920</v>
      </c>
    </row>
    <row r="3042" spans="1:10" x14ac:dyDescent="0.45">
      <c r="A3042" t="s">
        <v>1441</v>
      </c>
      <c r="B3042" s="1">
        <v>45844</v>
      </c>
      <c r="C3042" t="s">
        <v>12</v>
      </c>
      <c r="D3042" t="s">
        <v>5020</v>
      </c>
      <c r="E3042">
        <v>2880</v>
      </c>
      <c r="F3042">
        <v>4</v>
      </c>
      <c r="G3042">
        <f t="shared" si="141"/>
        <v>11520</v>
      </c>
      <c r="H3042" t="s">
        <v>17</v>
      </c>
      <c r="I3042">
        <f t="shared" si="142"/>
        <v>3456</v>
      </c>
      <c r="J3042">
        <f t="shared" si="143"/>
        <v>13824</v>
      </c>
    </row>
    <row r="3043" spans="1:10" x14ac:dyDescent="0.45">
      <c r="A3043" t="s">
        <v>1442</v>
      </c>
      <c r="B3043" s="1">
        <v>45844</v>
      </c>
      <c r="C3043" t="s">
        <v>12</v>
      </c>
      <c r="D3043" t="s">
        <v>5020</v>
      </c>
      <c r="E3043">
        <v>2880</v>
      </c>
      <c r="F3043">
        <v>6</v>
      </c>
      <c r="G3043">
        <f t="shared" si="141"/>
        <v>17280</v>
      </c>
      <c r="H3043" t="s">
        <v>17</v>
      </c>
      <c r="I3043">
        <f t="shared" si="142"/>
        <v>3456</v>
      </c>
      <c r="J3043">
        <f t="shared" si="143"/>
        <v>20736</v>
      </c>
    </row>
    <row r="3044" spans="1:10" x14ac:dyDescent="0.45">
      <c r="A3044" t="s">
        <v>1443</v>
      </c>
      <c r="B3044" s="1">
        <v>45844</v>
      </c>
      <c r="C3044" t="s">
        <v>33</v>
      </c>
      <c r="D3044" t="s">
        <v>34</v>
      </c>
      <c r="E3044">
        <v>1700</v>
      </c>
      <c r="F3044">
        <v>1</v>
      </c>
      <c r="G3044">
        <f t="shared" si="141"/>
        <v>1700</v>
      </c>
      <c r="H3044" t="s">
        <v>17</v>
      </c>
      <c r="I3044">
        <f t="shared" si="142"/>
        <v>2040</v>
      </c>
      <c r="J3044">
        <f t="shared" si="143"/>
        <v>2040</v>
      </c>
    </row>
    <row r="3045" spans="1:10" x14ac:dyDescent="0.45">
      <c r="A3045" t="s">
        <v>1444</v>
      </c>
      <c r="B3045" s="1">
        <v>45844</v>
      </c>
      <c r="C3045" t="s">
        <v>33</v>
      </c>
      <c r="D3045" t="s">
        <v>42</v>
      </c>
      <c r="E3045">
        <v>6900</v>
      </c>
      <c r="F3045">
        <v>7</v>
      </c>
      <c r="G3045">
        <f t="shared" si="141"/>
        <v>48300</v>
      </c>
      <c r="H3045" t="s">
        <v>17</v>
      </c>
      <c r="I3045">
        <f t="shared" si="142"/>
        <v>8280</v>
      </c>
      <c r="J3045">
        <f t="shared" si="143"/>
        <v>57960</v>
      </c>
    </row>
    <row r="3046" spans="1:10" x14ac:dyDescent="0.45">
      <c r="A3046" t="s">
        <v>1445</v>
      </c>
      <c r="B3046" s="1">
        <v>45844</v>
      </c>
      <c r="C3046" t="s">
        <v>4007</v>
      </c>
      <c r="D3046" t="s">
        <v>39</v>
      </c>
      <c r="E3046">
        <v>6000</v>
      </c>
      <c r="F3046">
        <v>10</v>
      </c>
      <c r="G3046">
        <f t="shared" si="141"/>
        <v>60000</v>
      </c>
      <c r="H3046" t="s">
        <v>21</v>
      </c>
      <c r="I3046">
        <f t="shared" si="142"/>
        <v>7200</v>
      </c>
      <c r="J3046">
        <f t="shared" si="143"/>
        <v>72000</v>
      </c>
    </row>
    <row r="3047" spans="1:10" x14ac:dyDescent="0.45">
      <c r="A3047" t="s">
        <v>1446</v>
      </c>
      <c r="B3047" s="1">
        <v>45844</v>
      </c>
      <c r="C3047" t="s">
        <v>9</v>
      </c>
      <c r="D3047" t="s">
        <v>25</v>
      </c>
      <c r="E3047">
        <v>5200</v>
      </c>
      <c r="F3047">
        <v>5</v>
      </c>
      <c r="G3047">
        <f t="shared" si="141"/>
        <v>26000</v>
      </c>
      <c r="H3047" t="s">
        <v>21</v>
      </c>
      <c r="I3047">
        <f t="shared" si="142"/>
        <v>6240</v>
      </c>
      <c r="J3047">
        <f t="shared" si="143"/>
        <v>31200</v>
      </c>
    </row>
    <row r="3048" spans="1:10" x14ac:dyDescent="0.45">
      <c r="A3048" t="s">
        <v>2837</v>
      </c>
      <c r="B3048" s="1">
        <v>45844</v>
      </c>
      <c r="C3048" t="s">
        <v>4007</v>
      </c>
      <c r="D3048" t="s">
        <v>2776</v>
      </c>
      <c r="E3048">
        <v>3600</v>
      </c>
      <c r="F3048">
        <v>7</v>
      </c>
      <c r="G3048">
        <f t="shared" si="141"/>
        <v>25200</v>
      </c>
      <c r="H3048" t="s">
        <v>21</v>
      </c>
      <c r="I3048">
        <f t="shared" si="142"/>
        <v>4320</v>
      </c>
      <c r="J3048">
        <f t="shared" si="143"/>
        <v>30240</v>
      </c>
    </row>
    <row r="3049" spans="1:10" x14ac:dyDescent="0.45">
      <c r="A3049" t="s">
        <v>2917</v>
      </c>
      <c r="B3049" s="1">
        <v>45844</v>
      </c>
      <c r="C3049" t="s">
        <v>4007</v>
      </c>
      <c r="D3049" t="s">
        <v>2776</v>
      </c>
      <c r="E3049">
        <v>3600</v>
      </c>
      <c r="F3049">
        <v>7</v>
      </c>
      <c r="G3049">
        <f t="shared" si="141"/>
        <v>25200</v>
      </c>
      <c r="H3049" t="s">
        <v>17</v>
      </c>
      <c r="I3049">
        <f t="shared" si="142"/>
        <v>4320</v>
      </c>
      <c r="J3049">
        <f t="shared" si="143"/>
        <v>30240</v>
      </c>
    </row>
    <row r="3050" spans="1:10" x14ac:dyDescent="0.45">
      <c r="A3050" t="s">
        <v>3439</v>
      </c>
      <c r="B3050" s="1">
        <v>45844</v>
      </c>
      <c r="C3050" t="s">
        <v>4007</v>
      </c>
      <c r="D3050" t="s">
        <v>2776</v>
      </c>
      <c r="E3050">
        <v>3600</v>
      </c>
      <c r="F3050">
        <v>1</v>
      </c>
      <c r="G3050">
        <f t="shared" si="141"/>
        <v>3600</v>
      </c>
      <c r="H3050" t="s">
        <v>7</v>
      </c>
      <c r="I3050">
        <f t="shared" si="142"/>
        <v>4320</v>
      </c>
      <c r="J3050">
        <f t="shared" si="143"/>
        <v>4320</v>
      </c>
    </row>
    <row r="3051" spans="1:10" x14ac:dyDescent="0.45">
      <c r="A3051" t="s">
        <v>3486</v>
      </c>
      <c r="B3051" s="1">
        <v>45844</v>
      </c>
      <c r="C3051" t="s">
        <v>4007</v>
      </c>
      <c r="D3051" t="s">
        <v>2774</v>
      </c>
      <c r="E3051">
        <v>1900</v>
      </c>
      <c r="F3051">
        <v>2</v>
      </c>
      <c r="G3051">
        <f t="shared" si="141"/>
        <v>3800</v>
      </c>
      <c r="H3051" t="s">
        <v>17</v>
      </c>
      <c r="I3051">
        <f t="shared" si="142"/>
        <v>2280</v>
      </c>
      <c r="J3051">
        <f t="shared" si="143"/>
        <v>4560</v>
      </c>
    </row>
    <row r="3052" spans="1:10" x14ac:dyDescent="0.45">
      <c r="A3052" t="s">
        <v>3709</v>
      </c>
      <c r="B3052" s="1">
        <v>45844</v>
      </c>
      <c r="C3052" t="s">
        <v>33</v>
      </c>
      <c r="D3052" t="s">
        <v>14</v>
      </c>
      <c r="E3052">
        <v>800</v>
      </c>
      <c r="F3052">
        <v>8</v>
      </c>
      <c r="G3052">
        <f t="shared" si="141"/>
        <v>6400</v>
      </c>
      <c r="H3052" t="s">
        <v>7</v>
      </c>
      <c r="I3052">
        <f t="shared" si="142"/>
        <v>960</v>
      </c>
      <c r="J3052">
        <f t="shared" si="143"/>
        <v>7680</v>
      </c>
    </row>
    <row r="3053" spans="1:10" x14ac:dyDescent="0.45">
      <c r="A3053" t="s">
        <v>1447</v>
      </c>
      <c r="B3053" s="1">
        <v>45845</v>
      </c>
      <c r="C3053" t="s">
        <v>12</v>
      </c>
      <c r="D3053" t="s">
        <v>5020</v>
      </c>
      <c r="E3053">
        <v>2880</v>
      </c>
      <c r="F3053">
        <v>3</v>
      </c>
      <c r="G3053">
        <f t="shared" si="141"/>
        <v>8640</v>
      </c>
      <c r="H3053" t="s">
        <v>17</v>
      </c>
      <c r="I3053">
        <f t="shared" si="142"/>
        <v>3456</v>
      </c>
      <c r="J3053">
        <f t="shared" si="143"/>
        <v>10368</v>
      </c>
    </row>
    <row r="3054" spans="1:10" x14ac:dyDescent="0.45">
      <c r="A3054" t="s">
        <v>1448</v>
      </c>
      <c r="B3054" s="1">
        <v>45845</v>
      </c>
      <c r="C3054" t="s">
        <v>12</v>
      </c>
      <c r="D3054" t="s">
        <v>5020</v>
      </c>
      <c r="E3054">
        <v>2880</v>
      </c>
      <c r="F3054">
        <v>5</v>
      </c>
      <c r="G3054">
        <f t="shared" si="141"/>
        <v>14400</v>
      </c>
      <c r="H3054" t="s">
        <v>17</v>
      </c>
      <c r="I3054">
        <f t="shared" si="142"/>
        <v>3456</v>
      </c>
      <c r="J3054">
        <f t="shared" si="143"/>
        <v>17280</v>
      </c>
    </row>
    <row r="3055" spans="1:10" x14ac:dyDescent="0.45">
      <c r="A3055" t="s">
        <v>1449</v>
      </c>
      <c r="B3055" s="1">
        <v>45845</v>
      </c>
      <c r="C3055" t="s">
        <v>33</v>
      </c>
      <c r="D3055" t="s">
        <v>34</v>
      </c>
      <c r="E3055">
        <v>1700</v>
      </c>
      <c r="F3055">
        <v>6</v>
      </c>
      <c r="G3055">
        <f t="shared" si="141"/>
        <v>10200</v>
      </c>
      <c r="H3055" t="s">
        <v>17</v>
      </c>
      <c r="I3055">
        <f t="shared" si="142"/>
        <v>2040</v>
      </c>
      <c r="J3055">
        <f t="shared" si="143"/>
        <v>12240</v>
      </c>
    </row>
    <row r="3056" spans="1:10" x14ac:dyDescent="0.45">
      <c r="A3056" t="s">
        <v>1450</v>
      </c>
      <c r="B3056" s="1">
        <v>45845</v>
      </c>
      <c r="C3056" t="s">
        <v>33</v>
      </c>
      <c r="D3056" t="s">
        <v>16</v>
      </c>
      <c r="E3056">
        <v>1200</v>
      </c>
      <c r="F3056">
        <v>3</v>
      </c>
      <c r="G3056">
        <f t="shared" si="141"/>
        <v>3600</v>
      </c>
      <c r="H3056" t="s">
        <v>17</v>
      </c>
      <c r="I3056">
        <f t="shared" si="142"/>
        <v>1440</v>
      </c>
      <c r="J3056">
        <f t="shared" si="143"/>
        <v>4320</v>
      </c>
    </row>
    <row r="3057" spans="1:10" x14ac:dyDescent="0.45">
      <c r="A3057" t="s">
        <v>1451</v>
      </c>
      <c r="B3057" s="1">
        <v>45845</v>
      </c>
      <c r="C3057" t="s">
        <v>33</v>
      </c>
      <c r="D3057" t="s">
        <v>34</v>
      </c>
      <c r="E3057">
        <v>1700</v>
      </c>
      <c r="F3057">
        <v>8</v>
      </c>
      <c r="G3057">
        <f t="shared" si="141"/>
        <v>13600</v>
      </c>
      <c r="H3057" t="s">
        <v>17</v>
      </c>
      <c r="I3057">
        <f t="shared" si="142"/>
        <v>2040</v>
      </c>
      <c r="J3057">
        <f t="shared" si="143"/>
        <v>16320</v>
      </c>
    </row>
    <row r="3058" spans="1:10" x14ac:dyDescent="0.45">
      <c r="A3058" t="s">
        <v>1452</v>
      </c>
      <c r="B3058" s="1">
        <v>45845</v>
      </c>
      <c r="C3058" t="s">
        <v>9</v>
      </c>
      <c r="D3058" t="s">
        <v>10</v>
      </c>
      <c r="E3058">
        <v>400</v>
      </c>
      <c r="F3058">
        <v>1</v>
      </c>
      <c r="G3058">
        <f t="shared" si="141"/>
        <v>400</v>
      </c>
      <c r="H3058" t="s">
        <v>21</v>
      </c>
      <c r="I3058">
        <f t="shared" si="142"/>
        <v>480</v>
      </c>
      <c r="J3058">
        <f t="shared" si="143"/>
        <v>480</v>
      </c>
    </row>
    <row r="3059" spans="1:10" x14ac:dyDescent="0.45">
      <c r="A3059" t="s">
        <v>1453</v>
      </c>
      <c r="B3059" s="1">
        <v>45845</v>
      </c>
      <c r="C3059" t="s">
        <v>12</v>
      </c>
      <c r="D3059" t="s">
        <v>5022</v>
      </c>
      <c r="E3059">
        <v>2880</v>
      </c>
      <c r="F3059">
        <v>10</v>
      </c>
      <c r="G3059">
        <f t="shared" si="141"/>
        <v>28800</v>
      </c>
      <c r="H3059" t="s">
        <v>7</v>
      </c>
      <c r="I3059">
        <f t="shared" si="142"/>
        <v>3456</v>
      </c>
      <c r="J3059">
        <f t="shared" si="143"/>
        <v>34560</v>
      </c>
    </row>
    <row r="3060" spans="1:10" x14ac:dyDescent="0.45">
      <c r="A3060" t="s">
        <v>1454</v>
      </c>
      <c r="B3060" s="1">
        <v>45845</v>
      </c>
      <c r="C3060" t="s">
        <v>12</v>
      </c>
      <c r="D3060" t="s">
        <v>5021</v>
      </c>
      <c r="E3060">
        <v>2880</v>
      </c>
      <c r="F3060">
        <v>7</v>
      </c>
      <c r="G3060">
        <f t="shared" si="141"/>
        <v>20160</v>
      </c>
      <c r="H3060" t="s">
        <v>21</v>
      </c>
      <c r="I3060">
        <f t="shared" si="142"/>
        <v>3456</v>
      </c>
      <c r="J3060">
        <f t="shared" si="143"/>
        <v>24192</v>
      </c>
    </row>
    <row r="3061" spans="1:10" x14ac:dyDescent="0.45">
      <c r="A3061" t="s">
        <v>3018</v>
      </c>
      <c r="B3061" s="1">
        <v>45845</v>
      </c>
      <c r="C3061" t="s">
        <v>2772</v>
      </c>
      <c r="D3061" t="s">
        <v>2771</v>
      </c>
      <c r="E3061">
        <v>120</v>
      </c>
      <c r="F3061">
        <v>6</v>
      </c>
      <c r="G3061">
        <f t="shared" si="141"/>
        <v>720</v>
      </c>
      <c r="H3061" t="s">
        <v>17</v>
      </c>
      <c r="I3061">
        <f t="shared" si="142"/>
        <v>144</v>
      </c>
      <c r="J3061">
        <f t="shared" si="143"/>
        <v>864</v>
      </c>
    </row>
    <row r="3062" spans="1:10" x14ac:dyDescent="0.45">
      <c r="A3062" t="s">
        <v>3027</v>
      </c>
      <c r="B3062" s="1">
        <v>45845</v>
      </c>
      <c r="C3062" t="s">
        <v>4007</v>
      </c>
      <c r="D3062" t="s">
        <v>5015</v>
      </c>
      <c r="E3062">
        <v>48000</v>
      </c>
      <c r="F3062">
        <v>4</v>
      </c>
      <c r="G3062">
        <f t="shared" si="141"/>
        <v>192000</v>
      </c>
      <c r="H3062" t="s">
        <v>7</v>
      </c>
      <c r="I3062">
        <f t="shared" si="142"/>
        <v>57600</v>
      </c>
      <c r="J3062">
        <f t="shared" si="143"/>
        <v>230400</v>
      </c>
    </row>
    <row r="3063" spans="1:10" x14ac:dyDescent="0.45">
      <c r="A3063" t="s">
        <v>3028</v>
      </c>
      <c r="B3063" s="1">
        <v>45845</v>
      </c>
      <c r="C3063" t="s">
        <v>2772</v>
      </c>
      <c r="D3063" t="s">
        <v>2771</v>
      </c>
      <c r="E3063">
        <v>120</v>
      </c>
      <c r="F3063">
        <v>10</v>
      </c>
      <c r="G3063">
        <f t="shared" si="141"/>
        <v>1200</v>
      </c>
      <c r="H3063" t="s">
        <v>21</v>
      </c>
      <c r="I3063">
        <f t="shared" si="142"/>
        <v>144</v>
      </c>
      <c r="J3063">
        <f t="shared" si="143"/>
        <v>1440</v>
      </c>
    </row>
    <row r="3064" spans="1:10" x14ac:dyDescent="0.45">
      <c r="A3064" t="s">
        <v>3547</v>
      </c>
      <c r="B3064" s="1">
        <v>45845</v>
      </c>
      <c r="C3064" t="s">
        <v>4007</v>
      </c>
      <c r="D3064" t="s">
        <v>2776</v>
      </c>
      <c r="E3064">
        <v>3600</v>
      </c>
      <c r="F3064">
        <v>6</v>
      </c>
      <c r="G3064">
        <f t="shared" si="141"/>
        <v>21600</v>
      </c>
      <c r="H3064" t="s">
        <v>17</v>
      </c>
      <c r="I3064">
        <f t="shared" si="142"/>
        <v>4320</v>
      </c>
      <c r="J3064">
        <f t="shared" si="143"/>
        <v>25920</v>
      </c>
    </row>
    <row r="3065" spans="1:10" x14ac:dyDescent="0.45">
      <c r="A3065" t="s">
        <v>3915</v>
      </c>
      <c r="B3065" s="1">
        <v>45845</v>
      </c>
      <c r="C3065" t="s">
        <v>4007</v>
      </c>
      <c r="D3065" t="s">
        <v>28</v>
      </c>
      <c r="E3065">
        <v>500</v>
      </c>
      <c r="F3065">
        <v>7</v>
      </c>
      <c r="G3065">
        <f t="shared" si="141"/>
        <v>3500</v>
      </c>
      <c r="H3065" t="s">
        <v>21</v>
      </c>
      <c r="I3065">
        <f t="shared" si="142"/>
        <v>600</v>
      </c>
      <c r="J3065">
        <f t="shared" si="143"/>
        <v>4200</v>
      </c>
    </row>
    <row r="3066" spans="1:10" x14ac:dyDescent="0.45">
      <c r="A3066" t="s">
        <v>1455</v>
      </c>
      <c r="B3066" s="1">
        <v>45846</v>
      </c>
      <c r="C3066" t="s">
        <v>12</v>
      </c>
      <c r="D3066" t="s">
        <v>5022</v>
      </c>
      <c r="E3066">
        <v>2880</v>
      </c>
      <c r="F3066">
        <v>4</v>
      </c>
      <c r="G3066">
        <f t="shared" si="141"/>
        <v>11520</v>
      </c>
      <c r="H3066" t="s">
        <v>17</v>
      </c>
      <c r="I3066">
        <f t="shared" si="142"/>
        <v>3456</v>
      </c>
      <c r="J3066">
        <f t="shared" si="143"/>
        <v>13824</v>
      </c>
    </row>
    <row r="3067" spans="1:10" x14ac:dyDescent="0.45">
      <c r="A3067" t="s">
        <v>1456</v>
      </c>
      <c r="B3067" s="1">
        <v>45846</v>
      </c>
      <c r="C3067" t="s">
        <v>9</v>
      </c>
      <c r="D3067" t="s">
        <v>10</v>
      </c>
      <c r="E3067">
        <v>400</v>
      </c>
      <c r="F3067">
        <v>3</v>
      </c>
      <c r="G3067">
        <f t="shared" si="141"/>
        <v>1200</v>
      </c>
      <c r="H3067" t="s">
        <v>7</v>
      </c>
      <c r="I3067">
        <f t="shared" si="142"/>
        <v>480</v>
      </c>
      <c r="J3067">
        <f t="shared" si="143"/>
        <v>1440</v>
      </c>
    </row>
    <row r="3068" spans="1:10" x14ac:dyDescent="0.45">
      <c r="A3068" t="s">
        <v>1457</v>
      </c>
      <c r="B3068" s="1">
        <v>45846</v>
      </c>
      <c r="C3068" t="s">
        <v>33</v>
      </c>
      <c r="D3068" t="s">
        <v>34</v>
      </c>
      <c r="E3068">
        <v>1700</v>
      </c>
      <c r="F3068">
        <v>8</v>
      </c>
      <c r="G3068">
        <f t="shared" si="141"/>
        <v>13600</v>
      </c>
      <c r="H3068" t="s">
        <v>21</v>
      </c>
      <c r="I3068">
        <f t="shared" si="142"/>
        <v>2040</v>
      </c>
      <c r="J3068">
        <f t="shared" si="143"/>
        <v>16320</v>
      </c>
    </row>
    <row r="3069" spans="1:10" x14ac:dyDescent="0.45">
      <c r="A3069" t="s">
        <v>1458</v>
      </c>
      <c r="B3069" s="1">
        <v>45846</v>
      </c>
      <c r="C3069" t="s">
        <v>33</v>
      </c>
      <c r="D3069" t="s">
        <v>14</v>
      </c>
      <c r="E3069">
        <v>800</v>
      </c>
      <c r="F3069">
        <v>9</v>
      </c>
      <c r="G3069">
        <f t="shared" si="141"/>
        <v>7200</v>
      </c>
      <c r="H3069" t="s">
        <v>21</v>
      </c>
      <c r="I3069">
        <f t="shared" si="142"/>
        <v>960</v>
      </c>
      <c r="J3069">
        <f t="shared" si="143"/>
        <v>8640</v>
      </c>
    </row>
    <row r="3070" spans="1:10" x14ac:dyDescent="0.45">
      <c r="A3070" t="s">
        <v>1459</v>
      </c>
      <c r="B3070" s="1">
        <v>45846</v>
      </c>
      <c r="C3070" t="s">
        <v>9</v>
      </c>
      <c r="D3070" t="s">
        <v>19</v>
      </c>
      <c r="E3070">
        <v>3000</v>
      </c>
      <c r="F3070">
        <v>9</v>
      </c>
      <c r="G3070">
        <f t="shared" si="141"/>
        <v>27000</v>
      </c>
      <c r="H3070" t="s">
        <v>7</v>
      </c>
      <c r="I3070">
        <f t="shared" si="142"/>
        <v>3600</v>
      </c>
      <c r="J3070">
        <f t="shared" si="143"/>
        <v>32400</v>
      </c>
    </row>
    <row r="3071" spans="1:10" x14ac:dyDescent="0.45">
      <c r="A3071" t="s">
        <v>1460</v>
      </c>
      <c r="B3071" s="1">
        <v>45846</v>
      </c>
      <c r="C3071" t="s">
        <v>12</v>
      </c>
      <c r="D3071" t="s">
        <v>5020</v>
      </c>
      <c r="E3071">
        <v>2880</v>
      </c>
      <c r="F3071">
        <v>10</v>
      </c>
      <c r="G3071">
        <f t="shared" si="141"/>
        <v>28800</v>
      </c>
      <c r="H3071" t="s">
        <v>7</v>
      </c>
      <c r="I3071">
        <f t="shared" si="142"/>
        <v>3456</v>
      </c>
      <c r="J3071">
        <f t="shared" si="143"/>
        <v>34560</v>
      </c>
    </row>
    <row r="3072" spans="1:10" x14ac:dyDescent="0.45">
      <c r="A3072" t="s">
        <v>2832</v>
      </c>
      <c r="B3072" s="1">
        <v>45846</v>
      </c>
      <c r="C3072" t="s">
        <v>2772</v>
      </c>
      <c r="D3072" t="s">
        <v>2771</v>
      </c>
      <c r="E3072">
        <v>120</v>
      </c>
      <c r="F3072">
        <v>6</v>
      </c>
      <c r="G3072">
        <f t="shared" si="141"/>
        <v>720</v>
      </c>
      <c r="H3072" t="s">
        <v>21</v>
      </c>
      <c r="I3072">
        <f t="shared" si="142"/>
        <v>144</v>
      </c>
      <c r="J3072">
        <f t="shared" si="143"/>
        <v>864</v>
      </c>
    </row>
    <row r="3073" spans="1:10" x14ac:dyDescent="0.45">
      <c r="A3073" t="s">
        <v>3592</v>
      </c>
      <c r="B3073" s="1">
        <v>45846</v>
      </c>
      <c r="C3073" t="s">
        <v>4007</v>
      </c>
      <c r="D3073" t="s">
        <v>5015</v>
      </c>
      <c r="E3073">
        <v>48000</v>
      </c>
      <c r="F3073">
        <v>2</v>
      </c>
      <c r="G3073">
        <f t="shared" si="141"/>
        <v>96000</v>
      </c>
      <c r="H3073" t="s">
        <v>17</v>
      </c>
      <c r="I3073">
        <f t="shared" si="142"/>
        <v>57600</v>
      </c>
      <c r="J3073">
        <f t="shared" si="143"/>
        <v>115200</v>
      </c>
    </row>
    <row r="3074" spans="1:10" x14ac:dyDescent="0.45">
      <c r="A3074" t="s">
        <v>3715</v>
      </c>
      <c r="B3074" s="1">
        <v>45846</v>
      </c>
      <c r="C3074" t="s">
        <v>2772</v>
      </c>
      <c r="D3074" t="s">
        <v>2775</v>
      </c>
      <c r="E3074">
        <v>9100</v>
      </c>
      <c r="F3074">
        <v>2</v>
      </c>
      <c r="G3074">
        <f t="shared" ref="G3074:G3137" si="144">E3074*F3074</f>
        <v>18200</v>
      </c>
      <c r="H3074" t="s">
        <v>17</v>
      </c>
      <c r="I3074">
        <f t="shared" ref="I3074:I3137" si="145">E3074*1.2</f>
        <v>10920</v>
      </c>
      <c r="J3074">
        <f t="shared" ref="J3074:J3137" si="146">I3074*F3074</f>
        <v>21840</v>
      </c>
    </row>
    <row r="3075" spans="1:10" x14ac:dyDescent="0.45">
      <c r="A3075" t="s">
        <v>1461</v>
      </c>
      <c r="B3075" s="1">
        <v>45847</v>
      </c>
      <c r="C3075" t="s">
        <v>33</v>
      </c>
      <c r="D3075" t="s">
        <v>14</v>
      </c>
      <c r="E3075">
        <v>800</v>
      </c>
      <c r="F3075">
        <v>1</v>
      </c>
      <c r="G3075">
        <f t="shared" si="144"/>
        <v>800</v>
      </c>
      <c r="H3075" t="s">
        <v>21</v>
      </c>
      <c r="I3075">
        <f t="shared" si="145"/>
        <v>960</v>
      </c>
      <c r="J3075">
        <f t="shared" si="146"/>
        <v>960</v>
      </c>
    </row>
    <row r="3076" spans="1:10" x14ac:dyDescent="0.45">
      <c r="A3076" t="s">
        <v>1462</v>
      </c>
      <c r="B3076" s="1">
        <v>45847</v>
      </c>
      <c r="C3076" t="s">
        <v>4007</v>
      </c>
      <c r="D3076" t="s">
        <v>4005</v>
      </c>
      <c r="E3076">
        <v>60000</v>
      </c>
      <c r="F3076">
        <v>2</v>
      </c>
      <c r="G3076">
        <f t="shared" si="144"/>
        <v>120000</v>
      </c>
      <c r="H3076" t="s">
        <v>7</v>
      </c>
      <c r="I3076">
        <f t="shared" si="145"/>
        <v>72000</v>
      </c>
      <c r="J3076">
        <f t="shared" si="146"/>
        <v>144000</v>
      </c>
    </row>
    <row r="3077" spans="1:10" x14ac:dyDescent="0.45">
      <c r="A3077" t="s">
        <v>1463</v>
      </c>
      <c r="B3077" s="1">
        <v>45847</v>
      </c>
      <c r="C3077" t="s">
        <v>12</v>
      </c>
      <c r="D3077" t="s">
        <v>5021</v>
      </c>
      <c r="E3077">
        <v>2880</v>
      </c>
      <c r="F3077">
        <v>5</v>
      </c>
      <c r="G3077">
        <f t="shared" si="144"/>
        <v>14400</v>
      </c>
      <c r="H3077" t="s">
        <v>21</v>
      </c>
      <c r="I3077">
        <f t="shared" si="145"/>
        <v>3456</v>
      </c>
      <c r="J3077">
        <f t="shared" si="146"/>
        <v>17280</v>
      </c>
    </row>
    <row r="3078" spans="1:10" x14ac:dyDescent="0.45">
      <c r="A3078" t="s">
        <v>1464</v>
      </c>
      <c r="B3078" s="1">
        <v>45847</v>
      </c>
      <c r="C3078" t="s">
        <v>12</v>
      </c>
      <c r="D3078" t="s">
        <v>5023</v>
      </c>
      <c r="E3078">
        <v>1750</v>
      </c>
      <c r="F3078">
        <v>4</v>
      </c>
      <c r="G3078">
        <f t="shared" si="144"/>
        <v>7000</v>
      </c>
      <c r="H3078" t="s">
        <v>17</v>
      </c>
      <c r="I3078">
        <f t="shared" si="145"/>
        <v>2100</v>
      </c>
      <c r="J3078">
        <f t="shared" si="146"/>
        <v>8400</v>
      </c>
    </row>
    <row r="3079" spans="1:10" x14ac:dyDescent="0.45">
      <c r="A3079" t="s">
        <v>1465</v>
      </c>
      <c r="B3079" s="1">
        <v>45847</v>
      </c>
      <c r="C3079" t="s">
        <v>4007</v>
      </c>
      <c r="D3079" t="s">
        <v>4005</v>
      </c>
      <c r="E3079">
        <v>60000</v>
      </c>
      <c r="F3079">
        <v>2</v>
      </c>
      <c r="G3079">
        <f t="shared" si="144"/>
        <v>120000</v>
      </c>
      <c r="H3079" t="s">
        <v>17</v>
      </c>
      <c r="I3079">
        <f t="shared" si="145"/>
        <v>72000</v>
      </c>
      <c r="J3079">
        <f t="shared" si="146"/>
        <v>144000</v>
      </c>
    </row>
    <row r="3080" spans="1:10" x14ac:dyDescent="0.45">
      <c r="A3080" t="s">
        <v>1466</v>
      </c>
      <c r="B3080" s="1">
        <v>45847</v>
      </c>
      <c r="C3080" t="s">
        <v>9</v>
      </c>
      <c r="D3080" t="s">
        <v>19</v>
      </c>
      <c r="E3080">
        <v>3000</v>
      </c>
      <c r="F3080">
        <v>10</v>
      </c>
      <c r="G3080">
        <f t="shared" si="144"/>
        <v>30000</v>
      </c>
      <c r="H3080" t="s">
        <v>21</v>
      </c>
      <c r="I3080">
        <f t="shared" si="145"/>
        <v>3600</v>
      </c>
      <c r="J3080">
        <f t="shared" si="146"/>
        <v>36000</v>
      </c>
    </row>
    <row r="3081" spans="1:10" x14ac:dyDescent="0.45">
      <c r="A3081" t="s">
        <v>1467</v>
      </c>
      <c r="B3081" s="1">
        <v>45847</v>
      </c>
      <c r="C3081" t="s">
        <v>4007</v>
      </c>
      <c r="D3081" t="s">
        <v>39</v>
      </c>
      <c r="E3081">
        <v>6000</v>
      </c>
      <c r="F3081">
        <v>8</v>
      </c>
      <c r="G3081">
        <f t="shared" si="144"/>
        <v>48000</v>
      </c>
      <c r="H3081" t="s">
        <v>21</v>
      </c>
      <c r="I3081">
        <f t="shared" si="145"/>
        <v>7200</v>
      </c>
      <c r="J3081">
        <f t="shared" si="146"/>
        <v>57600</v>
      </c>
    </row>
    <row r="3082" spans="1:10" x14ac:dyDescent="0.45">
      <c r="A3082" t="s">
        <v>1468</v>
      </c>
      <c r="B3082" s="1">
        <v>45847</v>
      </c>
      <c r="C3082" t="s">
        <v>4007</v>
      </c>
      <c r="D3082" t="s">
        <v>28</v>
      </c>
      <c r="E3082">
        <v>500</v>
      </c>
      <c r="F3082">
        <v>3</v>
      </c>
      <c r="G3082">
        <f t="shared" si="144"/>
        <v>1500</v>
      </c>
      <c r="H3082" t="s">
        <v>7</v>
      </c>
      <c r="I3082">
        <f t="shared" si="145"/>
        <v>600</v>
      </c>
      <c r="J3082">
        <f t="shared" si="146"/>
        <v>1800</v>
      </c>
    </row>
    <row r="3083" spans="1:10" x14ac:dyDescent="0.45">
      <c r="A3083" t="s">
        <v>1469</v>
      </c>
      <c r="B3083" s="1">
        <v>45847</v>
      </c>
      <c r="C3083" t="s">
        <v>4007</v>
      </c>
      <c r="D3083" t="s">
        <v>39</v>
      </c>
      <c r="E3083">
        <v>6000</v>
      </c>
      <c r="F3083">
        <v>1</v>
      </c>
      <c r="G3083">
        <f t="shared" si="144"/>
        <v>6000</v>
      </c>
      <c r="H3083" t="s">
        <v>17</v>
      </c>
      <c r="I3083">
        <f t="shared" si="145"/>
        <v>7200</v>
      </c>
      <c r="J3083">
        <f t="shared" si="146"/>
        <v>7200</v>
      </c>
    </row>
    <row r="3084" spans="1:10" x14ac:dyDescent="0.45">
      <c r="A3084" t="s">
        <v>1470</v>
      </c>
      <c r="B3084" s="1">
        <v>45847</v>
      </c>
      <c r="C3084" t="s">
        <v>9</v>
      </c>
      <c r="D3084" t="s">
        <v>25</v>
      </c>
      <c r="E3084">
        <v>5200</v>
      </c>
      <c r="F3084">
        <v>1</v>
      </c>
      <c r="G3084">
        <f t="shared" si="144"/>
        <v>5200</v>
      </c>
      <c r="H3084" t="s">
        <v>17</v>
      </c>
      <c r="I3084">
        <f t="shared" si="145"/>
        <v>6240</v>
      </c>
      <c r="J3084">
        <f t="shared" si="146"/>
        <v>6240</v>
      </c>
    </row>
    <row r="3085" spans="1:10" x14ac:dyDescent="0.45">
      <c r="A3085" t="s">
        <v>3880</v>
      </c>
      <c r="B3085" s="1">
        <v>45847</v>
      </c>
      <c r="C3085" t="s">
        <v>4007</v>
      </c>
      <c r="D3085" t="s">
        <v>2776</v>
      </c>
      <c r="E3085">
        <v>3600</v>
      </c>
      <c r="F3085">
        <v>5</v>
      </c>
      <c r="G3085">
        <f t="shared" si="144"/>
        <v>18000</v>
      </c>
      <c r="H3085" t="s">
        <v>21</v>
      </c>
      <c r="I3085">
        <f t="shared" si="145"/>
        <v>4320</v>
      </c>
      <c r="J3085">
        <f t="shared" si="146"/>
        <v>21600</v>
      </c>
    </row>
    <row r="3086" spans="1:10" x14ac:dyDescent="0.45">
      <c r="A3086" t="s">
        <v>1471</v>
      </c>
      <c r="B3086" s="1">
        <v>45848</v>
      </c>
      <c r="C3086" t="s">
        <v>33</v>
      </c>
      <c r="D3086" t="s">
        <v>16</v>
      </c>
      <c r="E3086">
        <v>1200</v>
      </c>
      <c r="F3086">
        <v>7</v>
      </c>
      <c r="G3086">
        <f t="shared" si="144"/>
        <v>8400</v>
      </c>
      <c r="H3086" t="s">
        <v>21</v>
      </c>
      <c r="I3086">
        <f t="shared" si="145"/>
        <v>1440</v>
      </c>
      <c r="J3086">
        <f t="shared" si="146"/>
        <v>10080</v>
      </c>
    </row>
    <row r="3087" spans="1:10" x14ac:dyDescent="0.45">
      <c r="A3087" t="s">
        <v>1472</v>
      </c>
      <c r="B3087" s="1">
        <v>45848</v>
      </c>
      <c r="C3087" t="s">
        <v>33</v>
      </c>
      <c r="D3087" t="s">
        <v>14</v>
      </c>
      <c r="E3087">
        <v>800</v>
      </c>
      <c r="F3087">
        <v>9</v>
      </c>
      <c r="G3087">
        <f t="shared" si="144"/>
        <v>7200</v>
      </c>
      <c r="H3087" t="s">
        <v>17</v>
      </c>
      <c r="I3087">
        <f t="shared" si="145"/>
        <v>960</v>
      </c>
      <c r="J3087">
        <f t="shared" si="146"/>
        <v>8640</v>
      </c>
    </row>
    <row r="3088" spans="1:10" x14ac:dyDescent="0.45">
      <c r="A3088" t="s">
        <v>1473</v>
      </c>
      <c r="B3088" s="1">
        <v>45848</v>
      </c>
      <c r="C3088" t="s">
        <v>12</v>
      </c>
      <c r="D3088" t="s">
        <v>5022</v>
      </c>
      <c r="E3088">
        <v>2880</v>
      </c>
      <c r="F3088">
        <v>10</v>
      </c>
      <c r="G3088">
        <f t="shared" si="144"/>
        <v>28800</v>
      </c>
      <c r="H3088" t="s">
        <v>21</v>
      </c>
      <c r="I3088">
        <f t="shared" si="145"/>
        <v>3456</v>
      </c>
      <c r="J3088">
        <f t="shared" si="146"/>
        <v>34560</v>
      </c>
    </row>
    <row r="3089" spans="1:10" x14ac:dyDescent="0.45">
      <c r="A3089" t="s">
        <v>1474</v>
      </c>
      <c r="B3089" s="1">
        <v>45848</v>
      </c>
      <c r="C3089" t="s">
        <v>9</v>
      </c>
      <c r="D3089" t="s">
        <v>10</v>
      </c>
      <c r="E3089">
        <v>400</v>
      </c>
      <c r="F3089">
        <v>6</v>
      </c>
      <c r="G3089">
        <f t="shared" si="144"/>
        <v>2400</v>
      </c>
      <c r="H3089" t="s">
        <v>21</v>
      </c>
      <c r="I3089">
        <f t="shared" si="145"/>
        <v>480</v>
      </c>
      <c r="J3089">
        <f t="shared" si="146"/>
        <v>2880</v>
      </c>
    </row>
    <row r="3090" spans="1:10" x14ac:dyDescent="0.45">
      <c r="A3090" t="s">
        <v>1475</v>
      </c>
      <c r="B3090" s="1">
        <v>45848</v>
      </c>
      <c r="C3090" t="s">
        <v>33</v>
      </c>
      <c r="D3090" t="s">
        <v>16</v>
      </c>
      <c r="E3090">
        <v>1200</v>
      </c>
      <c r="F3090">
        <v>9</v>
      </c>
      <c r="G3090">
        <f t="shared" si="144"/>
        <v>10800</v>
      </c>
      <c r="H3090" t="s">
        <v>21</v>
      </c>
      <c r="I3090">
        <f t="shared" si="145"/>
        <v>1440</v>
      </c>
      <c r="J3090">
        <f t="shared" si="146"/>
        <v>12960</v>
      </c>
    </row>
    <row r="3091" spans="1:10" x14ac:dyDescent="0.45">
      <c r="A3091" t="s">
        <v>1476</v>
      </c>
      <c r="B3091" s="1">
        <v>45848</v>
      </c>
      <c r="C3091" t="s">
        <v>33</v>
      </c>
      <c r="D3091" t="s">
        <v>42</v>
      </c>
      <c r="E3091">
        <v>6900</v>
      </c>
      <c r="F3091">
        <v>6</v>
      </c>
      <c r="G3091">
        <f t="shared" si="144"/>
        <v>41400</v>
      </c>
      <c r="H3091" t="s">
        <v>21</v>
      </c>
      <c r="I3091">
        <f t="shared" si="145"/>
        <v>8280</v>
      </c>
      <c r="J3091">
        <f t="shared" si="146"/>
        <v>49680</v>
      </c>
    </row>
    <row r="3092" spans="1:10" x14ac:dyDescent="0.45">
      <c r="A3092" t="s">
        <v>3530</v>
      </c>
      <c r="B3092" s="1">
        <v>45848</v>
      </c>
      <c r="C3092" t="s">
        <v>2772</v>
      </c>
      <c r="D3092" t="s">
        <v>2775</v>
      </c>
      <c r="E3092">
        <v>9100</v>
      </c>
      <c r="F3092">
        <v>3</v>
      </c>
      <c r="G3092">
        <f t="shared" si="144"/>
        <v>27300</v>
      </c>
      <c r="H3092" t="s">
        <v>7</v>
      </c>
      <c r="I3092">
        <f t="shared" si="145"/>
        <v>10920</v>
      </c>
      <c r="J3092">
        <f t="shared" si="146"/>
        <v>32760</v>
      </c>
    </row>
    <row r="3093" spans="1:10" x14ac:dyDescent="0.45">
      <c r="A3093" t="s">
        <v>3596</v>
      </c>
      <c r="B3093" s="1">
        <v>45848</v>
      </c>
      <c r="C3093" t="s">
        <v>4007</v>
      </c>
      <c r="D3093" t="s">
        <v>2773</v>
      </c>
      <c r="E3093">
        <v>3300</v>
      </c>
      <c r="F3093">
        <v>7</v>
      </c>
      <c r="G3093">
        <f t="shared" si="144"/>
        <v>23100</v>
      </c>
      <c r="H3093" t="s">
        <v>7</v>
      </c>
      <c r="I3093">
        <f t="shared" si="145"/>
        <v>3960</v>
      </c>
      <c r="J3093">
        <f t="shared" si="146"/>
        <v>27720</v>
      </c>
    </row>
    <row r="3094" spans="1:10" x14ac:dyDescent="0.45">
      <c r="A3094" t="s">
        <v>1477</v>
      </c>
      <c r="B3094" s="1">
        <v>45849</v>
      </c>
      <c r="C3094" t="s">
        <v>12</v>
      </c>
      <c r="D3094" t="s">
        <v>5022</v>
      </c>
      <c r="E3094">
        <v>2880</v>
      </c>
      <c r="F3094">
        <v>6</v>
      </c>
      <c r="G3094">
        <f t="shared" si="144"/>
        <v>17280</v>
      </c>
      <c r="H3094" t="s">
        <v>21</v>
      </c>
      <c r="I3094">
        <f t="shared" si="145"/>
        <v>3456</v>
      </c>
      <c r="J3094">
        <f t="shared" si="146"/>
        <v>20736</v>
      </c>
    </row>
    <row r="3095" spans="1:10" x14ac:dyDescent="0.45">
      <c r="A3095" t="s">
        <v>1478</v>
      </c>
      <c r="B3095" s="1">
        <v>45849</v>
      </c>
      <c r="C3095" t="s">
        <v>12</v>
      </c>
      <c r="D3095" t="s">
        <v>5022</v>
      </c>
      <c r="E3095">
        <v>2880</v>
      </c>
      <c r="F3095">
        <v>8</v>
      </c>
      <c r="G3095">
        <f t="shared" si="144"/>
        <v>23040</v>
      </c>
      <c r="H3095" t="s">
        <v>17</v>
      </c>
      <c r="I3095">
        <f t="shared" si="145"/>
        <v>3456</v>
      </c>
      <c r="J3095">
        <f t="shared" si="146"/>
        <v>27648</v>
      </c>
    </row>
    <row r="3096" spans="1:10" x14ac:dyDescent="0.45">
      <c r="A3096" t="s">
        <v>1479</v>
      </c>
      <c r="B3096" s="1">
        <v>45849</v>
      </c>
      <c r="C3096" t="s">
        <v>4007</v>
      </c>
      <c r="D3096" t="s">
        <v>5015</v>
      </c>
      <c r="E3096">
        <v>48000</v>
      </c>
      <c r="F3096">
        <v>2</v>
      </c>
      <c r="G3096">
        <f t="shared" si="144"/>
        <v>96000</v>
      </c>
      <c r="H3096" t="s">
        <v>21</v>
      </c>
      <c r="I3096">
        <f t="shared" si="145"/>
        <v>57600</v>
      </c>
      <c r="J3096">
        <f t="shared" si="146"/>
        <v>115200</v>
      </c>
    </row>
    <row r="3097" spans="1:10" x14ac:dyDescent="0.45">
      <c r="A3097" t="s">
        <v>1480</v>
      </c>
      <c r="B3097" s="1">
        <v>45849</v>
      </c>
      <c r="C3097" t="s">
        <v>9</v>
      </c>
      <c r="D3097" t="s">
        <v>19</v>
      </c>
      <c r="E3097">
        <v>3000</v>
      </c>
      <c r="F3097">
        <v>4</v>
      </c>
      <c r="G3097">
        <f t="shared" si="144"/>
        <v>12000</v>
      </c>
      <c r="H3097" t="s">
        <v>21</v>
      </c>
      <c r="I3097">
        <f t="shared" si="145"/>
        <v>3600</v>
      </c>
      <c r="J3097">
        <f t="shared" si="146"/>
        <v>14400</v>
      </c>
    </row>
    <row r="3098" spans="1:10" x14ac:dyDescent="0.45">
      <c r="A3098" t="s">
        <v>1481</v>
      </c>
      <c r="B3098" s="1">
        <v>45849</v>
      </c>
      <c r="C3098" t="s">
        <v>9</v>
      </c>
      <c r="D3098" t="s">
        <v>19</v>
      </c>
      <c r="E3098">
        <v>3000</v>
      </c>
      <c r="F3098">
        <v>5</v>
      </c>
      <c r="G3098">
        <f t="shared" si="144"/>
        <v>15000</v>
      </c>
      <c r="H3098" t="s">
        <v>17</v>
      </c>
      <c r="I3098">
        <f t="shared" si="145"/>
        <v>3600</v>
      </c>
      <c r="J3098">
        <f t="shared" si="146"/>
        <v>18000</v>
      </c>
    </row>
    <row r="3099" spans="1:10" x14ac:dyDescent="0.45">
      <c r="A3099" t="s">
        <v>2819</v>
      </c>
      <c r="B3099" s="1">
        <v>45849</v>
      </c>
      <c r="C3099" t="s">
        <v>4007</v>
      </c>
      <c r="D3099" t="s">
        <v>2773</v>
      </c>
      <c r="E3099">
        <v>3300</v>
      </c>
      <c r="F3099">
        <v>4</v>
      </c>
      <c r="G3099">
        <f t="shared" si="144"/>
        <v>13200</v>
      </c>
      <c r="H3099" t="s">
        <v>7</v>
      </c>
      <c r="I3099">
        <f t="shared" si="145"/>
        <v>3960</v>
      </c>
      <c r="J3099">
        <f t="shared" si="146"/>
        <v>15840</v>
      </c>
    </row>
    <row r="3100" spans="1:10" x14ac:dyDescent="0.45">
      <c r="A3100" t="s">
        <v>2974</v>
      </c>
      <c r="B3100" s="1">
        <v>45849</v>
      </c>
      <c r="C3100" t="s">
        <v>4007</v>
      </c>
      <c r="D3100" t="s">
        <v>28</v>
      </c>
      <c r="E3100">
        <v>500</v>
      </c>
      <c r="F3100">
        <v>9</v>
      </c>
      <c r="G3100">
        <f t="shared" si="144"/>
        <v>4500</v>
      </c>
      <c r="H3100" t="s">
        <v>21</v>
      </c>
      <c r="I3100">
        <f t="shared" si="145"/>
        <v>600</v>
      </c>
      <c r="J3100">
        <f t="shared" si="146"/>
        <v>5400</v>
      </c>
    </row>
    <row r="3101" spans="1:10" x14ac:dyDescent="0.45">
      <c r="A3101" t="s">
        <v>3383</v>
      </c>
      <c r="B3101" s="1">
        <v>45849</v>
      </c>
      <c r="C3101" t="s">
        <v>4007</v>
      </c>
      <c r="D3101" t="s">
        <v>28</v>
      </c>
      <c r="E3101">
        <v>500</v>
      </c>
      <c r="F3101">
        <v>8</v>
      </c>
      <c r="G3101">
        <f t="shared" si="144"/>
        <v>4000</v>
      </c>
      <c r="H3101" t="s">
        <v>17</v>
      </c>
      <c r="I3101">
        <f t="shared" si="145"/>
        <v>600</v>
      </c>
      <c r="J3101">
        <f t="shared" si="146"/>
        <v>4800</v>
      </c>
    </row>
    <row r="3102" spans="1:10" x14ac:dyDescent="0.45">
      <c r="A3102" t="s">
        <v>1482</v>
      </c>
      <c r="B3102" s="1">
        <v>45850</v>
      </c>
      <c r="C3102" t="s">
        <v>4007</v>
      </c>
      <c r="D3102" t="s">
        <v>28</v>
      </c>
      <c r="E3102">
        <v>500</v>
      </c>
      <c r="F3102">
        <v>4</v>
      </c>
      <c r="G3102">
        <f t="shared" si="144"/>
        <v>2000</v>
      </c>
      <c r="H3102" t="s">
        <v>17</v>
      </c>
      <c r="I3102">
        <f t="shared" si="145"/>
        <v>600</v>
      </c>
      <c r="J3102">
        <f t="shared" si="146"/>
        <v>2400</v>
      </c>
    </row>
    <row r="3103" spans="1:10" x14ac:dyDescent="0.45">
      <c r="A3103" t="s">
        <v>1483</v>
      </c>
      <c r="B3103" s="1">
        <v>45850</v>
      </c>
      <c r="C3103" t="s">
        <v>9</v>
      </c>
      <c r="D3103" t="s">
        <v>19</v>
      </c>
      <c r="E3103">
        <v>3000</v>
      </c>
      <c r="F3103">
        <v>2</v>
      </c>
      <c r="G3103">
        <f t="shared" si="144"/>
        <v>6000</v>
      </c>
      <c r="H3103" t="s">
        <v>7</v>
      </c>
      <c r="I3103">
        <f t="shared" si="145"/>
        <v>3600</v>
      </c>
      <c r="J3103">
        <f t="shared" si="146"/>
        <v>7200</v>
      </c>
    </row>
    <row r="3104" spans="1:10" x14ac:dyDescent="0.45">
      <c r="A3104" t="s">
        <v>1484</v>
      </c>
      <c r="B3104" s="1">
        <v>45850</v>
      </c>
      <c r="C3104" t="s">
        <v>9</v>
      </c>
      <c r="D3104" t="s">
        <v>10</v>
      </c>
      <c r="E3104">
        <v>400</v>
      </c>
      <c r="F3104">
        <v>7</v>
      </c>
      <c r="G3104">
        <f t="shared" si="144"/>
        <v>2800</v>
      </c>
      <c r="H3104" t="s">
        <v>7</v>
      </c>
      <c r="I3104">
        <f t="shared" si="145"/>
        <v>480</v>
      </c>
      <c r="J3104">
        <f t="shared" si="146"/>
        <v>3360</v>
      </c>
    </row>
    <row r="3105" spans="1:10" x14ac:dyDescent="0.45">
      <c r="A3105" t="s">
        <v>1485</v>
      </c>
      <c r="B3105" s="1">
        <v>45850</v>
      </c>
      <c r="C3105" t="s">
        <v>12</v>
      </c>
      <c r="D3105" t="s">
        <v>5020</v>
      </c>
      <c r="E3105">
        <v>2880</v>
      </c>
      <c r="F3105">
        <v>8</v>
      </c>
      <c r="G3105">
        <f t="shared" si="144"/>
        <v>23040</v>
      </c>
      <c r="H3105" t="s">
        <v>21</v>
      </c>
      <c r="I3105">
        <f t="shared" si="145"/>
        <v>3456</v>
      </c>
      <c r="J3105">
        <f t="shared" si="146"/>
        <v>27648</v>
      </c>
    </row>
    <row r="3106" spans="1:10" x14ac:dyDescent="0.45">
      <c r="A3106" t="s">
        <v>1486</v>
      </c>
      <c r="B3106" s="1">
        <v>45850</v>
      </c>
      <c r="C3106" t="s">
        <v>4007</v>
      </c>
      <c r="D3106" t="s">
        <v>4005</v>
      </c>
      <c r="E3106">
        <v>60000</v>
      </c>
      <c r="F3106">
        <v>7</v>
      </c>
      <c r="G3106">
        <f t="shared" si="144"/>
        <v>420000</v>
      </c>
      <c r="H3106" t="s">
        <v>17</v>
      </c>
      <c r="I3106">
        <f t="shared" si="145"/>
        <v>72000</v>
      </c>
      <c r="J3106">
        <f t="shared" si="146"/>
        <v>504000</v>
      </c>
    </row>
    <row r="3107" spans="1:10" x14ac:dyDescent="0.45">
      <c r="A3107" t="s">
        <v>1487</v>
      </c>
      <c r="B3107" s="1">
        <v>45850</v>
      </c>
      <c r="C3107" t="s">
        <v>12</v>
      </c>
      <c r="D3107" t="s">
        <v>5022</v>
      </c>
      <c r="E3107">
        <v>2880</v>
      </c>
      <c r="F3107">
        <v>9</v>
      </c>
      <c r="G3107">
        <f t="shared" si="144"/>
        <v>25920</v>
      </c>
      <c r="H3107" t="s">
        <v>17</v>
      </c>
      <c r="I3107">
        <f t="shared" si="145"/>
        <v>3456</v>
      </c>
      <c r="J3107">
        <f t="shared" si="146"/>
        <v>31104</v>
      </c>
    </row>
    <row r="3108" spans="1:10" x14ac:dyDescent="0.45">
      <c r="A3108" t="s">
        <v>1488</v>
      </c>
      <c r="B3108" s="1">
        <v>45850</v>
      </c>
      <c r="C3108" t="s">
        <v>4007</v>
      </c>
      <c r="D3108" t="s">
        <v>5015</v>
      </c>
      <c r="E3108">
        <v>48000</v>
      </c>
      <c r="F3108">
        <v>2</v>
      </c>
      <c r="G3108">
        <f t="shared" si="144"/>
        <v>96000</v>
      </c>
      <c r="H3108" t="s">
        <v>17</v>
      </c>
      <c r="I3108">
        <f t="shared" si="145"/>
        <v>57600</v>
      </c>
      <c r="J3108">
        <f t="shared" si="146"/>
        <v>115200</v>
      </c>
    </row>
    <row r="3109" spans="1:10" x14ac:dyDescent="0.45">
      <c r="A3109" t="s">
        <v>1489</v>
      </c>
      <c r="B3109" s="1">
        <v>45850</v>
      </c>
      <c r="C3109" t="s">
        <v>9</v>
      </c>
      <c r="D3109" t="s">
        <v>19</v>
      </c>
      <c r="E3109">
        <v>3000</v>
      </c>
      <c r="F3109">
        <v>4</v>
      </c>
      <c r="G3109">
        <f t="shared" si="144"/>
        <v>12000</v>
      </c>
      <c r="H3109" t="s">
        <v>17</v>
      </c>
      <c r="I3109">
        <f t="shared" si="145"/>
        <v>3600</v>
      </c>
      <c r="J3109">
        <f t="shared" si="146"/>
        <v>14400</v>
      </c>
    </row>
    <row r="3110" spans="1:10" x14ac:dyDescent="0.45">
      <c r="A3110" t="s">
        <v>1490</v>
      </c>
      <c r="B3110" s="1">
        <v>45850</v>
      </c>
      <c r="C3110" t="s">
        <v>33</v>
      </c>
      <c r="D3110" t="s">
        <v>42</v>
      </c>
      <c r="E3110">
        <v>6900</v>
      </c>
      <c r="F3110">
        <v>5</v>
      </c>
      <c r="G3110">
        <f t="shared" si="144"/>
        <v>34500</v>
      </c>
      <c r="H3110" t="s">
        <v>17</v>
      </c>
      <c r="I3110">
        <f t="shared" si="145"/>
        <v>8280</v>
      </c>
      <c r="J3110">
        <f t="shared" si="146"/>
        <v>41400</v>
      </c>
    </row>
    <row r="3111" spans="1:10" x14ac:dyDescent="0.45">
      <c r="A3111" t="s">
        <v>1491</v>
      </c>
      <c r="B3111" s="1">
        <v>45850</v>
      </c>
      <c r="C3111" t="s">
        <v>12</v>
      </c>
      <c r="D3111" t="s">
        <v>5023</v>
      </c>
      <c r="E3111">
        <v>1750</v>
      </c>
      <c r="F3111">
        <v>3</v>
      </c>
      <c r="G3111">
        <f t="shared" si="144"/>
        <v>5250</v>
      </c>
      <c r="H3111" t="s">
        <v>7</v>
      </c>
      <c r="I3111">
        <f t="shared" si="145"/>
        <v>2100</v>
      </c>
      <c r="J3111">
        <f t="shared" si="146"/>
        <v>6300</v>
      </c>
    </row>
    <row r="3112" spans="1:10" x14ac:dyDescent="0.45">
      <c r="A3112" t="s">
        <v>3584</v>
      </c>
      <c r="B3112" s="1">
        <v>45850</v>
      </c>
      <c r="C3112" t="s">
        <v>2772</v>
      </c>
      <c r="D3112" t="s">
        <v>2775</v>
      </c>
      <c r="E3112">
        <v>9100</v>
      </c>
      <c r="F3112">
        <v>7</v>
      </c>
      <c r="G3112">
        <f t="shared" si="144"/>
        <v>63700</v>
      </c>
      <c r="H3112" t="s">
        <v>17</v>
      </c>
      <c r="I3112">
        <f t="shared" si="145"/>
        <v>10920</v>
      </c>
      <c r="J3112">
        <f t="shared" si="146"/>
        <v>76440</v>
      </c>
    </row>
    <row r="3113" spans="1:10" x14ac:dyDescent="0.45">
      <c r="A3113" t="s">
        <v>1492</v>
      </c>
      <c r="B3113" s="1">
        <v>45851</v>
      </c>
      <c r="C3113" t="s">
        <v>33</v>
      </c>
      <c r="D3113" t="s">
        <v>34</v>
      </c>
      <c r="E3113">
        <v>1700</v>
      </c>
      <c r="F3113">
        <v>8</v>
      </c>
      <c r="G3113">
        <f t="shared" si="144"/>
        <v>13600</v>
      </c>
      <c r="H3113" t="s">
        <v>7</v>
      </c>
      <c r="I3113">
        <f t="shared" si="145"/>
        <v>2040</v>
      </c>
      <c r="J3113">
        <f t="shared" si="146"/>
        <v>16320</v>
      </c>
    </row>
    <row r="3114" spans="1:10" x14ac:dyDescent="0.45">
      <c r="A3114" t="s">
        <v>1493</v>
      </c>
      <c r="B3114" s="1">
        <v>45851</v>
      </c>
      <c r="C3114" t="s">
        <v>4007</v>
      </c>
      <c r="D3114" t="s">
        <v>4005</v>
      </c>
      <c r="E3114">
        <v>60000</v>
      </c>
      <c r="F3114">
        <v>8</v>
      </c>
      <c r="G3114">
        <f t="shared" si="144"/>
        <v>480000</v>
      </c>
      <c r="H3114" t="s">
        <v>21</v>
      </c>
      <c r="I3114">
        <f t="shared" si="145"/>
        <v>72000</v>
      </c>
      <c r="J3114">
        <f t="shared" si="146"/>
        <v>576000</v>
      </c>
    </row>
    <row r="3115" spans="1:10" x14ac:dyDescent="0.45">
      <c r="A3115" t="s">
        <v>1494</v>
      </c>
      <c r="B3115" s="1">
        <v>45851</v>
      </c>
      <c r="C3115" t="s">
        <v>9</v>
      </c>
      <c r="D3115" t="s">
        <v>25</v>
      </c>
      <c r="E3115">
        <v>5200</v>
      </c>
      <c r="F3115">
        <v>8</v>
      </c>
      <c r="G3115">
        <f t="shared" si="144"/>
        <v>41600</v>
      </c>
      <c r="H3115" t="s">
        <v>21</v>
      </c>
      <c r="I3115">
        <f t="shared" si="145"/>
        <v>6240</v>
      </c>
      <c r="J3115">
        <f t="shared" si="146"/>
        <v>49920</v>
      </c>
    </row>
    <row r="3116" spans="1:10" x14ac:dyDescent="0.45">
      <c r="A3116" t="s">
        <v>1495</v>
      </c>
      <c r="B3116" s="1">
        <v>45851</v>
      </c>
      <c r="C3116" t="s">
        <v>9</v>
      </c>
      <c r="D3116" t="s">
        <v>25</v>
      </c>
      <c r="E3116">
        <v>5200</v>
      </c>
      <c r="F3116">
        <v>3</v>
      </c>
      <c r="G3116">
        <f t="shared" si="144"/>
        <v>15600</v>
      </c>
      <c r="H3116" t="s">
        <v>7</v>
      </c>
      <c r="I3116">
        <f t="shared" si="145"/>
        <v>6240</v>
      </c>
      <c r="J3116">
        <f t="shared" si="146"/>
        <v>18720</v>
      </c>
    </row>
    <row r="3117" spans="1:10" x14ac:dyDescent="0.45">
      <c r="A3117" t="s">
        <v>1496</v>
      </c>
      <c r="B3117" s="1">
        <v>45851</v>
      </c>
      <c r="C3117" t="s">
        <v>9</v>
      </c>
      <c r="D3117" t="s">
        <v>10</v>
      </c>
      <c r="E3117">
        <v>400</v>
      </c>
      <c r="F3117">
        <v>3</v>
      </c>
      <c r="G3117">
        <f t="shared" si="144"/>
        <v>1200</v>
      </c>
      <c r="H3117" t="s">
        <v>21</v>
      </c>
      <c r="I3117">
        <f t="shared" si="145"/>
        <v>480</v>
      </c>
      <c r="J3117">
        <f t="shared" si="146"/>
        <v>1440</v>
      </c>
    </row>
    <row r="3118" spans="1:10" x14ac:dyDescent="0.45">
      <c r="A3118" t="s">
        <v>3359</v>
      </c>
      <c r="B3118" s="1">
        <v>45851</v>
      </c>
      <c r="C3118" t="s">
        <v>4007</v>
      </c>
      <c r="D3118" t="s">
        <v>2773</v>
      </c>
      <c r="E3118">
        <v>3300</v>
      </c>
      <c r="F3118">
        <v>6</v>
      </c>
      <c r="G3118">
        <f t="shared" si="144"/>
        <v>19800</v>
      </c>
      <c r="H3118" t="s">
        <v>7</v>
      </c>
      <c r="I3118">
        <f t="shared" si="145"/>
        <v>3960</v>
      </c>
      <c r="J3118">
        <f t="shared" si="146"/>
        <v>23760</v>
      </c>
    </row>
    <row r="3119" spans="1:10" x14ac:dyDescent="0.45">
      <c r="A3119" t="s">
        <v>3655</v>
      </c>
      <c r="B3119" s="1">
        <v>45851</v>
      </c>
      <c r="C3119" t="s">
        <v>2772</v>
      </c>
      <c r="D3119" t="s">
        <v>2771</v>
      </c>
      <c r="E3119">
        <v>120</v>
      </c>
      <c r="F3119">
        <v>9</v>
      </c>
      <c r="G3119">
        <f t="shared" si="144"/>
        <v>1080</v>
      </c>
      <c r="H3119" t="s">
        <v>17</v>
      </c>
      <c r="I3119">
        <f t="shared" si="145"/>
        <v>144</v>
      </c>
      <c r="J3119">
        <f t="shared" si="146"/>
        <v>1296</v>
      </c>
    </row>
    <row r="3120" spans="1:10" x14ac:dyDescent="0.45">
      <c r="A3120" t="s">
        <v>1497</v>
      </c>
      <c r="B3120" s="1">
        <v>45852</v>
      </c>
      <c r="C3120" t="s">
        <v>33</v>
      </c>
      <c r="D3120" t="s">
        <v>16</v>
      </c>
      <c r="E3120">
        <v>1200</v>
      </c>
      <c r="F3120">
        <v>8</v>
      </c>
      <c r="G3120">
        <f t="shared" si="144"/>
        <v>9600</v>
      </c>
      <c r="H3120" t="s">
        <v>21</v>
      </c>
      <c r="I3120">
        <f t="shared" si="145"/>
        <v>1440</v>
      </c>
      <c r="J3120">
        <f t="shared" si="146"/>
        <v>11520</v>
      </c>
    </row>
    <row r="3121" spans="1:10" x14ac:dyDescent="0.45">
      <c r="A3121" t="s">
        <v>1498</v>
      </c>
      <c r="B3121" s="1">
        <v>45852</v>
      </c>
      <c r="C3121" t="s">
        <v>33</v>
      </c>
      <c r="D3121" t="s">
        <v>16</v>
      </c>
      <c r="E3121">
        <v>1200</v>
      </c>
      <c r="F3121">
        <v>6</v>
      </c>
      <c r="G3121">
        <f t="shared" si="144"/>
        <v>7200</v>
      </c>
      <c r="H3121" t="s">
        <v>21</v>
      </c>
      <c r="I3121">
        <f t="shared" si="145"/>
        <v>1440</v>
      </c>
      <c r="J3121">
        <f t="shared" si="146"/>
        <v>8640</v>
      </c>
    </row>
    <row r="3122" spans="1:10" x14ac:dyDescent="0.45">
      <c r="A3122" t="s">
        <v>1499</v>
      </c>
      <c r="B3122" s="1">
        <v>45852</v>
      </c>
      <c r="C3122" t="s">
        <v>33</v>
      </c>
      <c r="D3122" t="s">
        <v>34</v>
      </c>
      <c r="E3122">
        <v>1700</v>
      </c>
      <c r="F3122">
        <v>10</v>
      </c>
      <c r="G3122">
        <f t="shared" si="144"/>
        <v>17000</v>
      </c>
      <c r="H3122" t="s">
        <v>21</v>
      </c>
      <c r="I3122">
        <f t="shared" si="145"/>
        <v>2040</v>
      </c>
      <c r="J3122">
        <f t="shared" si="146"/>
        <v>20400</v>
      </c>
    </row>
    <row r="3123" spans="1:10" x14ac:dyDescent="0.45">
      <c r="A3123" t="s">
        <v>1500</v>
      </c>
      <c r="B3123" s="1">
        <v>45852</v>
      </c>
      <c r="C3123" t="s">
        <v>33</v>
      </c>
      <c r="D3123" t="s">
        <v>14</v>
      </c>
      <c r="E3123">
        <v>800</v>
      </c>
      <c r="F3123">
        <v>6</v>
      </c>
      <c r="G3123">
        <f t="shared" si="144"/>
        <v>4800</v>
      </c>
      <c r="H3123" t="s">
        <v>7</v>
      </c>
      <c r="I3123">
        <f t="shared" si="145"/>
        <v>960</v>
      </c>
      <c r="J3123">
        <f t="shared" si="146"/>
        <v>5760</v>
      </c>
    </row>
    <row r="3124" spans="1:10" x14ac:dyDescent="0.45">
      <c r="A3124" t="s">
        <v>1501</v>
      </c>
      <c r="B3124" s="1">
        <v>45852</v>
      </c>
      <c r="C3124" t="s">
        <v>33</v>
      </c>
      <c r="D3124" t="s">
        <v>14</v>
      </c>
      <c r="E3124">
        <v>800</v>
      </c>
      <c r="F3124">
        <v>6</v>
      </c>
      <c r="G3124">
        <f t="shared" si="144"/>
        <v>4800</v>
      </c>
      <c r="H3124" t="s">
        <v>21</v>
      </c>
      <c r="I3124">
        <f t="shared" si="145"/>
        <v>960</v>
      </c>
      <c r="J3124">
        <f t="shared" si="146"/>
        <v>5760</v>
      </c>
    </row>
    <row r="3125" spans="1:10" x14ac:dyDescent="0.45">
      <c r="A3125" t="s">
        <v>1502</v>
      </c>
      <c r="B3125" s="1">
        <v>45852</v>
      </c>
      <c r="C3125" t="s">
        <v>4007</v>
      </c>
      <c r="D3125" t="s">
        <v>4005</v>
      </c>
      <c r="E3125">
        <v>60000</v>
      </c>
      <c r="F3125">
        <v>6</v>
      </c>
      <c r="G3125">
        <f t="shared" si="144"/>
        <v>360000</v>
      </c>
      <c r="H3125" t="s">
        <v>7</v>
      </c>
      <c r="I3125">
        <f t="shared" si="145"/>
        <v>72000</v>
      </c>
      <c r="J3125">
        <f t="shared" si="146"/>
        <v>432000</v>
      </c>
    </row>
    <row r="3126" spans="1:10" x14ac:dyDescent="0.45">
      <c r="A3126" t="s">
        <v>1503</v>
      </c>
      <c r="B3126" s="1">
        <v>45852</v>
      </c>
      <c r="C3126" t="s">
        <v>4007</v>
      </c>
      <c r="D3126" t="s">
        <v>28</v>
      </c>
      <c r="E3126">
        <v>500</v>
      </c>
      <c r="F3126">
        <v>8</v>
      </c>
      <c r="G3126">
        <f t="shared" si="144"/>
        <v>4000</v>
      </c>
      <c r="H3126" t="s">
        <v>21</v>
      </c>
      <c r="I3126">
        <f t="shared" si="145"/>
        <v>600</v>
      </c>
      <c r="J3126">
        <f t="shared" si="146"/>
        <v>4800</v>
      </c>
    </row>
    <row r="3127" spans="1:10" x14ac:dyDescent="0.45">
      <c r="A3127" t="s">
        <v>1504</v>
      </c>
      <c r="B3127" s="1">
        <v>45852</v>
      </c>
      <c r="C3127" t="s">
        <v>4007</v>
      </c>
      <c r="D3127" t="s">
        <v>5015</v>
      </c>
      <c r="E3127">
        <v>48000</v>
      </c>
      <c r="F3127">
        <v>8</v>
      </c>
      <c r="G3127">
        <f t="shared" si="144"/>
        <v>384000</v>
      </c>
      <c r="H3127" t="s">
        <v>7</v>
      </c>
      <c r="I3127">
        <f t="shared" si="145"/>
        <v>57600</v>
      </c>
      <c r="J3127">
        <f t="shared" si="146"/>
        <v>460800</v>
      </c>
    </row>
    <row r="3128" spans="1:10" x14ac:dyDescent="0.45">
      <c r="A3128" t="s">
        <v>1505</v>
      </c>
      <c r="B3128" s="1">
        <v>45852</v>
      </c>
      <c r="C3128" t="s">
        <v>33</v>
      </c>
      <c r="D3128" t="s">
        <v>16</v>
      </c>
      <c r="E3128">
        <v>1200</v>
      </c>
      <c r="F3128">
        <v>8</v>
      </c>
      <c r="G3128">
        <f t="shared" si="144"/>
        <v>9600</v>
      </c>
      <c r="H3128" t="s">
        <v>7</v>
      </c>
      <c r="I3128">
        <f t="shared" si="145"/>
        <v>1440</v>
      </c>
      <c r="J3128">
        <f t="shared" si="146"/>
        <v>11520</v>
      </c>
    </row>
    <row r="3129" spans="1:10" x14ac:dyDescent="0.45">
      <c r="A3129" t="s">
        <v>2961</v>
      </c>
      <c r="B3129" s="1">
        <v>45852</v>
      </c>
      <c r="C3129" t="s">
        <v>4007</v>
      </c>
      <c r="D3129" t="s">
        <v>2776</v>
      </c>
      <c r="E3129">
        <v>3600</v>
      </c>
      <c r="F3129">
        <v>7</v>
      </c>
      <c r="G3129">
        <f t="shared" si="144"/>
        <v>25200</v>
      </c>
      <c r="H3129" t="s">
        <v>7</v>
      </c>
      <c r="I3129">
        <f t="shared" si="145"/>
        <v>4320</v>
      </c>
      <c r="J3129">
        <f t="shared" si="146"/>
        <v>30240</v>
      </c>
    </row>
    <row r="3130" spans="1:10" x14ac:dyDescent="0.45">
      <c r="A3130" t="s">
        <v>3081</v>
      </c>
      <c r="B3130" s="1">
        <v>45852</v>
      </c>
      <c r="C3130" t="s">
        <v>4007</v>
      </c>
      <c r="D3130" t="s">
        <v>5015</v>
      </c>
      <c r="E3130">
        <v>48000</v>
      </c>
      <c r="F3130">
        <v>6</v>
      </c>
      <c r="G3130">
        <f t="shared" si="144"/>
        <v>288000</v>
      </c>
      <c r="H3130" t="s">
        <v>7</v>
      </c>
      <c r="I3130">
        <f t="shared" si="145"/>
        <v>57600</v>
      </c>
      <c r="J3130">
        <f t="shared" si="146"/>
        <v>345600</v>
      </c>
    </row>
    <row r="3131" spans="1:10" x14ac:dyDescent="0.45">
      <c r="A3131" t="s">
        <v>3572</v>
      </c>
      <c r="B3131" s="1">
        <v>45852</v>
      </c>
      <c r="C3131" t="s">
        <v>4007</v>
      </c>
      <c r="D3131" t="s">
        <v>2776</v>
      </c>
      <c r="E3131">
        <v>3600</v>
      </c>
      <c r="F3131">
        <v>2</v>
      </c>
      <c r="G3131">
        <f t="shared" si="144"/>
        <v>7200</v>
      </c>
      <c r="H3131" t="s">
        <v>21</v>
      </c>
      <c r="I3131">
        <f t="shared" si="145"/>
        <v>4320</v>
      </c>
      <c r="J3131">
        <f t="shared" si="146"/>
        <v>8640</v>
      </c>
    </row>
    <row r="3132" spans="1:10" x14ac:dyDescent="0.45">
      <c r="A3132" t="s">
        <v>1506</v>
      </c>
      <c r="B3132" s="1">
        <v>45853</v>
      </c>
      <c r="C3132" t="s">
        <v>4007</v>
      </c>
      <c r="D3132" t="s">
        <v>5015</v>
      </c>
      <c r="E3132">
        <v>48000</v>
      </c>
      <c r="F3132">
        <v>9</v>
      </c>
      <c r="G3132">
        <f t="shared" si="144"/>
        <v>432000</v>
      </c>
      <c r="H3132" t="s">
        <v>21</v>
      </c>
      <c r="I3132">
        <f t="shared" si="145"/>
        <v>57600</v>
      </c>
      <c r="J3132">
        <f t="shared" si="146"/>
        <v>518400</v>
      </c>
    </row>
    <row r="3133" spans="1:10" x14ac:dyDescent="0.45">
      <c r="A3133" t="s">
        <v>1507</v>
      </c>
      <c r="B3133" s="1">
        <v>45853</v>
      </c>
      <c r="C3133" t="s">
        <v>9</v>
      </c>
      <c r="D3133" t="s">
        <v>19</v>
      </c>
      <c r="E3133">
        <v>3000</v>
      </c>
      <c r="F3133">
        <v>9</v>
      </c>
      <c r="G3133">
        <f t="shared" si="144"/>
        <v>27000</v>
      </c>
      <c r="H3133" t="s">
        <v>21</v>
      </c>
      <c r="I3133">
        <f t="shared" si="145"/>
        <v>3600</v>
      </c>
      <c r="J3133">
        <f t="shared" si="146"/>
        <v>32400</v>
      </c>
    </row>
    <row r="3134" spans="1:10" x14ac:dyDescent="0.45">
      <c r="A3134" t="s">
        <v>1508</v>
      </c>
      <c r="B3134" s="1">
        <v>45853</v>
      </c>
      <c r="C3134" t="s">
        <v>12</v>
      </c>
      <c r="D3134" t="s">
        <v>5022</v>
      </c>
      <c r="E3134">
        <v>2880</v>
      </c>
      <c r="F3134">
        <v>6</v>
      </c>
      <c r="G3134">
        <f t="shared" si="144"/>
        <v>17280</v>
      </c>
      <c r="H3134" t="s">
        <v>17</v>
      </c>
      <c r="I3134">
        <f t="shared" si="145"/>
        <v>3456</v>
      </c>
      <c r="J3134">
        <f t="shared" si="146"/>
        <v>20736</v>
      </c>
    </row>
    <row r="3135" spans="1:10" x14ac:dyDescent="0.45">
      <c r="A3135" t="s">
        <v>1509</v>
      </c>
      <c r="B3135" s="1">
        <v>45853</v>
      </c>
      <c r="C3135" t="s">
        <v>4007</v>
      </c>
      <c r="D3135" t="s">
        <v>28</v>
      </c>
      <c r="E3135">
        <v>500</v>
      </c>
      <c r="F3135">
        <v>9</v>
      </c>
      <c r="G3135">
        <f t="shared" si="144"/>
        <v>4500</v>
      </c>
      <c r="H3135" t="s">
        <v>17</v>
      </c>
      <c r="I3135">
        <f t="shared" si="145"/>
        <v>600</v>
      </c>
      <c r="J3135">
        <f t="shared" si="146"/>
        <v>5400</v>
      </c>
    </row>
    <row r="3136" spans="1:10" x14ac:dyDescent="0.45">
      <c r="A3136" t="s">
        <v>1510</v>
      </c>
      <c r="B3136" s="1">
        <v>45853</v>
      </c>
      <c r="C3136" t="s">
        <v>12</v>
      </c>
      <c r="D3136" t="s">
        <v>5022</v>
      </c>
      <c r="E3136">
        <v>2880</v>
      </c>
      <c r="F3136">
        <v>1</v>
      </c>
      <c r="G3136">
        <f t="shared" si="144"/>
        <v>2880</v>
      </c>
      <c r="H3136" t="s">
        <v>21</v>
      </c>
      <c r="I3136">
        <f t="shared" si="145"/>
        <v>3456</v>
      </c>
      <c r="J3136">
        <f t="shared" si="146"/>
        <v>3456</v>
      </c>
    </row>
    <row r="3137" spans="1:10" x14ac:dyDescent="0.45">
      <c r="A3137" t="s">
        <v>1511</v>
      </c>
      <c r="B3137" s="1">
        <v>45853</v>
      </c>
      <c r="C3137" t="s">
        <v>4007</v>
      </c>
      <c r="D3137" t="s">
        <v>5015</v>
      </c>
      <c r="E3137">
        <v>48000</v>
      </c>
      <c r="F3137">
        <v>6</v>
      </c>
      <c r="G3137">
        <f t="shared" si="144"/>
        <v>288000</v>
      </c>
      <c r="H3137" t="s">
        <v>7</v>
      </c>
      <c r="I3137">
        <f t="shared" si="145"/>
        <v>57600</v>
      </c>
      <c r="J3137">
        <f t="shared" si="146"/>
        <v>345600</v>
      </c>
    </row>
    <row r="3138" spans="1:10" x14ac:dyDescent="0.45">
      <c r="A3138" t="s">
        <v>3219</v>
      </c>
      <c r="B3138" s="1">
        <v>45853</v>
      </c>
      <c r="C3138" t="s">
        <v>2772</v>
      </c>
      <c r="D3138" t="s">
        <v>2771</v>
      </c>
      <c r="E3138">
        <v>120</v>
      </c>
      <c r="F3138">
        <v>10</v>
      </c>
      <c r="G3138">
        <f t="shared" ref="G3138:G3201" si="147">E3138*F3138</f>
        <v>1200</v>
      </c>
      <c r="H3138" t="s">
        <v>17</v>
      </c>
      <c r="I3138">
        <f t="shared" ref="I3138:I3201" si="148">E3138*1.2</f>
        <v>144</v>
      </c>
      <c r="J3138">
        <f t="shared" ref="J3138:J3201" si="149">I3138*F3138</f>
        <v>1440</v>
      </c>
    </row>
    <row r="3139" spans="1:10" x14ac:dyDescent="0.45">
      <c r="A3139" t="s">
        <v>3432</v>
      </c>
      <c r="B3139" s="1">
        <v>45853</v>
      </c>
      <c r="C3139" t="s">
        <v>4007</v>
      </c>
      <c r="D3139" t="s">
        <v>2774</v>
      </c>
      <c r="E3139">
        <v>1900</v>
      </c>
      <c r="F3139">
        <v>2</v>
      </c>
      <c r="G3139">
        <f t="shared" si="147"/>
        <v>3800</v>
      </c>
      <c r="H3139" t="s">
        <v>7</v>
      </c>
      <c r="I3139">
        <f t="shared" si="148"/>
        <v>2280</v>
      </c>
      <c r="J3139">
        <f t="shared" si="149"/>
        <v>4560</v>
      </c>
    </row>
    <row r="3140" spans="1:10" x14ac:dyDescent="0.45">
      <c r="A3140" t="s">
        <v>1512</v>
      </c>
      <c r="B3140" s="1">
        <v>45854</v>
      </c>
      <c r="C3140" t="s">
        <v>9</v>
      </c>
      <c r="D3140" t="s">
        <v>25</v>
      </c>
      <c r="E3140">
        <v>5200</v>
      </c>
      <c r="F3140">
        <v>5</v>
      </c>
      <c r="G3140">
        <f t="shared" si="147"/>
        <v>26000</v>
      </c>
      <c r="H3140" t="s">
        <v>21</v>
      </c>
      <c r="I3140">
        <f t="shared" si="148"/>
        <v>6240</v>
      </c>
      <c r="J3140">
        <f t="shared" si="149"/>
        <v>31200</v>
      </c>
    </row>
    <row r="3141" spans="1:10" x14ac:dyDescent="0.45">
      <c r="A3141" t="s">
        <v>1513</v>
      </c>
      <c r="B3141" s="1">
        <v>45854</v>
      </c>
      <c r="C3141" t="s">
        <v>4007</v>
      </c>
      <c r="D3141" t="s">
        <v>4005</v>
      </c>
      <c r="E3141">
        <v>60000</v>
      </c>
      <c r="F3141">
        <v>9</v>
      </c>
      <c r="G3141">
        <f t="shared" si="147"/>
        <v>540000</v>
      </c>
      <c r="H3141" t="s">
        <v>21</v>
      </c>
      <c r="I3141">
        <f t="shared" si="148"/>
        <v>72000</v>
      </c>
      <c r="J3141">
        <f t="shared" si="149"/>
        <v>648000</v>
      </c>
    </row>
    <row r="3142" spans="1:10" x14ac:dyDescent="0.45">
      <c r="A3142" t="s">
        <v>1514</v>
      </c>
      <c r="B3142" s="1">
        <v>45854</v>
      </c>
      <c r="C3142" t="s">
        <v>12</v>
      </c>
      <c r="D3142" t="s">
        <v>5021</v>
      </c>
      <c r="E3142">
        <v>2880</v>
      </c>
      <c r="F3142">
        <v>4</v>
      </c>
      <c r="G3142">
        <f t="shared" si="147"/>
        <v>11520</v>
      </c>
      <c r="H3142" t="s">
        <v>21</v>
      </c>
      <c r="I3142">
        <f t="shared" si="148"/>
        <v>3456</v>
      </c>
      <c r="J3142">
        <f t="shared" si="149"/>
        <v>13824</v>
      </c>
    </row>
    <row r="3143" spans="1:10" x14ac:dyDescent="0.45">
      <c r="A3143" t="s">
        <v>1515</v>
      </c>
      <c r="B3143" s="1">
        <v>45854</v>
      </c>
      <c r="C3143" t="s">
        <v>4007</v>
      </c>
      <c r="D3143" t="s">
        <v>39</v>
      </c>
      <c r="E3143">
        <v>6000</v>
      </c>
      <c r="F3143">
        <v>8</v>
      </c>
      <c r="G3143">
        <f t="shared" si="147"/>
        <v>48000</v>
      </c>
      <c r="H3143" t="s">
        <v>21</v>
      </c>
      <c r="I3143">
        <f t="shared" si="148"/>
        <v>7200</v>
      </c>
      <c r="J3143">
        <f t="shared" si="149"/>
        <v>57600</v>
      </c>
    </row>
    <row r="3144" spans="1:10" x14ac:dyDescent="0.45">
      <c r="A3144" t="s">
        <v>1516</v>
      </c>
      <c r="B3144" s="1">
        <v>45854</v>
      </c>
      <c r="C3144" t="s">
        <v>4007</v>
      </c>
      <c r="D3144" t="s">
        <v>39</v>
      </c>
      <c r="E3144">
        <v>6000</v>
      </c>
      <c r="F3144">
        <v>2</v>
      </c>
      <c r="G3144">
        <f t="shared" si="147"/>
        <v>12000</v>
      </c>
      <c r="H3144" t="s">
        <v>7</v>
      </c>
      <c r="I3144">
        <f t="shared" si="148"/>
        <v>7200</v>
      </c>
      <c r="J3144">
        <f t="shared" si="149"/>
        <v>14400</v>
      </c>
    </row>
    <row r="3145" spans="1:10" x14ac:dyDescent="0.45">
      <c r="A3145" t="s">
        <v>1517</v>
      </c>
      <c r="B3145" s="1">
        <v>45854</v>
      </c>
      <c r="C3145" t="s">
        <v>9</v>
      </c>
      <c r="D3145" t="s">
        <v>10</v>
      </c>
      <c r="E3145">
        <v>400</v>
      </c>
      <c r="F3145">
        <v>2</v>
      </c>
      <c r="G3145">
        <f t="shared" si="147"/>
        <v>800</v>
      </c>
      <c r="H3145" t="s">
        <v>17</v>
      </c>
      <c r="I3145">
        <f t="shared" si="148"/>
        <v>480</v>
      </c>
      <c r="J3145">
        <f t="shared" si="149"/>
        <v>960</v>
      </c>
    </row>
    <row r="3146" spans="1:10" x14ac:dyDescent="0.45">
      <c r="A3146" t="s">
        <v>1518</v>
      </c>
      <c r="B3146" s="1">
        <v>45854</v>
      </c>
      <c r="C3146" t="s">
        <v>9</v>
      </c>
      <c r="D3146" t="s">
        <v>19</v>
      </c>
      <c r="E3146">
        <v>3000</v>
      </c>
      <c r="F3146">
        <v>2</v>
      </c>
      <c r="G3146">
        <f t="shared" si="147"/>
        <v>6000</v>
      </c>
      <c r="H3146" t="s">
        <v>7</v>
      </c>
      <c r="I3146">
        <f t="shared" si="148"/>
        <v>3600</v>
      </c>
      <c r="J3146">
        <f t="shared" si="149"/>
        <v>7200</v>
      </c>
    </row>
    <row r="3147" spans="1:10" x14ac:dyDescent="0.45">
      <c r="A3147" t="s">
        <v>1519</v>
      </c>
      <c r="B3147" s="1">
        <v>45854</v>
      </c>
      <c r="C3147" t="s">
        <v>33</v>
      </c>
      <c r="D3147" t="s">
        <v>14</v>
      </c>
      <c r="E3147">
        <v>800</v>
      </c>
      <c r="F3147">
        <v>8</v>
      </c>
      <c r="G3147">
        <f t="shared" si="147"/>
        <v>6400</v>
      </c>
      <c r="H3147" t="s">
        <v>17</v>
      </c>
      <c r="I3147">
        <f t="shared" si="148"/>
        <v>960</v>
      </c>
      <c r="J3147">
        <f t="shared" si="149"/>
        <v>7680</v>
      </c>
    </row>
    <row r="3148" spans="1:10" x14ac:dyDescent="0.45">
      <c r="A3148" t="s">
        <v>1520</v>
      </c>
      <c r="B3148" s="1">
        <v>45854</v>
      </c>
      <c r="C3148" t="s">
        <v>12</v>
      </c>
      <c r="D3148" t="s">
        <v>5021</v>
      </c>
      <c r="E3148">
        <v>2880</v>
      </c>
      <c r="F3148">
        <v>7</v>
      </c>
      <c r="G3148">
        <f t="shared" si="147"/>
        <v>20160</v>
      </c>
      <c r="H3148" t="s">
        <v>17</v>
      </c>
      <c r="I3148">
        <f t="shared" si="148"/>
        <v>3456</v>
      </c>
      <c r="J3148">
        <f t="shared" si="149"/>
        <v>24192</v>
      </c>
    </row>
    <row r="3149" spans="1:10" x14ac:dyDescent="0.45">
      <c r="A3149" t="s">
        <v>1521</v>
      </c>
      <c r="B3149" s="1">
        <v>45854</v>
      </c>
      <c r="C3149" t="s">
        <v>12</v>
      </c>
      <c r="D3149" t="s">
        <v>5022</v>
      </c>
      <c r="E3149">
        <v>2880</v>
      </c>
      <c r="F3149">
        <v>2</v>
      </c>
      <c r="G3149">
        <f t="shared" si="147"/>
        <v>5760</v>
      </c>
      <c r="H3149" t="s">
        <v>7</v>
      </c>
      <c r="I3149">
        <f t="shared" si="148"/>
        <v>3456</v>
      </c>
      <c r="J3149">
        <f t="shared" si="149"/>
        <v>6912</v>
      </c>
    </row>
    <row r="3150" spans="1:10" x14ac:dyDescent="0.45">
      <c r="A3150" t="s">
        <v>2802</v>
      </c>
      <c r="B3150" s="1">
        <v>45854</v>
      </c>
      <c r="C3150" t="s">
        <v>4007</v>
      </c>
      <c r="D3150" t="s">
        <v>2776</v>
      </c>
      <c r="E3150">
        <v>3600</v>
      </c>
      <c r="F3150">
        <v>8</v>
      </c>
      <c r="G3150">
        <f t="shared" si="147"/>
        <v>28800</v>
      </c>
      <c r="H3150" t="s">
        <v>17</v>
      </c>
      <c r="I3150">
        <f t="shared" si="148"/>
        <v>4320</v>
      </c>
      <c r="J3150">
        <f t="shared" si="149"/>
        <v>34560</v>
      </c>
    </row>
    <row r="3151" spans="1:10" x14ac:dyDescent="0.45">
      <c r="A3151" t="s">
        <v>2831</v>
      </c>
      <c r="B3151" s="1">
        <v>45854</v>
      </c>
      <c r="C3151" t="s">
        <v>2772</v>
      </c>
      <c r="D3151" t="s">
        <v>2771</v>
      </c>
      <c r="E3151">
        <v>120</v>
      </c>
      <c r="F3151">
        <v>5</v>
      </c>
      <c r="G3151">
        <f t="shared" si="147"/>
        <v>600</v>
      </c>
      <c r="H3151" t="s">
        <v>21</v>
      </c>
      <c r="I3151">
        <f t="shared" si="148"/>
        <v>144</v>
      </c>
      <c r="J3151">
        <f t="shared" si="149"/>
        <v>720</v>
      </c>
    </row>
    <row r="3152" spans="1:10" x14ac:dyDescent="0.45">
      <c r="A3152" t="s">
        <v>3333</v>
      </c>
      <c r="B3152" s="1">
        <v>45854</v>
      </c>
      <c r="C3152" t="s">
        <v>4007</v>
      </c>
      <c r="D3152" t="s">
        <v>2776</v>
      </c>
      <c r="E3152">
        <v>3600</v>
      </c>
      <c r="F3152">
        <v>8</v>
      </c>
      <c r="G3152">
        <f t="shared" si="147"/>
        <v>28800</v>
      </c>
      <c r="H3152" t="s">
        <v>7</v>
      </c>
      <c r="I3152">
        <f t="shared" si="148"/>
        <v>4320</v>
      </c>
      <c r="J3152">
        <f t="shared" si="149"/>
        <v>34560</v>
      </c>
    </row>
    <row r="3153" spans="1:10" x14ac:dyDescent="0.45">
      <c r="A3153" t="s">
        <v>3372</v>
      </c>
      <c r="B3153" s="1">
        <v>45854</v>
      </c>
      <c r="C3153" t="s">
        <v>4007</v>
      </c>
      <c r="D3153" t="s">
        <v>5015</v>
      </c>
      <c r="E3153">
        <v>48000</v>
      </c>
      <c r="F3153">
        <v>10</v>
      </c>
      <c r="G3153">
        <f t="shared" si="147"/>
        <v>480000</v>
      </c>
      <c r="H3153" t="s">
        <v>21</v>
      </c>
      <c r="I3153">
        <f t="shared" si="148"/>
        <v>57600</v>
      </c>
      <c r="J3153">
        <f t="shared" si="149"/>
        <v>576000</v>
      </c>
    </row>
    <row r="3154" spans="1:10" x14ac:dyDescent="0.45">
      <c r="A3154" t="s">
        <v>3514</v>
      </c>
      <c r="B3154" s="1">
        <v>45854</v>
      </c>
      <c r="C3154" t="s">
        <v>4007</v>
      </c>
      <c r="D3154" t="s">
        <v>2770</v>
      </c>
      <c r="E3154">
        <v>600</v>
      </c>
      <c r="F3154">
        <v>4</v>
      </c>
      <c r="G3154">
        <f t="shared" si="147"/>
        <v>2400</v>
      </c>
      <c r="H3154" t="s">
        <v>17</v>
      </c>
      <c r="I3154">
        <f t="shared" si="148"/>
        <v>720</v>
      </c>
      <c r="J3154">
        <f t="shared" si="149"/>
        <v>2880</v>
      </c>
    </row>
    <row r="3155" spans="1:10" x14ac:dyDescent="0.45">
      <c r="A3155" t="s">
        <v>1522</v>
      </c>
      <c r="B3155" s="1">
        <v>45855</v>
      </c>
      <c r="C3155" t="s">
        <v>9</v>
      </c>
      <c r="D3155" t="s">
        <v>25</v>
      </c>
      <c r="E3155">
        <v>5200</v>
      </c>
      <c r="F3155">
        <v>4</v>
      </c>
      <c r="G3155">
        <f t="shared" si="147"/>
        <v>20800</v>
      </c>
      <c r="H3155" t="s">
        <v>7</v>
      </c>
      <c r="I3155">
        <f t="shared" si="148"/>
        <v>6240</v>
      </c>
      <c r="J3155">
        <f t="shared" si="149"/>
        <v>24960</v>
      </c>
    </row>
    <row r="3156" spans="1:10" x14ac:dyDescent="0.45">
      <c r="A3156" t="s">
        <v>1523</v>
      </c>
      <c r="B3156" s="1">
        <v>45855</v>
      </c>
      <c r="C3156" t="s">
        <v>4007</v>
      </c>
      <c r="D3156" t="s">
        <v>4005</v>
      </c>
      <c r="E3156">
        <v>60000</v>
      </c>
      <c r="F3156">
        <v>1</v>
      </c>
      <c r="G3156">
        <f t="shared" si="147"/>
        <v>60000</v>
      </c>
      <c r="H3156" t="s">
        <v>7</v>
      </c>
      <c r="I3156">
        <f t="shared" si="148"/>
        <v>72000</v>
      </c>
      <c r="J3156">
        <f t="shared" si="149"/>
        <v>72000</v>
      </c>
    </row>
    <row r="3157" spans="1:10" x14ac:dyDescent="0.45">
      <c r="A3157" t="s">
        <v>1524</v>
      </c>
      <c r="B3157" s="1">
        <v>45855</v>
      </c>
      <c r="C3157" t="s">
        <v>9</v>
      </c>
      <c r="D3157" t="s">
        <v>25</v>
      </c>
      <c r="E3157">
        <v>5200</v>
      </c>
      <c r="F3157">
        <v>9</v>
      </c>
      <c r="G3157">
        <f t="shared" si="147"/>
        <v>46800</v>
      </c>
      <c r="H3157" t="s">
        <v>21</v>
      </c>
      <c r="I3157">
        <f t="shared" si="148"/>
        <v>6240</v>
      </c>
      <c r="J3157">
        <f t="shared" si="149"/>
        <v>56160</v>
      </c>
    </row>
    <row r="3158" spans="1:10" x14ac:dyDescent="0.45">
      <c r="A3158" t="s">
        <v>1525</v>
      </c>
      <c r="B3158" s="1">
        <v>45855</v>
      </c>
      <c r="C3158" t="s">
        <v>12</v>
      </c>
      <c r="D3158" t="s">
        <v>5020</v>
      </c>
      <c r="E3158">
        <v>2880</v>
      </c>
      <c r="F3158">
        <v>2</v>
      </c>
      <c r="G3158">
        <f t="shared" si="147"/>
        <v>5760</v>
      </c>
      <c r="H3158" t="s">
        <v>7</v>
      </c>
      <c r="I3158">
        <f t="shared" si="148"/>
        <v>3456</v>
      </c>
      <c r="J3158">
        <f t="shared" si="149"/>
        <v>6912</v>
      </c>
    </row>
    <row r="3159" spans="1:10" x14ac:dyDescent="0.45">
      <c r="A3159" t="s">
        <v>1526</v>
      </c>
      <c r="B3159" s="1">
        <v>45855</v>
      </c>
      <c r="C3159" t="s">
        <v>12</v>
      </c>
      <c r="D3159" t="s">
        <v>5020</v>
      </c>
      <c r="E3159">
        <v>2880</v>
      </c>
      <c r="F3159">
        <v>5</v>
      </c>
      <c r="G3159">
        <f t="shared" si="147"/>
        <v>14400</v>
      </c>
      <c r="H3159" t="s">
        <v>21</v>
      </c>
      <c r="I3159">
        <f t="shared" si="148"/>
        <v>3456</v>
      </c>
      <c r="J3159">
        <f t="shared" si="149"/>
        <v>17280</v>
      </c>
    </row>
    <row r="3160" spans="1:10" x14ac:dyDescent="0.45">
      <c r="A3160" t="s">
        <v>1527</v>
      </c>
      <c r="B3160" s="1">
        <v>45855</v>
      </c>
      <c r="C3160" t="s">
        <v>9</v>
      </c>
      <c r="D3160" t="s">
        <v>19</v>
      </c>
      <c r="E3160">
        <v>3000</v>
      </c>
      <c r="F3160">
        <v>4</v>
      </c>
      <c r="G3160">
        <f t="shared" si="147"/>
        <v>12000</v>
      </c>
      <c r="H3160" t="s">
        <v>21</v>
      </c>
      <c r="I3160">
        <f t="shared" si="148"/>
        <v>3600</v>
      </c>
      <c r="J3160">
        <f t="shared" si="149"/>
        <v>14400</v>
      </c>
    </row>
    <row r="3161" spans="1:10" x14ac:dyDescent="0.45">
      <c r="A3161" t="s">
        <v>2923</v>
      </c>
      <c r="B3161" s="1">
        <v>45855</v>
      </c>
      <c r="C3161" t="s">
        <v>2772</v>
      </c>
      <c r="D3161" t="s">
        <v>2775</v>
      </c>
      <c r="E3161">
        <v>9100</v>
      </c>
      <c r="F3161">
        <v>8</v>
      </c>
      <c r="G3161">
        <f t="shared" si="147"/>
        <v>72800</v>
      </c>
      <c r="H3161" t="s">
        <v>21</v>
      </c>
      <c r="I3161">
        <f t="shared" si="148"/>
        <v>10920</v>
      </c>
      <c r="J3161">
        <f t="shared" si="149"/>
        <v>87360</v>
      </c>
    </row>
    <row r="3162" spans="1:10" x14ac:dyDescent="0.45">
      <c r="A3162" t="s">
        <v>3194</v>
      </c>
      <c r="B3162" s="1">
        <v>45855</v>
      </c>
      <c r="C3162" t="s">
        <v>33</v>
      </c>
      <c r="D3162" t="s">
        <v>14</v>
      </c>
      <c r="E3162">
        <v>800</v>
      </c>
      <c r="F3162">
        <v>9</v>
      </c>
      <c r="G3162">
        <f t="shared" si="147"/>
        <v>7200</v>
      </c>
      <c r="H3162" t="s">
        <v>17</v>
      </c>
      <c r="I3162">
        <f t="shared" si="148"/>
        <v>960</v>
      </c>
      <c r="J3162">
        <f t="shared" si="149"/>
        <v>8640</v>
      </c>
    </row>
    <row r="3163" spans="1:10" x14ac:dyDescent="0.45">
      <c r="A3163" t="s">
        <v>1528</v>
      </c>
      <c r="B3163" s="1">
        <v>45856</v>
      </c>
      <c r="C3163" t="s">
        <v>12</v>
      </c>
      <c r="D3163" t="s">
        <v>5020</v>
      </c>
      <c r="E3163">
        <v>2880</v>
      </c>
      <c r="F3163">
        <v>10</v>
      </c>
      <c r="G3163">
        <f t="shared" si="147"/>
        <v>28800</v>
      </c>
      <c r="H3163" t="s">
        <v>7</v>
      </c>
      <c r="I3163">
        <f t="shared" si="148"/>
        <v>3456</v>
      </c>
      <c r="J3163">
        <f t="shared" si="149"/>
        <v>34560</v>
      </c>
    </row>
    <row r="3164" spans="1:10" x14ac:dyDescent="0.45">
      <c r="A3164" t="s">
        <v>1529</v>
      </c>
      <c r="B3164" s="1">
        <v>45856</v>
      </c>
      <c r="C3164" t="s">
        <v>4007</v>
      </c>
      <c r="D3164" t="s">
        <v>5015</v>
      </c>
      <c r="E3164">
        <v>48000</v>
      </c>
      <c r="F3164">
        <v>9</v>
      </c>
      <c r="G3164">
        <f t="shared" si="147"/>
        <v>432000</v>
      </c>
      <c r="H3164" t="s">
        <v>21</v>
      </c>
      <c r="I3164">
        <f t="shared" si="148"/>
        <v>57600</v>
      </c>
      <c r="J3164">
        <f t="shared" si="149"/>
        <v>518400</v>
      </c>
    </row>
    <row r="3165" spans="1:10" x14ac:dyDescent="0.45">
      <c r="A3165" t="s">
        <v>1530</v>
      </c>
      <c r="B3165" s="1">
        <v>45856</v>
      </c>
      <c r="C3165" t="s">
        <v>4007</v>
      </c>
      <c r="D3165" t="s">
        <v>28</v>
      </c>
      <c r="E3165">
        <v>500</v>
      </c>
      <c r="F3165">
        <v>6</v>
      </c>
      <c r="G3165">
        <f t="shared" si="147"/>
        <v>3000</v>
      </c>
      <c r="H3165" t="s">
        <v>7</v>
      </c>
      <c r="I3165">
        <f t="shared" si="148"/>
        <v>600</v>
      </c>
      <c r="J3165">
        <f t="shared" si="149"/>
        <v>3600</v>
      </c>
    </row>
    <row r="3166" spans="1:10" x14ac:dyDescent="0.45">
      <c r="A3166" t="s">
        <v>1531</v>
      </c>
      <c r="B3166" s="1">
        <v>45856</v>
      </c>
      <c r="C3166" t="s">
        <v>33</v>
      </c>
      <c r="D3166" t="s">
        <v>14</v>
      </c>
      <c r="E3166">
        <v>800</v>
      </c>
      <c r="F3166">
        <v>4</v>
      </c>
      <c r="G3166">
        <f t="shared" si="147"/>
        <v>3200</v>
      </c>
      <c r="H3166" t="s">
        <v>21</v>
      </c>
      <c r="I3166">
        <f t="shared" si="148"/>
        <v>960</v>
      </c>
      <c r="J3166">
        <f t="shared" si="149"/>
        <v>3840</v>
      </c>
    </row>
    <row r="3167" spans="1:10" x14ac:dyDescent="0.45">
      <c r="A3167" t="s">
        <v>1532</v>
      </c>
      <c r="B3167" s="1">
        <v>45856</v>
      </c>
      <c r="C3167" t="s">
        <v>9</v>
      </c>
      <c r="D3167" t="s">
        <v>10</v>
      </c>
      <c r="E3167">
        <v>400</v>
      </c>
      <c r="F3167">
        <v>1</v>
      </c>
      <c r="G3167">
        <f t="shared" si="147"/>
        <v>400</v>
      </c>
      <c r="H3167" t="s">
        <v>21</v>
      </c>
      <c r="I3167">
        <f t="shared" si="148"/>
        <v>480</v>
      </c>
      <c r="J3167">
        <f t="shared" si="149"/>
        <v>480</v>
      </c>
    </row>
    <row r="3168" spans="1:10" x14ac:dyDescent="0.45">
      <c r="A3168" t="s">
        <v>1533</v>
      </c>
      <c r="B3168" s="1">
        <v>45856</v>
      </c>
      <c r="C3168" t="s">
        <v>33</v>
      </c>
      <c r="D3168" t="s">
        <v>42</v>
      </c>
      <c r="E3168">
        <v>6900</v>
      </c>
      <c r="F3168">
        <v>5</v>
      </c>
      <c r="G3168">
        <f t="shared" si="147"/>
        <v>34500</v>
      </c>
      <c r="H3168" t="s">
        <v>7</v>
      </c>
      <c r="I3168">
        <f t="shared" si="148"/>
        <v>8280</v>
      </c>
      <c r="J3168">
        <f t="shared" si="149"/>
        <v>41400</v>
      </c>
    </row>
    <row r="3169" spans="1:10" x14ac:dyDescent="0.45">
      <c r="A3169" t="s">
        <v>1534</v>
      </c>
      <c r="B3169" s="1">
        <v>45856</v>
      </c>
      <c r="C3169" t="s">
        <v>9</v>
      </c>
      <c r="D3169" t="s">
        <v>25</v>
      </c>
      <c r="E3169">
        <v>5200</v>
      </c>
      <c r="F3169">
        <v>1</v>
      </c>
      <c r="G3169">
        <f t="shared" si="147"/>
        <v>5200</v>
      </c>
      <c r="H3169" t="s">
        <v>17</v>
      </c>
      <c r="I3169">
        <f t="shared" si="148"/>
        <v>6240</v>
      </c>
      <c r="J3169">
        <f t="shared" si="149"/>
        <v>6240</v>
      </c>
    </row>
    <row r="3170" spans="1:10" x14ac:dyDescent="0.45">
      <c r="A3170" t="s">
        <v>3119</v>
      </c>
      <c r="B3170" s="1">
        <v>45856</v>
      </c>
      <c r="C3170" t="s">
        <v>4007</v>
      </c>
      <c r="D3170" t="s">
        <v>28</v>
      </c>
      <c r="E3170">
        <v>500</v>
      </c>
      <c r="F3170">
        <v>1</v>
      </c>
      <c r="G3170">
        <f t="shared" si="147"/>
        <v>500</v>
      </c>
      <c r="H3170" t="s">
        <v>17</v>
      </c>
      <c r="I3170">
        <f t="shared" si="148"/>
        <v>600</v>
      </c>
      <c r="J3170">
        <f t="shared" si="149"/>
        <v>600</v>
      </c>
    </row>
    <row r="3171" spans="1:10" x14ac:dyDescent="0.45">
      <c r="A3171" t="s">
        <v>3421</v>
      </c>
      <c r="B3171" s="1">
        <v>45856</v>
      </c>
      <c r="C3171" t="s">
        <v>4007</v>
      </c>
      <c r="D3171" t="s">
        <v>2770</v>
      </c>
      <c r="E3171">
        <v>600</v>
      </c>
      <c r="F3171">
        <v>10</v>
      </c>
      <c r="G3171">
        <f t="shared" si="147"/>
        <v>6000</v>
      </c>
      <c r="H3171" t="s">
        <v>7</v>
      </c>
      <c r="I3171">
        <f t="shared" si="148"/>
        <v>720</v>
      </c>
      <c r="J3171">
        <f t="shared" si="149"/>
        <v>7200</v>
      </c>
    </row>
    <row r="3172" spans="1:10" x14ac:dyDescent="0.45">
      <c r="A3172" t="s">
        <v>3850</v>
      </c>
      <c r="B3172" s="1">
        <v>45856</v>
      </c>
      <c r="C3172" t="s">
        <v>2772</v>
      </c>
      <c r="D3172" t="s">
        <v>2775</v>
      </c>
      <c r="E3172">
        <v>9100</v>
      </c>
      <c r="F3172">
        <v>7</v>
      </c>
      <c r="G3172">
        <f t="shared" si="147"/>
        <v>63700</v>
      </c>
      <c r="H3172" t="s">
        <v>7</v>
      </c>
      <c r="I3172">
        <f t="shared" si="148"/>
        <v>10920</v>
      </c>
      <c r="J3172">
        <f t="shared" si="149"/>
        <v>76440</v>
      </c>
    </row>
    <row r="3173" spans="1:10" x14ac:dyDescent="0.45">
      <c r="A3173" t="s">
        <v>3887</v>
      </c>
      <c r="B3173" s="1">
        <v>45856</v>
      </c>
      <c r="C3173" t="s">
        <v>4007</v>
      </c>
      <c r="D3173" t="s">
        <v>2776</v>
      </c>
      <c r="E3173">
        <v>3600</v>
      </c>
      <c r="F3173">
        <v>4</v>
      </c>
      <c r="G3173">
        <f t="shared" si="147"/>
        <v>14400</v>
      </c>
      <c r="H3173" t="s">
        <v>7</v>
      </c>
      <c r="I3173">
        <f t="shared" si="148"/>
        <v>4320</v>
      </c>
      <c r="J3173">
        <f t="shared" si="149"/>
        <v>17280</v>
      </c>
    </row>
    <row r="3174" spans="1:10" x14ac:dyDescent="0.45">
      <c r="A3174" t="s">
        <v>1535</v>
      </c>
      <c r="B3174" s="1">
        <v>45857</v>
      </c>
      <c r="C3174" t="s">
        <v>9</v>
      </c>
      <c r="D3174" t="s">
        <v>25</v>
      </c>
      <c r="E3174">
        <v>5200</v>
      </c>
      <c r="F3174">
        <v>3</v>
      </c>
      <c r="G3174">
        <f t="shared" si="147"/>
        <v>15600</v>
      </c>
      <c r="H3174" t="s">
        <v>21</v>
      </c>
      <c r="I3174">
        <f t="shared" si="148"/>
        <v>6240</v>
      </c>
      <c r="J3174">
        <f t="shared" si="149"/>
        <v>18720</v>
      </c>
    </row>
    <row r="3175" spans="1:10" x14ac:dyDescent="0.45">
      <c r="A3175" t="s">
        <v>1536</v>
      </c>
      <c r="B3175" s="1">
        <v>45857</v>
      </c>
      <c r="C3175" t="s">
        <v>9</v>
      </c>
      <c r="D3175" t="s">
        <v>10</v>
      </c>
      <c r="E3175">
        <v>400</v>
      </c>
      <c r="F3175">
        <v>2</v>
      </c>
      <c r="G3175">
        <f t="shared" si="147"/>
        <v>800</v>
      </c>
      <c r="H3175" t="s">
        <v>21</v>
      </c>
      <c r="I3175">
        <f t="shared" si="148"/>
        <v>480</v>
      </c>
      <c r="J3175">
        <f t="shared" si="149"/>
        <v>960</v>
      </c>
    </row>
    <row r="3176" spans="1:10" x14ac:dyDescent="0.45">
      <c r="A3176" t="s">
        <v>1537</v>
      </c>
      <c r="B3176" s="1">
        <v>45857</v>
      </c>
      <c r="C3176" t="s">
        <v>33</v>
      </c>
      <c r="D3176" t="s">
        <v>14</v>
      </c>
      <c r="E3176">
        <v>800</v>
      </c>
      <c r="F3176">
        <v>8</v>
      </c>
      <c r="G3176">
        <f t="shared" si="147"/>
        <v>6400</v>
      </c>
      <c r="H3176" t="s">
        <v>17</v>
      </c>
      <c r="I3176">
        <f t="shared" si="148"/>
        <v>960</v>
      </c>
      <c r="J3176">
        <f t="shared" si="149"/>
        <v>7680</v>
      </c>
    </row>
    <row r="3177" spans="1:10" x14ac:dyDescent="0.45">
      <c r="A3177" t="s">
        <v>1538</v>
      </c>
      <c r="B3177" s="1">
        <v>45857</v>
      </c>
      <c r="C3177" t="s">
        <v>9</v>
      </c>
      <c r="D3177" t="s">
        <v>19</v>
      </c>
      <c r="E3177">
        <v>3000</v>
      </c>
      <c r="F3177">
        <v>9</v>
      </c>
      <c r="G3177">
        <f t="shared" si="147"/>
        <v>27000</v>
      </c>
      <c r="H3177" t="s">
        <v>21</v>
      </c>
      <c r="I3177">
        <f t="shared" si="148"/>
        <v>3600</v>
      </c>
      <c r="J3177">
        <f t="shared" si="149"/>
        <v>32400</v>
      </c>
    </row>
    <row r="3178" spans="1:10" x14ac:dyDescent="0.45">
      <c r="A3178" t="s">
        <v>1539</v>
      </c>
      <c r="B3178" s="1">
        <v>45857</v>
      </c>
      <c r="C3178" t="s">
        <v>33</v>
      </c>
      <c r="D3178" t="s">
        <v>14</v>
      </c>
      <c r="E3178">
        <v>800</v>
      </c>
      <c r="F3178">
        <v>6</v>
      </c>
      <c r="G3178">
        <f t="shared" si="147"/>
        <v>4800</v>
      </c>
      <c r="H3178" t="s">
        <v>17</v>
      </c>
      <c r="I3178">
        <f t="shared" si="148"/>
        <v>960</v>
      </c>
      <c r="J3178">
        <f t="shared" si="149"/>
        <v>5760</v>
      </c>
    </row>
    <row r="3179" spans="1:10" x14ac:dyDescent="0.45">
      <c r="A3179" t="s">
        <v>1540</v>
      </c>
      <c r="B3179" s="1">
        <v>45857</v>
      </c>
      <c r="C3179" t="s">
        <v>4007</v>
      </c>
      <c r="D3179" t="s">
        <v>28</v>
      </c>
      <c r="E3179">
        <v>500</v>
      </c>
      <c r="F3179">
        <v>5</v>
      </c>
      <c r="G3179">
        <f t="shared" si="147"/>
        <v>2500</v>
      </c>
      <c r="H3179" t="s">
        <v>17</v>
      </c>
      <c r="I3179">
        <f t="shared" si="148"/>
        <v>600</v>
      </c>
      <c r="J3179">
        <f t="shared" si="149"/>
        <v>3000</v>
      </c>
    </row>
    <row r="3180" spans="1:10" x14ac:dyDescent="0.45">
      <c r="A3180" t="s">
        <v>1541</v>
      </c>
      <c r="B3180" s="1">
        <v>45857</v>
      </c>
      <c r="C3180" t="s">
        <v>4007</v>
      </c>
      <c r="D3180" t="s">
        <v>28</v>
      </c>
      <c r="E3180">
        <v>500</v>
      </c>
      <c r="F3180">
        <v>5</v>
      </c>
      <c r="G3180">
        <f t="shared" si="147"/>
        <v>2500</v>
      </c>
      <c r="H3180" t="s">
        <v>17</v>
      </c>
      <c r="I3180">
        <f t="shared" si="148"/>
        <v>600</v>
      </c>
      <c r="J3180">
        <f t="shared" si="149"/>
        <v>3000</v>
      </c>
    </row>
    <row r="3181" spans="1:10" x14ac:dyDescent="0.45">
      <c r="A3181" t="s">
        <v>1542</v>
      </c>
      <c r="B3181" s="1">
        <v>45857</v>
      </c>
      <c r="C3181" t="s">
        <v>33</v>
      </c>
      <c r="D3181" t="s">
        <v>34</v>
      </c>
      <c r="E3181">
        <v>1700</v>
      </c>
      <c r="F3181">
        <v>3</v>
      </c>
      <c r="G3181">
        <f t="shared" si="147"/>
        <v>5100</v>
      </c>
      <c r="H3181" t="s">
        <v>21</v>
      </c>
      <c r="I3181">
        <f t="shared" si="148"/>
        <v>2040</v>
      </c>
      <c r="J3181">
        <f t="shared" si="149"/>
        <v>6120</v>
      </c>
    </row>
    <row r="3182" spans="1:10" x14ac:dyDescent="0.45">
      <c r="A3182" t="s">
        <v>2797</v>
      </c>
      <c r="B3182" s="1">
        <v>45857</v>
      </c>
      <c r="C3182" t="s">
        <v>4007</v>
      </c>
      <c r="D3182" t="s">
        <v>2773</v>
      </c>
      <c r="E3182">
        <v>3300</v>
      </c>
      <c r="F3182">
        <v>1</v>
      </c>
      <c r="G3182">
        <f t="shared" si="147"/>
        <v>3300</v>
      </c>
      <c r="H3182" t="s">
        <v>21</v>
      </c>
      <c r="I3182">
        <f t="shared" si="148"/>
        <v>3960</v>
      </c>
      <c r="J3182">
        <f t="shared" si="149"/>
        <v>3960</v>
      </c>
    </row>
    <row r="3183" spans="1:10" x14ac:dyDescent="0.45">
      <c r="A3183" t="s">
        <v>3402</v>
      </c>
      <c r="B3183" s="1">
        <v>45857</v>
      </c>
      <c r="C3183" t="s">
        <v>4007</v>
      </c>
      <c r="D3183" t="s">
        <v>2773</v>
      </c>
      <c r="E3183">
        <v>3300</v>
      </c>
      <c r="F3183">
        <v>2</v>
      </c>
      <c r="G3183">
        <f t="shared" si="147"/>
        <v>6600</v>
      </c>
      <c r="H3183" t="s">
        <v>17</v>
      </c>
      <c r="I3183">
        <f t="shared" si="148"/>
        <v>3960</v>
      </c>
      <c r="J3183">
        <f t="shared" si="149"/>
        <v>7920</v>
      </c>
    </row>
    <row r="3184" spans="1:10" x14ac:dyDescent="0.45">
      <c r="A3184" t="s">
        <v>3449</v>
      </c>
      <c r="B3184" s="1">
        <v>45857</v>
      </c>
      <c r="C3184" t="s">
        <v>4007</v>
      </c>
      <c r="D3184" t="s">
        <v>2774</v>
      </c>
      <c r="E3184">
        <v>1900</v>
      </c>
      <c r="F3184">
        <v>6</v>
      </c>
      <c r="G3184">
        <f t="shared" si="147"/>
        <v>11400</v>
      </c>
      <c r="H3184" t="s">
        <v>7</v>
      </c>
      <c r="I3184">
        <f t="shared" si="148"/>
        <v>2280</v>
      </c>
      <c r="J3184">
        <f t="shared" si="149"/>
        <v>13680</v>
      </c>
    </row>
    <row r="3185" spans="1:10" x14ac:dyDescent="0.45">
      <c r="A3185" t="s">
        <v>3626</v>
      </c>
      <c r="B3185" s="1">
        <v>45857</v>
      </c>
      <c r="C3185" t="s">
        <v>4007</v>
      </c>
      <c r="D3185" t="s">
        <v>5015</v>
      </c>
      <c r="E3185">
        <v>48000</v>
      </c>
      <c r="F3185">
        <v>7</v>
      </c>
      <c r="G3185">
        <f t="shared" si="147"/>
        <v>336000</v>
      </c>
      <c r="H3185" t="s">
        <v>21</v>
      </c>
      <c r="I3185">
        <f t="shared" si="148"/>
        <v>57600</v>
      </c>
      <c r="J3185">
        <f t="shared" si="149"/>
        <v>403200</v>
      </c>
    </row>
    <row r="3186" spans="1:10" x14ac:dyDescent="0.45">
      <c r="A3186" t="s">
        <v>3911</v>
      </c>
      <c r="B3186" s="1">
        <v>45857</v>
      </c>
      <c r="C3186" t="s">
        <v>4007</v>
      </c>
      <c r="D3186" t="s">
        <v>2770</v>
      </c>
      <c r="E3186">
        <v>600</v>
      </c>
      <c r="F3186">
        <v>7</v>
      </c>
      <c r="G3186">
        <f t="shared" si="147"/>
        <v>4200</v>
      </c>
      <c r="H3186" t="s">
        <v>7</v>
      </c>
      <c r="I3186">
        <f t="shared" si="148"/>
        <v>720</v>
      </c>
      <c r="J3186">
        <f t="shared" si="149"/>
        <v>5040</v>
      </c>
    </row>
    <row r="3187" spans="1:10" x14ac:dyDescent="0.45">
      <c r="A3187" t="s">
        <v>1543</v>
      </c>
      <c r="B3187" s="1">
        <v>45858</v>
      </c>
      <c r="C3187" t="s">
        <v>4007</v>
      </c>
      <c r="D3187" t="s">
        <v>39</v>
      </c>
      <c r="E3187">
        <v>6000</v>
      </c>
      <c r="F3187">
        <v>10</v>
      </c>
      <c r="G3187">
        <f t="shared" si="147"/>
        <v>60000</v>
      </c>
      <c r="H3187" t="s">
        <v>7</v>
      </c>
      <c r="I3187">
        <f t="shared" si="148"/>
        <v>7200</v>
      </c>
      <c r="J3187">
        <f t="shared" si="149"/>
        <v>72000</v>
      </c>
    </row>
    <row r="3188" spans="1:10" x14ac:dyDescent="0.45">
      <c r="A3188" t="s">
        <v>1544</v>
      </c>
      <c r="B3188" s="1">
        <v>45858</v>
      </c>
      <c r="C3188" t="s">
        <v>9</v>
      </c>
      <c r="D3188" t="s">
        <v>10</v>
      </c>
      <c r="E3188">
        <v>400</v>
      </c>
      <c r="F3188">
        <v>4</v>
      </c>
      <c r="G3188">
        <f t="shared" si="147"/>
        <v>1600</v>
      </c>
      <c r="H3188" t="s">
        <v>21</v>
      </c>
      <c r="I3188">
        <f t="shared" si="148"/>
        <v>480</v>
      </c>
      <c r="J3188">
        <f t="shared" si="149"/>
        <v>1920</v>
      </c>
    </row>
    <row r="3189" spans="1:10" x14ac:dyDescent="0.45">
      <c r="A3189" t="s">
        <v>1545</v>
      </c>
      <c r="B3189" s="1">
        <v>45858</v>
      </c>
      <c r="C3189" t="s">
        <v>9</v>
      </c>
      <c r="D3189" t="s">
        <v>10</v>
      </c>
      <c r="E3189">
        <v>400</v>
      </c>
      <c r="F3189">
        <v>2</v>
      </c>
      <c r="G3189">
        <f t="shared" si="147"/>
        <v>800</v>
      </c>
      <c r="H3189" t="s">
        <v>7</v>
      </c>
      <c r="I3189">
        <f t="shared" si="148"/>
        <v>480</v>
      </c>
      <c r="J3189">
        <f t="shared" si="149"/>
        <v>960</v>
      </c>
    </row>
    <row r="3190" spans="1:10" x14ac:dyDescent="0.45">
      <c r="A3190" t="s">
        <v>1546</v>
      </c>
      <c r="B3190" s="1">
        <v>45858</v>
      </c>
      <c r="C3190" t="s">
        <v>9</v>
      </c>
      <c r="D3190" t="s">
        <v>19</v>
      </c>
      <c r="E3190">
        <v>3000</v>
      </c>
      <c r="F3190">
        <v>1</v>
      </c>
      <c r="G3190">
        <f t="shared" si="147"/>
        <v>3000</v>
      </c>
      <c r="H3190" t="s">
        <v>17</v>
      </c>
      <c r="I3190">
        <f t="shared" si="148"/>
        <v>3600</v>
      </c>
      <c r="J3190">
        <f t="shared" si="149"/>
        <v>3600</v>
      </c>
    </row>
    <row r="3191" spans="1:10" x14ac:dyDescent="0.45">
      <c r="A3191" t="s">
        <v>1547</v>
      </c>
      <c r="B3191" s="1">
        <v>45858</v>
      </c>
      <c r="C3191" t="s">
        <v>9</v>
      </c>
      <c r="D3191" t="s">
        <v>10</v>
      </c>
      <c r="E3191">
        <v>400</v>
      </c>
      <c r="F3191">
        <v>10</v>
      </c>
      <c r="G3191">
        <f t="shared" si="147"/>
        <v>4000</v>
      </c>
      <c r="H3191" t="s">
        <v>7</v>
      </c>
      <c r="I3191">
        <f t="shared" si="148"/>
        <v>480</v>
      </c>
      <c r="J3191">
        <f t="shared" si="149"/>
        <v>4800</v>
      </c>
    </row>
    <row r="3192" spans="1:10" x14ac:dyDescent="0.45">
      <c r="A3192" t="s">
        <v>1548</v>
      </c>
      <c r="B3192" s="1">
        <v>45858</v>
      </c>
      <c r="C3192" t="s">
        <v>33</v>
      </c>
      <c r="D3192" t="s">
        <v>14</v>
      </c>
      <c r="E3192">
        <v>800</v>
      </c>
      <c r="F3192">
        <v>7</v>
      </c>
      <c r="G3192">
        <f t="shared" si="147"/>
        <v>5600</v>
      </c>
      <c r="H3192" t="s">
        <v>17</v>
      </c>
      <c r="I3192">
        <f t="shared" si="148"/>
        <v>960</v>
      </c>
      <c r="J3192">
        <f t="shared" si="149"/>
        <v>6720</v>
      </c>
    </row>
    <row r="3193" spans="1:10" x14ac:dyDescent="0.45">
      <c r="A3193" t="s">
        <v>1549</v>
      </c>
      <c r="B3193" s="1">
        <v>45858</v>
      </c>
      <c r="C3193" t="s">
        <v>9</v>
      </c>
      <c r="D3193" t="s">
        <v>10</v>
      </c>
      <c r="E3193">
        <v>400</v>
      </c>
      <c r="F3193">
        <v>10</v>
      </c>
      <c r="G3193">
        <f t="shared" si="147"/>
        <v>4000</v>
      </c>
      <c r="H3193" t="s">
        <v>21</v>
      </c>
      <c r="I3193">
        <f t="shared" si="148"/>
        <v>480</v>
      </c>
      <c r="J3193">
        <f t="shared" si="149"/>
        <v>4800</v>
      </c>
    </row>
    <row r="3194" spans="1:10" x14ac:dyDescent="0.45">
      <c r="A3194" t="s">
        <v>1550</v>
      </c>
      <c r="B3194" s="1">
        <v>45858</v>
      </c>
      <c r="C3194" t="s">
        <v>4007</v>
      </c>
      <c r="D3194" t="s">
        <v>39</v>
      </c>
      <c r="E3194">
        <v>6000</v>
      </c>
      <c r="F3194">
        <v>9</v>
      </c>
      <c r="G3194">
        <f t="shared" si="147"/>
        <v>54000</v>
      </c>
      <c r="H3194" t="s">
        <v>21</v>
      </c>
      <c r="I3194">
        <f t="shared" si="148"/>
        <v>7200</v>
      </c>
      <c r="J3194">
        <f t="shared" si="149"/>
        <v>64800</v>
      </c>
    </row>
    <row r="3195" spans="1:10" x14ac:dyDescent="0.45">
      <c r="A3195" t="s">
        <v>3364</v>
      </c>
      <c r="B3195" s="1">
        <v>45858</v>
      </c>
      <c r="C3195" t="s">
        <v>4007</v>
      </c>
      <c r="D3195" t="s">
        <v>2774</v>
      </c>
      <c r="E3195">
        <v>1900</v>
      </c>
      <c r="F3195">
        <v>9</v>
      </c>
      <c r="G3195">
        <f t="shared" si="147"/>
        <v>17100</v>
      </c>
      <c r="H3195" t="s">
        <v>21</v>
      </c>
      <c r="I3195">
        <f t="shared" si="148"/>
        <v>2280</v>
      </c>
      <c r="J3195">
        <f t="shared" si="149"/>
        <v>20520</v>
      </c>
    </row>
    <row r="3196" spans="1:10" x14ac:dyDescent="0.45">
      <c r="A3196" t="s">
        <v>1551</v>
      </c>
      <c r="B3196" s="1">
        <v>45859</v>
      </c>
      <c r="C3196" t="s">
        <v>12</v>
      </c>
      <c r="D3196" t="s">
        <v>5023</v>
      </c>
      <c r="E3196">
        <v>1750</v>
      </c>
      <c r="F3196">
        <v>5</v>
      </c>
      <c r="G3196">
        <f t="shared" si="147"/>
        <v>8750</v>
      </c>
      <c r="H3196" t="s">
        <v>21</v>
      </c>
      <c r="I3196">
        <f t="shared" si="148"/>
        <v>2100</v>
      </c>
      <c r="J3196">
        <f t="shared" si="149"/>
        <v>10500</v>
      </c>
    </row>
    <row r="3197" spans="1:10" x14ac:dyDescent="0.45">
      <c r="A3197" t="s">
        <v>1552</v>
      </c>
      <c r="B3197" s="1">
        <v>45859</v>
      </c>
      <c r="C3197" t="s">
        <v>4007</v>
      </c>
      <c r="D3197" t="s">
        <v>28</v>
      </c>
      <c r="E3197">
        <v>500</v>
      </c>
      <c r="F3197">
        <v>6</v>
      </c>
      <c r="G3197">
        <f t="shared" si="147"/>
        <v>3000</v>
      </c>
      <c r="H3197" t="s">
        <v>17</v>
      </c>
      <c r="I3197">
        <f t="shared" si="148"/>
        <v>600</v>
      </c>
      <c r="J3197">
        <f t="shared" si="149"/>
        <v>3600</v>
      </c>
    </row>
    <row r="3198" spans="1:10" x14ac:dyDescent="0.45">
      <c r="A3198" t="s">
        <v>1553</v>
      </c>
      <c r="B3198" s="1">
        <v>45859</v>
      </c>
      <c r="C3198" t="s">
        <v>12</v>
      </c>
      <c r="D3198" t="s">
        <v>5022</v>
      </c>
      <c r="E3198">
        <v>2880</v>
      </c>
      <c r="F3198">
        <v>10</v>
      </c>
      <c r="G3198">
        <f t="shared" si="147"/>
        <v>28800</v>
      </c>
      <c r="H3198" t="s">
        <v>21</v>
      </c>
      <c r="I3198">
        <f t="shared" si="148"/>
        <v>3456</v>
      </c>
      <c r="J3198">
        <f t="shared" si="149"/>
        <v>34560</v>
      </c>
    </row>
    <row r="3199" spans="1:10" x14ac:dyDescent="0.45">
      <c r="A3199" t="s">
        <v>1554</v>
      </c>
      <c r="B3199" s="1">
        <v>45859</v>
      </c>
      <c r="C3199" t="s">
        <v>33</v>
      </c>
      <c r="D3199" t="s">
        <v>16</v>
      </c>
      <c r="E3199">
        <v>1200</v>
      </c>
      <c r="F3199">
        <v>3</v>
      </c>
      <c r="G3199">
        <f t="shared" si="147"/>
        <v>3600</v>
      </c>
      <c r="H3199" t="s">
        <v>7</v>
      </c>
      <c r="I3199">
        <f t="shared" si="148"/>
        <v>1440</v>
      </c>
      <c r="J3199">
        <f t="shared" si="149"/>
        <v>4320</v>
      </c>
    </row>
    <row r="3200" spans="1:10" x14ac:dyDescent="0.45">
      <c r="A3200" t="s">
        <v>1555</v>
      </c>
      <c r="B3200" s="1">
        <v>45859</v>
      </c>
      <c r="C3200" t="s">
        <v>33</v>
      </c>
      <c r="D3200" t="s">
        <v>14</v>
      </c>
      <c r="E3200">
        <v>800</v>
      </c>
      <c r="F3200">
        <v>7</v>
      </c>
      <c r="G3200">
        <f t="shared" si="147"/>
        <v>5600</v>
      </c>
      <c r="H3200" t="s">
        <v>7</v>
      </c>
      <c r="I3200">
        <f t="shared" si="148"/>
        <v>960</v>
      </c>
      <c r="J3200">
        <f t="shared" si="149"/>
        <v>6720</v>
      </c>
    </row>
    <row r="3201" spans="1:10" x14ac:dyDescent="0.45">
      <c r="A3201" t="s">
        <v>1556</v>
      </c>
      <c r="B3201" s="1">
        <v>45859</v>
      </c>
      <c r="C3201" t="s">
        <v>12</v>
      </c>
      <c r="D3201" t="s">
        <v>5020</v>
      </c>
      <c r="E3201">
        <v>2880</v>
      </c>
      <c r="F3201">
        <v>6</v>
      </c>
      <c r="G3201">
        <f t="shared" si="147"/>
        <v>17280</v>
      </c>
      <c r="H3201" t="s">
        <v>17</v>
      </c>
      <c r="I3201">
        <f t="shared" si="148"/>
        <v>3456</v>
      </c>
      <c r="J3201">
        <f t="shared" si="149"/>
        <v>20736</v>
      </c>
    </row>
    <row r="3202" spans="1:10" x14ac:dyDescent="0.45">
      <c r="A3202" t="s">
        <v>3762</v>
      </c>
      <c r="B3202" s="1">
        <v>45859</v>
      </c>
      <c r="C3202" t="s">
        <v>33</v>
      </c>
      <c r="D3202" t="s">
        <v>34</v>
      </c>
      <c r="E3202">
        <v>1700</v>
      </c>
      <c r="F3202">
        <v>1</v>
      </c>
      <c r="G3202">
        <f t="shared" ref="G3202:G3265" si="150">E3202*F3202</f>
        <v>1700</v>
      </c>
      <c r="H3202" t="s">
        <v>7</v>
      </c>
      <c r="I3202">
        <f t="shared" ref="I3202:I3265" si="151">E3202*1.2</f>
        <v>2040</v>
      </c>
      <c r="J3202">
        <f t="shared" ref="J3202:J3265" si="152">I3202*F3202</f>
        <v>2040</v>
      </c>
    </row>
    <row r="3203" spans="1:10" x14ac:dyDescent="0.45">
      <c r="A3203" t="s">
        <v>1557</v>
      </c>
      <c r="B3203" s="1">
        <v>45860</v>
      </c>
      <c r="C3203" t="s">
        <v>9</v>
      </c>
      <c r="D3203" t="s">
        <v>25</v>
      </c>
      <c r="E3203">
        <v>5200</v>
      </c>
      <c r="F3203">
        <v>7</v>
      </c>
      <c r="G3203">
        <f t="shared" si="150"/>
        <v>36400</v>
      </c>
      <c r="H3203" t="s">
        <v>21</v>
      </c>
      <c r="I3203">
        <f t="shared" si="151"/>
        <v>6240</v>
      </c>
      <c r="J3203">
        <f t="shared" si="152"/>
        <v>43680</v>
      </c>
    </row>
    <row r="3204" spans="1:10" x14ac:dyDescent="0.45">
      <c r="A3204" t="s">
        <v>1558</v>
      </c>
      <c r="B3204" s="1">
        <v>45860</v>
      </c>
      <c r="C3204" t="s">
        <v>9</v>
      </c>
      <c r="D3204" t="s">
        <v>25</v>
      </c>
      <c r="E3204">
        <v>5200</v>
      </c>
      <c r="F3204">
        <v>8</v>
      </c>
      <c r="G3204">
        <f t="shared" si="150"/>
        <v>41600</v>
      </c>
      <c r="H3204" t="s">
        <v>21</v>
      </c>
      <c r="I3204">
        <f t="shared" si="151"/>
        <v>6240</v>
      </c>
      <c r="J3204">
        <f t="shared" si="152"/>
        <v>49920</v>
      </c>
    </row>
    <row r="3205" spans="1:10" x14ac:dyDescent="0.45">
      <c r="A3205" t="s">
        <v>1559</v>
      </c>
      <c r="B3205" s="1">
        <v>45860</v>
      </c>
      <c r="C3205" t="s">
        <v>12</v>
      </c>
      <c r="D3205" t="s">
        <v>5021</v>
      </c>
      <c r="E3205">
        <v>2880</v>
      </c>
      <c r="F3205">
        <v>3</v>
      </c>
      <c r="G3205">
        <f t="shared" si="150"/>
        <v>8640</v>
      </c>
      <c r="H3205" t="s">
        <v>7</v>
      </c>
      <c r="I3205">
        <f t="shared" si="151"/>
        <v>3456</v>
      </c>
      <c r="J3205">
        <f t="shared" si="152"/>
        <v>10368</v>
      </c>
    </row>
    <row r="3206" spans="1:10" x14ac:dyDescent="0.45">
      <c r="A3206" t="s">
        <v>1560</v>
      </c>
      <c r="B3206" s="1">
        <v>45860</v>
      </c>
      <c r="C3206" t="s">
        <v>33</v>
      </c>
      <c r="D3206" t="s">
        <v>14</v>
      </c>
      <c r="E3206">
        <v>800</v>
      </c>
      <c r="F3206">
        <v>9</v>
      </c>
      <c r="G3206">
        <f t="shared" si="150"/>
        <v>7200</v>
      </c>
      <c r="H3206" t="s">
        <v>17</v>
      </c>
      <c r="I3206">
        <f t="shared" si="151"/>
        <v>960</v>
      </c>
      <c r="J3206">
        <f t="shared" si="152"/>
        <v>8640</v>
      </c>
    </row>
    <row r="3207" spans="1:10" x14ac:dyDescent="0.45">
      <c r="A3207" t="s">
        <v>1561</v>
      </c>
      <c r="B3207" s="1">
        <v>45860</v>
      </c>
      <c r="C3207" t="s">
        <v>4007</v>
      </c>
      <c r="D3207" t="s">
        <v>4005</v>
      </c>
      <c r="E3207">
        <v>60000</v>
      </c>
      <c r="F3207">
        <v>10</v>
      </c>
      <c r="G3207">
        <f t="shared" si="150"/>
        <v>600000</v>
      </c>
      <c r="H3207" t="s">
        <v>7</v>
      </c>
      <c r="I3207">
        <f t="shared" si="151"/>
        <v>72000</v>
      </c>
      <c r="J3207">
        <f t="shared" si="152"/>
        <v>720000</v>
      </c>
    </row>
    <row r="3208" spans="1:10" x14ac:dyDescent="0.45">
      <c r="A3208" t="s">
        <v>1562</v>
      </c>
      <c r="B3208" s="1">
        <v>45860</v>
      </c>
      <c r="C3208" t="s">
        <v>12</v>
      </c>
      <c r="D3208" t="s">
        <v>5021</v>
      </c>
      <c r="E3208">
        <v>2880</v>
      </c>
      <c r="F3208">
        <v>1</v>
      </c>
      <c r="G3208">
        <f t="shared" si="150"/>
        <v>2880</v>
      </c>
      <c r="H3208" t="s">
        <v>7</v>
      </c>
      <c r="I3208">
        <f t="shared" si="151"/>
        <v>3456</v>
      </c>
      <c r="J3208">
        <f t="shared" si="152"/>
        <v>3456</v>
      </c>
    </row>
    <row r="3209" spans="1:10" x14ac:dyDescent="0.45">
      <c r="A3209" t="s">
        <v>1563</v>
      </c>
      <c r="B3209" s="1">
        <v>45860</v>
      </c>
      <c r="C3209" t="s">
        <v>12</v>
      </c>
      <c r="D3209" t="s">
        <v>5020</v>
      </c>
      <c r="E3209">
        <v>2880</v>
      </c>
      <c r="F3209">
        <v>10</v>
      </c>
      <c r="G3209">
        <f t="shared" si="150"/>
        <v>28800</v>
      </c>
      <c r="H3209" t="s">
        <v>21</v>
      </c>
      <c r="I3209">
        <f t="shared" si="151"/>
        <v>3456</v>
      </c>
      <c r="J3209">
        <f t="shared" si="152"/>
        <v>34560</v>
      </c>
    </row>
    <row r="3210" spans="1:10" x14ac:dyDescent="0.45">
      <c r="A3210" t="s">
        <v>1564</v>
      </c>
      <c r="B3210" s="1">
        <v>45860</v>
      </c>
      <c r="C3210" t="s">
        <v>4007</v>
      </c>
      <c r="D3210" t="s">
        <v>5015</v>
      </c>
      <c r="E3210">
        <v>48000</v>
      </c>
      <c r="F3210">
        <v>1</v>
      </c>
      <c r="G3210">
        <f t="shared" si="150"/>
        <v>48000</v>
      </c>
      <c r="H3210" t="s">
        <v>21</v>
      </c>
      <c r="I3210">
        <f t="shared" si="151"/>
        <v>57600</v>
      </c>
      <c r="J3210">
        <f t="shared" si="152"/>
        <v>57600</v>
      </c>
    </row>
    <row r="3211" spans="1:10" x14ac:dyDescent="0.45">
      <c r="A3211" t="s">
        <v>1565</v>
      </c>
      <c r="B3211" s="1">
        <v>45860</v>
      </c>
      <c r="C3211" t="s">
        <v>4007</v>
      </c>
      <c r="D3211" t="s">
        <v>4005</v>
      </c>
      <c r="E3211">
        <v>60000</v>
      </c>
      <c r="F3211">
        <v>1</v>
      </c>
      <c r="G3211">
        <f t="shared" si="150"/>
        <v>60000</v>
      </c>
      <c r="H3211" t="s">
        <v>21</v>
      </c>
      <c r="I3211">
        <f t="shared" si="151"/>
        <v>72000</v>
      </c>
      <c r="J3211">
        <f t="shared" si="152"/>
        <v>72000</v>
      </c>
    </row>
    <row r="3212" spans="1:10" x14ac:dyDescent="0.45">
      <c r="A3212" t="s">
        <v>2963</v>
      </c>
      <c r="B3212" s="1">
        <v>45860</v>
      </c>
      <c r="C3212" t="s">
        <v>2772</v>
      </c>
      <c r="D3212" t="s">
        <v>2775</v>
      </c>
      <c r="E3212">
        <v>9100</v>
      </c>
      <c r="F3212">
        <v>9</v>
      </c>
      <c r="G3212">
        <f t="shared" si="150"/>
        <v>81900</v>
      </c>
      <c r="H3212" t="s">
        <v>17</v>
      </c>
      <c r="I3212">
        <f t="shared" si="151"/>
        <v>10920</v>
      </c>
      <c r="J3212">
        <f t="shared" si="152"/>
        <v>98280</v>
      </c>
    </row>
    <row r="3213" spans="1:10" x14ac:dyDescent="0.45">
      <c r="A3213" t="s">
        <v>3217</v>
      </c>
      <c r="B3213" s="1">
        <v>45860</v>
      </c>
      <c r="C3213" t="s">
        <v>2772</v>
      </c>
      <c r="D3213" t="s">
        <v>2771</v>
      </c>
      <c r="E3213">
        <v>120</v>
      </c>
      <c r="F3213">
        <v>6</v>
      </c>
      <c r="G3213">
        <f t="shared" si="150"/>
        <v>720</v>
      </c>
      <c r="H3213" t="s">
        <v>17</v>
      </c>
      <c r="I3213">
        <f t="shared" si="151"/>
        <v>144</v>
      </c>
      <c r="J3213">
        <f t="shared" si="152"/>
        <v>864</v>
      </c>
    </row>
    <row r="3214" spans="1:10" x14ac:dyDescent="0.45">
      <c r="A3214" t="s">
        <v>3618</v>
      </c>
      <c r="B3214" s="1">
        <v>45860</v>
      </c>
      <c r="C3214" t="s">
        <v>4007</v>
      </c>
      <c r="D3214" t="s">
        <v>2774</v>
      </c>
      <c r="E3214">
        <v>1900</v>
      </c>
      <c r="F3214">
        <v>2</v>
      </c>
      <c r="G3214">
        <f t="shared" si="150"/>
        <v>3800</v>
      </c>
      <c r="H3214" t="s">
        <v>7</v>
      </c>
      <c r="I3214">
        <f t="shared" si="151"/>
        <v>2280</v>
      </c>
      <c r="J3214">
        <f t="shared" si="152"/>
        <v>4560</v>
      </c>
    </row>
    <row r="3215" spans="1:10" x14ac:dyDescent="0.45">
      <c r="A3215" t="s">
        <v>1566</v>
      </c>
      <c r="B3215" s="1">
        <v>45861</v>
      </c>
      <c r="C3215" t="s">
        <v>4007</v>
      </c>
      <c r="D3215" t="s">
        <v>4005</v>
      </c>
      <c r="E3215">
        <v>60000</v>
      </c>
      <c r="F3215">
        <v>4</v>
      </c>
      <c r="G3215">
        <f t="shared" si="150"/>
        <v>240000</v>
      </c>
      <c r="H3215" t="s">
        <v>21</v>
      </c>
      <c r="I3215">
        <f t="shared" si="151"/>
        <v>72000</v>
      </c>
      <c r="J3215">
        <f t="shared" si="152"/>
        <v>288000</v>
      </c>
    </row>
    <row r="3216" spans="1:10" x14ac:dyDescent="0.45">
      <c r="A3216" t="s">
        <v>1567</v>
      </c>
      <c r="B3216" s="1">
        <v>45861</v>
      </c>
      <c r="C3216" t="s">
        <v>4007</v>
      </c>
      <c r="D3216" t="s">
        <v>4005</v>
      </c>
      <c r="E3216">
        <v>60000</v>
      </c>
      <c r="F3216">
        <v>7</v>
      </c>
      <c r="G3216">
        <f t="shared" si="150"/>
        <v>420000</v>
      </c>
      <c r="H3216" t="s">
        <v>21</v>
      </c>
      <c r="I3216">
        <f t="shared" si="151"/>
        <v>72000</v>
      </c>
      <c r="J3216">
        <f t="shared" si="152"/>
        <v>504000</v>
      </c>
    </row>
    <row r="3217" spans="1:10" x14ac:dyDescent="0.45">
      <c r="A3217" t="s">
        <v>1568</v>
      </c>
      <c r="B3217" s="1">
        <v>45861</v>
      </c>
      <c r="C3217" t="s">
        <v>12</v>
      </c>
      <c r="D3217" t="s">
        <v>5023</v>
      </c>
      <c r="E3217">
        <v>1750</v>
      </c>
      <c r="F3217">
        <v>1</v>
      </c>
      <c r="G3217">
        <f t="shared" si="150"/>
        <v>1750</v>
      </c>
      <c r="H3217" t="s">
        <v>21</v>
      </c>
      <c r="I3217">
        <f t="shared" si="151"/>
        <v>2100</v>
      </c>
      <c r="J3217">
        <f t="shared" si="152"/>
        <v>2100</v>
      </c>
    </row>
    <row r="3218" spans="1:10" x14ac:dyDescent="0.45">
      <c r="A3218" t="s">
        <v>1569</v>
      </c>
      <c r="B3218" s="1">
        <v>45861</v>
      </c>
      <c r="C3218" t="s">
        <v>4007</v>
      </c>
      <c r="D3218" t="s">
        <v>4005</v>
      </c>
      <c r="E3218">
        <v>60000</v>
      </c>
      <c r="F3218">
        <v>3</v>
      </c>
      <c r="G3218">
        <f t="shared" si="150"/>
        <v>180000</v>
      </c>
      <c r="H3218" t="s">
        <v>17</v>
      </c>
      <c r="I3218">
        <f t="shared" si="151"/>
        <v>72000</v>
      </c>
      <c r="J3218">
        <f t="shared" si="152"/>
        <v>216000</v>
      </c>
    </row>
    <row r="3219" spans="1:10" x14ac:dyDescent="0.45">
      <c r="A3219" t="s">
        <v>1570</v>
      </c>
      <c r="B3219" s="1">
        <v>45861</v>
      </c>
      <c r="C3219" t="s">
        <v>4007</v>
      </c>
      <c r="D3219" t="s">
        <v>39</v>
      </c>
      <c r="E3219">
        <v>6000</v>
      </c>
      <c r="F3219">
        <v>4</v>
      </c>
      <c r="G3219">
        <f t="shared" si="150"/>
        <v>24000</v>
      </c>
      <c r="H3219" t="s">
        <v>17</v>
      </c>
      <c r="I3219">
        <f t="shared" si="151"/>
        <v>7200</v>
      </c>
      <c r="J3219">
        <f t="shared" si="152"/>
        <v>28800</v>
      </c>
    </row>
    <row r="3220" spans="1:10" x14ac:dyDescent="0.45">
      <c r="A3220" t="s">
        <v>1571</v>
      </c>
      <c r="B3220" s="1">
        <v>45861</v>
      </c>
      <c r="C3220" t="s">
        <v>9</v>
      </c>
      <c r="D3220" t="s">
        <v>19</v>
      </c>
      <c r="E3220">
        <v>3000</v>
      </c>
      <c r="F3220">
        <v>2</v>
      </c>
      <c r="G3220">
        <f t="shared" si="150"/>
        <v>6000</v>
      </c>
      <c r="H3220" t="s">
        <v>7</v>
      </c>
      <c r="I3220">
        <f t="shared" si="151"/>
        <v>3600</v>
      </c>
      <c r="J3220">
        <f t="shared" si="152"/>
        <v>7200</v>
      </c>
    </row>
    <row r="3221" spans="1:10" x14ac:dyDescent="0.45">
      <c r="A3221" t="s">
        <v>1572</v>
      </c>
      <c r="B3221" s="1">
        <v>45861</v>
      </c>
      <c r="C3221" t="s">
        <v>4007</v>
      </c>
      <c r="D3221" t="s">
        <v>4005</v>
      </c>
      <c r="E3221">
        <v>60000</v>
      </c>
      <c r="F3221">
        <v>3</v>
      </c>
      <c r="G3221">
        <f t="shared" si="150"/>
        <v>180000</v>
      </c>
      <c r="H3221" t="s">
        <v>21</v>
      </c>
      <c r="I3221">
        <f t="shared" si="151"/>
        <v>72000</v>
      </c>
      <c r="J3221">
        <f t="shared" si="152"/>
        <v>216000</v>
      </c>
    </row>
    <row r="3222" spans="1:10" x14ac:dyDescent="0.45">
      <c r="A3222" t="s">
        <v>1573</v>
      </c>
      <c r="B3222" s="1">
        <v>45861</v>
      </c>
      <c r="C3222" t="s">
        <v>4007</v>
      </c>
      <c r="D3222" t="s">
        <v>5015</v>
      </c>
      <c r="E3222">
        <v>48000</v>
      </c>
      <c r="F3222">
        <v>9</v>
      </c>
      <c r="G3222">
        <f t="shared" si="150"/>
        <v>432000</v>
      </c>
      <c r="H3222" t="s">
        <v>7</v>
      </c>
      <c r="I3222">
        <f t="shared" si="151"/>
        <v>57600</v>
      </c>
      <c r="J3222">
        <f t="shared" si="152"/>
        <v>518400</v>
      </c>
    </row>
    <row r="3223" spans="1:10" x14ac:dyDescent="0.45">
      <c r="A3223" t="s">
        <v>1574</v>
      </c>
      <c r="B3223" s="1">
        <v>45861</v>
      </c>
      <c r="C3223" t="s">
        <v>9</v>
      </c>
      <c r="D3223" t="s">
        <v>19</v>
      </c>
      <c r="E3223">
        <v>3000</v>
      </c>
      <c r="F3223">
        <v>6</v>
      </c>
      <c r="G3223">
        <f t="shared" si="150"/>
        <v>18000</v>
      </c>
      <c r="H3223" t="s">
        <v>7</v>
      </c>
      <c r="I3223">
        <f t="shared" si="151"/>
        <v>3600</v>
      </c>
      <c r="J3223">
        <f t="shared" si="152"/>
        <v>21600</v>
      </c>
    </row>
    <row r="3224" spans="1:10" x14ac:dyDescent="0.45">
      <c r="A3224" t="s">
        <v>1575</v>
      </c>
      <c r="B3224" s="1">
        <v>45861</v>
      </c>
      <c r="C3224" t="s">
        <v>9</v>
      </c>
      <c r="D3224" t="s">
        <v>19</v>
      </c>
      <c r="E3224">
        <v>3000</v>
      </c>
      <c r="F3224">
        <v>2</v>
      </c>
      <c r="G3224">
        <f t="shared" si="150"/>
        <v>6000</v>
      </c>
      <c r="H3224" t="s">
        <v>17</v>
      </c>
      <c r="I3224">
        <f t="shared" si="151"/>
        <v>3600</v>
      </c>
      <c r="J3224">
        <f t="shared" si="152"/>
        <v>7200</v>
      </c>
    </row>
    <row r="3225" spans="1:10" x14ac:dyDescent="0.45">
      <c r="A3225" t="s">
        <v>3250</v>
      </c>
      <c r="B3225" s="1">
        <v>45861</v>
      </c>
      <c r="C3225" t="s">
        <v>4007</v>
      </c>
      <c r="D3225" t="s">
        <v>2776</v>
      </c>
      <c r="E3225">
        <v>3600</v>
      </c>
      <c r="F3225">
        <v>9</v>
      </c>
      <c r="G3225">
        <f t="shared" si="150"/>
        <v>32400</v>
      </c>
      <c r="H3225" t="s">
        <v>17</v>
      </c>
      <c r="I3225">
        <f t="shared" si="151"/>
        <v>4320</v>
      </c>
      <c r="J3225">
        <f t="shared" si="152"/>
        <v>38880</v>
      </c>
    </row>
    <row r="3226" spans="1:10" x14ac:dyDescent="0.45">
      <c r="A3226" t="s">
        <v>3349</v>
      </c>
      <c r="B3226" s="1">
        <v>45861</v>
      </c>
      <c r="C3226" t="s">
        <v>4007</v>
      </c>
      <c r="D3226" t="s">
        <v>2770</v>
      </c>
      <c r="E3226">
        <v>600</v>
      </c>
      <c r="F3226">
        <v>2</v>
      </c>
      <c r="G3226">
        <f t="shared" si="150"/>
        <v>1200</v>
      </c>
      <c r="H3226" t="s">
        <v>17</v>
      </c>
      <c r="I3226">
        <f t="shared" si="151"/>
        <v>720</v>
      </c>
      <c r="J3226">
        <f t="shared" si="152"/>
        <v>1440</v>
      </c>
    </row>
    <row r="3227" spans="1:10" x14ac:dyDescent="0.45">
      <c r="A3227" t="s">
        <v>3419</v>
      </c>
      <c r="B3227" s="1">
        <v>45861</v>
      </c>
      <c r="C3227" t="s">
        <v>4007</v>
      </c>
      <c r="D3227" t="s">
        <v>5015</v>
      </c>
      <c r="E3227">
        <v>48000</v>
      </c>
      <c r="F3227">
        <v>7</v>
      </c>
      <c r="G3227">
        <f t="shared" si="150"/>
        <v>336000</v>
      </c>
      <c r="H3227" t="s">
        <v>7</v>
      </c>
      <c r="I3227">
        <f t="shared" si="151"/>
        <v>57600</v>
      </c>
      <c r="J3227">
        <f t="shared" si="152"/>
        <v>403200</v>
      </c>
    </row>
    <row r="3228" spans="1:10" x14ac:dyDescent="0.45">
      <c r="A3228" t="s">
        <v>3870</v>
      </c>
      <c r="B3228" s="1">
        <v>45861</v>
      </c>
      <c r="C3228" t="s">
        <v>33</v>
      </c>
      <c r="D3228" t="s">
        <v>34</v>
      </c>
      <c r="E3228">
        <v>1700</v>
      </c>
      <c r="F3228">
        <v>7</v>
      </c>
      <c r="G3228">
        <f t="shared" si="150"/>
        <v>11900</v>
      </c>
      <c r="H3228" t="s">
        <v>17</v>
      </c>
      <c r="I3228">
        <f t="shared" si="151"/>
        <v>2040</v>
      </c>
      <c r="J3228">
        <f t="shared" si="152"/>
        <v>14280</v>
      </c>
    </row>
    <row r="3229" spans="1:10" x14ac:dyDescent="0.45">
      <c r="A3229" t="s">
        <v>1576</v>
      </c>
      <c r="B3229" s="1">
        <v>45862</v>
      </c>
      <c r="C3229" t="s">
        <v>4007</v>
      </c>
      <c r="D3229" t="s">
        <v>28</v>
      </c>
      <c r="E3229">
        <v>500</v>
      </c>
      <c r="F3229">
        <v>7</v>
      </c>
      <c r="G3229">
        <f t="shared" si="150"/>
        <v>3500</v>
      </c>
      <c r="H3229" t="s">
        <v>7</v>
      </c>
      <c r="I3229">
        <f t="shared" si="151"/>
        <v>600</v>
      </c>
      <c r="J3229">
        <f t="shared" si="152"/>
        <v>4200</v>
      </c>
    </row>
    <row r="3230" spans="1:10" x14ac:dyDescent="0.45">
      <c r="A3230" t="s">
        <v>1577</v>
      </c>
      <c r="B3230" s="1">
        <v>45862</v>
      </c>
      <c r="C3230" t="s">
        <v>33</v>
      </c>
      <c r="D3230" t="s">
        <v>42</v>
      </c>
      <c r="E3230">
        <v>6900</v>
      </c>
      <c r="F3230">
        <v>4</v>
      </c>
      <c r="G3230">
        <f t="shared" si="150"/>
        <v>27600</v>
      </c>
      <c r="H3230" t="s">
        <v>7</v>
      </c>
      <c r="I3230">
        <f t="shared" si="151"/>
        <v>8280</v>
      </c>
      <c r="J3230">
        <f t="shared" si="152"/>
        <v>33120</v>
      </c>
    </row>
    <row r="3231" spans="1:10" x14ac:dyDescent="0.45">
      <c r="A3231" t="s">
        <v>1578</v>
      </c>
      <c r="B3231" s="1">
        <v>45862</v>
      </c>
      <c r="C3231" t="s">
        <v>12</v>
      </c>
      <c r="D3231" t="s">
        <v>5021</v>
      </c>
      <c r="E3231">
        <v>2880</v>
      </c>
      <c r="F3231">
        <v>7</v>
      </c>
      <c r="G3231">
        <f t="shared" si="150"/>
        <v>20160</v>
      </c>
      <c r="H3231" t="s">
        <v>17</v>
      </c>
      <c r="I3231">
        <f t="shared" si="151"/>
        <v>3456</v>
      </c>
      <c r="J3231">
        <f t="shared" si="152"/>
        <v>24192</v>
      </c>
    </row>
    <row r="3232" spans="1:10" x14ac:dyDescent="0.45">
      <c r="A3232" t="s">
        <v>1579</v>
      </c>
      <c r="B3232" s="1">
        <v>45862</v>
      </c>
      <c r="C3232" t="s">
        <v>4007</v>
      </c>
      <c r="D3232" t="s">
        <v>28</v>
      </c>
      <c r="E3232">
        <v>500</v>
      </c>
      <c r="F3232">
        <v>5</v>
      </c>
      <c r="G3232">
        <f t="shared" si="150"/>
        <v>2500</v>
      </c>
      <c r="H3232" t="s">
        <v>7</v>
      </c>
      <c r="I3232">
        <f t="shared" si="151"/>
        <v>600</v>
      </c>
      <c r="J3232">
        <f t="shared" si="152"/>
        <v>3000</v>
      </c>
    </row>
    <row r="3233" spans="1:10" x14ac:dyDescent="0.45">
      <c r="A3233" t="s">
        <v>1580</v>
      </c>
      <c r="B3233" s="1">
        <v>45862</v>
      </c>
      <c r="C3233" t="s">
        <v>9</v>
      </c>
      <c r="D3233" t="s">
        <v>19</v>
      </c>
      <c r="E3233">
        <v>3000</v>
      </c>
      <c r="F3233">
        <v>3</v>
      </c>
      <c r="G3233">
        <f t="shared" si="150"/>
        <v>9000</v>
      </c>
      <c r="H3233" t="s">
        <v>7</v>
      </c>
      <c r="I3233">
        <f t="shared" si="151"/>
        <v>3600</v>
      </c>
      <c r="J3233">
        <f t="shared" si="152"/>
        <v>10800</v>
      </c>
    </row>
    <row r="3234" spans="1:10" x14ac:dyDescent="0.45">
      <c r="A3234" t="s">
        <v>3740</v>
      </c>
      <c r="B3234" s="1">
        <v>45862</v>
      </c>
      <c r="C3234" t="s">
        <v>4007</v>
      </c>
      <c r="D3234" t="s">
        <v>28</v>
      </c>
      <c r="E3234">
        <v>500</v>
      </c>
      <c r="F3234">
        <v>2</v>
      </c>
      <c r="G3234">
        <f t="shared" si="150"/>
        <v>1000</v>
      </c>
      <c r="H3234" t="s">
        <v>17</v>
      </c>
      <c r="I3234">
        <f t="shared" si="151"/>
        <v>600</v>
      </c>
      <c r="J3234">
        <f t="shared" si="152"/>
        <v>1200</v>
      </c>
    </row>
    <row r="3235" spans="1:10" x14ac:dyDescent="0.45">
      <c r="A3235" t="s">
        <v>1581</v>
      </c>
      <c r="B3235" s="1">
        <v>45863</v>
      </c>
      <c r="C3235" t="s">
        <v>12</v>
      </c>
      <c r="D3235" t="s">
        <v>5021</v>
      </c>
      <c r="E3235">
        <v>2880</v>
      </c>
      <c r="F3235">
        <v>10</v>
      </c>
      <c r="G3235">
        <f t="shared" si="150"/>
        <v>28800</v>
      </c>
      <c r="H3235" t="s">
        <v>7</v>
      </c>
      <c r="I3235">
        <f t="shared" si="151"/>
        <v>3456</v>
      </c>
      <c r="J3235">
        <f t="shared" si="152"/>
        <v>34560</v>
      </c>
    </row>
    <row r="3236" spans="1:10" x14ac:dyDescent="0.45">
      <c r="A3236" t="s">
        <v>1582</v>
      </c>
      <c r="B3236" s="1">
        <v>45863</v>
      </c>
      <c r="C3236" t="s">
        <v>9</v>
      </c>
      <c r="D3236" t="s">
        <v>10</v>
      </c>
      <c r="E3236">
        <v>400</v>
      </c>
      <c r="F3236">
        <v>2</v>
      </c>
      <c r="G3236">
        <f t="shared" si="150"/>
        <v>800</v>
      </c>
      <c r="H3236" t="s">
        <v>21</v>
      </c>
      <c r="I3236">
        <f t="shared" si="151"/>
        <v>480</v>
      </c>
      <c r="J3236">
        <f t="shared" si="152"/>
        <v>960</v>
      </c>
    </row>
    <row r="3237" spans="1:10" x14ac:dyDescent="0.45">
      <c r="A3237" t="s">
        <v>1583</v>
      </c>
      <c r="B3237" s="1">
        <v>45863</v>
      </c>
      <c r="C3237" t="s">
        <v>33</v>
      </c>
      <c r="D3237" t="s">
        <v>14</v>
      </c>
      <c r="E3237">
        <v>800</v>
      </c>
      <c r="F3237">
        <v>3</v>
      </c>
      <c r="G3237">
        <f t="shared" si="150"/>
        <v>2400</v>
      </c>
      <c r="H3237" t="s">
        <v>7</v>
      </c>
      <c r="I3237">
        <f t="shared" si="151"/>
        <v>960</v>
      </c>
      <c r="J3237">
        <f t="shared" si="152"/>
        <v>2880</v>
      </c>
    </row>
    <row r="3238" spans="1:10" x14ac:dyDescent="0.45">
      <c r="A3238" t="s">
        <v>1584</v>
      </c>
      <c r="B3238" s="1">
        <v>45863</v>
      </c>
      <c r="C3238" t="s">
        <v>4007</v>
      </c>
      <c r="D3238" t="s">
        <v>39</v>
      </c>
      <c r="E3238">
        <v>6000</v>
      </c>
      <c r="F3238">
        <v>9</v>
      </c>
      <c r="G3238">
        <f t="shared" si="150"/>
        <v>54000</v>
      </c>
      <c r="H3238" t="s">
        <v>7</v>
      </c>
      <c r="I3238">
        <f t="shared" si="151"/>
        <v>7200</v>
      </c>
      <c r="J3238">
        <f t="shared" si="152"/>
        <v>64800</v>
      </c>
    </row>
    <row r="3239" spans="1:10" x14ac:dyDescent="0.45">
      <c r="A3239" t="s">
        <v>1585</v>
      </c>
      <c r="B3239" s="1">
        <v>45863</v>
      </c>
      <c r="C3239" t="s">
        <v>33</v>
      </c>
      <c r="D3239" t="s">
        <v>14</v>
      </c>
      <c r="E3239">
        <v>800</v>
      </c>
      <c r="F3239">
        <v>2</v>
      </c>
      <c r="G3239">
        <f t="shared" si="150"/>
        <v>1600</v>
      </c>
      <c r="H3239" t="s">
        <v>7</v>
      </c>
      <c r="I3239">
        <f t="shared" si="151"/>
        <v>960</v>
      </c>
      <c r="J3239">
        <f t="shared" si="152"/>
        <v>1920</v>
      </c>
    </row>
    <row r="3240" spans="1:10" x14ac:dyDescent="0.45">
      <c r="A3240" t="s">
        <v>3365</v>
      </c>
      <c r="B3240" s="1">
        <v>45863</v>
      </c>
      <c r="C3240" t="s">
        <v>4007</v>
      </c>
      <c r="D3240" t="s">
        <v>2776</v>
      </c>
      <c r="E3240">
        <v>3600</v>
      </c>
      <c r="F3240">
        <v>9</v>
      </c>
      <c r="G3240">
        <f t="shared" si="150"/>
        <v>32400</v>
      </c>
      <c r="H3240" t="s">
        <v>21</v>
      </c>
      <c r="I3240">
        <f t="shared" si="151"/>
        <v>4320</v>
      </c>
      <c r="J3240">
        <f t="shared" si="152"/>
        <v>38880</v>
      </c>
    </row>
    <row r="3241" spans="1:10" x14ac:dyDescent="0.45">
      <c r="A3241" t="s">
        <v>3710</v>
      </c>
      <c r="B3241" s="1">
        <v>45863</v>
      </c>
      <c r="C3241" t="s">
        <v>4007</v>
      </c>
      <c r="D3241" t="s">
        <v>28</v>
      </c>
      <c r="E3241">
        <v>500</v>
      </c>
      <c r="F3241">
        <v>4</v>
      </c>
      <c r="G3241">
        <f t="shared" si="150"/>
        <v>2000</v>
      </c>
      <c r="H3241" t="s">
        <v>21</v>
      </c>
      <c r="I3241">
        <f t="shared" si="151"/>
        <v>600</v>
      </c>
      <c r="J3241">
        <f t="shared" si="152"/>
        <v>2400</v>
      </c>
    </row>
    <row r="3242" spans="1:10" x14ac:dyDescent="0.45">
      <c r="A3242" t="s">
        <v>3944</v>
      </c>
      <c r="B3242" s="1">
        <v>45863</v>
      </c>
      <c r="C3242" t="s">
        <v>2772</v>
      </c>
      <c r="D3242" t="s">
        <v>2771</v>
      </c>
      <c r="E3242">
        <v>120</v>
      </c>
      <c r="F3242">
        <v>5</v>
      </c>
      <c r="G3242">
        <f t="shared" si="150"/>
        <v>600</v>
      </c>
      <c r="H3242" t="s">
        <v>7</v>
      </c>
      <c r="I3242">
        <f t="shared" si="151"/>
        <v>144</v>
      </c>
      <c r="J3242">
        <f t="shared" si="152"/>
        <v>720</v>
      </c>
    </row>
    <row r="3243" spans="1:10" x14ac:dyDescent="0.45">
      <c r="A3243" t="s">
        <v>3969</v>
      </c>
      <c r="B3243" s="1">
        <v>45863</v>
      </c>
      <c r="C3243" t="s">
        <v>4007</v>
      </c>
      <c r="D3243" t="s">
        <v>2774</v>
      </c>
      <c r="E3243">
        <v>1900</v>
      </c>
      <c r="F3243">
        <v>3</v>
      </c>
      <c r="G3243">
        <f t="shared" si="150"/>
        <v>5700</v>
      </c>
      <c r="H3243" t="s">
        <v>7</v>
      </c>
      <c r="I3243">
        <f t="shared" si="151"/>
        <v>2280</v>
      </c>
      <c r="J3243">
        <f t="shared" si="152"/>
        <v>6840</v>
      </c>
    </row>
    <row r="3244" spans="1:10" x14ac:dyDescent="0.45">
      <c r="A3244" t="s">
        <v>1586</v>
      </c>
      <c r="B3244" s="1">
        <v>45864</v>
      </c>
      <c r="C3244" t="s">
        <v>9</v>
      </c>
      <c r="D3244" t="s">
        <v>25</v>
      </c>
      <c r="E3244">
        <v>5200</v>
      </c>
      <c r="F3244">
        <v>8</v>
      </c>
      <c r="G3244">
        <f t="shared" si="150"/>
        <v>41600</v>
      </c>
      <c r="H3244" t="s">
        <v>21</v>
      </c>
      <c r="I3244">
        <f t="shared" si="151"/>
        <v>6240</v>
      </c>
      <c r="J3244">
        <f t="shared" si="152"/>
        <v>49920</v>
      </c>
    </row>
    <row r="3245" spans="1:10" x14ac:dyDescent="0.45">
      <c r="A3245" t="s">
        <v>1587</v>
      </c>
      <c r="B3245" s="1">
        <v>45864</v>
      </c>
      <c r="C3245" t="s">
        <v>9</v>
      </c>
      <c r="D3245" t="s">
        <v>19</v>
      </c>
      <c r="E3245">
        <v>3000</v>
      </c>
      <c r="F3245">
        <v>10</v>
      </c>
      <c r="G3245">
        <f t="shared" si="150"/>
        <v>30000</v>
      </c>
      <c r="H3245" t="s">
        <v>21</v>
      </c>
      <c r="I3245">
        <f t="shared" si="151"/>
        <v>3600</v>
      </c>
      <c r="J3245">
        <f t="shared" si="152"/>
        <v>36000</v>
      </c>
    </row>
    <row r="3246" spans="1:10" x14ac:dyDescent="0.45">
      <c r="A3246" t="s">
        <v>1588</v>
      </c>
      <c r="B3246" s="1">
        <v>45864</v>
      </c>
      <c r="C3246" t="s">
        <v>9</v>
      </c>
      <c r="D3246" t="s">
        <v>10</v>
      </c>
      <c r="E3246">
        <v>400</v>
      </c>
      <c r="F3246">
        <v>2</v>
      </c>
      <c r="G3246">
        <f t="shared" si="150"/>
        <v>800</v>
      </c>
      <c r="H3246" t="s">
        <v>7</v>
      </c>
      <c r="I3246">
        <f t="shared" si="151"/>
        <v>480</v>
      </c>
      <c r="J3246">
        <f t="shared" si="152"/>
        <v>960</v>
      </c>
    </row>
    <row r="3247" spans="1:10" x14ac:dyDescent="0.45">
      <c r="A3247" t="s">
        <v>1589</v>
      </c>
      <c r="B3247" s="1">
        <v>45864</v>
      </c>
      <c r="C3247" t="s">
        <v>9</v>
      </c>
      <c r="D3247" t="s">
        <v>19</v>
      </c>
      <c r="E3247">
        <v>3000</v>
      </c>
      <c r="F3247">
        <v>3</v>
      </c>
      <c r="G3247">
        <f t="shared" si="150"/>
        <v>9000</v>
      </c>
      <c r="H3247" t="s">
        <v>21</v>
      </c>
      <c r="I3247">
        <f t="shared" si="151"/>
        <v>3600</v>
      </c>
      <c r="J3247">
        <f t="shared" si="152"/>
        <v>10800</v>
      </c>
    </row>
    <row r="3248" spans="1:10" x14ac:dyDescent="0.45">
      <c r="A3248" t="s">
        <v>1590</v>
      </c>
      <c r="B3248" s="1">
        <v>45864</v>
      </c>
      <c r="C3248" t="s">
        <v>12</v>
      </c>
      <c r="D3248" t="s">
        <v>5020</v>
      </c>
      <c r="E3248">
        <v>2880</v>
      </c>
      <c r="F3248">
        <v>8</v>
      </c>
      <c r="G3248">
        <f t="shared" si="150"/>
        <v>23040</v>
      </c>
      <c r="H3248" t="s">
        <v>7</v>
      </c>
      <c r="I3248">
        <f t="shared" si="151"/>
        <v>3456</v>
      </c>
      <c r="J3248">
        <f t="shared" si="152"/>
        <v>27648</v>
      </c>
    </row>
    <row r="3249" spans="1:10" x14ac:dyDescent="0.45">
      <c r="A3249" t="s">
        <v>1591</v>
      </c>
      <c r="B3249" s="1">
        <v>45864</v>
      </c>
      <c r="C3249" t="s">
        <v>4007</v>
      </c>
      <c r="D3249" t="s">
        <v>39</v>
      </c>
      <c r="E3249">
        <v>6000</v>
      </c>
      <c r="F3249">
        <v>8</v>
      </c>
      <c r="G3249">
        <f t="shared" si="150"/>
        <v>48000</v>
      </c>
      <c r="H3249" t="s">
        <v>7</v>
      </c>
      <c r="I3249">
        <f t="shared" si="151"/>
        <v>7200</v>
      </c>
      <c r="J3249">
        <f t="shared" si="152"/>
        <v>57600</v>
      </c>
    </row>
    <row r="3250" spans="1:10" x14ac:dyDescent="0.45">
      <c r="A3250" t="s">
        <v>1592</v>
      </c>
      <c r="B3250" s="1">
        <v>45864</v>
      </c>
      <c r="C3250" t="s">
        <v>33</v>
      </c>
      <c r="D3250" t="s">
        <v>14</v>
      </c>
      <c r="E3250">
        <v>800</v>
      </c>
      <c r="F3250">
        <v>10</v>
      </c>
      <c r="G3250">
        <f t="shared" si="150"/>
        <v>8000</v>
      </c>
      <c r="H3250" t="s">
        <v>7</v>
      </c>
      <c r="I3250">
        <f t="shared" si="151"/>
        <v>960</v>
      </c>
      <c r="J3250">
        <f t="shared" si="152"/>
        <v>9600</v>
      </c>
    </row>
    <row r="3251" spans="1:10" x14ac:dyDescent="0.45">
      <c r="A3251" t="s">
        <v>1593</v>
      </c>
      <c r="B3251" s="1">
        <v>45864</v>
      </c>
      <c r="C3251" t="s">
        <v>4007</v>
      </c>
      <c r="D3251" t="s">
        <v>39</v>
      </c>
      <c r="E3251">
        <v>6000</v>
      </c>
      <c r="F3251">
        <v>1</v>
      </c>
      <c r="G3251">
        <f t="shared" si="150"/>
        <v>6000</v>
      </c>
      <c r="H3251" t="s">
        <v>17</v>
      </c>
      <c r="I3251">
        <f t="shared" si="151"/>
        <v>7200</v>
      </c>
      <c r="J3251">
        <f t="shared" si="152"/>
        <v>7200</v>
      </c>
    </row>
    <row r="3252" spans="1:10" x14ac:dyDescent="0.45">
      <c r="A3252" t="s">
        <v>1594</v>
      </c>
      <c r="B3252" s="1">
        <v>45864</v>
      </c>
      <c r="C3252" t="s">
        <v>4007</v>
      </c>
      <c r="D3252" t="s">
        <v>39</v>
      </c>
      <c r="E3252">
        <v>6000</v>
      </c>
      <c r="F3252">
        <v>2</v>
      </c>
      <c r="G3252">
        <f t="shared" si="150"/>
        <v>12000</v>
      </c>
      <c r="H3252" t="s">
        <v>7</v>
      </c>
      <c r="I3252">
        <f t="shared" si="151"/>
        <v>7200</v>
      </c>
      <c r="J3252">
        <f t="shared" si="152"/>
        <v>14400</v>
      </c>
    </row>
    <row r="3253" spans="1:10" x14ac:dyDescent="0.45">
      <c r="A3253" t="s">
        <v>1595</v>
      </c>
      <c r="B3253" s="1">
        <v>45864</v>
      </c>
      <c r="C3253" t="s">
        <v>4007</v>
      </c>
      <c r="D3253" t="s">
        <v>28</v>
      </c>
      <c r="E3253">
        <v>500</v>
      </c>
      <c r="F3253">
        <v>8</v>
      </c>
      <c r="G3253">
        <f t="shared" si="150"/>
        <v>4000</v>
      </c>
      <c r="H3253" t="s">
        <v>17</v>
      </c>
      <c r="I3253">
        <f t="shared" si="151"/>
        <v>600</v>
      </c>
      <c r="J3253">
        <f t="shared" si="152"/>
        <v>4800</v>
      </c>
    </row>
    <row r="3254" spans="1:10" x14ac:dyDescent="0.45">
      <c r="A3254" t="s">
        <v>3083</v>
      </c>
      <c r="B3254" s="1">
        <v>45864</v>
      </c>
      <c r="C3254" t="s">
        <v>4007</v>
      </c>
      <c r="D3254" t="s">
        <v>5015</v>
      </c>
      <c r="E3254">
        <v>48000</v>
      </c>
      <c r="F3254">
        <v>9</v>
      </c>
      <c r="G3254">
        <f t="shared" si="150"/>
        <v>432000</v>
      </c>
      <c r="H3254" t="s">
        <v>7</v>
      </c>
      <c r="I3254">
        <f t="shared" si="151"/>
        <v>57600</v>
      </c>
      <c r="J3254">
        <f t="shared" si="152"/>
        <v>518400</v>
      </c>
    </row>
    <row r="3255" spans="1:10" x14ac:dyDescent="0.45">
      <c r="A3255" t="s">
        <v>3138</v>
      </c>
      <c r="B3255" s="1">
        <v>45864</v>
      </c>
      <c r="C3255" t="s">
        <v>4007</v>
      </c>
      <c r="D3255" t="s">
        <v>2773</v>
      </c>
      <c r="E3255">
        <v>3300</v>
      </c>
      <c r="F3255">
        <v>7</v>
      </c>
      <c r="G3255">
        <f t="shared" si="150"/>
        <v>23100</v>
      </c>
      <c r="H3255" t="s">
        <v>21</v>
      </c>
      <c r="I3255">
        <f t="shared" si="151"/>
        <v>3960</v>
      </c>
      <c r="J3255">
        <f t="shared" si="152"/>
        <v>27720</v>
      </c>
    </row>
    <row r="3256" spans="1:10" x14ac:dyDescent="0.45">
      <c r="A3256" t="s">
        <v>3246</v>
      </c>
      <c r="B3256" s="1">
        <v>45864</v>
      </c>
      <c r="C3256" t="s">
        <v>4007</v>
      </c>
      <c r="D3256" t="s">
        <v>2776</v>
      </c>
      <c r="E3256">
        <v>3600</v>
      </c>
      <c r="F3256">
        <v>2</v>
      </c>
      <c r="G3256">
        <f t="shared" si="150"/>
        <v>7200</v>
      </c>
      <c r="H3256" t="s">
        <v>7</v>
      </c>
      <c r="I3256">
        <f t="shared" si="151"/>
        <v>4320</v>
      </c>
      <c r="J3256">
        <f t="shared" si="152"/>
        <v>8640</v>
      </c>
    </row>
    <row r="3257" spans="1:10" x14ac:dyDescent="0.45">
      <c r="A3257" t="s">
        <v>3517</v>
      </c>
      <c r="B3257" s="1">
        <v>45864</v>
      </c>
      <c r="C3257" t="s">
        <v>4007</v>
      </c>
      <c r="D3257" t="s">
        <v>28</v>
      </c>
      <c r="E3257">
        <v>500</v>
      </c>
      <c r="F3257">
        <v>8</v>
      </c>
      <c r="G3257">
        <f t="shared" si="150"/>
        <v>4000</v>
      </c>
      <c r="H3257" t="s">
        <v>7</v>
      </c>
      <c r="I3257">
        <f t="shared" si="151"/>
        <v>600</v>
      </c>
      <c r="J3257">
        <f t="shared" si="152"/>
        <v>4800</v>
      </c>
    </row>
    <row r="3258" spans="1:10" x14ac:dyDescent="0.45">
      <c r="A3258" t="s">
        <v>3825</v>
      </c>
      <c r="B3258" s="1">
        <v>45864</v>
      </c>
      <c r="C3258" t="s">
        <v>4007</v>
      </c>
      <c r="D3258" t="s">
        <v>2773</v>
      </c>
      <c r="E3258">
        <v>3300</v>
      </c>
      <c r="F3258">
        <v>4</v>
      </c>
      <c r="G3258">
        <f t="shared" si="150"/>
        <v>13200</v>
      </c>
      <c r="H3258" t="s">
        <v>21</v>
      </c>
      <c r="I3258">
        <f t="shared" si="151"/>
        <v>3960</v>
      </c>
      <c r="J3258">
        <f t="shared" si="152"/>
        <v>15840</v>
      </c>
    </row>
    <row r="3259" spans="1:10" x14ac:dyDescent="0.45">
      <c r="A3259" t="s">
        <v>1596</v>
      </c>
      <c r="B3259" s="1">
        <v>45865</v>
      </c>
      <c r="C3259" t="s">
        <v>4007</v>
      </c>
      <c r="D3259" t="s">
        <v>28</v>
      </c>
      <c r="E3259">
        <v>500</v>
      </c>
      <c r="F3259">
        <v>2</v>
      </c>
      <c r="G3259">
        <f t="shared" si="150"/>
        <v>1000</v>
      </c>
      <c r="H3259" t="s">
        <v>21</v>
      </c>
      <c r="I3259">
        <f t="shared" si="151"/>
        <v>600</v>
      </c>
      <c r="J3259">
        <f t="shared" si="152"/>
        <v>1200</v>
      </c>
    </row>
    <row r="3260" spans="1:10" x14ac:dyDescent="0.45">
      <c r="A3260" t="s">
        <v>1597</v>
      </c>
      <c r="B3260" s="1">
        <v>45865</v>
      </c>
      <c r="C3260" t="s">
        <v>4007</v>
      </c>
      <c r="D3260" t="s">
        <v>4005</v>
      </c>
      <c r="E3260">
        <v>60000</v>
      </c>
      <c r="F3260">
        <v>7</v>
      </c>
      <c r="G3260">
        <f t="shared" si="150"/>
        <v>420000</v>
      </c>
      <c r="H3260" t="s">
        <v>21</v>
      </c>
      <c r="I3260">
        <f t="shared" si="151"/>
        <v>72000</v>
      </c>
      <c r="J3260">
        <f t="shared" si="152"/>
        <v>504000</v>
      </c>
    </row>
    <row r="3261" spans="1:10" x14ac:dyDescent="0.45">
      <c r="A3261" t="s">
        <v>1598</v>
      </c>
      <c r="B3261" s="1">
        <v>45865</v>
      </c>
      <c r="C3261" t="s">
        <v>4007</v>
      </c>
      <c r="D3261" t="s">
        <v>28</v>
      </c>
      <c r="E3261">
        <v>500</v>
      </c>
      <c r="F3261">
        <v>6</v>
      </c>
      <c r="G3261">
        <f t="shared" si="150"/>
        <v>3000</v>
      </c>
      <c r="H3261" t="s">
        <v>7</v>
      </c>
      <c r="I3261">
        <f t="shared" si="151"/>
        <v>600</v>
      </c>
      <c r="J3261">
        <f t="shared" si="152"/>
        <v>3600</v>
      </c>
    </row>
    <row r="3262" spans="1:10" x14ac:dyDescent="0.45">
      <c r="A3262" t="s">
        <v>1599</v>
      </c>
      <c r="B3262" s="1">
        <v>45865</v>
      </c>
      <c r="C3262" t="s">
        <v>4007</v>
      </c>
      <c r="D3262" t="s">
        <v>39</v>
      </c>
      <c r="E3262">
        <v>6000</v>
      </c>
      <c r="F3262">
        <v>9</v>
      </c>
      <c r="G3262">
        <f t="shared" si="150"/>
        <v>54000</v>
      </c>
      <c r="H3262" t="s">
        <v>21</v>
      </c>
      <c r="I3262">
        <f t="shared" si="151"/>
        <v>7200</v>
      </c>
      <c r="J3262">
        <f t="shared" si="152"/>
        <v>64800</v>
      </c>
    </row>
    <row r="3263" spans="1:10" x14ac:dyDescent="0.45">
      <c r="A3263" t="s">
        <v>1600</v>
      </c>
      <c r="B3263" s="1">
        <v>45865</v>
      </c>
      <c r="C3263" t="s">
        <v>33</v>
      </c>
      <c r="D3263" t="s">
        <v>34</v>
      </c>
      <c r="E3263">
        <v>1700</v>
      </c>
      <c r="F3263">
        <v>3</v>
      </c>
      <c r="G3263">
        <f t="shared" si="150"/>
        <v>5100</v>
      </c>
      <c r="H3263" t="s">
        <v>17</v>
      </c>
      <c r="I3263">
        <f t="shared" si="151"/>
        <v>2040</v>
      </c>
      <c r="J3263">
        <f t="shared" si="152"/>
        <v>6120</v>
      </c>
    </row>
    <row r="3264" spans="1:10" x14ac:dyDescent="0.45">
      <c r="A3264" t="s">
        <v>1601</v>
      </c>
      <c r="B3264" s="1">
        <v>45865</v>
      </c>
      <c r="C3264" t="s">
        <v>12</v>
      </c>
      <c r="D3264" t="s">
        <v>5022</v>
      </c>
      <c r="E3264">
        <v>2880</v>
      </c>
      <c r="F3264">
        <v>2</v>
      </c>
      <c r="G3264">
        <f t="shared" si="150"/>
        <v>5760</v>
      </c>
      <c r="H3264" t="s">
        <v>17</v>
      </c>
      <c r="I3264">
        <f t="shared" si="151"/>
        <v>3456</v>
      </c>
      <c r="J3264">
        <f t="shared" si="152"/>
        <v>6912</v>
      </c>
    </row>
    <row r="3265" spans="1:10" x14ac:dyDescent="0.45">
      <c r="A3265" t="s">
        <v>1602</v>
      </c>
      <c r="B3265" s="1">
        <v>45865</v>
      </c>
      <c r="C3265" t="s">
        <v>4007</v>
      </c>
      <c r="D3265" t="s">
        <v>5015</v>
      </c>
      <c r="E3265">
        <v>48000</v>
      </c>
      <c r="F3265">
        <v>8</v>
      </c>
      <c r="G3265">
        <f t="shared" si="150"/>
        <v>384000</v>
      </c>
      <c r="H3265" t="s">
        <v>7</v>
      </c>
      <c r="I3265">
        <f t="shared" si="151"/>
        <v>57600</v>
      </c>
      <c r="J3265">
        <f t="shared" si="152"/>
        <v>460800</v>
      </c>
    </row>
    <row r="3266" spans="1:10" x14ac:dyDescent="0.45">
      <c r="A3266" t="s">
        <v>3952</v>
      </c>
      <c r="B3266" s="1">
        <v>45865</v>
      </c>
      <c r="C3266" t="s">
        <v>4007</v>
      </c>
      <c r="D3266" t="s">
        <v>2770</v>
      </c>
      <c r="E3266">
        <v>600</v>
      </c>
      <c r="F3266">
        <v>5</v>
      </c>
      <c r="G3266">
        <f t="shared" ref="G3266:G3329" si="153">E3266*F3266</f>
        <v>3000</v>
      </c>
      <c r="H3266" t="s">
        <v>17</v>
      </c>
      <c r="I3266">
        <f t="shared" ref="I3266:I3329" si="154">E3266*1.2</f>
        <v>720</v>
      </c>
      <c r="J3266">
        <f t="shared" ref="J3266:J3329" si="155">I3266*F3266</f>
        <v>3600</v>
      </c>
    </row>
    <row r="3267" spans="1:10" x14ac:dyDescent="0.45">
      <c r="A3267" t="s">
        <v>1603</v>
      </c>
      <c r="B3267" s="1">
        <v>45866</v>
      </c>
      <c r="C3267" t="s">
        <v>12</v>
      </c>
      <c r="D3267" t="s">
        <v>5022</v>
      </c>
      <c r="E3267">
        <v>2880</v>
      </c>
      <c r="F3267">
        <v>5</v>
      </c>
      <c r="G3267">
        <f t="shared" si="153"/>
        <v>14400</v>
      </c>
      <c r="H3267" t="s">
        <v>17</v>
      </c>
      <c r="I3267">
        <f t="shared" si="154"/>
        <v>3456</v>
      </c>
      <c r="J3267">
        <f t="shared" si="155"/>
        <v>17280</v>
      </c>
    </row>
    <row r="3268" spans="1:10" x14ac:dyDescent="0.45">
      <c r="A3268" t="s">
        <v>1604</v>
      </c>
      <c r="B3268" s="1">
        <v>45866</v>
      </c>
      <c r="C3268" t="s">
        <v>33</v>
      </c>
      <c r="D3268" t="s">
        <v>16</v>
      </c>
      <c r="E3268">
        <v>1200</v>
      </c>
      <c r="F3268">
        <v>4</v>
      </c>
      <c r="G3268">
        <f t="shared" si="153"/>
        <v>4800</v>
      </c>
      <c r="H3268" t="s">
        <v>7</v>
      </c>
      <c r="I3268">
        <f t="shared" si="154"/>
        <v>1440</v>
      </c>
      <c r="J3268">
        <f t="shared" si="155"/>
        <v>5760</v>
      </c>
    </row>
    <row r="3269" spans="1:10" x14ac:dyDescent="0.45">
      <c r="A3269" t="s">
        <v>1605</v>
      </c>
      <c r="B3269" s="1">
        <v>45866</v>
      </c>
      <c r="C3269" t="s">
        <v>4007</v>
      </c>
      <c r="D3269" t="s">
        <v>39</v>
      </c>
      <c r="E3269">
        <v>6000</v>
      </c>
      <c r="F3269">
        <v>9</v>
      </c>
      <c r="G3269">
        <f t="shared" si="153"/>
        <v>54000</v>
      </c>
      <c r="H3269" t="s">
        <v>17</v>
      </c>
      <c r="I3269">
        <f t="shared" si="154"/>
        <v>7200</v>
      </c>
      <c r="J3269">
        <f t="shared" si="155"/>
        <v>64800</v>
      </c>
    </row>
    <row r="3270" spans="1:10" x14ac:dyDescent="0.45">
      <c r="A3270" t="s">
        <v>1606</v>
      </c>
      <c r="B3270" s="1">
        <v>45866</v>
      </c>
      <c r="C3270" t="s">
        <v>9</v>
      </c>
      <c r="D3270" t="s">
        <v>19</v>
      </c>
      <c r="E3270">
        <v>3000</v>
      </c>
      <c r="F3270">
        <v>1</v>
      </c>
      <c r="G3270">
        <f t="shared" si="153"/>
        <v>3000</v>
      </c>
      <c r="H3270" t="s">
        <v>17</v>
      </c>
      <c r="I3270">
        <f t="shared" si="154"/>
        <v>3600</v>
      </c>
      <c r="J3270">
        <f t="shared" si="155"/>
        <v>3600</v>
      </c>
    </row>
    <row r="3271" spans="1:10" x14ac:dyDescent="0.45">
      <c r="A3271" t="s">
        <v>1607</v>
      </c>
      <c r="B3271" s="1">
        <v>45866</v>
      </c>
      <c r="C3271" t="s">
        <v>4007</v>
      </c>
      <c r="D3271" t="s">
        <v>4005</v>
      </c>
      <c r="E3271">
        <v>60000</v>
      </c>
      <c r="F3271">
        <v>7</v>
      </c>
      <c r="G3271">
        <f t="shared" si="153"/>
        <v>420000</v>
      </c>
      <c r="H3271" t="s">
        <v>17</v>
      </c>
      <c r="I3271">
        <f t="shared" si="154"/>
        <v>72000</v>
      </c>
      <c r="J3271">
        <f t="shared" si="155"/>
        <v>504000</v>
      </c>
    </row>
    <row r="3272" spans="1:10" x14ac:dyDescent="0.45">
      <c r="A3272" t="s">
        <v>1608</v>
      </c>
      <c r="B3272" s="1">
        <v>45866</v>
      </c>
      <c r="C3272" t="s">
        <v>12</v>
      </c>
      <c r="D3272" t="s">
        <v>5021</v>
      </c>
      <c r="E3272">
        <v>2880</v>
      </c>
      <c r="F3272">
        <v>9</v>
      </c>
      <c r="G3272">
        <f t="shared" si="153"/>
        <v>25920</v>
      </c>
      <c r="H3272" t="s">
        <v>17</v>
      </c>
      <c r="I3272">
        <f t="shared" si="154"/>
        <v>3456</v>
      </c>
      <c r="J3272">
        <f t="shared" si="155"/>
        <v>31104</v>
      </c>
    </row>
    <row r="3273" spans="1:10" x14ac:dyDescent="0.45">
      <c r="A3273" t="s">
        <v>1609</v>
      </c>
      <c r="B3273" s="1">
        <v>45866</v>
      </c>
      <c r="C3273" t="s">
        <v>33</v>
      </c>
      <c r="D3273" t="s">
        <v>34</v>
      </c>
      <c r="E3273">
        <v>1700</v>
      </c>
      <c r="F3273">
        <v>10</v>
      </c>
      <c r="G3273">
        <f t="shared" si="153"/>
        <v>17000</v>
      </c>
      <c r="H3273" t="s">
        <v>17</v>
      </c>
      <c r="I3273">
        <f t="shared" si="154"/>
        <v>2040</v>
      </c>
      <c r="J3273">
        <f t="shared" si="155"/>
        <v>20400</v>
      </c>
    </row>
    <row r="3274" spans="1:10" x14ac:dyDescent="0.45">
      <c r="A3274" t="s">
        <v>1610</v>
      </c>
      <c r="B3274" s="1">
        <v>45866</v>
      </c>
      <c r="C3274" t="s">
        <v>12</v>
      </c>
      <c r="D3274" t="s">
        <v>5021</v>
      </c>
      <c r="E3274">
        <v>2880</v>
      </c>
      <c r="F3274">
        <v>10</v>
      </c>
      <c r="G3274">
        <f t="shared" si="153"/>
        <v>28800</v>
      </c>
      <c r="H3274" t="s">
        <v>17</v>
      </c>
      <c r="I3274">
        <f t="shared" si="154"/>
        <v>3456</v>
      </c>
      <c r="J3274">
        <f t="shared" si="155"/>
        <v>34560</v>
      </c>
    </row>
    <row r="3275" spans="1:10" x14ac:dyDescent="0.45">
      <c r="A3275" t="s">
        <v>1611</v>
      </c>
      <c r="B3275" s="1">
        <v>45866</v>
      </c>
      <c r="C3275" t="s">
        <v>12</v>
      </c>
      <c r="D3275" t="s">
        <v>5023</v>
      </c>
      <c r="E3275">
        <v>1750</v>
      </c>
      <c r="F3275">
        <v>1</v>
      </c>
      <c r="G3275">
        <f t="shared" si="153"/>
        <v>1750</v>
      </c>
      <c r="H3275" t="s">
        <v>17</v>
      </c>
      <c r="I3275">
        <f t="shared" si="154"/>
        <v>2100</v>
      </c>
      <c r="J3275">
        <f t="shared" si="155"/>
        <v>2100</v>
      </c>
    </row>
    <row r="3276" spans="1:10" x14ac:dyDescent="0.45">
      <c r="A3276" t="s">
        <v>3516</v>
      </c>
      <c r="B3276" s="1">
        <v>45866</v>
      </c>
      <c r="C3276" t="s">
        <v>4007</v>
      </c>
      <c r="D3276" t="s">
        <v>2773</v>
      </c>
      <c r="E3276">
        <v>3300</v>
      </c>
      <c r="F3276">
        <v>8</v>
      </c>
      <c r="G3276">
        <f t="shared" si="153"/>
        <v>26400</v>
      </c>
      <c r="H3276" t="s">
        <v>17</v>
      </c>
      <c r="I3276">
        <f t="shared" si="154"/>
        <v>3960</v>
      </c>
      <c r="J3276">
        <f t="shared" si="155"/>
        <v>31680</v>
      </c>
    </row>
    <row r="3277" spans="1:10" x14ac:dyDescent="0.45">
      <c r="A3277" t="s">
        <v>1612</v>
      </c>
      <c r="B3277" s="1">
        <v>45867</v>
      </c>
      <c r="C3277" t="s">
        <v>4007</v>
      </c>
      <c r="D3277" t="s">
        <v>39</v>
      </c>
      <c r="E3277">
        <v>6000</v>
      </c>
      <c r="F3277">
        <v>5</v>
      </c>
      <c r="G3277">
        <f t="shared" si="153"/>
        <v>30000</v>
      </c>
      <c r="H3277" t="s">
        <v>17</v>
      </c>
      <c r="I3277">
        <f t="shared" si="154"/>
        <v>7200</v>
      </c>
      <c r="J3277">
        <f t="shared" si="155"/>
        <v>36000</v>
      </c>
    </row>
    <row r="3278" spans="1:10" x14ac:dyDescent="0.45">
      <c r="A3278" t="s">
        <v>1613</v>
      </c>
      <c r="B3278" s="1">
        <v>45867</v>
      </c>
      <c r="C3278" t="s">
        <v>9</v>
      </c>
      <c r="D3278" t="s">
        <v>19</v>
      </c>
      <c r="E3278">
        <v>3000</v>
      </c>
      <c r="F3278">
        <v>6</v>
      </c>
      <c r="G3278">
        <f t="shared" si="153"/>
        <v>18000</v>
      </c>
      <c r="H3278" t="s">
        <v>7</v>
      </c>
      <c r="I3278">
        <f t="shared" si="154"/>
        <v>3600</v>
      </c>
      <c r="J3278">
        <f t="shared" si="155"/>
        <v>21600</v>
      </c>
    </row>
    <row r="3279" spans="1:10" x14ac:dyDescent="0.45">
      <c r="A3279" t="s">
        <v>1614</v>
      </c>
      <c r="B3279" s="1">
        <v>45867</v>
      </c>
      <c r="C3279" t="s">
        <v>33</v>
      </c>
      <c r="D3279" t="s">
        <v>34</v>
      </c>
      <c r="E3279">
        <v>1700</v>
      </c>
      <c r="F3279">
        <v>4</v>
      </c>
      <c r="G3279">
        <f t="shared" si="153"/>
        <v>6800</v>
      </c>
      <c r="H3279" t="s">
        <v>21</v>
      </c>
      <c r="I3279">
        <f t="shared" si="154"/>
        <v>2040</v>
      </c>
      <c r="J3279">
        <f t="shared" si="155"/>
        <v>8160</v>
      </c>
    </row>
    <row r="3280" spans="1:10" x14ac:dyDescent="0.45">
      <c r="A3280" t="s">
        <v>1615</v>
      </c>
      <c r="B3280" s="1">
        <v>45867</v>
      </c>
      <c r="C3280" t="s">
        <v>9</v>
      </c>
      <c r="D3280" t="s">
        <v>19</v>
      </c>
      <c r="E3280">
        <v>3000</v>
      </c>
      <c r="F3280">
        <v>2</v>
      </c>
      <c r="G3280">
        <f t="shared" si="153"/>
        <v>6000</v>
      </c>
      <c r="H3280" t="s">
        <v>7</v>
      </c>
      <c r="I3280">
        <f t="shared" si="154"/>
        <v>3600</v>
      </c>
      <c r="J3280">
        <f t="shared" si="155"/>
        <v>7200</v>
      </c>
    </row>
    <row r="3281" spans="1:10" x14ac:dyDescent="0.45">
      <c r="A3281" t="s">
        <v>1616</v>
      </c>
      <c r="B3281" s="1">
        <v>45867</v>
      </c>
      <c r="C3281" t="s">
        <v>4007</v>
      </c>
      <c r="D3281" t="s">
        <v>4005</v>
      </c>
      <c r="E3281">
        <v>60000</v>
      </c>
      <c r="F3281">
        <v>3</v>
      </c>
      <c r="G3281">
        <f t="shared" si="153"/>
        <v>180000</v>
      </c>
      <c r="H3281" t="s">
        <v>21</v>
      </c>
      <c r="I3281">
        <f t="shared" si="154"/>
        <v>72000</v>
      </c>
      <c r="J3281">
        <f t="shared" si="155"/>
        <v>216000</v>
      </c>
    </row>
    <row r="3282" spans="1:10" x14ac:dyDescent="0.45">
      <c r="A3282" t="s">
        <v>1617</v>
      </c>
      <c r="B3282" s="1">
        <v>45867</v>
      </c>
      <c r="C3282" t="s">
        <v>9</v>
      </c>
      <c r="D3282" t="s">
        <v>25</v>
      </c>
      <c r="E3282">
        <v>5200</v>
      </c>
      <c r="F3282">
        <v>4</v>
      </c>
      <c r="G3282">
        <f t="shared" si="153"/>
        <v>20800</v>
      </c>
      <c r="H3282" t="s">
        <v>21</v>
      </c>
      <c r="I3282">
        <f t="shared" si="154"/>
        <v>6240</v>
      </c>
      <c r="J3282">
        <f t="shared" si="155"/>
        <v>24960</v>
      </c>
    </row>
    <row r="3283" spans="1:10" x14ac:dyDescent="0.45">
      <c r="A3283" t="s">
        <v>1618</v>
      </c>
      <c r="B3283" s="1">
        <v>45867</v>
      </c>
      <c r="C3283" t="s">
        <v>12</v>
      </c>
      <c r="D3283" t="s">
        <v>5020</v>
      </c>
      <c r="E3283">
        <v>2880</v>
      </c>
      <c r="F3283">
        <v>7</v>
      </c>
      <c r="G3283">
        <f t="shared" si="153"/>
        <v>20160</v>
      </c>
      <c r="H3283" t="s">
        <v>7</v>
      </c>
      <c r="I3283">
        <f t="shared" si="154"/>
        <v>3456</v>
      </c>
      <c r="J3283">
        <f t="shared" si="155"/>
        <v>24192</v>
      </c>
    </row>
    <row r="3284" spans="1:10" x14ac:dyDescent="0.45">
      <c r="A3284" t="s">
        <v>2882</v>
      </c>
      <c r="B3284" s="1">
        <v>45867</v>
      </c>
      <c r="C3284" t="s">
        <v>4007</v>
      </c>
      <c r="D3284" t="s">
        <v>28</v>
      </c>
      <c r="E3284">
        <v>500</v>
      </c>
      <c r="F3284">
        <v>7</v>
      </c>
      <c r="G3284">
        <f t="shared" si="153"/>
        <v>3500</v>
      </c>
      <c r="H3284" t="s">
        <v>21</v>
      </c>
      <c r="I3284">
        <f t="shared" si="154"/>
        <v>600</v>
      </c>
      <c r="J3284">
        <f t="shared" si="155"/>
        <v>4200</v>
      </c>
    </row>
    <row r="3285" spans="1:10" x14ac:dyDescent="0.45">
      <c r="A3285" t="s">
        <v>2935</v>
      </c>
      <c r="B3285" s="1">
        <v>45867</v>
      </c>
      <c r="C3285" t="s">
        <v>4007</v>
      </c>
      <c r="D3285" t="s">
        <v>2770</v>
      </c>
      <c r="E3285">
        <v>600</v>
      </c>
      <c r="F3285">
        <v>7</v>
      </c>
      <c r="G3285">
        <f t="shared" si="153"/>
        <v>4200</v>
      </c>
      <c r="H3285" t="s">
        <v>7</v>
      </c>
      <c r="I3285">
        <f t="shared" si="154"/>
        <v>720</v>
      </c>
      <c r="J3285">
        <f t="shared" si="155"/>
        <v>5040</v>
      </c>
    </row>
    <row r="3286" spans="1:10" x14ac:dyDescent="0.45">
      <c r="A3286" t="s">
        <v>3240</v>
      </c>
      <c r="B3286" s="1">
        <v>45867</v>
      </c>
      <c r="C3286" t="s">
        <v>4007</v>
      </c>
      <c r="D3286" t="s">
        <v>28</v>
      </c>
      <c r="E3286">
        <v>500</v>
      </c>
      <c r="F3286">
        <v>1</v>
      </c>
      <c r="G3286">
        <f t="shared" si="153"/>
        <v>500</v>
      </c>
      <c r="H3286" t="s">
        <v>17</v>
      </c>
      <c r="I3286">
        <f t="shared" si="154"/>
        <v>600</v>
      </c>
      <c r="J3286">
        <f t="shared" si="155"/>
        <v>600</v>
      </c>
    </row>
    <row r="3287" spans="1:10" x14ac:dyDescent="0.45">
      <c r="A3287" t="s">
        <v>3453</v>
      </c>
      <c r="B3287" s="1">
        <v>45867</v>
      </c>
      <c r="C3287" t="s">
        <v>4007</v>
      </c>
      <c r="D3287" t="s">
        <v>2774</v>
      </c>
      <c r="E3287">
        <v>1900</v>
      </c>
      <c r="F3287">
        <v>1</v>
      </c>
      <c r="G3287">
        <f t="shared" si="153"/>
        <v>1900</v>
      </c>
      <c r="H3287" t="s">
        <v>17</v>
      </c>
      <c r="I3287">
        <f t="shared" si="154"/>
        <v>2280</v>
      </c>
      <c r="J3287">
        <f t="shared" si="155"/>
        <v>2280</v>
      </c>
    </row>
    <row r="3288" spans="1:10" x14ac:dyDescent="0.45">
      <c r="A3288" t="s">
        <v>1619</v>
      </c>
      <c r="B3288" s="1">
        <v>45868</v>
      </c>
      <c r="C3288" t="s">
        <v>9</v>
      </c>
      <c r="D3288" t="s">
        <v>19</v>
      </c>
      <c r="E3288">
        <v>3000</v>
      </c>
      <c r="F3288">
        <v>2</v>
      </c>
      <c r="G3288">
        <f t="shared" si="153"/>
        <v>6000</v>
      </c>
      <c r="H3288" t="s">
        <v>7</v>
      </c>
      <c r="I3288">
        <f t="shared" si="154"/>
        <v>3600</v>
      </c>
      <c r="J3288">
        <f t="shared" si="155"/>
        <v>7200</v>
      </c>
    </row>
    <row r="3289" spans="1:10" x14ac:dyDescent="0.45">
      <c r="A3289" t="s">
        <v>1620</v>
      </c>
      <c r="B3289" s="1">
        <v>45868</v>
      </c>
      <c r="C3289" t="s">
        <v>12</v>
      </c>
      <c r="D3289" t="s">
        <v>5021</v>
      </c>
      <c r="E3289">
        <v>2880</v>
      </c>
      <c r="F3289">
        <v>8</v>
      </c>
      <c r="G3289">
        <f t="shared" si="153"/>
        <v>23040</v>
      </c>
      <c r="H3289" t="s">
        <v>17</v>
      </c>
      <c r="I3289">
        <f t="shared" si="154"/>
        <v>3456</v>
      </c>
      <c r="J3289">
        <f t="shared" si="155"/>
        <v>27648</v>
      </c>
    </row>
    <row r="3290" spans="1:10" x14ac:dyDescent="0.45">
      <c r="A3290" t="s">
        <v>1621</v>
      </c>
      <c r="B3290" s="1">
        <v>45868</v>
      </c>
      <c r="C3290" t="s">
        <v>33</v>
      </c>
      <c r="D3290" t="s">
        <v>16</v>
      </c>
      <c r="E3290">
        <v>1200</v>
      </c>
      <c r="F3290">
        <v>2</v>
      </c>
      <c r="G3290">
        <f t="shared" si="153"/>
        <v>2400</v>
      </c>
      <c r="H3290" t="s">
        <v>17</v>
      </c>
      <c r="I3290">
        <f t="shared" si="154"/>
        <v>1440</v>
      </c>
      <c r="J3290">
        <f t="shared" si="155"/>
        <v>2880</v>
      </c>
    </row>
    <row r="3291" spans="1:10" x14ac:dyDescent="0.45">
      <c r="A3291" t="s">
        <v>1622</v>
      </c>
      <c r="B3291" s="1">
        <v>45868</v>
      </c>
      <c r="C3291" t="s">
        <v>12</v>
      </c>
      <c r="D3291" t="s">
        <v>5023</v>
      </c>
      <c r="E3291">
        <v>1750</v>
      </c>
      <c r="F3291">
        <v>9</v>
      </c>
      <c r="G3291">
        <f t="shared" si="153"/>
        <v>15750</v>
      </c>
      <c r="H3291" t="s">
        <v>21</v>
      </c>
      <c r="I3291">
        <f t="shared" si="154"/>
        <v>2100</v>
      </c>
      <c r="J3291">
        <f t="shared" si="155"/>
        <v>18900</v>
      </c>
    </row>
    <row r="3292" spans="1:10" x14ac:dyDescent="0.45">
      <c r="A3292" t="s">
        <v>1623</v>
      </c>
      <c r="B3292" s="1">
        <v>45868</v>
      </c>
      <c r="C3292" t="s">
        <v>9</v>
      </c>
      <c r="D3292" t="s">
        <v>25</v>
      </c>
      <c r="E3292">
        <v>5200</v>
      </c>
      <c r="F3292">
        <v>9</v>
      </c>
      <c r="G3292">
        <f t="shared" si="153"/>
        <v>46800</v>
      </c>
      <c r="H3292" t="s">
        <v>7</v>
      </c>
      <c r="I3292">
        <f t="shared" si="154"/>
        <v>6240</v>
      </c>
      <c r="J3292">
        <f t="shared" si="155"/>
        <v>56160</v>
      </c>
    </row>
    <row r="3293" spans="1:10" x14ac:dyDescent="0.45">
      <c r="A3293" t="s">
        <v>1624</v>
      </c>
      <c r="B3293" s="1">
        <v>45868</v>
      </c>
      <c r="C3293" t="s">
        <v>4007</v>
      </c>
      <c r="D3293" t="s">
        <v>28</v>
      </c>
      <c r="E3293">
        <v>500</v>
      </c>
      <c r="F3293">
        <v>4</v>
      </c>
      <c r="G3293">
        <f t="shared" si="153"/>
        <v>2000</v>
      </c>
      <c r="H3293" t="s">
        <v>17</v>
      </c>
      <c r="I3293">
        <f t="shared" si="154"/>
        <v>600</v>
      </c>
      <c r="J3293">
        <f t="shared" si="155"/>
        <v>2400</v>
      </c>
    </row>
    <row r="3294" spans="1:10" x14ac:dyDescent="0.45">
      <c r="A3294" t="s">
        <v>1625</v>
      </c>
      <c r="B3294" s="1">
        <v>45868</v>
      </c>
      <c r="C3294" t="s">
        <v>12</v>
      </c>
      <c r="D3294" t="s">
        <v>5022</v>
      </c>
      <c r="E3294">
        <v>2880</v>
      </c>
      <c r="F3294">
        <v>2</v>
      </c>
      <c r="G3294">
        <f t="shared" si="153"/>
        <v>5760</v>
      </c>
      <c r="H3294" t="s">
        <v>7</v>
      </c>
      <c r="I3294">
        <f t="shared" si="154"/>
        <v>3456</v>
      </c>
      <c r="J3294">
        <f t="shared" si="155"/>
        <v>6912</v>
      </c>
    </row>
    <row r="3295" spans="1:10" x14ac:dyDescent="0.45">
      <c r="A3295" t="s">
        <v>1626</v>
      </c>
      <c r="B3295" s="1">
        <v>45868</v>
      </c>
      <c r="C3295" t="s">
        <v>9</v>
      </c>
      <c r="D3295" t="s">
        <v>25</v>
      </c>
      <c r="E3295">
        <v>5200</v>
      </c>
      <c r="F3295">
        <v>4</v>
      </c>
      <c r="G3295">
        <f t="shared" si="153"/>
        <v>20800</v>
      </c>
      <c r="H3295" t="s">
        <v>21</v>
      </c>
      <c r="I3295">
        <f t="shared" si="154"/>
        <v>6240</v>
      </c>
      <c r="J3295">
        <f t="shared" si="155"/>
        <v>24960</v>
      </c>
    </row>
    <row r="3296" spans="1:10" x14ac:dyDescent="0.45">
      <c r="A3296" t="s">
        <v>3711</v>
      </c>
      <c r="B3296" s="1">
        <v>45868</v>
      </c>
      <c r="C3296" t="s">
        <v>4007</v>
      </c>
      <c r="D3296" t="s">
        <v>2776</v>
      </c>
      <c r="E3296">
        <v>3600</v>
      </c>
      <c r="F3296">
        <v>6</v>
      </c>
      <c r="G3296">
        <f t="shared" si="153"/>
        <v>21600</v>
      </c>
      <c r="H3296" t="s">
        <v>21</v>
      </c>
      <c r="I3296">
        <f t="shared" si="154"/>
        <v>4320</v>
      </c>
      <c r="J3296">
        <f t="shared" si="155"/>
        <v>25920</v>
      </c>
    </row>
    <row r="3297" spans="1:10" x14ac:dyDescent="0.45">
      <c r="A3297" t="s">
        <v>3743</v>
      </c>
      <c r="B3297" s="1">
        <v>45868</v>
      </c>
      <c r="C3297" t="s">
        <v>4007</v>
      </c>
      <c r="D3297" t="s">
        <v>5015</v>
      </c>
      <c r="E3297">
        <v>48000</v>
      </c>
      <c r="F3297">
        <v>1</v>
      </c>
      <c r="G3297">
        <f t="shared" si="153"/>
        <v>48000</v>
      </c>
      <c r="H3297" t="s">
        <v>21</v>
      </c>
      <c r="I3297">
        <f t="shared" si="154"/>
        <v>57600</v>
      </c>
      <c r="J3297">
        <f t="shared" si="155"/>
        <v>57600</v>
      </c>
    </row>
    <row r="3298" spans="1:10" x14ac:dyDescent="0.45">
      <c r="A3298" t="s">
        <v>3831</v>
      </c>
      <c r="B3298" s="1">
        <v>45868</v>
      </c>
      <c r="C3298" t="s">
        <v>33</v>
      </c>
      <c r="D3298" t="s">
        <v>14</v>
      </c>
      <c r="E3298">
        <v>800</v>
      </c>
      <c r="F3298">
        <v>6</v>
      </c>
      <c r="G3298">
        <f t="shared" si="153"/>
        <v>4800</v>
      </c>
      <c r="H3298" t="s">
        <v>7</v>
      </c>
      <c r="I3298">
        <f t="shared" si="154"/>
        <v>960</v>
      </c>
      <c r="J3298">
        <f t="shared" si="155"/>
        <v>5760</v>
      </c>
    </row>
    <row r="3299" spans="1:10" x14ac:dyDescent="0.45">
      <c r="A3299" t="s">
        <v>1627</v>
      </c>
      <c r="B3299" s="1">
        <v>45869</v>
      </c>
      <c r="C3299" t="s">
        <v>12</v>
      </c>
      <c r="D3299" t="s">
        <v>5023</v>
      </c>
      <c r="E3299">
        <v>1750</v>
      </c>
      <c r="F3299">
        <v>8</v>
      </c>
      <c r="G3299">
        <f t="shared" si="153"/>
        <v>14000</v>
      </c>
      <c r="H3299" t="s">
        <v>21</v>
      </c>
      <c r="I3299">
        <f t="shared" si="154"/>
        <v>2100</v>
      </c>
      <c r="J3299">
        <f t="shared" si="155"/>
        <v>16800</v>
      </c>
    </row>
    <row r="3300" spans="1:10" x14ac:dyDescent="0.45">
      <c r="A3300" t="s">
        <v>1628</v>
      </c>
      <c r="B3300" s="1">
        <v>45869</v>
      </c>
      <c r="C3300" t="s">
        <v>12</v>
      </c>
      <c r="D3300" t="s">
        <v>5023</v>
      </c>
      <c r="E3300">
        <v>1750</v>
      </c>
      <c r="F3300">
        <v>2</v>
      </c>
      <c r="G3300">
        <f t="shared" si="153"/>
        <v>3500</v>
      </c>
      <c r="H3300" t="s">
        <v>17</v>
      </c>
      <c r="I3300">
        <f t="shared" si="154"/>
        <v>2100</v>
      </c>
      <c r="J3300">
        <f t="shared" si="155"/>
        <v>4200</v>
      </c>
    </row>
    <row r="3301" spans="1:10" x14ac:dyDescent="0.45">
      <c r="A3301" t="s">
        <v>1629</v>
      </c>
      <c r="B3301" s="1">
        <v>45869</v>
      </c>
      <c r="C3301" t="s">
        <v>9</v>
      </c>
      <c r="D3301" t="s">
        <v>25</v>
      </c>
      <c r="E3301">
        <v>5200</v>
      </c>
      <c r="F3301">
        <v>3</v>
      </c>
      <c r="G3301">
        <f t="shared" si="153"/>
        <v>15600</v>
      </c>
      <c r="H3301" t="s">
        <v>17</v>
      </c>
      <c r="I3301">
        <f t="shared" si="154"/>
        <v>6240</v>
      </c>
      <c r="J3301">
        <f t="shared" si="155"/>
        <v>18720</v>
      </c>
    </row>
    <row r="3302" spans="1:10" x14ac:dyDescent="0.45">
      <c r="A3302" t="s">
        <v>1630</v>
      </c>
      <c r="B3302" s="1">
        <v>45869</v>
      </c>
      <c r="C3302" t="s">
        <v>4007</v>
      </c>
      <c r="D3302" t="s">
        <v>4005</v>
      </c>
      <c r="E3302">
        <v>60000</v>
      </c>
      <c r="F3302">
        <v>4</v>
      </c>
      <c r="G3302">
        <f t="shared" si="153"/>
        <v>240000</v>
      </c>
      <c r="H3302" t="s">
        <v>17</v>
      </c>
      <c r="I3302">
        <f t="shared" si="154"/>
        <v>72000</v>
      </c>
      <c r="J3302">
        <f t="shared" si="155"/>
        <v>288000</v>
      </c>
    </row>
    <row r="3303" spans="1:10" x14ac:dyDescent="0.45">
      <c r="A3303" t="s">
        <v>1631</v>
      </c>
      <c r="B3303" s="1">
        <v>45869</v>
      </c>
      <c r="C3303" t="s">
        <v>33</v>
      </c>
      <c r="D3303" t="s">
        <v>34</v>
      </c>
      <c r="E3303">
        <v>1700</v>
      </c>
      <c r="F3303">
        <v>2</v>
      </c>
      <c r="G3303">
        <f t="shared" si="153"/>
        <v>3400</v>
      </c>
      <c r="H3303" t="s">
        <v>7</v>
      </c>
      <c r="I3303">
        <f t="shared" si="154"/>
        <v>2040</v>
      </c>
      <c r="J3303">
        <f t="shared" si="155"/>
        <v>4080</v>
      </c>
    </row>
    <row r="3304" spans="1:10" x14ac:dyDescent="0.45">
      <c r="A3304" t="s">
        <v>1632</v>
      </c>
      <c r="B3304" s="1">
        <v>45869</v>
      </c>
      <c r="C3304" t="s">
        <v>33</v>
      </c>
      <c r="D3304" t="s">
        <v>34</v>
      </c>
      <c r="E3304">
        <v>1700</v>
      </c>
      <c r="F3304">
        <v>6</v>
      </c>
      <c r="G3304">
        <f t="shared" si="153"/>
        <v>10200</v>
      </c>
      <c r="H3304" t="s">
        <v>21</v>
      </c>
      <c r="I3304">
        <f t="shared" si="154"/>
        <v>2040</v>
      </c>
      <c r="J3304">
        <f t="shared" si="155"/>
        <v>12240</v>
      </c>
    </row>
    <row r="3305" spans="1:10" x14ac:dyDescent="0.45">
      <c r="A3305" t="s">
        <v>1633</v>
      </c>
      <c r="B3305" s="1">
        <v>45869</v>
      </c>
      <c r="C3305" t="s">
        <v>33</v>
      </c>
      <c r="D3305" t="s">
        <v>16</v>
      </c>
      <c r="E3305">
        <v>1200</v>
      </c>
      <c r="F3305">
        <v>6</v>
      </c>
      <c r="G3305">
        <f t="shared" si="153"/>
        <v>7200</v>
      </c>
      <c r="H3305" t="s">
        <v>21</v>
      </c>
      <c r="I3305">
        <f t="shared" si="154"/>
        <v>1440</v>
      </c>
      <c r="J3305">
        <f t="shared" si="155"/>
        <v>8640</v>
      </c>
    </row>
    <row r="3306" spans="1:10" x14ac:dyDescent="0.45">
      <c r="A3306" t="s">
        <v>1634</v>
      </c>
      <c r="B3306" s="1">
        <v>45869</v>
      </c>
      <c r="C3306" t="s">
        <v>9</v>
      </c>
      <c r="D3306" t="s">
        <v>25</v>
      </c>
      <c r="E3306">
        <v>5200</v>
      </c>
      <c r="F3306">
        <v>9</v>
      </c>
      <c r="G3306">
        <f t="shared" si="153"/>
        <v>46800</v>
      </c>
      <c r="H3306" t="s">
        <v>17</v>
      </c>
      <c r="I3306">
        <f t="shared" si="154"/>
        <v>6240</v>
      </c>
      <c r="J3306">
        <f t="shared" si="155"/>
        <v>56160</v>
      </c>
    </row>
    <row r="3307" spans="1:10" x14ac:dyDescent="0.45">
      <c r="A3307" t="s">
        <v>3168</v>
      </c>
      <c r="B3307" s="1">
        <v>45869</v>
      </c>
      <c r="C3307" t="s">
        <v>2772</v>
      </c>
      <c r="D3307" t="s">
        <v>2775</v>
      </c>
      <c r="E3307">
        <v>9100</v>
      </c>
      <c r="F3307">
        <v>3</v>
      </c>
      <c r="G3307">
        <f t="shared" si="153"/>
        <v>27300</v>
      </c>
      <c r="H3307" t="s">
        <v>21</v>
      </c>
      <c r="I3307">
        <f t="shared" si="154"/>
        <v>10920</v>
      </c>
      <c r="J3307">
        <f t="shared" si="155"/>
        <v>32760</v>
      </c>
    </row>
    <row r="3308" spans="1:10" x14ac:dyDescent="0.45">
      <c r="A3308" t="s">
        <v>3713</v>
      </c>
      <c r="B3308" s="1">
        <v>45869</v>
      </c>
      <c r="C3308" t="s">
        <v>4007</v>
      </c>
      <c r="D3308" t="s">
        <v>2774</v>
      </c>
      <c r="E3308">
        <v>1900</v>
      </c>
      <c r="F3308">
        <v>5</v>
      </c>
      <c r="G3308">
        <f t="shared" si="153"/>
        <v>9500</v>
      </c>
      <c r="H3308" t="s">
        <v>7</v>
      </c>
      <c r="I3308">
        <f t="shared" si="154"/>
        <v>2280</v>
      </c>
      <c r="J3308">
        <f t="shared" si="155"/>
        <v>11400</v>
      </c>
    </row>
    <row r="3309" spans="1:10" x14ac:dyDescent="0.45">
      <c r="A3309" t="s">
        <v>1635</v>
      </c>
      <c r="B3309" s="1">
        <v>45870</v>
      </c>
      <c r="C3309" t="s">
        <v>4007</v>
      </c>
      <c r="D3309" t="s">
        <v>39</v>
      </c>
      <c r="E3309">
        <v>6000</v>
      </c>
      <c r="F3309">
        <v>9</v>
      </c>
      <c r="G3309">
        <f t="shared" si="153"/>
        <v>54000</v>
      </c>
      <c r="H3309" t="s">
        <v>7</v>
      </c>
      <c r="I3309">
        <f t="shared" si="154"/>
        <v>7200</v>
      </c>
      <c r="J3309">
        <f t="shared" si="155"/>
        <v>64800</v>
      </c>
    </row>
    <row r="3310" spans="1:10" x14ac:dyDescent="0.45">
      <c r="A3310" t="s">
        <v>1636</v>
      </c>
      <c r="B3310" s="1">
        <v>45870</v>
      </c>
      <c r="C3310" t="s">
        <v>12</v>
      </c>
      <c r="D3310" t="s">
        <v>5023</v>
      </c>
      <c r="E3310">
        <v>1750</v>
      </c>
      <c r="F3310">
        <v>6</v>
      </c>
      <c r="G3310">
        <f t="shared" si="153"/>
        <v>10500</v>
      </c>
      <c r="H3310" t="s">
        <v>17</v>
      </c>
      <c r="I3310">
        <f t="shared" si="154"/>
        <v>2100</v>
      </c>
      <c r="J3310">
        <f t="shared" si="155"/>
        <v>12600</v>
      </c>
    </row>
    <row r="3311" spans="1:10" x14ac:dyDescent="0.45">
      <c r="A3311" t="s">
        <v>1637</v>
      </c>
      <c r="B3311" s="1">
        <v>45870</v>
      </c>
      <c r="C3311" t="s">
        <v>4007</v>
      </c>
      <c r="D3311" t="s">
        <v>39</v>
      </c>
      <c r="E3311">
        <v>6000</v>
      </c>
      <c r="F3311">
        <v>8</v>
      </c>
      <c r="G3311">
        <f t="shared" si="153"/>
        <v>48000</v>
      </c>
      <c r="H3311" t="s">
        <v>21</v>
      </c>
      <c r="I3311">
        <f t="shared" si="154"/>
        <v>7200</v>
      </c>
      <c r="J3311">
        <f t="shared" si="155"/>
        <v>57600</v>
      </c>
    </row>
    <row r="3312" spans="1:10" x14ac:dyDescent="0.45">
      <c r="A3312" t="s">
        <v>1638</v>
      </c>
      <c r="B3312" s="1">
        <v>45870</v>
      </c>
      <c r="C3312" t="s">
        <v>33</v>
      </c>
      <c r="D3312" t="s">
        <v>34</v>
      </c>
      <c r="E3312">
        <v>1700</v>
      </c>
      <c r="F3312">
        <v>7</v>
      </c>
      <c r="G3312">
        <f t="shared" si="153"/>
        <v>11900</v>
      </c>
      <c r="H3312" t="s">
        <v>17</v>
      </c>
      <c r="I3312">
        <f t="shared" si="154"/>
        <v>2040</v>
      </c>
      <c r="J3312">
        <f t="shared" si="155"/>
        <v>14280</v>
      </c>
    </row>
    <row r="3313" spans="1:10" x14ac:dyDescent="0.45">
      <c r="A3313" t="s">
        <v>1639</v>
      </c>
      <c r="B3313" s="1">
        <v>45870</v>
      </c>
      <c r="C3313" t="s">
        <v>12</v>
      </c>
      <c r="D3313" t="s">
        <v>5021</v>
      </c>
      <c r="E3313">
        <v>2880</v>
      </c>
      <c r="F3313">
        <v>4</v>
      </c>
      <c r="G3313">
        <f t="shared" si="153"/>
        <v>11520</v>
      </c>
      <c r="H3313" t="s">
        <v>7</v>
      </c>
      <c r="I3313">
        <f t="shared" si="154"/>
        <v>3456</v>
      </c>
      <c r="J3313">
        <f t="shared" si="155"/>
        <v>13824</v>
      </c>
    </row>
    <row r="3314" spans="1:10" x14ac:dyDescent="0.45">
      <c r="A3314" t="s">
        <v>1640</v>
      </c>
      <c r="B3314" s="1">
        <v>45870</v>
      </c>
      <c r="C3314" t="s">
        <v>4007</v>
      </c>
      <c r="D3314" t="s">
        <v>39</v>
      </c>
      <c r="E3314">
        <v>6000</v>
      </c>
      <c r="F3314">
        <v>7</v>
      </c>
      <c r="G3314">
        <f t="shared" si="153"/>
        <v>42000</v>
      </c>
      <c r="H3314" t="s">
        <v>17</v>
      </c>
      <c r="I3314">
        <f t="shared" si="154"/>
        <v>7200</v>
      </c>
      <c r="J3314">
        <f t="shared" si="155"/>
        <v>50400</v>
      </c>
    </row>
    <row r="3315" spans="1:10" x14ac:dyDescent="0.45">
      <c r="A3315" t="s">
        <v>2911</v>
      </c>
      <c r="B3315" s="1">
        <v>45870</v>
      </c>
      <c r="C3315" t="s">
        <v>2772</v>
      </c>
      <c r="D3315" t="s">
        <v>2771</v>
      </c>
      <c r="E3315">
        <v>120</v>
      </c>
      <c r="F3315">
        <v>7</v>
      </c>
      <c r="G3315">
        <f t="shared" si="153"/>
        <v>840</v>
      </c>
      <c r="H3315" t="s">
        <v>21</v>
      </c>
      <c r="I3315">
        <f t="shared" si="154"/>
        <v>144</v>
      </c>
      <c r="J3315">
        <f t="shared" si="155"/>
        <v>1008</v>
      </c>
    </row>
    <row r="3316" spans="1:10" x14ac:dyDescent="0.45">
      <c r="A3316" t="s">
        <v>1641</v>
      </c>
      <c r="B3316" s="1">
        <v>45871</v>
      </c>
      <c r="C3316" t="s">
        <v>9</v>
      </c>
      <c r="D3316" t="s">
        <v>10</v>
      </c>
      <c r="E3316">
        <v>400</v>
      </c>
      <c r="F3316">
        <v>3</v>
      </c>
      <c r="G3316">
        <f t="shared" si="153"/>
        <v>1200</v>
      </c>
      <c r="H3316" t="s">
        <v>21</v>
      </c>
      <c r="I3316">
        <f t="shared" si="154"/>
        <v>480</v>
      </c>
      <c r="J3316">
        <f t="shared" si="155"/>
        <v>1440</v>
      </c>
    </row>
    <row r="3317" spans="1:10" x14ac:dyDescent="0.45">
      <c r="A3317" t="s">
        <v>1642</v>
      </c>
      <c r="B3317" s="1">
        <v>45871</v>
      </c>
      <c r="C3317" t="s">
        <v>4007</v>
      </c>
      <c r="D3317" t="s">
        <v>4005</v>
      </c>
      <c r="E3317">
        <v>60000</v>
      </c>
      <c r="F3317">
        <v>1</v>
      </c>
      <c r="G3317">
        <f t="shared" si="153"/>
        <v>60000</v>
      </c>
      <c r="H3317" t="s">
        <v>21</v>
      </c>
      <c r="I3317">
        <f t="shared" si="154"/>
        <v>72000</v>
      </c>
      <c r="J3317">
        <f t="shared" si="155"/>
        <v>72000</v>
      </c>
    </row>
    <row r="3318" spans="1:10" x14ac:dyDescent="0.45">
      <c r="A3318" t="s">
        <v>1643</v>
      </c>
      <c r="B3318" s="1">
        <v>45871</v>
      </c>
      <c r="C3318" t="s">
        <v>33</v>
      </c>
      <c r="D3318" t="s">
        <v>14</v>
      </c>
      <c r="E3318">
        <v>800</v>
      </c>
      <c r="F3318">
        <v>6</v>
      </c>
      <c r="G3318">
        <f t="shared" si="153"/>
        <v>4800</v>
      </c>
      <c r="H3318" t="s">
        <v>7</v>
      </c>
      <c r="I3318">
        <f t="shared" si="154"/>
        <v>960</v>
      </c>
      <c r="J3318">
        <f t="shared" si="155"/>
        <v>5760</v>
      </c>
    </row>
    <row r="3319" spans="1:10" x14ac:dyDescent="0.45">
      <c r="A3319" t="s">
        <v>1644</v>
      </c>
      <c r="B3319" s="1">
        <v>45871</v>
      </c>
      <c r="C3319" t="s">
        <v>33</v>
      </c>
      <c r="D3319" t="s">
        <v>16</v>
      </c>
      <c r="E3319">
        <v>1200</v>
      </c>
      <c r="F3319">
        <v>4</v>
      </c>
      <c r="G3319">
        <f t="shared" si="153"/>
        <v>4800</v>
      </c>
      <c r="H3319" t="s">
        <v>21</v>
      </c>
      <c r="I3319">
        <f t="shared" si="154"/>
        <v>1440</v>
      </c>
      <c r="J3319">
        <f t="shared" si="155"/>
        <v>5760</v>
      </c>
    </row>
    <row r="3320" spans="1:10" x14ac:dyDescent="0.45">
      <c r="A3320" t="s">
        <v>1645</v>
      </c>
      <c r="B3320" s="1">
        <v>45871</v>
      </c>
      <c r="C3320" t="s">
        <v>12</v>
      </c>
      <c r="D3320" t="s">
        <v>5022</v>
      </c>
      <c r="E3320">
        <v>2880</v>
      </c>
      <c r="F3320">
        <v>1</v>
      </c>
      <c r="G3320">
        <f t="shared" si="153"/>
        <v>2880</v>
      </c>
      <c r="H3320" t="s">
        <v>17</v>
      </c>
      <c r="I3320">
        <f t="shared" si="154"/>
        <v>3456</v>
      </c>
      <c r="J3320">
        <f t="shared" si="155"/>
        <v>3456</v>
      </c>
    </row>
    <row r="3321" spans="1:10" x14ac:dyDescent="0.45">
      <c r="A3321" t="s">
        <v>1646</v>
      </c>
      <c r="B3321" s="1">
        <v>45871</v>
      </c>
      <c r="C3321" t="s">
        <v>9</v>
      </c>
      <c r="D3321" t="s">
        <v>10</v>
      </c>
      <c r="E3321">
        <v>400</v>
      </c>
      <c r="F3321">
        <v>10</v>
      </c>
      <c r="G3321">
        <f t="shared" si="153"/>
        <v>4000</v>
      </c>
      <c r="H3321" t="s">
        <v>21</v>
      </c>
      <c r="I3321">
        <f t="shared" si="154"/>
        <v>480</v>
      </c>
      <c r="J3321">
        <f t="shared" si="155"/>
        <v>4800</v>
      </c>
    </row>
    <row r="3322" spans="1:10" x14ac:dyDescent="0.45">
      <c r="A3322" t="s">
        <v>1647</v>
      </c>
      <c r="B3322" s="1">
        <v>45871</v>
      </c>
      <c r="C3322" t="s">
        <v>9</v>
      </c>
      <c r="D3322" t="s">
        <v>10</v>
      </c>
      <c r="E3322">
        <v>400</v>
      </c>
      <c r="F3322">
        <v>2</v>
      </c>
      <c r="G3322">
        <f t="shared" si="153"/>
        <v>800</v>
      </c>
      <c r="H3322" t="s">
        <v>21</v>
      </c>
      <c r="I3322">
        <f t="shared" si="154"/>
        <v>480</v>
      </c>
      <c r="J3322">
        <f t="shared" si="155"/>
        <v>960</v>
      </c>
    </row>
    <row r="3323" spans="1:10" x14ac:dyDescent="0.45">
      <c r="A3323" t="s">
        <v>2884</v>
      </c>
      <c r="B3323" s="1">
        <v>45871</v>
      </c>
      <c r="C3323" t="s">
        <v>2772</v>
      </c>
      <c r="D3323" t="s">
        <v>2775</v>
      </c>
      <c r="E3323">
        <v>9100</v>
      </c>
      <c r="F3323">
        <v>5</v>
      </c>
      <c r="G3323">
        <f t="shared" si="153"/>
        <v>45500</v>
      </c>
      <c r="H3323" t="s">
        <v>21</v>
      </c>
      <c r="I3323">
        <f t="shared" si="154"/>
        <v>10920</v>
      </c>
      <c r="J3323">
        <f t="shared" si="155"/>
        <v>54600</v>
      </c>
    </row>
    <row r="3324" spans="1:10" x14ac:dyDescent="0.45">
      <c r="A3324" t="s">
        <v>3868</v>
      </c>
      <c r="B3324" s="1">
        <v>45871</v>
      </c>
      <c r="C3324" t="s">
        <v>4007</v>
      </c>
      <c r="D3324" t="s">
        <v>2774</v>
      </c>
      <c r="E3324">
        <v>1900</v>
      </c>
      <c r="F3324">
        <v>6</v>
      </c>
      <c r="G3324">
        <f t="shared" si="153"/>
        <v>11400</v>
      </c>
      <c r="H3324" t="s">
        <v>7</v>
      </c>
      <c r="I3324">
        <f t="shared" si="154"/>
        <v>2280</v>
      </c>
      <c r="J3324">
        <f t="shared" si="155"/>
        <v>13680</v>
      </c>
    </row>
    <row r="3325" spans="1:10" x14ac:dyDescent="0.45">
      <c r="A3325" t="s">
        <v>3894</v>
      </c>
      <c r="B3325" s="1">
        <v>45871</v>
      </c>
      <c r="C3325" t="s">
        <v>33</v>
      </c>
      <c r="D3325" t="s">
        <v>14</v>
      </c>
      <c r="E3325">
        <v>800</v>
      </c>
      <c r="F3325">
        <v>2</v>
      </c>
      <c r="G3325">
        <f t="shared" si="153"/>
        <v>1600</v>
      </c>
      <c r="H3325" t="s">
        <v>21</v>
      </c>
      <c r="I3325">
        <f t="shared" si="154"/>
        <v>960</v>
      </c>
      <c r="J3325">
        <f t="shared" si="155"/>
        <v>1920</v>
      </c>
    </row>
    <row r="3326" spans="1:10" x14ac:dyDescent="0.45">
      <c r="A3326" t="s">
        <v>1648</v>
      </c>
      <c r="B3326" s="1">
        <v>45872</v>
      </c>
      <c r="C3326" t="s">
        <v>9</v>
      </c>
      <c r="D3326" t="s">
        <v>19</v>
      </c>
      <c r="E3326">
        <v>3000</v>
      </c>
      <c r="F3326">
        <v>4</v>
      </c>
      <c r="G3326">
        <f t="shared" si="153"/>
        <v>12000</v>
      </c>
      <c r="H3326" t="s">
        <v>21</v>
      </c>
      <c r="I3326">
        <f t="shared" si="154"/>
        <v>3600</v>
      </c>
      <c r="J3326">
        <f t="shared" si="155"/>
        <v>14400</v>
      </c>
    </row>
    <row r="3327" spans="1:10" x14ac:dyDescent="0.45">
      <c r="A3327" t="s">
        <v>1649</v>
      </c>
      <c r="B3327" s="1">
        <v>45872</v>
      </c>
      <c r="C3327" t="s">
        <v>33</v>
      </c>
      <c r="D3327" t="s">
        <v>14</v>
      </c>
      <c r="E3327">
        <v>800</v>
      </c>
      <c r="F3327">
        <v>8</v>
      </c>
      <c r="G3327">
        <f t="shared" si="153"/>
        <v>6400</v>
      </c>
      <c r="H3327" t="s">
        <v>17</v>
      </c>
      <c r="I3327">
        <f t="shared" si="154"/>
        <v>960</v>
      </c>
      <c r="J3327">
        <f t="shared" si="155"/>
        <v>7680</v>
      </c>
    </row>
    <row r="3328" spans="1:10" x14ac:dyDescent="0.45">
      <c r="A3328" t="s">
        <v>1650</v>
      </c>
      <c r="B3328" s="1">
        <v>45872</v>
      </c>
      <c r="C3328" t="s">
        <v>4007</v>
      </c>
      <c r="D3328" t="s">
        <v>39</v>
      </c>
      <c r="E3328">
        <v>6000</v>
      </c>
      <c r="F3328">
        <v>1</v>
      </c>
      <c r="G3328">
        <f t="shared" si="153"/>
        <v>6000</v>
      </c>
      <c r="H3328" t="s">
        <v>21</v>
      </c>
      <c r="I3328">
        <f t="shared" si="154"/>
        <v>7200</v>
      </c>
      <c r="J3328">
        <f t="shared" si="155"/>
        <v>7200</v>
      </c>
    </row>
    <row r="3329" spans="1:10" x14ac:dyDescent="0.45">
      <c r="A3329" t="s">
        <v>1651</v>
      </c>
      <c r="B3329" s="1">
        <v>45872</v>
      </c>
      <c r="C3329" t="s">
        <v>12</v>
      </c>
      <c r="D3329" t="s">
        <v>5022</v>
      </c>
      <c r="E3329">
        <v>2880</v>
      </c>
      <c r="F3329">
        <v>1</v>
      </c>
      <c r="G3329">
        <f t="shared" si="153"/>
        <v>2880</v>
      </c>
      <c r="H3329" t="s">
        <v>7</v>
      </c>
      <c r="I3329">
        <f t="shared" si="154"/>
        <v>3456</v>
      </c>
      <c r="J3329">
        <f t="shared" si="155"/>
        <v>3456</v>
      </c>
    </row>
    <row r="3330" spans="1:10" x14ac:dyDescent="0.45">
      <c r="A3330" t="s">
        <v>1652</v>
      </c>
      <c r="B3330" s="1">
        <v>45872</v>
      </c>
      <c r="C3330" t="s">
        <v>4007</v>
      </c>
      <c r="D3330" t="s">
        <v>39</v>
      </c>
      <c r="E3330">
        <v>6000</v>
      </c>
      <c r="F3330">
        <v>9</v>
      </c>
      <c r="G3330">
        <f t="shared" ref="G3330:G3393" si="156">E3330*F3330</f>
        <v>54000</v>
      </c>
      <c r="H3330" t="s">
        <v>7</v>
      </c>
      <c r="I3330">
        <f t="shared" ref="I3330:I3393" si="157">E3330*1.2</f>
        <v>7200</v>
      </c>
      <c r="J3330">
        <f t="shared" ref="J3330:J3393" si="158">I3330*F3330</f>
        <v>64800</v>
      </c>
    </row>
    <row r="3331" spans="1:10" x14ac:dyDescent="0.45">
      <c r="A3331" t="s">
        <v>1653</v>
      </c>
      <c r="B3331" s="1">
        <v>45872</v>
      </c>
      <c r="C3331" t="s">
        <v>9</v>
      </c>
      <c r="D3331" t="s">
        <v>19</v>
      </c>
      <c r="E3331">
        <v>3000</v>
      </c>
      <c r="F3331">
        <v>4</v>
      </c>
      <c r="G3331">
        <f t="shared" si="156"/>
        <v>12000</v>
      </c>
      <c r="H3331" t="s">
        <v>21</v>
      </c>
      <c r="I3331">
        <f t="shared" si="157"/>
        <v>3600</v>
      </c>
      <c r="J3331">
        <f t="shared" si="158"/>
        <v>14400</v>
      </c>
    </row>
    <row r="3332" spans="1:10" x14ac:dyDescent="0.45">
      <c r="A3332" t="s">
        <v>1654</v>
      </c>
      <c r="B3332" s="1">
        <v>45872</v>
      </c>
      <c r="C3332" t="s">
        <v>33</v>
      </c>
      <c r="D3332" t="s">
        <v>14</v>
      </c>
      <c r="E3332">
        <v>800</v>
      </c>
      <c r="F3332">
        <v>8</v>
      </c>
      <c r="G3332">
        <f t="shared" si="156"/>
        <v>6400</v>
      </c>
      <c r="H3332" t="s">
        <v>17</v>
      </c>
      <c r="I3332">
        <f t="shared" si="157"/>
        <v>960</v>
      </c>
      <c r="J3332">
        <f t="shared" si="158"/>
        <v>7680</v>
      </c>
    </row>
    <row r="3333" spans="1:10" x14ac:dyDescent="0.45">
      <c r="A3333" t="s">
        <v>1655</v>
      </c>
      <c r="B3333" s="1">
        <v>45872</v>
      </c>
      <c r="C3333" t="s">
        <v>12</v>
      </c>
      <c r="D3333" t="s">
        <v>5021</v>
      </c>
      <c r="E3333">
        <v>2880</v>
      </c>
      <c r="F3333">
        <v>10</v>
      </c>
      <c r="G3333">
        <f t="shared" si="156"/>
        <v>28800</v>
      </c>
      <c r="H3333" t="s">
        <v>7</v>
      </c>
      <c r="I3333">
        <f t="shared" si="157"/>
        <v>3456</v>
      </c>
      <c r="J3333">
        <f t="shared" si="158"/>
        <v>34560</v>
      </c>
    </row>
    <row r="3334" spans="1:10" x14ac:dyDescent="0.45">
      <c r="A3334" t="s">
        <v>1656</v>
      </c>
      <c r="B3334" s="1">
        <v>45872</v>
      </c>
      <c r="C3334" t="s">
        <v>12</v>
      </c>
      <c r="D3334" t="s">
        <v>5022</v>
      </c>
      <c r="E3334">
        <v>2880</v>
      </c>
      <c r="F3334">
        <v>3</v>
      </c>
      <c r="G3334">
        <f t="shared" si="156"/>
        <v>8640</v>
      </c>
      <c r="H3334" t="s">
        <v>7</v>
      </c>
      <c r="I3334">
        <f t="shared" si="157"/>
        <v>3456</v>
      </c>
      <c r="J3334">
        <f t="shared" si="158"/>
        <v>10368</v>
      </c>
    </row>
    <row r="3335" spans="1:10" x14ac:dyDescent="0.45">
      <c r="A3335" t="s">
        <v>3112</v>
      </c>
      <c r="B3335" s="1">
        <v>45872</v>
      </c>
      <c r="C3335" t="s">
        <v>2772</v>
      </c>
      <c r="D3335" t="s">
        <v>2775</v>
      </c>
      <c r="E3335">
        <v>9100</v>
      </c>
      <c r="F3335">
        <v>10</v>
      </c>
      <c r="G3335">
        <f t="shared" si="156"/>
        <v>91000</v>
      </c>
      <c r="H3335" t="s">
        <v>21</v>
      </c>
      <c r="I3335">
        <f t="shared" si="157"/>
        <v>10920</v>
      </c>
      <c r="J3335">
        <f t="shared" si="158"/>
        <v>109200</v>
      </c>
    </row>
    <row r="3336" spans="1:10" x14ac:dyDescent="0.45">
      <c r="A3336" t="s">
        <v>1657</v>
      </c>
      <c r="B3336" s="1">
        <v>45873</v>
      </c>
      <c r="C3336" t="s">
        <v>4007</v>
      </c>
      <c r="D3336" t="s">
        <v>4005</v>
      </c>
      <c r="E3336">
        <v>60000</v>
      </c>
      <c r="F3336">
        <v>5</v>
      </c>
      <c r="G3336">
        <f t="shared" si="156"/>
        <v>300000</v>
      </c>
      <c r="H3336" t="s">
        <v>7</v>
      </c>
      <c r="I3336">
        <f t="shared" si="157"/>
        <v>72000</v>
      </c>
      <c r="J3336">
        <f t="shared" si="158"/>
        <v>360000</v>
      </c>
    </row>
    <row r="3337" spans="1:10" x14ac:dyDescent="0.45">
      <c r="A3337" t="s">
        <v>1658</v>
      </c>
      <c r="B3337" s="1">
        <v>45873</v>
      </c>
      <c r="C3337" t="s">
        <v>33</v>
      </c>
      <c r="D3337" t="s">
        <v>34</v>
      </c>
      <c r="E3337">
        <v>1700</v>
      </c>
      <c r="F3337">
        <v>3</v>
      </c>
      <c r="G3337">
        <f t="shared" si="156"/>
        <v>5100</v>
      </c>
      <c r="H3337" t="s">
        <v>7</v>
      </c>
      <c r="I3337">
        <f t="shared" si="157"/>
        <v>2040</v>
      </c>
      <c r="J3337">
        <f t="shared" si="158"/>
        <v>6120</v>
      </c>
    </row>
    <row r="3338" spans="1:10" x14ac:dyDescent="0.45">
      <c r="A3338" t="s">
        <v>1659</v>
      </c>
      <c r="B3338" s="1">
        <v>45873</v>
      </c>
      <c r="C3338" t="s">
        <v>12</v>
      </c>
      <c r="D3338" t="s">
        <v>5020</v>
      </c>
      <c r="E3338">
        <v>2880</v>
      </c>
      <c r="F3338">
        <v>3</v>
      </c>
      <c r="G3338">
        <f t="shared" si="156"/>
        <v>8640</v>
      </c>
      <c r="H3338" t="s">
        <v>7</v>
      </c>
      <c r="I3338">
        <f t="shared" si="157"/>
        <v>3456</v>
      </c>
      <c r="J3338">
        <f t="shared" si="158"/>
        <v>10368</v>
      </c>
    </row>
    <row r="3339" spans="1:10" x14ac:dyDescent="0.45">
      <c r="A3339" t="s">
        <v>1660</v>
      </c>
      <c r="B3339" s="1">
        <v>45873</v>
      </c>
      <c r="C3339" t="s">
        <v>9</v>
      </c>
      <c r="D3339" t="s">
        <v>19</v>
      </c>
      <c r="E3339">
        <v>3000</v>
      </c>
      <c r="F3339">
        <v>2</v>
      </c>
      <c r="G3339">
        <f t="shared" si="156"/>
        <v>6000</v>
      </c>
      <c r="H3339" t="s">
        <v>17</v>
      </c>
      <c r="I3339">
        <f t="shared" si="157"/>
        <v>3600</v>
      </c>
      <c r="J3339">
        <f t="shared" si="158"/>
        <v>7200</v>
      </c>
    </row>
    <row r="3340" spans="1:10" x14ac:dyDescent="0.45">
      <c r="A3340" t="s">
        <v>1661</v>
      </c>
      <c r="B3340" s="1">
        <v>45873</v>
      </c>
      <c r="C3340" t="s">
        <v>9</v>
      </c>
      <c r="D3340" t="s">
        <v>19</v>
      </c>
      <c r="E3340">
        <v>3000</v>
      </c>
      <c r="F3340">
        <v>3</v>
      </c>
      <c r="G3340">
        <f t="shared" si="156"/>
        <v>9000</v>
      </c>
      <c r="H3340" t="s">
        <v>21</v>
      </c>
      <c r="I3340">
        <f t="shared" si="157"/>
        <v>3600</v>
      </c>
      <c r="J3340">
        <f t="shared" si="158"/>
        <v>10800</v>
      </c>
    </row>
    <row r="3341" spans="1:10" x14ac:dyDescent="0.45">
      <c r="A3341" t="s">
        <v>1662</v>
      </c>
      <c r="B3341" s="1">
        <v>45873</v>
      </c>
      <c r="C3341" t="s">
        <v>33</v>
      </c>
      <c r="D3341" t="s">
        <v>16</v>
      </c>
      <c r="E3341">
        <v>1200</v>
      </c>
      <c r="F3341">
        <v>3</v>
      </c>
      <c r="G3341">
        <f t="shared" si="156"/>
        <v>3600</v>
      </c>
      <c r="H3341" t="s">
        <v>17</v>
      </c>
      <c r="I3341">
        <f t="shared" si="157"/>
        <v>1440</v>
      </c>
      <c r="J3341">
        <f t="shared" si="158"/>
        <v>4320</v>
      </c>
    </row>
    <row r="3342" spans="1:10" x14ac:dyDescent="0.45">
      <c r="A3342" t="s">
        <v>1663</v>
      </c>
      <c r="B3342" s="1">
        <v>45873</v>
      </c>
      <c r="C3342" t="s">
        <v>33</v>
      </c>
      <c r="D3342" t="s">
        <v>16</v>
      </c>
      <c r="E3342">
        <v>1200</v>
      </c>
      <c r="F3342">
        <v>9</v>
      </c>
      <c r="G3342">
        <f t="shared" si="156"/>
        <v>10800</v>
      </c>
      <c r="H3342" t="s">
        <v>21</v>
      </c>
      <c r="I3342">
        <f t="shared" si="157"/>
        <v>1440</v>
      </c>
      <c r="J3342">
        <f t="shared" si="158"/>
        <v>12960</v>
      </c>
    </row>
    <row r="3343" spans="1:10" x14ac:dyDescent="0.45">
      <c r="A3343" t="s">
        <v>1664</v>
      </c>
      <c r="B3343" s="1">
        <v>45873</v>
      </c>
      <c r="C3343" t="s">
        <v>4007</v>
      </c>
      <c r="D3343" t="s">
        <v>4005</v>
      </c>
      <c r="E3343">
        <v>60000</v>
      </c>
      <c r="F3343">
        <v>7</v>
      </c>
      <c r="G3343">
        <f t="shared" si="156"/>
        <v>420000</v>
      </c>
      <c r="H3343" t="s">
        <v>21</v>
      </c>
      <c r="I3343">
        <f t="shared" si="157"/>
        <v>72000</v>
      </c>
      <c r="J3343">
        <f t="shared" si="158"/>
        <v>504000</v>
      </c>
    </row>
    <row r="3344" spans="1:10" x14ac:dyDescent="0.45">
      <c r="A3344" t="s">
        <v>2814</v>
      </c>
      <c r="B3344" s="1">
        <v>45873</v>
      </c>
      <c r="C3344" t="s">
        <v>33</v>
      </c>
      <c r="D3344" t="s">
        <v>14</v>
      </c>
      <c r="E3344">
        <v>800</v>
      </c>
      <c r="F3344">
        <v>2</v>
      </c>
      <c r="G3344">
        <f t="shared" si="156"/>
        <v>1600</v>
      </c>
      <c r="H3344" t="s">
        <v>7</v>
      </c>
      <c r="I3344">
        <f t="shared" si="157"/>
        <v>960</v>
      </c>
      <c r="J3344">
        <f t="shared" si="158"/>
        <v>1920</v>
      </c>
    </row>
    <row r="3345" spans="1:10" x14ac:dyDescent="0.45">
      <c r="A3345" t="s">
        <v>2890</v>
      </c>
      <c r="B3345" s="1">
        <v>45873</v>
      </c>
      <c r="C3345" t="s">
        <v>4007</v>
      </c>
      <c r="D3345" t="s">
        <v>2776</v>
      </c>
      <c r="E3345">
        <v>3600</v>
      </c>
      <c r="F3345">
        <v>1</v>
      </c>
      <c r="G3345">
        <f t="shared" si="156"/>
        <v>3600</v>
      </c>
      <c r="H3345" t="s">
        <v>21</v>
      </c>
      <c r="I3345">
        <f t="shared" si="157"/>
        <v>4320</v>
      </c>
      <c r="J3345">
        <f t="shared" si="158"/>
        <v>4320</v>
      </c>
    </row>
    <row r="3346" spans="1:10" x14ac:dyDescent="0.45">
      <c r="A3346" t="s">
        <v>2979</v>
      </c>
      <c r="B3346" s="1">
        <v>45873</v>
      </c>
      <c r="C3346" t="s">
        <v>2772</v>
      </c>
      <c r="D3346" t="s">
        <v>2771</v>
      </c>
      <c r="E3346">
        <v>120</v>
      </c>
      <c r="F3346">
        <v>3</v>
      </c>
      <c r="G3346">
        <f t="shared" si="156"/>
        <v>360</v>
      </c>
      <c r="H3346" t="s">
        <v>21</v>
      </c>
      <c r="I3346">
        <f t="shared" si="157"/>
        <v>144</v>
      </c>
      <c r="J3346">
        <f t="shared" si="158"/>
        <v>432</v>
      </c>
    </row>
    <row r="3347" spans="1:10" x14ac:dyDescent="0.45">
      <c r="A3347" t="s">
        <v>3380</v>
      </c>
      <c r="B3347" s="1">
        <v>45873</v>
      </c>
      <c r="C3347" t="s">
        <v>4007</v>
      </c>
      <c r="D3347" t="s">
        <v>2773</v>
      </c>
      <c r="E3347">
        <v>3300</v>
      </c>
      <c r="F3347">
        <v>3</v>
      </c>
      <c r="G3347">
        <f t="shared" si="156"/>
        <v>9900</v>
      </c>
      <c r="H3347" t="s">
        <v>21</v>
      </c>
      <c r="I3347">
        <f t="shared" si="157"/>
        <v>3960</v>
      </c>
      <c r="J3347">
        <f t="shared" si="158"/>
        <v>11880</v>
      </c>
    </row>
    <row r="3348" spans="1:10" x14ac:dyDescent="0.45">
      <c r="A3348" t="s">
        <v>3553</v>
      </c>
      <c r="B3348" s="1">
        <v>45873</v>
      </c>
      <c r="C3348" t="s">
        <v>2772</v>
      </c>
      <c r="D3348" t="s">
        <v>2775</v>
      </c>
      <c r="E3348">
        <v>9100</v>
      </c>
      <c r="F3348">
        <v>1</v>
      </c>
      <c r="G3348">
        <f t="shared" si="156"/>
        <v>9100</v>
      </c>
      <c r="H3348" t="s">
        <v>17</v>
      </c>
      <c r="I3348">
        <f t="shared" si="157"/>
        <v>10920</v>
      </c>
      <c r="J3348">
        <f t="shared" si="158"/>
        <v>10920</v>
      </c>
    </row>
    <row r="3349" spans="1:10" x14ac:dyDescent="0.45">
      <c r="A3349" t="s">
        <v>3590</v>
      </c>
      <c r="B3349" s="1">
        <v>45873</v>
      </c>
      <c r="C3349" t="s">
        <v>2772</v>
      </c>
      <c r="D3349" t="s">
        <v>2771</v>
      </c>
      <c r="E3349">
        <v>120</v>
      </c>
      <c r="F3349">
        <v>2</v>
      </c>
      <c r="G3349">
        <f t="shared" si="156"/>
        <v>240</v>
      </c>
      <c r="H3349" t="s">
        <v>17</v>
      </c>
      <c r="I3349">
        <f t="shared" si="157"/>
        <v>144</v>
      </c>
      <c r="J3349">
        <f t="shared" si="158"/>
        <v>288</v>
      </c>
    </row>
    <row r="3350" spans="1:10" x14ac:dyDescent="0.45">
      <c r="A3350" t="s">
        <v>1665</v>
      </c>
      <c r="B3350" s="1">
        <v>45874</v>
      </c>
      <c r="C3350" t="s">
        <v>12</v>
      </c>
      <c r="D3350" t="s">
        <v>5022</v>
      </c>
      <c r="E3350">
        <v>2880</v>
      </c>
      <c r="F3350">
        <v>5</v>
      </c>
      <c r="G3350">
        <f t="shared" si="156"/>
        <v>14400</v>
      </c>
      <c r="H3350" t="s">
        <v>17</v>
      </c>
      <c r="I3350">
        <f t="shared" si="157"/>
        <v>3456</v>
      </c>
      <c r="J3350">
        <f t="shared" si="158"/>
        <v>17280</v>
      </c>
    </row>
    <row r="3351" spans="1:10" x14ac:dyDescent="0.45">
      <c r="A3351" t="s">
        <v>1666</v>
      </c>
      <c r="B3351" s="1">
        <v>45874</v>
      </c>
      <c r="C3351" t="s">
        <v>33</v>
      </c>
      <c r="D3351" t="s">
        <v>42</v>
      </c>
      <c r="E3351">
        <v>6900</v>
      </c>
      <c r="F3351">
        <v>1</v>
      </c>
      <c r="G3351">
        <f t="shared" si="156"/>
        <v>6900</v>
      </c>
      <c r="H3351" t="s">
        <v>17</v>
      </c>
      <c r="I3351">
        <f t="shared" si="157"/>
        <v>8280</v>
      </c>
      <c r="J3351">
        <f t="shared" si="158"/>
        <v>8280</v>
      </c>
    </row>
    <row r="3352" spans="1:10" x14ac:dyDescent="0.45">
      <c r="A3352" t="s">
        <v>1667</v>
      </c>
      <c r="B3352" s="1">
        <v>45874</v>
      </c>
      <c r="C3352" t="s">
        <v>12</v>
      </c>
      <c r="D3352" t="s">
        <v>5022</v>
      </c>
      <c r="E3352">
        <v>2880</v>
      </c>
      <c r="F3352">
        <v>5</v>
      </c>
      <c r="G3352">
        <f t="shared" si="156"/>
        <v>14400</v>
      </c>
      <c r="H3352" t="s">
        <v>21</v>
      </c>
      <c r="I3352">
        <f t="shared" si="157"/>
        <v>3456</v>
      </c>
      <c r="J3352">
        <f t="shared" si="158"/>
        <v>17280</v>
      </c>
    </row>
    <row r="3353" spans="1:10" x14ac:dyDescent="0.45">
      <c r="A3353" t="s">
        <v>1668</v>
      </c>
      <c r="B3353" s="1">
        <v>45874</v>
      </c>
      <c r="C3353" t="s">
        <v>33</v>
      </c>
      <c r="D3353" t="s">
        <v>16</v>
      </c>
      <c r="E3353">
        <v>1200</v>
      </c>
      <c r="F3353">
        <v>4</v>
      </c>
      <c r="G3353">
        <f t="shared" si="156"/>
        <v>4800</v>
      </c>
      <c r="H3353" t="s">
        <v>21</v>
      </c>
      <c r="I3353">
        <f t="shared" si="157"/>
        <v>1440</v>
      </c>
      <c r="J3353">
        <f t="shared" si="158"/>
        <v>5760</v>
      </c>
    </row>
    <row r="3354" spans="1:10" x14ac:dyDescent="0.45">
      <c r="A3354" t="s">
        <v>1669</v>
      </c>
      <c r="B3354" s="1">
        <v>45874</v>
      </c>
      <c r="C3354" t="s">
        <v>4007</v>
      </c>
      <c r="D3354" t="s">
        <v>28</v>
      </c>
      <c r="E3354">
        <v>500</v>
      </c>
      <c r="F3354">
        <v>8</v>
      </c>
      <c r="G3354">
        <f t="shared" si="156"/>
        <v>4000</v>
      </c>
      <c r="H3354" t="s">
        <v>21</v>
      </c>
      <c r="I3354">
        <f t="shared" si="157"/>
        <v>600</v>
      </c>
      <c r="J3354">
        <f t="shared" si="158"/>
        <v>4800</v>
      </c>
    </row>
    <row r="3355" spans="1:10" x14ac:dyDescent="0.45">
      <c r="A3355" t="s">
        <v>1670</v>
      </c>
      <c r="B3355" s="1">
        <v>45874</v>
      </c>
      <c r="C3355" t="s">
        <v>33</v>
      </c>
      <c r="D3355" t="s">
        <v>14</v>
      </c>
      <c r="E3355">
        <v>800</v>
      </c>
      <c r="F3355">
        <v>8</v>
      </c>
      <c r="G3355">
        <f t="shared" si="156"/>
        <v>6400</v>
      </c>
      <c r="H3355" t="s">
        <v>21</v>
      </c>
      <c r="I3355">
        <f t="shared" si="157"/>
        <v>960</v>
      </c>
      <c r="J3355">
        <f t="shared" si="158"/>
        <v>7680</v>
      </c>
    </row>
    <row r="3356" spans="1:10" x14ac:dyDescent="0.45">
      <c r="A3356" t="s">
        <v>2785</v>
      </c>
      <c r="B3356" s="1">
        <v>45874</v>
      </c>
      <c r="C3356" t="s">
        <v>4007</v>
      </c>
      <c r="D3356" t="s">
        <v>5015</v>
      </c>
      <c r="E3356">
        <v>48000</v>
      </c>
      <c r="F3356">
        <v>4</v>
      </c>
      <c r="G3356">
        <f t="shared" si="156"/>
        <v>192000</v>
      </c>
      <c r="H3356" t="s">
        <v>7</v>
      </c>
      <c r="I3356">
        <f t="shared" si="157"/>
        <v>57600</v>
      </c>
      <c r="J3356">
        <f t="shared" si="158"/>
        <v>230400</v>
      </c>
    </row>
    <row r="3357" spans="1:10" x14ac:dyDescent="0.45">
      <c r="A3357" t="s">
        <v>3072</v>
      </c>
      <c r="B3357" s="1">
        <v>45874</v>
      </c>
      <c r="C3357" t="s">
        <v>33</v>
      </c>
      <c r="D3357" t="s">
        <v>14</v>
      </c>
      <c r="E3357">
        <v>800</v>
      </c>
      <c r="F3357">
        <v>1</v>
      </c>
      <c r="G3357">
        <f t="shared" si="156"/>
        <v>800</v>
      </c>
      <c r="H3357" t="s">
        <v>21</v>
      </c>
      <c r="I3357">
        <f t="shared" si="157"/>
        <v>960</v>
      </c>
      <c r="J3357">
        <f t="shared" si="158"/>
        <v>960</v>
      </c>
    </row>
    <row r="3358" spans="1:10" x14ac:dyDescent="0.45">
      <c r="A3358" t="s">
        <v>3105</v>
      </c>
      <c r="B3358" s="1">
        <v>45874</v>
      </c>
      <c r="C3358" t="s">
        <v>4007</v>
      </c>
      <c r="D3358" t="s">
        <v>2774</v>
      </c>
      <c r="E3358">
        <v>1900</v>
      </c>
      <c r="F3358">
        <v>5</v>
      </c>
      <c r="G3358">
        <f t="shared" si="156"/>
        <v>9500</v>
      </c>
      <c r="H3358" t="s">
        <v>21</v>
      </c>
      <c r="I3358">
        <f t="shared" si="157"/>
        <v>2280</v>
      </c>
      <c r="J3358">
        <f t="shared" si="158"/>
        <v>11400</v>
      </c>
    </row>
    <row r="3359" spans="1:10" x14ac:dyDescent="0.45">
      <c r="A3359" t="s">
        <v>3443</v>
      </c>
      <c r="B3359" s="1">
        <v>45874</v>
      </c>
      <c r="C3359" t="s">
        <v>2772</v>
      </c>
      <c r="D3359" t="s">
        <v>2775</v>
      </c>
      <c r="E3359">
        <v>9100</v>
      </c>
      <c r="F3359">
        <v>2</v>
      </c>
      <c r="G3359">
        <f t="shared" si="156"/>
        <v>18200</v>
      </c>
      <c r="H3359" t="s">
        <v>7</v>
      </c>
      <c r="I3359">
        <f t="shared" si="157"/>
        <v>10920</v>
      </c>
      <c r="J3359">
        <f t="shared" si="158"/>
        <v>21840</v>
      </c>
    </row>
    <row r="3360" spans="1:10" x14ac:dyDescent="0.45">
      <c r="A3360" t="s">
        <v>1671</v>
      </c>
      <c r="B3360" s="1">
        <v>45875</v>
      </c>
      <c r="C3360" t="s">
        <v>4007</v>
      </c>
      <c r="D3360" t="s">
        <v>5015</v>
      </c>
      <c r="E3360">
        <v>48000</v>
      </c>
      <c r="F3360">
        <v>2</v>
      </c>
      <c r="G3360">
        <f t="shared" si="156"/>
        <v>96000</v>
      </c>
      <c r="H3360" t="s">
        <v>21</v>
      </c>
      <c r="I3360">
        <f t="shared" si="157"/>
        <v>57600</v>
      </c>
      <c r="J3360">
        <f t="shared" si="158"/>
        <v>115200</v>
      </c>
    </row>
    <row r="3361" spans="1:10" x14ac:dyDescent="0.45">
      <c r="A3361" t="s">
        <v>1672</v>
      </c>
      <c r="B3361" s="1">
        <v>45875</v>
      </c>
      <c r="C3361" t="s">
        <v>4007</v>
      </c>
      <c r="D3361" t="s">
        <v>39</v>
      </c>
      <c r="E3361">
        <v>6000</v>
      </c>
      <c r="F3361">
        <v>6</v>
      </c>
      <c r="G3361">
        <f t="shared" si="156"/>
        <v>36000</v>
      </c>
      <c r="H3361" t="s">
        <v>7</v>
      </c>
      <c r="I3361">
        <f t="shared" si="157"/>
        <v>7200</v>
      </c>
      <c r="J3361">
        <f t="shared" si="158"/>
        <v>43200</v>
      </c>
    </row>
    <row r="3362" spans="1:10" x14ac:dyDescent="0.45">
      <c r="A3362" t="s">
        <v>1673</v>
      </c>
      <c r="B3362" s="1">
        <v>45875</v>
      </c>
      <c r="C3362" t="s">
        <v>33</v>
      </c>
      <c r="D3362" t="s">
        <v>34</v>
      </c>
      <c r="E3362">
        <v>1700</v>
      </c>
      <c r="F3362">
        <v>9</v>
      </c>
      <c r="G3362">
        <f t="shared" si="156"/>
        <v>15300</v>
      </c>
      <c r="H3362" t="s">
        <v>17</v>
      </c>
      <c r="I3362">
        <f t="shared" si="157"/>
        <v>2040</v>
      </c>
      <c r="J3362">
        <f t="shared" si="158"/>
        <v>18360</v>
      </c>
    </row>
    <row r="3363" spans="1:10" x14ac:dyDescent="0.45">
      <c r="A3363" t="s">
        <v>1674</v>
      </c>
      <c r="B3363" s="1">
        <v>45875</v>
      </c>
      <c r="C3363" t="s">
        <v>33</v>
      </c>
      <c r="D3363" t="s">
        <v>34</v>
      </c>
      <c r="E3363">
        <v>1700</v>
      </c>
      <c r="F3363">
        <v>9</v>
      </c>
      <c r="G3363">
        <f t="shared" si="156"/>
        <v>15300</v>
      </c>
      <c r="H3363" t="s">
        <v>7</v>
      </c>
      <c r="I3363">
        <f t="shared" si="157"/>
        <v>2040</v>
      </c>
      <c r="J3363">
        <f t="shared" si="158"/>
        <v>18360</v>
      </c>
    </row>
    <row r="3364" spans="1:10" x14ac:dyDescent="0.45">
      <c r="A3364" t="s">
        <v>1675</v>
      </c>
      <c r="B3364" s="1">
        <v>45875</v>
      </c>
      <c r="C3364" t="s">
        <v>12</v>
      </c>
      <c r="D3364" t="s">
        <v>5020</v>
      </c>
      <c r="E3364">
        <v>2880</v>
      </c>
      <c r="F3364">
        <v>1</v>
      </c>
      <c r="G3364">
        <f t="shared" si="156"/>
        <v>2880</v>
      </c>
      <c r="H3364" t="s">
        <v>21</v>
      </c>
      <c r="I3364">
        <f t="shared" si="157"/>
        <v>3456</v>
      </c>
      <c r="J3364">
        <f t="shared" si="158"/>
        <v>3456</v>
      </c>
    </row>
    <row r="3365" spans="1:10" x14ac:dyDescent="0.45">
      <c r="A3365" t="s">
        <v>2941</v>
      </c>
      <c r="B3365" s="1">
        <v>45875</v>
      </c>
      <c r="C3365" t="s">
        <v>4007</v>
      </c>
      <c r="D3365" t="s">
        <v>2776</v>
      </c>
      <c r="E3365">
        <v>3600</v>
      </c>
      <c r="F3365">
        <v>2</v>
      </c>
      <c r="G3365">
        <f t="shared" si="156"/>
        <v>7200</v>
      </c>
      <c r="H3365" t="s">
        <v>21</v>
      </c>
      <c r="I3365">
        <f t="shared" si="157"/>
        <v>4320</v>
      </c>
      <c r="J3365">
        <f t="shared" si="158"/>
        <v>8640</v>
      </c>
    </row>
    <row r="3366" spans="1:10" x14ac:dyDescent="0.45">
      <c r="A3366" t="s">
        <v>3786</v>
      </c>
      <c r="B3366" s="1">
        <v>45875</v>
      </c>
      <c r="C3366" t="s">
        <v>4007</v>
      </c>
      <c r="D3366" t="s">
        <v>2770</v>
      </c>
      <c r="E3366">
        <v>600</v>
      </c>
      <c r="F3366">
        <v>7</v>
      </c>
      <c r="G3366">
        <f t="shared" si="156"/>
        <v>4200</v>
      </c>
      <c r="H3366" t="s">
        <v>7</v>
      </c>
      <c r="I3366">
        <f t="shared" si="157"/>
        <v>720</v>
      </c>
      <c r="J3366">
        <f t="shared" si="158"/>
        <v>5040</v>
      </c>
    </row>
    <row r="3367" spans="1:10" x14ac:dyDescent="0.45">
      <c r="A3367" t="s">
        <v>1676</v>
      </c>
      <c r="B3367" s="1">
        <v>45876</v>
      </c>
      <c r="C3367" t="s">
        <v>12</v>
      </c>
      <c r="D3367" t="s">
        <v>5021</v>
      </c>
      <c r="E3367">
        <v>2880</v>
      </c>
      <c r="F3367">
        <v>10</v>
      </c>
      <c r="G3367">
        <f t="shared" si="156"/>
        <v>28800</v>
      </c>
      <c r="H3367" t="s">
        <v>7</v>
      </c>
      <c r="I3367">
        <f t="shared" si="157"/>
        <v>3456</v>
      </c>
      <c r="J3367">
        <f t="shared" si="158"/>
        <v>34560</v>
      </c>
    </row>
    <row r="3368" spans="1:10" x14ac:dyDescent="0.45">
      <c r="A3368" t="s">
        <v>1677</v>
      </c>
      <c r="B3368" s="1">
        <v>45876</v>
      </c>
      <c r="C3368" t="s">
        <v>33</v>
      </c>
      <c r="D3368" t="s">
        <v>16</v>
      </c>
      <c r="E3368">
        <v>1200</v>
      </c>
      <c r="F3368">
        <v>3</v>
      </c>
      <c r="G3368">
        <f t="shared" si="156"/>
        <v>3600</v>
      </c>
      <c r="H3368" t="s">
        <v>7</v>
      </c>
      <c r="I3368">
        <f t="shared" si="157"/>
        <v>1440</v>
      </c>
      <c r="J3368">
        <f t="shared" si="158"/>
        <v>4320</v>
      </c>
    </row>
    <row r="3369" spans="1:10" x14ac:dyDescent="0.45">
      <c r="A3369" t="s">
        <v>1678</v>
      </c>
      <c r="B3369" s="1">
        <v>45876</v>
      </c>
      <c r="C3369" t="s">
        <v>33</v>
      </c>
      <c r="D3369" t="s">
        <v>42</v>
      </c>
      <c r="E3369">
        <v>6900</v>
      </c>
      <c r="F3369">
        <v>1</v>
      </c>
      <c r="G3369">
        <f t="shared" si="156"/>
        <v>6900</v>
      </c>
      <c r="H3369" t="s">
        <v>17</v>
      </c>
      <c r="I3369">
        <f t="shared" si="157"/>
        <v>8280</v>
      </c>
      <c r="J3369">
        <f t="shared" si="158"/>
        <v>8280</v>
      </c>
    </row>
    <row r="3370" spans="1:10" x14ac:dyDescent="0.45">
      <c r="A3370" t="s">
        <v>1679</v>
      </c>
      <c r="B3370" s="1">
        <v>45876</v>
      </c>
      <c r="C3370" t="s">
        <v>33</v>
      </c>
      <c r="D3370" t="s">
        <v>14</v>
      </c>
      <c r="E3370">
        <v>800</v>
      </c>
      <c r="F3370">
        <v>1</v>
      </c>
      <c r="G3370">
        <f t="shared" si="156"/>
        <v>800</v>
      </c>
      <c r="H3370" t="s">
        <v>7</v>
      </c>
      <c r="I3370">
        <f t="shared" si="157"/>
        <v>960</v>
      </c>
      <c r="J3370">
        <f t="shared" si="158"/>
        <v>960</v>
      </c>
    </row>
    <row r="3371" spans="1:10" x14ac:dyDescent="0.45">
      <c r="A3371" t="s">
        <v>1680</v>
      </c>
      <c r="B3371" s="1">
        <v>45876</v>
      </c>
      <c r="C3371" t="s">
        <v>4007</v>
      </c>
      <c r="D3371" t="s">
        <v>5015</v>
      </c>
      <c r="E3371">
        <v>48000</v>
      </c>
      <c r="F3371">
        <v>6</v>
      </c>
      <c r="G3371">
        <f t="shared" si="156"/>
        <v>288000</v>
      </c>
      <c r="H3371" t="s">
        <v>21</v>
      </c>
      <c r="I3371">
        <f t="shared" si="157"/>
        <v>57600</v>
      </c>
      <c r="J3371">
        <f t="shared" si="158"/>
        <v>345600</v>
      </c>
    </row>
    <row r="3372" spans="1:10" x14ac:dyDescent="0.45">
      <c r="A3372" t="s">
        <v>1681</v>
      </c>
      <c r="B3372" s="1">
        <v>45876</v>
      </c>
      <c r="C3372" t="s">
        <v>9</v>
      </c>
      <c r="D3372" t="s">
        <v>19</v>
      </c>
      <c r="E3372">
        <v>3000</v>
      </c>
      <c r="F3372">
        <v>10</v>
      </c>
      <c r="G3372">
        <f t="shared" si="156"/>
        <v>30000</v>
      </c>
      <c r="H3372" t="s">
        <v>21</v>
      </c>
      <c r="I3372">
        <f t="shared" si="157"/>
        <v>3600</v>
      </c>
      <c r="J3372">
        <f t="shared" si="158"/>
        <v>36000</v>
      </c>
    </row>
    <row r="3373" spans="1:10" x14ac:dyDescent="0.45">
      <c r="A3373" t="s">
        <v>1682</v>
      </c>
      <c r="B3373" s="1">
        <v>45876</v>
      </c>
      <c r="C3373" t="s">
        <v>4007</v>
      </c>
      <c r="D3373" t="s">
        <v>4005</v>
      </c>
      <c r="E3373">
        <v>60000</v>
      </c>
      <c r="F3373">
        <v>9</v>
      </c>
      <c r="G3373">
        <f t="shared" si="156"/>
        <v>540000</v>
      </c>
      <c r="H3373" t="s">
        <v>17</v>
      </c>
      <c r="I3373">
        <f t="shared" si="157"/>
        <v>72000</v>
      </c>
      <c r="J3373">
        <f t="shared" si="158"/>
        <v>648000</v>
      </c>
    </row>
    <row r="3374" spans="1:10" x14ac:dyDescent="0.45">
      <c r="A3374" t="s">
        <v>1683</v>
      </c>
      <c r="B3374" s="1">
        <v>45876</v>
      </c>
      <c r="C3374" t="s">
        <v>4007</v>
      </c>
      <c r="D3374" t="s">
        <v>5015</v>
      </c>
      <c r="E3374">
        <v>48000</v>
      </c>
      <c r="F3374">
        <v>8</v>
      </c>
      <c r="G3374">
        <f t="shared" si="156"/>
        <v>384000</v>
      </c>
      <c r="H3374" t="s">
        <v>7</v>
      </c>
      <c r="I3374">
        <f t="shared" si="157"/>
        <v>57600</v>
      </c>
      <c r="J3374">
        <f t="shared" si="158"/>
        <v>460800</v>
      </c>
    </row>
    <row r="3375" spans="1:10" x14ac:dyDescent="0.45">
      <c r="A3375" t="s">
        <v>1684</v>
      </c>
      <c r="B3375" s="1">
        <v>45876</v>
      </c>
      <c r="C3375" t="s">
        <v>33</v>
      </c>
      <c r="D3375" t="s">
        <v>34</v>
      </c>
      <c r="E3375">
        <v>1700</v>
      </c>
      <c r="F3375">
        <v>1</v>
      </c>
      <c r="G3375">
        <f t="shared" si="156"/>
        <v>1700</v>
      </c>
      <c r="H3375" t="s">
        <v>7</v>
      </c>
      <c r="I3375">
        <f t="shared" si="157"/>
        <v>2040</v>
      </c>
      <c r="J3375">
        <f t="shared" si="158"/>
        <v>2040</v>
      </c>
    </row>
    <row r="3376" spans="1:10" x14ac:dyDescent="0.45">
      <c r="A3376" t="s">
        <v>1685</v>
      </c>
      <c r="B3376" s="1">
        <v>45876</v>
      </c>
      <c r="C3376" t="s">
        <v>12</v>
      </c>
      <c r="D3376" t="s">
        <v>5020</v>
      </c>
      <c r="E3376">
        <v>2880</v>
      </c>
      <c r="F3376">
        <v>2</v>
      </c>
      <c r="G3376">
        <f t="shared" si="156"/>
        <v>5760</v>
      </c>
      <c r="H3376" t="s">
        <v>7</v>
      </c>
      <c r="I3376">
        <f t="shared" si="157"/>
        <v>3456</v>
      </c>
      <c r="J3376">
        <f t="shared" si="158"/>
        <v>6912</v>
      </c>
    </row>
    <row r="3377" spans="1:10" x14ac:dyDescent="0.45">
      <c r="A3377" t="s">
        <v>3511</v>
      </c>
      <c r="B3377" s="1">
        <v>45876</v>
      </c>
      <c r="C3377" t="s">
        <v>33</v>
      </c>
      <c r="D3377" t="s">
        <v>34</v>
      </c>
      <c r="E3377">
        <v>1700</v>
      </c>
      <c r="F3377">
        <v>10</v>
      </c>
      <c r="G3377">
        <f t="shared" si="156"/>
        <v>17000</v>
      </c>
      <c r="H3377" t="s">
        <v>21</v>
      </c>
      <c r="I3377">
        <f t="shared" si="157"/>
        <v>2040</v>
      </c>
      <c r="J3377">
        <f t="shared" si="158"/>
        <v>20400</v>
      </c>
    </row>
    <row r="3378" spans="1:10" x14ac:dyDescent="0.45">
      <c r="A3378" t="s">
        <v>3607</v>
      </c>
      <c r="B3378" s="1">
        <v>45876</v>
      </c>
      <c r="C3378" t="s">
        <v>4007</v>
      </c>
      <c r="D3378" t="s">
        <v>2776</v>
      </c>
      <c r="E3378">
        <v>3600</v>
      </c>
      <c r="F3378">
        <v>4</v>
      </c>
      <c r="G3378">
        <f t="shared" si="156"/>
        <v>14400</v>
      </c>
      <c r="H3378" t="s">
        <v>17</v>
      </c>
      <c r="I3378">
        <f t="shared" si="157"/>
        <v>4320</v>
      </c>
      <c r="J3378">
        <f t="shared" si="158"/>
        <v>17280</v>
      </c>
    </row>
    <row r="3379" spans="1:10" x14ac:dyDescent="0.45">
      <c r="A3379" t="s">
        <v>3847</v>
      </c>
      <c r="B3379" s="1">
        <v>45876</v>
      </c>
      <c r="C3379" t="s">
        <v>2772</v>
      </c>
      <c r="D3379" t="s">
        <v>2771</v>
      </c>
      <c r="E3379">
        <v>120</v>
      </c>
      <c r="F3379">
        <v>10</v>
      </c>
      <c r="G3379">
        <f t="shared" si="156"/>
        <v>1200</v>
      </c>
      <c r="H3379" t="s">
        <v>7</v>
      </c>
      <c r="I3379">
        <f t="shared" si="157"/>
        <v>144</v>
      </c>
      <c r="J3379">
        <f t="shared" si="158"/>
        <v>1440</v>
      </c>
    </row>
    <row r="3380" spans="1:10" x14ac:dyDescent="0.45">
      <c r="A3380" t="s">
        <v>3860</v>
      </c>
      <c r="B3380" s="1">
        <v>45876</v>
      </c>
      <c r="C3380" t="s">
        <v>33</v>
      </c>
      <c r="D3380" t="s">
        <v>34</v>
      </c>
      <c r="E3380">
        <v>1700</v>
      </c>
      <c r="F3380">
        <v>2</v>
      </c>
      <c r="G3380">
        <f t="shared" si="156"/>
        <v>3400</v>
      </c>
      <c r="H3380" t="s">
        <v>21</v>
      </c>
      <c r="I3380">
        <f t="shared" si="157"/>
        <v>2040</v>
      </c>
      <c r="J3380">
        <f t="shared" si="158"/>
        <v>4080</v>
      </c>
    </row>
    <row r="3381" spans="1:10" x14ac:dyDescent="0.45">
      <c r="A3381" t="s">
        <v>3916</v>
      </c>
      <c r="B3381" s="1">
        <v>45876</v>
      </c>
      <c r="C3381" t="s">
        <v>4007</v>
      </c>
      <c r="D3381" t="s">
        <v>2774</v>
      </c>
      <c r="E3381">
        <v>1900</v>
      </c>
      <c r="F3381">
        <v>9</v>
      </c>
      <c r="G3381">
        <f t="shared" si="156"/>
        <v>17100</v>
      </c>
      <c r="H3381" t="s">
        <v>17</v>
      </c>
      <c r="I3381">
        <f t="shared" si="157"/>
        <v>2280</v>
      </c>
      <c r="J3381">
        <f t="shared" si="158"/>
        <v>20520</v>
      </c>
    </row>
    <row r="3382" spans="1:10" x14ac:dyDescent="0.45">
      <c r="A3382" t="s">
        <v>1686</v>
      </c>
      <c r="B3382" s="1">
        <v>45877</v>
      </c>
      <c r="C3382" t="s">
        <v>4007</v>
      </c>
      <c r="D3382" t="s">
        <v>4005</v>
      </c>
      <c r="E3382">
        <v>60000</v>
      </c>
      <c r="F3382">
        <v>5</v>
      </c>
      <c r="G3382">
        <f t="shared" si="156"/>
        <v>300000</v>
      </c>
      <c r="H3382" t="s">
        <v>21</v>
      </c>
      <c r="I3382">
        <f t="shared" si="157"/>
        <v>72000</v>
      </c>
      <c r="J3382">
        <f t="shared" si="158"/>
        <v>360000</v>
      </c>
    </row>
    <row r="3383" spans="1:10" x14ac:dyDescent="0.45">
      <c r="A3383" t="s">
        <v>1687</v>
      </c>
      <c r="B3383" s="1">
        <v>45877</v>
      </c>
      <c r="C3383" t="s">
        <v>12</v>
      </c>
      <c r="D3383" t="s">
        <v>5023</v>
      </c>
      <c r="E3383">
        <v>1750</v>
      </c>
      <c r="F3383">
        <v>3</v>
      </c>
      <c r="G3383">
        <f t="shared" si="156"/>
        <v>5250</v>
      </c>
      <c r="H3383" t="s">
        <v>17</v>
      </c>
      <c r="I3383">
        <f t="shared" si="157"/>
        <v>2100</v>
      </c>
      <c r="J3383">
        <f t="shared" si="158"/>
        <v>6300</v>
      </c>
    </row>
    <row r="3384" spans="1:10" x14ac:dyDescent="0.45">
      <c r="A3384" t="s">
        <v>1688</v>
      </c>
      <c r="B3384" s="1">
        <v>45877</v>
      </c>
      <c r="C3384" t="s">
        <v>33</v>
      </c>
      <c r="D3384" t="s">
        <v>16</v>
      </c>
      <c r="E3384">
        <v>1200</v>
      </c>
      <c r="F3384">
        <v>3</v>
      </c>
      <c r="G3384">
        <f t="shared" si="156"/>
        <v>3600</v>
      </c>
      <c r="H3384" t="s">
        <v>17</v>
      </c>
      <c r="I3384">
        <f t="shared" si="157"/>
        <v>1440</v>
      </c>
      <c r="J3384">
        <f t="shared" si="158"/>
        <v>4320</v>
      </c>
    </row>
    <row r="3385" spans="1:10" x14ac:dyDescent="0.45">
      <c r="A3385" t="s">
        <v>1689</v>
      </c>
      <c r="B3385" s="1">
        <v>45877</v>
      </c>
      <c r="C3385" t="s">
        <v>4007</v>
      </c>
      <c r="D3385" t="s">
        <v>39</v>
      </c>
      <c r="E3385">
        <v>6000</v>
      </c>
      <c r="F3385">
        <v>8</v>
      </c>
      <c r="G3385">
        <f t="shared" si="156"/>
        <v>48000</v>
      </c>
      <c r="H3385" t="s">
        <v>7</v>
      </c>
      <c r="I3385">
        <f t="shared" si="157"/>
        <v>7200</v>
      </c>
      <c r="J3385">
        <f t="shared" si="158"/>
        <v>57600</v>
      </c>
    </row>
    <row r="3386" spans="1:10" x14ac:dyDescent="0.45">
      <c r="A3386" t="s">
        <v>1690</v>
      </c>
      <c r="B3386" s="1">
        <v>45877</v>
      </c>
      <c r="C3386" t="s">
        <v>12</v>
      </c>
      <c r="D3386" t="s">
        <v>5021</v>
      </c>
      <c r="E3386">
        <v>2880</v>
      </c>
      <c r="F3386">
        <v>1</v>
      </c>
      <c r="G3386">
        <f t="shared" si="156"/>
        <v>2880</v>
      </c>
      <c r="H3386" t="s">
        <v>21</v>
      </c>
      <c r="I3386">
        <f t="shared" si="157"/>
        <v>3456</v>
      </c>
      <c r="J3386">
        <f t="shared" si="158"/>
        <v>3456</v>
      </c>
    </row>
    <row r="3387" spans="1:10" x14ac:dyDescent="0.45">
      <c r="A3387" t="s">
        <v>2928</v>
      </c>
      <c r="B3387" s="1">
        <v>45877</v>
      </c>
      <c r="C3387" t="s">
        <v>4007</v>
      </c>
      <c r="D3387" t="s">
        <v>2774</v>
      </c>
      <c r="E3387">
        <v>1900</v>
      </c>
      <c r="F3387">
        <v>4</v>
      </c>
      <c r="G3387">
        <f t="shared" si="156"/>
        <v>7600</v>
      </c>
      <c r="H3387" t="s">
        <v>17</v>
      </c>
      <c r="I3387">
        <f t="shared" si="157"/>
        <v>2280</v>
      </c>
      <c r="J3387">
        <f t="shared" si="158"/>
        <v>9120</v>
      </c>
    </row>
    <row r="3388" spans="1:10" x14ac:dyDescent="0.45">
      <c r="A3388" t="s">
        <v>3000</v>
      </c>
      <c r="B3388" s="1">
        <v>45877</v>
      </c>
      <c r="C3388" t="s">
        <v>33</v>
      </c>
      <c r="D3388" t="s">
        <v>14</v>
      </c>
      <c r="E3388">
        <v>800</v>
      </c>
      <c r="F3388">
        <v>9</v>
      </c>
      <c r="G3388">
        <f t="shared" si="156"/>
        <v>7200</v>
      </c>
      <c r="H3388" t="s">
        <v>17</v>
      </c>
      <c r="I3388">
        <f t="shared" si="157"/>
        <v>960</v>
      </c>
      <c r="J3388">
        <f t="shared" si="158"/>
        <v>8640</v>
      </c>
    </row>
    <row r="3389" spans="1:10" x14ac:dyDescent="0.45">
      <c r="A3389" t="s">
        <v>3137</v>
      </c>
      <c r="B3389" s="1">
        <v>45877</v>
      </c>
      <c r="C3389" t="s">
        <v>4007</v>
      </c>
      <c r="D3389" t="s">
        <v>28</v>
      </c>
      <c r="E3389">
        <v>500</v>
      </c>
      <c r="F3389">
        <v>9</v>
      </c>
      <c r="G3389">
        <f t="shared" si="156"/>
        <v>4500</v>
      </c>
      <c r="H3389" t="s">
        <v>17</v>
      </c>
      <c r="I3389">
        <f t="shared" si="157"/>
        <v>600</v>
      </c>
      <c r="J3389">
        <f t="shared" si="158"/>
        <v>5400</v>
      </c>
    </row>
    <row r="3390" spans="1:10" x14ac:dyDescent="0.45">
      <c r="A3390" t="s">
        <v>3576</v>
      </c>
      <c r="B3390" s="1">
        <v>45877</v>
      </c>
      <c r="C3390" t="s">
        <v>4007</v>
      </c>
      <c r="D3390" t="s">
        <v>28</v>
      </c>
      <c r="E3390">
        <v>500</v>
      </c>
      <c r="F3390">
        <v>2</v>
      </c>
      <c r="G3390">
        <f t="shared" si="156"/>
        <v>1000</v>
      </c>
      <c r="H3390" t="s">
        <v>17</v>
      </c>
      <c r="I3390">
        <f t="shared" si="157"/>
        <v>600</v>
      </c>
      <c r="J3390">
        <f t="shared" si="158"/>
        <v>1200</v>
      </c>
    </row>
    <row r="3391" spans="1:10" x14ac:dyDescent="0.45">
      <c r="A3391" t="s">
        <v>3717</v>
      </c>
      <c r="B3391" s="1">
        <v>45877</v>
      </c>
      <c r="C3391" t="s">
        <v>33</v>
      </c>
      <c r="D3391" t="s">
        <v>34</v>
      </c>
      <c r="E3391">
        <v>1700</v>
      </c>
      <c r="F3391">
        <v>4</v>
      </c>
      <c r="G3391">
        <f t="shared" si="156"/>
        <v>6800</v>
      </c>
      <c r="H3391" t="s">
        <v>7</v>
      </c>
      <c r="I3391">
        <f t="shared" si="157"/>
        <v>2040</v>
      </c>
      <c r="J3391">
        <f t="shared" si="158"/>
        <v>8160</v>
      </c>
    </row>
    <row r="3392" spans="1:10" x14ac:dyDescent="0.45">
      <c r="A3392" t="s">
        <v>1691</v>
      </c>
      <c r="B3392" s="1">
        <v>45878</v>
      </c>
      <c r="C3392" t="s">
        <v>4007</v>
      </c>
      <c r="D3392" t="s">
        <v>5015</v>
      </c>
      <c r="E3392">
        <v>48000</v>
      </c>
      <c r="F3392">
        <v>1</v>
      </c>
      <c r="G3392">
        <f t="shared" si="156"/>
        <v>48000</v>
      </c>
      <c r="H3392" t="s">
        <v>17</v>
      </c>
      <c r="I3392">
        <f t="shared" si="157"/>
        <v>57600</v>
      </c>
      <c r="J3392">
        <f t="shared" si="158"/>
        <v>57600</v>
      </c>
    </row>
    <row r="3393" spans="1:10" x14ac:dyDescent="0.45">
      <c r="A3393" t="s">
        <v>1692</v>
      </c>
      <c r="B3393" s="1">
        <v>45878</v>
      </c>
      <c r="C3393" t="s">
        <v>12</v>
      </c>
      <c r="D3393" t="s">
        <v>5023</v>
      </c>
      <c r="E3393">
        <v>1750</v>
      </c>
      <c r="F3393">
        <v>1</v>
      </c>
      <c r="G3393">
        <f t="shared" si="156"/>
        <v>1750</v>
      </c>
      <c r="H3393" t="s">
        <v>7</v>
      </c>
      <c r="I3393">
        <f t="shared" si="157"/>
        <v>2100</v>
      </c>
      <c r="J3393">
        <f t="shared" si="158"/>
        <v>2100</v>
      </c>
    </row>
    <row r="3394" spans="1:10" x14ac:dyDescent="0.45">
      <c r="A3394" t="s">
        <v>1693</v>
      </c>
      <c r="B3394" s="1">
        <v>45878</v>
      </c>
      <c r="C3394" t="s">
        <v>4007</v>
      </c>
      <c r="D3394" t="s">
        <v>28</v>
      </c>
      <c r="E3394">
        <v>500</v>
      </c>
      <c r="F3394">
        <v>7</v>
      </c>
      <c r="G3394">
        <f t="shared" ref="G3394:G3457" si="159">E3394*F3394</f>
        <v>3500</v>
      </c>
      <c r="H3394" t="s">
        <v>7</v>
      </c>
      <c r="I3394">
        <f t="shared" ref="I3394:I3457" si="160">E3394*1.2</f>
        <v>600</v>
      </c>
      <c r="J3394">
        <f t="shared" ref="J3394:J3457" si="161">I3394*F3394</f>
        <v>4200</v>
      </c>
    </row>
    <row r="3395" spans="1:10" x14ac:dyDescent="0.45">
      <c r="A3395" t="s">
        <v>1694</v>
      </c>
      <c r="B3395" s="1">
        <v>45878</v>
      </c>
      <c r="C3395" t="s">
        <v>4007</v>
      </c>
      <c r="D3395" t="s">
        <v>5015</v>
      </c>
      <c r="E3395">
        <v>48000</v>
      </c>
      <c r="F3395">
        <v>7</v>
      </c>
      <c r="G3395">
        <f t="shared" si="159"/>
        <v>336000</v>
      </c>
      <c r="H3395" t="s">
        <v>7</v>
      </c>
      <c r="I3395">
        <f t="shared" si="160"/>
        <v>57600</v>
      </c>
      <c r="J3395">
        <f t="shared" si="161"/>
        <v>403200</v>
      </c>
    </row>
    <row r="3396" spans="1:10" x14ac:dyDescent="0.45">
      <c r="A3396" t="s">
        <v>1695</v>
      </c>
      <c r="B3396" s="1">
        <v>45878</v>
      </c>
      <c r="C3396" t="s">
        <v>12</v>
      </c>
      <c r="D3396" t="s">
        <v>5022</v>
      </c>
      <c r="E3396">
        <v>2880</v>
      </c>
      <c r="F3396">
        <v>6</v>
      </c>
      <c r="G3396">
        <f t="shared" si="159"/>
        <v>17280</v>
      </c>
      <c r="H3396" t="s">
        <v>7</v>
      </c>
      <c r="I3396">
        <f t="shared" si="160"/>
        <v>3456</v>
      </c>
      <c r="J3396">
        <f t="shared" si="161"/>
        <v>20736</v>
      </c>
    </row>
    <row r="3397" spans="1:10" x14ac:dyDescent="0.45">
      <c r="A3397" t="s">
        <v>3478</v>
      </c>
      <c r="B3397" s="1">
        <v>45878</v>
      </c>
      <c r="C3397" t="s">
        <v>4007</v>
      </c>
      <c r="D3397" t="s">
        <v>2774</v>
      </c>
      <c r="E3397">
        <v>1900</v>
      </c>
      <c r="F3397">
        <v>5</v>
      </c>
      <c r="G3397">
        <f t="shared" si="159"/>
        <v>9500</v>
      </c>
      <c r="H3397" t="s">
        <v>21</v>
      </c>
      <c r="I3397">
        <f t="shared" si="160"/>
        <v>2280</v>
      </c>
      <c r="J3397">
        <f t="shared" si="161"/>
        <v>11400</v>
      </c>
    </row>
    <row r="3398" spans="1:10" x14ac:dyDescent="0.45">
      <c r="A3398" t="s">
        <v>1696</v>
      </c>
      <c r="B3398" s="1">
        <v>45879</v>
      </c>
      <c r="C3398" t="s">
        <v>4007</v>
      </c>
      <c r="D3398" t="s">
        <v>5015</v>
      </c>
      <c r="E3398">
        <v>48000</v>
      </c>
      <c r="F3398">
        <v>8</v>
      </c>
      <c r="G3398">
        <f t="shared" si="159"/>
        <v>384000</v>
      </c>
      <c r="H3398" t="s">
        <v>7</v>
      </c>
      <c r="I3398">
        <f t="shared" si="160"/>
        <v>57600</v>
      </c>
      <c r="J3398">
        <f t="shared" si="161"/>
        <v>460800</v>
      </c>
    </row>
    <row r="3399" spans="1:10" x14ac:dyDescent="0.45">
      <c r="A3399" t="s">
        <v>1697</v>
      </c>
      <c r="B3399" s="1">
        <v>45879</v>
      </c>
      <c r="C3399" t="s">
        <v>4007</v>
      </c>
      <c r="D3399" t="s">
        <v>28</v>
      </c>
      <c r="E3399">
        <v>500</v>
      </c>
      <c r="F3399">
        <v>9</v>
      </c>
      <c r="G3399">
        <f t="shared" si="159"/>
        <v>4500</v>
      </c>
      <c r="H3399" t="s">
        <v>21</v>
      </c>
      <c r="I3399">
        <f t="shared" si="160"/>
        <v>600</v>
      </c>
      <c r="J3399">
        <f t="shared" si="161"/>
        <v>5400</v>
      </c>
    </row>
    <row r="3400" spans="1:10" x14ac:dyDescent="0.45">
      <c r="A3400" t="s">
        <v>1698</v>
      </c>
      <c r="B3400" s="1">
        <v>45879</v>
      </c>
      <c r="C3400" t="s">
        <v>9</v>
      </c>
      <c r="D3400" t="s">
        <v>10</v>
      </c>
      <c r="E3400">
        <v>400</v>
      </c>
      <c r="F3400">
        <v>3</v>
      </c>
      <c r="G3400">
        <f t="shared" si="159"/>
        <v>1200</v>
      </c>
      <c r="H3400" t="s">
        <v>17</v>
      </c>
      <c r="I3400">
        <f t="shared" si="160"/>
        <v>480</v>
      </c>
      <c r="J3400">
        <f t="shared" si="161"/>
        <v>1440</v>
      </c>
    </row>
    <row r="3401" spans="1:10" x14ac:dyDescent="0.45">
      <c r="A3401" t="s">
        <v>1699</v>
      </c>
      <c r="B3401" s="1">
        <v>45879</v>
      </c>
      <c r="C3401" t="s">
        <v>12</v>
      </c>
      <c r="D3401" t="s">
        <v>5020</v>
      </c>
      <c r="E3401">
        <v>2880</v>
      </c>
      <c r="F3401">
        <v>7</v>
      </c>
      <c r="G3401">
        <f t="shared" si="159"/>
        <v>20160</v>
      </c>
      <c r="H3401" t="s">
        <v>17</v>
      </c>
      <c r="I3401">
        <f t="shared" si="160"/>
        <v>3456</v>
      </c>
      <c r="J3401">
        <f t="shared" si="161"/>
        <v>24192</v>
      </c>
    </row>
    <row r="3402" spans="1:10" x14ac:dyDescent="0.45">
      <c r="A3402" t="s">
        <v>1700</v>
      </c>
      <c r="B3402" s="1">
        <v>45879</v>
      </c>
      <c r="C3402" t="s">
        <v>12</v>
      </c>
      <c r="D3402" t="s">
        <v>5022</v>
      </c>
      <c r="E3402">
        <v>2880</v>
      </c>
      <c r="F3402">
        <v>3</v>
      </c>
      <c r="G3402">
        <f t="shared" si="159"/>
        <v>8640</v>
      </c>
      <c r="H3402" t="s">
        <v>17</v>
      </c>
      <c r="I3402">
        <f t="shared" si="160"/>
        <v>3456</v>
      </c>
      <c r="J3402">
        <f t="shared" si="161"/>
        <v>10368</v>
      </c>
    </row>
    <row r="3403" spans="1:10" x14ac:dyDescent="0.45">
      <c r="A3403" t="s">
        <v>1701</v>
      </c>
      <c r="B3403" s="1">
        <v>45879</v>
      </c>
      <c r="C3403" t="s">
        <v>33</v>
      </c>
      <c r="D3403" t="s">
        <v>42</v>
      </c>
      <c r="E3403">
        <v>6900</v>
      </c>
      <c r="F3403">
        <v>5</v>
      </c>
      <c r="G3403">
        <f t="shared" si="159"/>
        <v>34500</v>
      </c>
      <c r="H3403" t="s">
        <v>21</v>
      </c>
      <c r="I3403">
        <f t="shared" si="160"/>
        <v>8280</v>
      </c>
      <c r="J3403">
        <f t="shared" si="161"/>
        <v>41400</v>
      </c>
    </row>
    <row r="3404" spans="1:10" x14ac:dyDescent="0.45">
      <c r="A3404" t="s">
        <v>1702</v>
      </c>
      <c r="B3404" s="1">
        <v>45879</v>
      </c>
      <c r="C3404" t="s">
        <v>9</v>
      </c>
      <c r="D3404" t="s">
        <v>10</v>
      </c>
      <c r="E3404">
        <v>400</v>
      </c>
      <c r="F3404">
        <v>4</v>
      </c>
      <c r="G3404">
        <f t="shared" si="159"/>
        <v>1600</v>
      </c>
      <c r="H3404" t="s">
        <v>7</v>
      </c>
      <c r="I3404">
        <f t="shared" si="160"/>
        <v>480</v>
      </c>
      <c r="J3404">
        <f t="shared" si="161"/>
        <v>1920</v>
      </c>
    </row>
    <row r="3405" spans="1:10" x14ac:dyDescent="0.45">
      <c r="A3405" t="s">
        <v>2852</v>
      </c>
      <c r="B3405" s="1">
        <v>45879</v>
      </c>
      <c r="C3405" t="s">
        <v>4007</v>
      </c>
      <c r="D3405" t="s">
        <v>2773</v>
      </c>
      <c r="E3405">
        <v>3300</v>
      </c>
      <c r="F3405">
        <v>4</v>
      </c>
      <c r="G3405">
        <f t="shared" si="159"/>
        <v>13200</v>
      </c>
      <c r="H3405" t="s">
        <v>21</v>
      </c>
      <c r="I3405">
        <f t="shared" si="160"/>
        <v>3960</v>
      </c>
      <c r="J3405">
        <f t="shared" si="161"/>
        <v>15840</v>
      </c>
    </row>
    <row r="3406" spans="1:10" x14ac:dyDescent="0.45">
      <c r="A3406" t="s">
        <v>3415</v>
      </c>
      <c r="B3406" s="1">
        <v>45879</v>
      </c>
      <c r="C3406" t="s">
        <v>2772</v>
      </c>
      <c r="D3406" t="s">
        <v>2775</v>
      </c>
      <c r="E3406">
        <v>9100</v>
      </c>
      <c r="F3406">
        <v>2</v>
      </c>
      <c r="G3406">
        <f t="shared" si="159"/>
        <v>18200</v>
      </c>
      <c r="H3406" t="s">
        <v>21</v>
      </c>
      <c r="I3406">
        <f t="shared" si="160"/>
        <v>10920</v>
      </c>
      <c r="J3406">
        <f t="shared" si="161"/>
        <v>21840</v>
      </c>
    </row>
    <row r="3407" spans="1:10" x14ac:dyDescent="0.45">
      <c r="A3407" t="s">
        <v>3934</v>
      </c>
      <c r="B3407" s="1">
        <v>45879</v>
      </c>
      <c r="C3407" t="s">
        <v>33</v>
      </c>
      <c r="D3407" t="s">
        <v>34</v>
      </c>
      <c r="E3407">
        <v>1700</v>
      </c>
      <c r="F3407">
        <v>5</v>
      </c>
      <c r="G3407">
        <f t="shared" si="159"/>
        <v>8500</v>
      </c>
      <c r="H3407" t="s">
        <v>21</v>
      </c>
      <c r="I3407">
        <f t="shared" si="160"/>
        <v>2040</v>
      </c>
      <c r="J3407">
        <f t="shared" si="161"/>
        <v>10200</v>
      </c>
    </row>
    <row r="3408" spans="1:10" x14ac:dyDescent="0.45">
      <c r="A3408" t="s">
        <v>1703</v>
      </c>
      <c r="B3408" s="1">
        <v>45880</v>
      </c>
      <c r="C3408" t="s">
        <v>12</v>
      </c>
      <c r="D3408" t="s">
        <v>5022</v>
      </c>
      <c r="E3408">
        <v>2880</v>
      </c>
      <c r="F3408">
        <v>2</v>
      </c>
      <c r="G3408">
        <f t="shared" si="159"/>
        <v>5760</v>
      </c>
      <c r="H3408" t="s">
        <v>17</v>
      </c>
      <c r="I3408">
        <f t="shared" si="160"/>
        <v>3456</v>
      </c>
      <c r="J3408">
        <f t="shared" si="161"/>
        <v>6912</v>
      </c>
    </row>
    <row r="3409" spans="1:10" x14ac:dyDescent="0.45">
      <c r="A3409" t="s">
        <v>1704</v>
      </c>
      <c r="B3409" s="1">
        <v>45880</v>
      </c>
      <c r="C3409" t="s">
        <v>9</v>
      </c>
      <c r="D3409" t="s">
        <v>19</v>
      </c>
      <c r="E3409">
        <v>3000</v>
      </c>
      <c r="F3409">
        <v>7</v>
      </c>
      <c r="G3409">
        <f t="shared" si="159"/>
        <v>21000</v>
      </c>
      <c r="H3409" t="s">
        <v>7</v>
      </c>
      <c r="I3409">
        <f t="shared" si="160"/>
        <v>3600</v>
      </c>
      <c r="J3409">
        <f t="shared" si="161"/>
        <v>25200</v>
      </c>
    </row>
    <row r="3410" spans="1:10" x14ac:dyDescent="0.45">
      <c r="A3410" t="s">
        <v>1705</v>
      </c>
      <c r="B3410" s="1">
        <v>45880</v>
      </c>
      <c r="C3410" t="s">
        <v>9</v>
      </c>
      <c r="D3410" t="s">
        <v>10</v>
      </c>
      <c r="E3410">
        <v>400</v>
      </c>
      <c r="F3410">
        <v>10</v>
      </c>
      <c r="G3410">
        <f t="shared" si="159"/>
        <v>4000</v>
      </c>
      <c r="H3410" t="s">
        <v>21</v>
      </c>
      <c r="I3410">
        <f t="shared" si="160"/>
        <v>480</v>
      </c>
      <c r="J3410">
        <f t="shared" si="161"/>
        <v>4800</v>
      </c>
    </row>
    <row r="3411" spans="1:10" x14ac:dyDescent="0.45">
      <c r="A3411" t="s">
        <v>1706</v>
      </c>
      <c r="B3411" s="1">
        <v>45880</v>
      </c>
      <c r="C3411" t="s">
        <v>12</v>
      </c>
      <c r="D3411" t="s">
        <v>5021</v>
      </c>
      <c r="E3411">
        <v>2880</v>
      </c>
      <c r="F3411">
        <v>4</v>
      </c>
      <c r="G3411">
        <f t="shared" si="159"/>
        <v>11520</v>
      </c>
      <c r="H3411" t="s">
        <v>17</v>
      </c>
      <c r="I3411">
        <f t="shared" si="160"/>
        <v>3456</v>
      </c>
      <c r="J3411">
        <f t="shared" si="161"/>
        <v>13824</v>
      </c>
    </row>
    <row r="3412" spans="1:10" x14ac:dyDescent="0.45">
      <c r="A3412" t="s">
        <v>1707</v>
      </c>
      <c r="B3412" s="1">
        <v>45880</v>
      </c>
      <c r="C3412" t="s">
        <v>12</v>
      </c>
      <c r="D3412" t="s">
        <v>5022</v>
      </c>
      <c r="E3412">
        <v>2880</v>
      </c>
      <c r="F3412">
        <v>2</v>
      </c>
      <c r="G3412">
        <f t="shared" si="159"/>
        <v>5760</v>
      </c>
      <c r="H3412" t="s">
        <v>7</v>
      </c>
      <c r="I3412">
        <f t="shared" si="160"/>
        <v>3456</v>
      </c>
      <c r="J3412">
        <f t="shared" si="161"/>
        <v>6912</v>
      </c>
    </row>
    <row r="3413" spans="1:10" x14ac:dyDescent="0.45">
      <c r="A3413" t="s">
        <v>1708</v>
      </c>
      <c r="B3413" s="1">
        <v>45880</v>
      </c>
      <c r="C3413" t="s">
        <v>12</v>
      </c>
      <c r="D3413" t="s">
        <v>5022</v>
      </c>
      <c r="E3413">
        <v>2880</v>
      </c>
      <c r="F3413">
        <v>8</v>
      </c>
      <c r="G3413">
        <f t="shared" si="159"/>
        <v>23040</v>
      </c>
      <c r="H3413" t="s">
        <v>7</v>
      </c>
      <c r="I3413">
        <f t="shared" si="160"/>
        <v>3456</v>
      </c>
      <c r="J3413">
        <f t="shared" si="161"/>
        <v>27648</v>
      </c>
    </row>
    <row r="3414" spans="1:10" x14ac:dyDescent="0.45">
      <c r="A3414" t="s">
        <v>1709</v>
      </c>
      <c r="B3414" s="1">
        <v>45880</v>
      </c>
      <c r="C3414" t="s">
        <v>33</v>
      </c>
      <c r="D3414" t="s">
        <v>42</v>
      </c>
      <c r="E3414">
        <v>6900</v>
      </c>
      <c r="F3414">
        <v>9</v>
      </c>
      <c r="G3414">
        <f t="shared" si="159"/>
        <v>62100</v>
      </c>
      <c r="H3414" t="s">
        <v>7</v>
      </c>
      <c r="I3414">
        <f t="shared" si="160"/>
        <v>8280</v>
      </c>
      <c r="J3414">
        <f t="shared" si="161"/>
        <v>74520</v>
      </c>
    </row>
    <row r="3415" spans="1:10" x14ac:dyDescent="0.45">
      <c r="A3415" t="s">
        <v>1710</v>
      </c>
      <c r="B3415" s="1">
        <v>45880</v>
      </c>
      <c r="C3415" t="s">
        <v>4007</v>
      </c>
      <c r="D3415" t="s">
        <v>4005</v>
      </c>
      <c r="E3415">
        <v>60000</v>
      </c>
      <c r="F3415">
        <v>6</v>
      </c>
      <c r="G3415">
        <f t="shared" si="159"/>
        <v>360000</v>
      </c>
      <c r="H3415" t="s">
        <v>21</v>
      </c>
      <c r="I3415">
        <f t="shared" si="160"/>
        <v>72000</v>
      </c>
      <c r="J3415">
        <f t="shared" si="161"/>
        <v>432000</v>
      </c>
    </row>
    <row r="3416" spans="1:10" x14ac:dyDescent="0.45">
      <c r="A3416" t="s">
        <v>1711</v>
      </c>
      <c r="B3416" s="1">
        <v>45880</v>
      </c>
      <c r="C3416" t="s">
        <v>12</v>
      </c>
      <c r="D3416" t="s">
        <v>5022</v>
      </c>
      <c r="E3416">
        <v>2880</v>
      </c>
      <c r="F3416">
        <v>8</v>
      </c>
      <c r="G3416">
        <f t="shared" si="159"/>
        <v>23040</v>
      </c>
      <c r="H3416" t="s">
        <v>21</v>
      </c>
      <c r="I3416">
        <f t="shared" si="160"/>
        <v>3456</v>
      </c>
      <c r="J3416">
        <f t="shared" si="161"/>
        <v>27648</v>
      </c>
    </row>
    <row r="3417" spans="1:10" x14ac:dyDescent="0.45">
      <c r="A3417" t="s">
        <v>2857</v>
      </c>
      <c r="B3417" s="1">
        <v>45880</v>
      </c>
      <c r="C3417" t="s">
        <v>4007</v>
      </c>
      <c r="D3417" t="s">
        <v>2773</v>
      </c>
      <c r="E3417">
        <v>3300</v>
      </c>
      <c r="F3417">
        <v>5</v>
      </c>
      <c r="G3417">
        <f t="shared" si="159"/>
        <v>16500</v>
      </c>
      <c r="H3417" t="s">
        <v>7</v>
      </c>
      <c r="I3417">
        <f t="shared" si="160"/>
        <v>3960</v>
      </c>
      <c r="J3417">
        <f t="shared" si="161"/>
        <v>19800</v>
      </c>
    </row>
    <row r="3418" spans="1:10" x14ac:dyDescent="0.45">
      <c r="A3418" t="s">
        <v>2922</v>
      </c>
      <c r="B3418" s="1">
        <v>45880</v>
      </c>
      <c r="C3418" t="s">
        <v>4007</v>
      </c>
      <c r="D3418" t="s">
        <v>2770</v>
      </c>
      <c r="E3418">
        <v>600</v>
      </c>
      <c r="F3418">
        <v>2</v>
      </c>
      <c r="G3418">
        <f t="shared" si="159"/>
        <v>1200</v>
      </c>
      <c r="H3418" t="s">
        <v>17</v>
      </c>
      <c r="I3418">
        <f t="shared" si="160"/>
        <v>720</v>
      </c>
      <c r="J3418">
        <f t="shared" si="161"/>
        <v>1440</v>
      </c>
    </row>
    <row r="3419" spans="1:10" x14ac:dyDescent="0.45">
      <c r="A3419" t="s">
        <v>3032</v>
      </c>
      <c r="B3419" s="1">
        <v>45880</v>
      </c>
      <c r="C3419" t="s">
        <v>2772</v>
      </c>
      <c r="D3419" t="s">
        <v>2771</v>
      </c>
      <c r="E3419">
        <v>120</v>
      </c>
      <c r="F3419">
        <v>2</v>
      </c>
      <c r="G3419">
        <f t="shared" si="159"/>
        <v>240</v>
      </c>
      <c r="H3419" t="s">
        <v>17</v>
      </c>
      <c r="I3419">
        <f t="shared" si="160"/>
        <v>144</v>
      </c>
      <c r="J3419">
        <f t="shared" si="161"/>
        <v>288</v>
      </c>
    </row>
    <row r="3420" spans="1:10" x14ac:dyDescent="0.45">
      <c r="A3420" t="s">
        <v>3878</v>
      </c>
      <c r="B3420" s="1">
        <v>45880</v>
      </c>
      <c r="C3420" t="s">
        <v>4007</v>
      </c>
      <c r="D3420" t="s">
        <v>2776</v>
      </c>
      <c r="E3420">
        <v>3600</v>
      </c>
      <c r="F3420">
        <v>2</v>
      </c>
      <c r="G3420">
        <f t="shared" si="159"/>
        <v>7200</v>
      </c>
      <c r="H3420" t="s">
        <v>7</v>
      </c>
      <c r="I3420">
        <f t="shared" si="160"/>
        <v>4320</v>
      </c>
      <c r="J3420">
        <f t="shared" si="161"/>
        <v>8640</v>
      </c>
    </row>
    <row r="3421" spans="1:10" x14ac:dyDescent="0.45">
      <c r="A3421" t="s">
        <v>1712</v>
      </c>
      <c r="B3421" s="1">
        <v>45881</v>
      </c>
      <c r="C3421" t="s">
        <v>9</v>
      </c>
      <c r="D3421" t="s">
        <v>19</v>
      </c>
      <c r="E3421">
        <v>3000</v>
      </c>
      <c r="F3421">
        <v>5</v>
      </c>
      <c r="G3421">
        <f t="shared" si="159"/>
        <v>15000</v>
      </c>
      <c r="H3421" t="s">
        <v>21</v>
      </c>
      <c r="I3421">
        <f t="shared" si="160"/>
        <v>3600</v>
      </c>
      <c r="J3421">
        <f t="shared" si="161"/>
        <v>18000</v>
      </c>
    </row>
    <row r="3422" spans="1:10" x14ac:dyDescent="0.45">
      <c r="A3422" t="s">
        <v>1713</v>
      </c>
      <c r="B3422" s="1">
        <v>45881</v>
      </c>
      <c r="C3422" t="s">
        <v>4007</v>
      </c>
      <c r="D3422" t="s">
        <v>28</v>
      </c>
      <c r="E3422">
        <v>500</v>
      </c>
      <c r="F3422">
        <v>9</v>
      </c>
      <c r="G3422">
        <f t="shared" si="159"/>
        <v>4500</v>
      </c>
      <c r="H3422" t="s">
        <v>7</v>
      </c>
      <c r="I3422">
        <f t="shared" si="160"/>
        <v>600</v>
      </c>
      <c r="J3422">
        <f t="shared" si="161"/>
        <v>5400</v>
      </c>
    </row>
    <row r="3423" spans="1:10" x14ac:dyDescent="0.45">
      <c r="A3423" t="s">
        <v>1714</v>
      </c>
      <c r="B3423" s="1">
        <v>45881</v>
      </c>
      <c r="C3423" t="s">
        <v>4007</v>
      </c>
      <c r="D3423" t="s">
        <v>4005</v>
      </c>
      <c r="E3423">
        <v>60000</v>
      </c>
      <c r="F3423">
        <v>10</v>
      </c>
      <c r="G3423">
        <f t="shared" si="159"/>
        <v>600000</v>
      </c>
      <c r="H3423" t="s">
        <v>21</v>
      </c>
      <c r="I3423">
        <f t="shared" si="160"/>
        <v>72000</v>
      </c>
      <c r="J3423">
        <f t="shared" si="161"/>
        <v>720000</v>
      </c>
    </row>
    <row r="3424" spans="1:10" x14ac:dyDescent="0.45">
      <c r="A3424" t="s">
        <v>1715</v>
      </c>
      <c r="B3424" s="1">
        <v>45881</v>
      </c>
      <c r="C3424" t="s">
        <v>4007</v>
      </c>
      <c r="D3424" t="s">
        <v>5015</v>
      </c>
      <c r="E3424">
        <v>48000</v>
      </c>
      <c r="F3424">
        <v>8</v>
      </c>
      <c r="G3424">
        <f t="shared" si="159"/>
        <v>384000</v>
      </c>
      <c r="H3424" t="s">
        <v>21</v>
      </c>
      <c r="I3424">
        <f t="shared" si="160"/>
        <v>57600</v>
      </c>
      <c r="J3424">
        <f t="shared" si="161"/>
        <v>460800</v>
      </c>
    </row>
    <row r="3425" spans="1:10" x14ac:dyDescent="0.45">
      <c r="A3425" t="s">
        <v>1716</v>
      </c>
      <c r="B3425" s="1">
        <v>45881</v>
      </c>
      <c r="C3425" t="s">
        <v>4007</v>
      </c>
      <c r="D3425" t="s">
        <v>39</v>
      </c>
      <c r="E3425">
        <v>6000</v>
      </c>
      <c r="F3425">
        <v>3</v>
      </c>
      <c r="G3425">
        <f t="shared" si="159"/>
        <v>18000</v>
      </c>
      <c r="H3425" t="s">
        <v>17</v>
      </c>
      <c r="I3425">
        <f t="shared" si="160"/>
        <v>7200</v>
      </c>
      <c r="J3425">
        <f t="shared" si="161"/>
        <v>21600</v>
      </c>
    </row>
    <row r="3426" spans="1:10" x14ac:dyDescent="0.45">
      <c r="A3426" t="s">
        <v>1717</v>
      </c>
      <c r="B3426" s="1">
        <v>45881</v>
      </c>
      <c r="C3426" t="s">
        <v>9</v>
      </c>
      <c r="D3426" t="s">
        <v>19</v>
      </c>
      <c r="E3426">
        <v>3000</v>
      </c>
      <c r="F3426">
        <v>1</v>
      </c>
      <c r="G3426">
        <f t="shared" si="159"/>
        <v>3000</v>
      </c>
      <c r="H3426" t="s">
        <v>7</v>
      </c>
      <c r="I3426">
        <f t="shared" si="160"/>
        <v>3600</v>
      </c>
      <c r="J3426">
        <f t="shared" si="161"/>
        <v>3600</v>
      </c>
    </row>
    <row r="3427" spans="1:10" x14ac:dyDescent="0.45">
      <c r="A3427" t="s">
        <v>3107</v>
      </c>
      <c r="B3427" s="1">
        <v>45881</v>
      </c>
      <c r="C3427" t="s">
        <v>2772</v>
      </c>
      <c r="D3427" t="s">
        <v>2775</v>
      </c>
      <c r="E3427">
        <v>9100</v>
      </c>
      <c r="F3427">
        <v>8</v>
      </c>
      <c r="G3427">
        <f t="shared" si="159"/>
        <v>72800</v>
      </c>
      <c r="H3427" t="s">
        <v>7</v>
      </c>
      <c r="I3427">
        <f t="shared" si="160"/>
        <v>10920</v>
      </c>
      <c r="J3427">
        <f t="shared" si="161"/>
        <v>87360</v>
      </c>
    </row>
    <row r="3428" spans="1:10" x14ac:dyDescent="0.45">
      <c r="A3428" t="s">
        <v>3700</v>
      </c>
      <c r="B3428" s="1">
        <v>45881</v>
      </c>
      <c r="C3428" t="s">
        <v>4007</v>
      </c>
      <c r="D3428" t="s">
        <v>5015</v>
      </c>
      <c r="E3428">
        <v>48000</v>
      </c>
      <c r="F3428">
        <v>1</v>
      </c>
      <c r="G3428">
        <f t="shared" si="159"/>
        <v>48000</v>
      </c>
      <c r="H3428" t="s">
        <v>17</v>
      </c>
      <c r="I3428">
        <f t="shared" si="160"/>
        <v>57600</v>
      </c>
      <c r="J3428">
        <f t="shared" si="161"/>
        <v>57600</v>
      </c>
    </row>
    <row r="3429" spans="1:10" x14ac:dyDescent="0.45">
      <c r="A3429" t="s">
        <v>1718</v>
      </c>
      <c r="B3429" s="1">
        <v>45882</v>
      </c>
      <c r="C3429" t="s">
        <v>9</v>
      </c>
      <c r="D3429" t="s">
        <v>19</v>
      </c>
      <c r="E3429">
        <v>3000</v>
      </c>
      <c r="F3429">
        <v>2</v>
      </c>
      <c r="G3429">
        <f t="shared" si="159"/>
        <v>6000</v>
      </c>
      <c r="H3429" t="s">
        <v>21</v>
      </c>
      <c r="I3429">
        <f t="shared" si="160"/>
        <v>3600</v>
      </c>
      <c r="J3429">
        <f t="shared" si="161"/>
        <v>7200</v>
      </c>
    </row>
    <row r="3430" spans="1:10" x14ac:dyDescent="0.45">
      <c r="A3430" t="s">
        <v>1719</v>
      </c>
      <c r="B3430" s="1">
        <v>45882</v>
      </c>
      <c r="C3430" t="s">
        <v>4007</v>
      </c>
      <c r="D3430" t="s">
        <v>28</v>
      </c>
      <c r="E3430">
        <v>500</v>
      </c>
      <c r="F3430">
        <v>6</v>
      </c>
      <c r="G3430">
        <f t="shared" si="159"/>
        <v>3000</v>
      </c>
      <c r="H3430" t="s">
        <v>7</v>
      </c>
      <c r="I3430">
        <f t="shared" si="160"/>
        <v>600</v>
      </c>
      <c r="J3430">
        <f t="shared" si="161"/>
        <v>3600</v>
      </c>
    </row>
    <row r="3431" spans="1:10" x14ac:dyDescent="0.45">
      <c r="A3431" t="s">
        <v>1720</v>
      </c>
      <c r="B3431" s="1">
        <v>45882</v>
      </c>
      <c r="C3431" t="s">
        <v>33</v>
      </c>
      <c r="D3431" t="s">
        <v>34</v>
      </c>
      <c r="E3431">
        <v>1700</v>
      </c>
      <c r="F3431">
        <v>6</v>
      </c>
      <c r="G3431">
        <f t="shared" si="159"/>
        <v>10200</v>
      </c>
      <c r="H3431" t="s">
        <v>21</v>
      </c>
      <c r="I3431">
        <f t="shared" si="160"/>
        <v>2040</v>
      </c>
      <c r="J3431">
        <f t="shared" si="161"/>
        <v>12240</v>
      </c>
    </row>
    <row r="3432" spans="1:10" x14ac:dyDescent="0.45">
      <c r="A3432" t="s">
        <v>1721</v>
      </c>
      <c r="B3432" s="1">
        <v>45882</v>
      </c>
      <c r="C3432" t="s">
        <v>4007</v>
      </c>
      <c r="D3432" t="s">
        <v>39</v>
      </c>
      <c r="E3432">
        <v>6000</v>
      </c>
      <c r="F3432">
        <v>9</v>
      </c>
      <c r="G3432">
        <f t="shared" si="159"/>
        <v>54000</v>
      </c>
      <c r="H3432" t="s">
        <v>7</v>
      </c>
      <c r="I3432">
        <f t="shared" si="160"/>
        <v>7200</v>
      </c>
      <c r="J3432">
        <f t="shared" si="161"/>
        <v>64800</v>
      </c>
    </row>
    <row r="3433" spans="1:10" x14ac:dyDescent="0.45">
      <c r="A3433" t="s">
        <v>1722</v>
      </c>
      <c r="B3433" s="1">
        <v>45882</v>
      </c>
      <c r="C3433" t="s">
        <v>4007</v>
      </c>
      <c r="D3433" t="s">
        <v>39</v>
      </c>
      <c r="E3433">
        <v>6000</v>
      </c>
      <c r="F3433">
        <v>9</v>
      </c>
      <c r="G3433">
        <f t="shared" si="159"/>
        <v>54000</v>
      </c>
      <c r="H3433" t="s">
        <v>7</v>
      </c>
      <c r="I3433">
        <f t="shared" si="160"/>
        <v>7200</v>
      </c>
      <c r="J3433">
        <f t="shared" si="161"/>
        <v>64800</v>
      </c>
    </row>
    <row r="3434" spans="1:10" x14ac:dyDescent="0.45">
      <c r="A3434" t="s">
        <v>1723</v>
      </c>
      <c r="B3434" s="1">
        <v>45882</v>
      </c>
      <c r="C3434" t="s">
        <v>33</v>
      </c>
      <c r="D3434" t="s">
        <v>34</v>
      </c>
      <c r="E3434">
        <v>1700</v>
      </c>
      <c r="F3434">
        <v>8</v>
      </c>
      <c r="G3434">
        <f t="shared" si="159"/>
        <v>13600</v>
      </c>
      <c r="H3434" t="s">
        <v>21</v>
      </c>
      <c r="I3434">
        <f t="shared" si="160"/>
        <v>2040</v>
      </c>
      <c r="J3434">
        <f t="shared" si="161"/>
        <v>16320</v>
      </c>
    </row>
    <row r="3435" spans="1:10" x14ac:dyDescent="0.45">
      <c r="A3435" t="s">
        <v>1724</v>
      </c>
      <c r="B3435" s="1">
        <v>45882</v>
      </c>
      <c r="C3435" t="s">
        <v>12</v>
      </c>
      <c r="D3435" t="s">
        <v>5022</v>
      </c>
      <c r="E3435">
        <v>2880</v>
      </c>
      <c r="F3435">
        <v>2</v>
      </c>
      <c r="G3435">
        <f t="shared" si="159"/>
        <v>5760</v>
      </c>
      <c r="H3435" t="s">
        <v>17</v>
      </c>
      <c r="I3435">
        <f t="shared" si="160"/>
        <v>3456</v>
      </c>
      <c r="J3435">
        <f t="shared" si="161"/>
        <v>6912</v>
      </c>
    </row>
    <row r="3436" spans="1:10" x14ac:dyDescent="0.45">
      <c r="A3436" t="s">
        <v>1725</v>
      </c>
      <c r="B3436" s="1">
        <v>45882</v>
      </c>
      <c r="C3436" t="s">
        <v>33</v>
      </c>
      <c r="D3436" t="s">
        <v>34</v>
      </c>
      <c r="E3436">
        <v>1700</v>
      </c>
      <c r="F3436">
        <v>1</v>
      </c>
      <c r="G3436">
        <f t="shared" si="159"/>
        <v>1700</v>
      </c>
      <c r="H3436" t="s">
        <v>21</v>
      </c>
      <c r="I3436">
        <f t="shared" si="160"/>
        <v>2040</v>
      </c>
      <c r="J3436">
        <f t="shared" si="161"/>
        <v>2040</v>
      </c>
    </row>
    <row r="3437" spans="1:10" x14ac:dyDescent="0.45">
      <c r="A3437" t="s">
        <v>3411</v>
      </c>
      <c r="B3437" s="1">
        <v>45882</v>
      </c>
      <c r="C3437" t="s">
        <v>33</v>
      </c>
      <c r="D3437" t="s">
        <v>34</v>
      </c>
      <c r="E3437">
        <v>1700</v>
      </c>
      <c r="F3437">
        <v>1</v>
      </c>
      <c r="G3437">
        <f t="shared" si="159"/>
        <v>1700</v>
      </c>
      <c r="H3437" t="s">
        <v>17</v>
      </c>
      <c r="I3437">
        <f t="shared" si="160"/>
        <v>2040</v>
      </c>
      <c r="J3437">
        <f t="shared" si="161"/>
        <v>2040</v>
      </c>
    </row>
    <row r="3438" spans="1:10" x14ac:dyDescent="0.45">
      <c r="A3438" t="s">
        <v>3508</v>
      </c>
      <c r="B3438" s="1">
        <v>45882</v>
      </c>
      <c r="C3438" t="s">
        <v>4007</v>
      </c>
      <c r="D3438" t="s">
        <v>28</v>
      </c>
      <c r="E3438">
        <v>500</v>
      </c>
      <c r="F3438">
        <v>2</v>
      </c>
      <c r="G3438">
        <f t="shared" si="159"/>
        <v>1000</v>
      </c>
      <c r="H3438" t="s">
        <v>7</v>
      </c>
      <c r="I3438">
        <f t="shared" si="160"/>
        <v>600</v>
      </c>
      <c r="J3438">
        <f t="shared" si="161"/>
        <v>1200</v>
      </c>
    </row>
    <row r="3439" spans="1:10" x14ac:dyDescent="0.45">
      <c r="A3439" t="s">
        <v>3637</v>
      </c>
      <c r="B3439" s="1">
        <v>45882</v>
      </c>
      <c r="C3439" t="s">
        <v>4007</v>
      </c>
      <c r="D3439" t="s">
        <v>2774</v>
      </c>
      <c r="E3439">
        <v>1900</v>
      </c>
      <c r="F3439">
        <v>3</v>
      </c>
      <c r="G3439">
        <f t="shared" si="159"/>
        <v>5700</v>
      </c>
      <c r="H3439" t="s">
        <v>17</v>
      </c>
      <c r="I3439">
        <f t="shared" si="160"/>
        <v>2280</v>
      </c>
      <c r="J3439">
        <f t="shared" si="161"/>
        <v>6840</v>
      </c>
    </row>
    <row r="3440" spans="1:10" x14ac:dyDescent="0.45">
      <c r="A3440" t="s">
        <v>3733</v>
      </c>
      <c r="B3440" s="1">
        <v>45882</v>
      </c>
      <c r="C3440" t="s">
        <v>4007</v>
      </c>
      <c r="D3440" t="s">
        <v>2770</v>
      </c>
      <c r="E3440">
        <v>600</v>
      </c>
      <c r="F3440">
        <v>6</v>
      </c>
      <c r="G3440">
        <f t="shared" si="159"/>
        <v>3600</v>
      </c>
      <c r="H3440" t="s">
        <v>7</v>
      </c>
      <c r="I3440">
        <f t="shared" si="160"/>
        <v>720</v>
      </c>
      <c r="J3440">
        <f t="shared" si="161"/>
        <v>4320</v>
      </c>
    </row>
    <row r="3441" spans="1:10" x14ac:dyDescent="0.45">
      <c r="A3441" t="s">
        <v>1726</v>
      </c>
      <c r="B3441" s="1">
        <v>45883</v>
      </c>
      <c r="C3441" t="s">
        <v>9</v>
      </c>
      <c r="D3441" t="s">
        <v>19</v>
      </c>
      <c r="E3441">
        <v>3000</v>
      </c>
      <c r="F3441">
        <v>5</v>
      </c>
      <c r="G3441">
        <f t="shared" si="159"/>
        <v>15000</v>
      </c>
      <c r="H3441" t="s">
        <v>21</v>
      </c>
      <c r="I3441">
        <f t="shared" si="160"/>
        <v>3600</v>
      </c>
      <c r="J3441">
        <f t="shared" si="161"/>
        <v>18000</v>
      </c>
    </row>
    <row r="3442" spans="1:10" x14ac:dyDescent="0.45">
      <c r="A3442" t="s">
        <v>1727</v>
      </c>
      <c r="B3442" s="1">
        <v>45883</v>
      </c>
      <c r="C3442" t="s">
        <v>9</v>
      </c>
      <c r="D3442" t="s">
        <v>19</v>
      </c>
      <c r="E3442">
        <v>3000</v>
      </c>
      <c r="F3442">
        <v>4</v>
      </c>
      <c r="G3442">
        <f t="shared" si="159"/>
        <v>12000</v>
      </c>
      <c r="H3442" t="s">
        <v>17</v>
      </c>
      <c r="I3442">
        <f t="shared" si="160"/>
        <v>3600</v>
      </c>
      <c r="J3442">
        <f t="shared" si="161"/>
        <v>14400</v>
      </c>
    </row>
    <row r="3443" spans="1:10" x14ac:dyDescent="0.45">
      <c r="A3443" t="s">
        <v>1728</v>
      </c>
      <c r="B3443" s="1">
        <v>45883</v>
      </c>
      <c r="C3443" t="s">
        <v>4007</v>
      </c>
      <c r="D3443" t="s">
        <v>5015</v>
      </c>
      <c r="E3443">
        <v>48000</v>
      </c>
      <c r="F3443">
        <v>2</v>
      </c>
      <c r="G3443">
        <f t="shared" si="159"/>
        <v>96000</v>
      </c>
      <c r="H3443" t="s">
        <v>17</v>
      </c>
      <c r="I3443">
        <f t="shared" si="160"/>
        <v>57600</v>
      </c>
      <c r="J3443">
        <f t="shared" si="161"/>
        <v>115200</v>
      </c>
    </row>
    <row r="3444" spans="1:10" x14ac:dyDescent="0.45">
      <c r="A3444" t="s">
        <v>1729</v>
      </c>
      <c r="B3444" s="1">
        <v>45883</v>
      </c>
      <c r="C3444" t="s">
        <v>4007</v>
      </c>
      <c r="D3444" t="s">
        <v>5015</v>
      </c>
      <c r="E3444">
        <v>48000</v>
      </c>
      <c r="F3444">
        <v>6</v>
      </c>
      <c r="G3444">
        <f t="shared" si="159"/>
        <v>288000</v>
      </c>
      <c r="H3444" t="s">
        <v>21</v>
      </c>
      <c r="I3444">
        <f t="shared" si="160"/>
        <v>57600</v>
      </c>
      <c r="J3444">
        <f t="shared" si="161"/>
        <v>345600</v>
      </c>
    </row>
    <row r="3445" spans="1:10" x14ac:dyDescent="0.45">
      <c r="A3445" t="s">
        <v>1730</v>
      </c>
      <c r="B3445" s="1">
        <v>45883</v>
      </c>
      <c r="C3445" t="s">
        <v>9</v>
      </c>
      <c r="D3445" t="s">
        <v>10</v>
      </c>
      <c r="E3445">
        <v>400</v>
      </c>
      <c r="F3445">
        <v>9</v>
      </c>
      <c r="G3445">
        <f t="shared" si="159"/>
        <v>3600</v>
      </c>
      <c r="H3445" t="s">
        <v>7</v>
      </c>
      <c r="I3445">
        <f t="shared" si="160"/>
        <v>480</v>
      </c>
      <c r="J3445">
        <f t="shared" si="161"/>
        <v>4320</v>
      </c>
    </row>
    <row r="3446" spans="1:10" x14ac:dyDescent="0.45">
      <c r="A3446" t="s">
        <v>1731</v>
      </c>
      <c r="B3446" s="1">
        <v>45883</v>
      </c>
      <c r="C3446" t="s">
        <v>12</v>
      </c>
      <c r="D3446" t="s">
        <v>5022</v>
      </c>
      <c r="E3446">
        <v>2880</v>
      </c>
      <c r="F3446">
        <v>9</v>
      </c>
      <c r="G3446">
        <f t="shared" si="159"/>
        <v>25920</v>
      </c>
      <c r="H3446" t="s">
        <v>7</v>
      </c>
      <c r="I3446">
        <f t="shared" si="160"/>
        <v>3456</v>
      </c>
      <c r="J3446">
        <f t="shared" si="161"/>
        <v>31104</v>
      </c>
    </row>
    <row r="3447" spans="1:10" x14ac:dyDescent="0.45">
      <c r="A3447" t="s">
        <v>1732</v>
      </c>
      <c r="B3447" s="1">
        <v>45883</v>
      </c>
      <c r="C3447" t="s">
        <v>9</v>
      </c>
      <c r="D3447" t="s">
        <v>10</v>
      </c>
      <c r="E3447">
        <v>400</v>
      </c>
      <c r="F3447">
        <v>4</v>
      </c>
      <c r="G3447">
        <f t="shared" si="159"/>
        <v>1600</v>
      </c>
      <c r="H3447" t="s">
        <v>21</v>
      </c>
      <c r="I3447">
        <f t="shared" si="160"/>
        <v>480</v>
      </c>
      <c r="J3447">
        <f t="shared" si="161"/>
        <v>1920</v>
      </c>
    </row>
    <row r="3448" spans="1:10" x14ac:dyDescent="0.45">
      <c r="A3448" t="s">
        <v>1733</v>
      </c>
      <c r="B3448" s="1">
        <v>45883</v>
      </c>
      <c r="C3448" t="s">
        <v>4007</v>
      </c>
      <c r="D3448" t="s">
        <v>5015</v>
      </c>
      <c r="E3448">
        <v>48000</v>
      </c>
      <c r="F3448">
        <v>7</v>
      </c>
      <c r="G3448">
        <f t="shared" si="159"/>
        <v>336000</v>
      </c>
      <c r="H3448" t="s">
        <v>21</v>
      </c>
      <c r="I3448">
        <f t="shared" si="160"/>
        <v>57600</v>
      </c>
      <c r="J3448">
        <f t="shared" si="161"/>
        <v>403200</v>
      </c>
    </row>
    <row r="3449" spans="1:10" x14ac:dyDescent="0.45">
      <c r="A3449" t="s">
        <v>1734</v>
      </c>
      <c r="B3449" s="1">
        <v>45883</v>
      </c>
      <c r="C3449" t="s">
        <v>9</v>
      </c>
      <c r="D3449" t="s">
        <v>19</v>
      </c>
      <c r="E3449">
        <v>3000</v>
      </c>
      <c r="F3449">
        <v>7</v>
      </c>
      <c r="G3449">
        <f t="shared" si="159"/>
        <v>21000</v>
      </c>
      <c r="H3449" t="s">
        <v>7</v>
      </c>
      <c r="I3449">
        <f t="shared" si="160"/>
        <v>3600</v>
      </c>
      <c r="J3449">
        <f t="shared" si="161"/>
        <v>25200</v>
      </c>
    </row>
    <row r="3450" spans="1:10" x14ac:dyDescent="0.45">
      <c r="A3450" t="s">
        <v>3025</v>
      </c>
      <c r="B3450" s="1">
        <v>45883</v>
      </c>
      <c r="C3450" t="s">
        <v>4007</v>
      </c>
      <c r="D3450" t="s">
        <v>2774</v>
      </c>
      <c r="E3450">
        <v>1900</v>
      </c>
      <c r="F3450">
        <v>10</v>
      </c>
      <c r="G3450">
        <f t="shared" si="159"/>
        <v>19000</v>
      </c>
      <c r="H3450" t="s">
        <v>17</v>
      </c>
      <c r="I3450">
        <f t="shared" si="160"/>
        <v>2280</v>
      </c>
      <c r="J3450">
        <f t="shared" si="161"/>
        <v>22800</v>
      </c>
    </row>
    <row r="3451" spans="1:10" x14ac:dyDescent="0.45">
      <c r="A3451" t="s">
        <v>3231</v>
      </c>
      <c r="B3451" s="1">
        <v>45883</v>
      </c>
      <c r="C3451" t="s">
        <v>33</v>
      </c>
      <c r="D3451" t="s">
        <v>14</v>
      </c>
      <c r="E3451">
        <v>800</v>
      </c>
      <c r="F3451">
        <v>3</v>
      </c>
      <c r="G3451">
        <f t="shared" si="159"/>
        <v>2400</v>
      </c>
      <c r="H3451" t="s">
        <v>17</v>
      </c>
      <c r="I3451">
        <f t="shared" si="160"/>
        <v>960</v>
      </c>
      <c r="J3451">
        <f t="shared" si="161"/>
        <v>2880</v>
      </c>
    </row>
    <row r="3452" spans="1:10" x14ac:dyDescent="0.45">
      <c r="A3452" t="s">
        <v>3677</v>
      </c>
      <c r="B3452" s="1">
        <v>45883</v>
      </c>
      <c r="C3452" t="s">
        <v>2772</v>
      </c>
      <c r="D3452" t="s">
        <v>2775</v>
      </c>
      <c r="E3452">
        <v>9100</v>
      </c>
      <c r="F3452">
        <v>10</v>
      </c>
      <c r="G3452">
        <f t="shared" si="159"/>
        <v>91000</v>
      </c>
      <c r="H3452" t="s">
        <v>21</v>
      </c>
      <c r="I3452">
        <f t="shared" si="160"/>
        <v>10920</v>
      </c>
      <c r="J3452">
        <f t="shared" si="161"/>
        <v>109200</v>
      </c>
    </row>
    <row r="3453" spans="1:10" x14ac:dyDescent="0.45">
      <c r="A3453" t="s">
        <v>1735</v>
      </c>
      <c r="B3453" s="1">
        <v>45884</v>
      </c>
      <c r="C3453" t="s">
        <v>4007</v>
      </c>
      <c r="D3453" t="s">
        <v>39</v>
      </c>
      <c r="E3453">
        <v>6000</v>
      </c>
      <c r="F3453">
        <v>7</v>
      </c>
      <c r="G3453">
        <f t="shared" si="159"/>
        <v>42000</v>
      </c>
      <c r="H3453" t="s">
        <v>21</v>
      </c>
      <c r="I3453">
        <f t="shared" si="160"/>
        <v>7200</v>
      </c>
      <c r="J3453">
        <f t="shared" si="161"/>
        <v>50400</v>
      </c>
    </row>
    <row r="3454" spans="1:10" x14ac:dyDescent="0.45">
      <c r="A3454" t="s">
        <v>1736</v>
      </c>
      <c r="B3454" s="1">
        <v>45884</v>
      </c>
      <c r="C3454" t="s">
        <v>33</v>
      </c>
      <c r="D3454" t="s">
        <v>14</v>
      </c>
      <c r="E3454">
        <v>800</v>
      </c>
      <c r="F3454">
        <v>8</v>
      </c>
      <c r="G3454">
        <f t="shared" si="159"/>
        <v>6400</v>
      </c>
      <c r="H3454" t="s">
        <v>17</v>
      </c>
      <c r="I3454">
        <f t="shared" si="160"/>
        <v>960</v>
      </c>
      <c r="J3454">
        <f t="shared" si="161"/>
        <v>7680</v>
      </c>
    </row>
    <row r="3455" spans="1:10" x14ac:dyDescent="0.45">
      <c r="A3455" t="s">
        <v>1737</v>
      </c>
      <c r="B3455" s="1">
        <v>45884</v>
      </c>
      <c r="C3455" t="s">
        <v>33</v>
      </c>
      <c r="D3455" t="s">
        <v>16</v>
      </c>
      <c r="E3455">
        <v>1200</v>
      </c>
      <c r="F3455">
        <v>10</v>
      </c>
      <c r="G3455">
        <f t="shared" si="159"/>
        <v>12000</v>
      </c>
      <c r="H3455" t="s">
        <v>21</v>
      </c>
      <c r="I3455">
        <f t="shared" si="160"/>
        <v>1440</v>
      </c>
      <c r="J3455">
        <f t="shared" si="161"/>
        <v>14400</v>
      </c>
    </row>
    <row r="3456" spans="1:10" x14ac:dyDescent="0.45">
      <c r="A3456" t="s">
        <v>1738</v>
      </c>
      <c r="B3456" s="1">
        <v>45884</v>
      </c>
      <c r="C3456" t="s">
        <v>33</v>
      </c>
      <c r="D3456" t="s">
        <v>42</v>
      </c>
      <c r="E3456">
        <v>6900</v>
      </c>
      <c r="F3456">
        <v>9</v>
      </c>
      <c r="G3456">
        <f t="shared" si="159"/>
        <v>62100</v>
      </c>
      <c r="H3456" t="s">
        <v>21</v>
      </c>
      <c r="I3456">
        <f t="shared" si="160"/>
        <v>8280</v>
      </c>
      <c r="J3456">
        <f t="shared" si="161"/>
        <v>74520</v>
      </c>
    </row>
    <row r="3457" spans="1:10" x14ac:dyDescent="0.45">
      <c r="A3457" t="s">
        <v>1739</v>
      </c>
      <c r="B3457" s="1">
        <v>45884</v>
      </c>
      <c r="C3457" t="s">
        <v>33</v>
      </c>
      <c r="D3457" t="s">
        <v>16</v>
      </c>
      <c r="E3457">
        <v>1200</v>
      </c>
      <c r="F3457">
        <v>9</v>
      </c>
      <c r="G3457">
        <f t="shared" si="159"/>
        <v>10800</v>
      </c>
      <c r="H3457" t="s">
        <v>7</v>
      </c>
      <c r="I3457">
        <f t="shared" si="160"/>
        <v>1440</v>
      </c>
      <c r="J3457">
        <f t="shared" si="161"/>
        <v>12960</v>
      </c>
    </row>
    <row r="3458" spans="1:10" x14ac:dyDescent="0.45">
      <c r="A3458" t="s">
        <v>3257</v>
      </c>
      <c r="B3458" s="1">
        <v>45884</v>
      </c>
      <c r="C3458" t="s">
        <v>4007</v>
      </c>
      <c r="D3458" t="s">
        <v>28</v>
      </c>
      <c r="E3458">
        <v>500</v>
      </c>
      <c r="F3458">
        <v>7</v>
      </c>
      <c r="G3458">
        <f t="shared" ref="G3458:G3521" si="162">E3458*F3458</f>
        <v>3500</v>
      </c>
      <c r="H3458" t="s">
        <v>21</v>
      </c>
      <c r="I3458">
        <f t="shared" ref="I3458:I3521" si="163">E3458*1.2</f>
        <v>600</v>
      </c>
      <c r="J3458">
        <f t="shared" ref="J3458:J3521" si="164">I3458*F3458</f>
        <v>4200</v>
      </c>
    </row>
    <row r="3459" spans="1:10" x14ac:dyDescent="0.45">
      <c r="A3459" t="s">
        <v>3570</v>
      </c>
      <c r="B3459" s="1">
        <v>45884</v>
      </c>
      <c r="C3459" t="s">
        <v>4007</v>
      </c>
      <c r="D3459" t="s">
        <v>28</v>
      </c>
      <c r="E3459">
        <v>500</v>
      </c>
      <c r="F3459">
        <v>5</v>
      </c>
      <c r="G3459">
        <f t="shared" si="162"/>
        <v>2500</v>
      </c>
      <c r="H3459" t="s">
        <v>7</v>
      </c>
      <c r="I3459">
        <f t="shared" si="163"/>
        <v>600</v>
      </c>
      <c r="J3459">
        <f t="shared" si="164"/>
        <v>3000</v>
      </c>
    </row>
    <row r="3460" spans="1:10" x14ac:dyDescent="0.45">
      <c r="A3460" t="s">
        <v>1740</v>
      </c>
      <c r="B3460" s="1">
        <v>45885</v>
      </c>
      <c r="C3460" t="s">
        <v>12</v>
      </c>
      <c r="D3460" t="s">
        <v>5022</v>
      </c>
      <c r="E3460">
        <v>2880</v>
      </c>
      <c r="F3460">
        <v>10</v>
      </c>
      <c r="G3460">
        <f t="shared" si="162"/>
        <v>28800</v>
      </c>
      <c r="H3460" t="s">
        <v>7</v>
      </c>
      <c r="I3460">
        <f t="shared" si="163"/>
        <v>3456</v>
      </c>
      <c r="J3460">
        <f t="shared" si="164"/>
        <v>34560</v>
      </c>
    </row>
    <row r="3461" spans="1:10" x14ac:dyDescent="0.45">
      <c r="A3461" t="s">
        <v>1741</v>
      </c>
      <c r="B3461" s="1">
        <v>45885</v>
      </c>
      <c r="C3461" t="s">
        <v>12</v>
      </c>
      <c r="D3461" t="s">
        <v>5021</v>
      </c>
      <c r="E3461">
        <v>2880</v>
      </c>
      <c r="F3461">
        <v>8</v>
      </c>
      <c r="G3461">
        <f t="shared" si="162"/>
        <v>23040</v>
      </c>
      <c r="H3461" t="s">
        <v>7</v>
      </c>
      <c r="I3461">
        <f t="shared" si="163"/>
        <v>3456</v>
      </c>
      <c r="J3461">
        <f t="shared" si="164"/>
        <v>27648</v>
      </c>
    </row>
    <row r="3462" spans="1:10" x14ac:dyDescent="0.45">
      <c r="A3462" t="s">
        <v>1742</v>
      </c>
      <c r="B3462" s="1">
        <v>45885</v>
      </c>
      <c r="C3462" t="s">
        <v>12</v>
      </c>
      <c r="D3462" t="s">
        <v>5020</v>
      </c>
      <c r="E3462">
        <v>2880</v>
      </c>
      <c r="F3462">
        <v>1</v>
      </c>
      <c r="G3462">
        <f t="shared" si="162"/>
        <v>2880</v>
      </c>
      <c r="H3462" t="s">
        <v>17</v>
      </c>
      <c r="I3462">
        <f t="shared" si="163"/>
        <v>3456</v>
      </c>
      <c r="J3462">
        <f t="shared" si="164"/>
        <v>3456</v>
      </c>
    </row>
    <row r="3463" spans="1:10" x14ac:dyDescent="0.45">
      <c r="A3463" t="s">
        <v>1743</v>
      </c>
      <c r="B3463" s="1">
        <v>45885</v>
      </c>
      <c r="C3463" t="s">
        <v>4007</v>
      </c>
      <c r="D3463" t="s">
        <v>39</v>
      </c>
      <c r="E3463">
        <v>6000</v>
      </c>
      <c r="F3463">
        <v>10</v>
      </c>
      <c r="G3463">
        <f t="shared" si="162"/>
        <v>60000</v>
      </c>
      <c r="H3463" t="s">
        <v>21</v>
      </c>
      <c r="I3463">
        <f t="shared" si="163"/>
        <v>7200</v>
      </c>
      <c r="J3463">
        <f t="shared" si="164"/>
        <v>72000</v>
      </c>
    </row>
    <row r="3464" spans="1:10" x14ac:dyDescent="0.45">
      <c r="A3464" t="s">
        <v>1744</v>
      </c>
      <c r="B3464" s="1">
        <v>45885</v>
      </c>
      <c r="C3464" t="s">
        <v>12</v>
      </c>
      <c r="D3464" t="s">
        <v>5021</v>
      </c>
      <c r="E3464">
        <v>2880</v>
      </c>
      <c r="F3464">
        <v>6</v>
      </c>
      <c r="G3464">
        <f t="shared" si="162"/>
        <v>17280</v>
      </c>
      <c r="H3464" t="s">
        <v>21</v>
      </c>
      <c r="I3464">
        <f t="shared" si="163"/>
        <v>3456</v>
      </c>
      <c r="J3464">
        <f t="shared" si="164"/>
        <v>20736</v>
      </c>
    </row>
    <row r="3465" spans="1:10" x14ac:dyDescent="0.45">
      <c r="A3465" t="s">
        <v>1745</v>
      </c>
      <c r="B3465" s="1">
        <v>45885</v>
      </c>
      <c r="C3465" t="s">
        <v>33</v>
      </c>
      <c r="D3465" t="s">
        <v>42</v>
      </c>
      <c r="E3465">
        <v>6900</v>
      </c>
      <c r="F3465">
        <v>10</v>
      </c>
      <c r="G3465">
        <f t="shared" si="162"/>
        <v>69000</v>
      </c>
      <c r="H3465" t="s">
        <v>7</v>
      </c>
      <c r="I3465">
        <f t="shared" si="163"/>
        <v>8280</v>
      </c>
      <c r="J3465">
        <f t="shared" si="164"/>
        <v>82800</v>
      </c>
    </row>
    <row r="3466" spans="1:10" x14ac:dyDescent="0.45">
      <c r="A3466" t="s">
        <v>2975</v>
      </c>
      <c r="B3466" s="1">
        <v>45885</v>
      </c>
      <c r="C3466" t="s">
        <v>2772</v>
      </c>
      <c r="D3466" t="s">
        <v>2771</v>
      </c>
      <c r="E3466">
        <v>120</v>
      </c>
      <c r="F3466">
        <v>4</v>
      </c>
      <c r="G3466">
        <f t="shared" si="162"/>
        <v>480</v>
      </c>
      <c r="H3466" t="s">
        <v>17</v>
      </c>
      <c r="I3466">
        <f t="shared" si="163"/>
        <v>144</v>
      </c>
      <c r="J3466">
        <f t="shared" si="164"/>
        <v>576</v>
      </c>
    </row>
    <row r="3467" spans="1:10" x14ac:dyDescent="0.45">
      <c r="A3467" t="s">
        <v>3301</v>
      </c>
      <c r="B3467" s="1">
        <v>45885</v>
      </c>
      <c r="C3467" t="s">
        <v>33</v>
      </c>
      <c r="D3467" t="s">
        <v>14</v>
      </c>
      <c r="E3467">
        <v>800</v>
      </c>
      <c r="F3467">
        <v>8</v>
      </c>
      <c r="G3467">
        <f t="shared" si="162"/>
        <v>6400</v>
      </c>
      <c r="H3467" t="s">
        <v>21</v>
      </c>
      <c r="I3467">
        <f t="shared" si="163"/>
        <v>960</v>
      </c>
      <c r="J3467">
        <f t="shared" si="164"/>
        <v>7680</v>
      </c>
    </row>
    <row r="3468" spans="1:10" x14ac:dyDescent="0.45">
      <c r="A3468" t="s">
        <v>1746</v>
      </c>
      <c r="B3468" s="1">
        <v>45886</v>
      </c>
      <c r="C3468" t="s">
        <v>4007</v>
      </c>
      <c r="D3468" t="s">
        <v>5015</v>
      </c>
      <c r="E3468">
        <v>48000</v>
      </c>
      <c r="F3468">
        <v>2</v>
      </c>
      <c r="G3468">
        <f t="shared" si="162"/>
        <v>96000</v>
      </c>
      <c r="H3468" t="s">
        <v>17</v>
      </c>
      <c r="I3468">
        <f t="shared" si="163"/>
        <v>57600</v>
      </c>
      <c r="J3468">
        <f t="shared" si="164"/>
        <v>115200</v>
      </c>
    </row>
    <row r="3469" spans="1:10" x14ac:dyDescent="0.45">
      <c r="A3469" t="s">
        <v>1747</v>
      </c>
      <c r="B3469" s="1">
        <v>45886</v>
      </c>
      <c r="C3469" t="s">
        <v>33</v>
      </c>
      <c r="D3469" t="s">
        <v>34</v>
      </c>
      <c r="E3469">
        <v>1700</v>
      </c>
      <c r="F3469">
        <v>8</v>
      </c>
      <c r="G3469">
        <f t="shared" si="162"/>
        <v>13600</v>
      </c>
      <c r="H3469" t="s">
        <v>7</v>
      </c>
      <c r="I3469">
        <f t="shared" si="163"/>
        <v>2040</v>
      </c>
      <c r="J3469">
        <f t="shared" si="164"/>
        <v>16320</v>
      </c>
    </row>
    <row r="3470" spans="1:10" x14ac:dyDescent="0.45">
      <c r="A3470" t="s">
        <v>1748</v>
      </c>
      <c r="B3470" s="1">
        <v>45886</v>
      </c>
      <c r="C3470" t="s">
        <v>33</v>
      </c>
      <c r="D3470" t="s">
        <v>14</v>
      </c>
      <c r="E3470">
        <v>800</v>
      </c>
      <c r="F3470">
        <v>9</v>
      </c>
      <c r="G3470">
        <f t="shared" si="162"/>
        <v>7200</v>
      </c>
      <c r="H3470" t="s">
        <v>21</v>
      </c>
      <c r="I3470">
        <f t="shared" si="163"/>
        <v>960</v>
      </c>
      <c r="J3470">
        <f t="shared" si="164"/>
        <v>8640</v>
      </c>
    </row>
    <row r="3471" spans="1:10" x14ac:dyDescent="0.45">
      <c r="A3471" t="s">
        <v>1749</v>
      </c>
      <c r="B3471" s="1">
        <v>45886</v>
      </c>
      <c r="C3471" t="s">
        <v>12</v>
      </c>
      <c r="D3471" t="s">
        <v>5023</v>
      </c>
      <c r="E3471">
        <v>1750</v>
      </c>
      <c r="F3471">
        <v>6</v>
      </c>
      <c r="G3471">
        <f t="shared" si="162"/>
        <v>10500</v>
      </c>
      <c r="H3471" t="s">
        <v>7</v>
      </c>
      <c r="I3471">
        <f t="shared" si="163"/>
        <v>2100</v>
      </c>
      <c r="J3471">
        <f t="shared" si="164"/>
        <v>12600</v>
      </c>
    </row>
    <row r="3472" spans="1:10" x14ac:dyDescent="0.45">
      <c r="A3472" t="s">
        <v>1750</v>
      </c>
      <c r="B3472" s="1">
        <v>45886</v>
      </c>
      <c r="C3472" t="s">
        <v>12</v>
      </c>
      <c r="D3472" t="s">
        <v>5022</v>
      </c>
      <c r="E3472">
        <v>2880</v>
      </c>
      <c r="F3472">
        <v>6</v>
      </c>
      <c r="G3472">
        <f t="shared" si="162"/>
        <v>17280</v>
      </c>
      <c r="H3472" t="s">
        <v>7</v>
      </c>
      <c r="I3472">
        <f t="shared" si="163"/>
        <v>3456</v>
      </c>
      <c r="J3472">
        <f t="shared" si="164"/>
        <v>20736</v>
      </c>
    </row>
    <row r="3473" spans="1:10" x14ac:dyDescent="0.45">
      <c r="A3473" t="s">
        <v>1751</v>
      </c>
      <c r="B3473" s="1">
        <v>45886</v>
      </c>
      <c r="C3473" t="s">
        <v>4007</v>
      </c>
      <c r="D3473" t="s">
        <v>39</v>
      </c>
      <c r="E3473">
        <v>6000</v>
      </c>
      <c r="F3473">
        <v>4</v>
      </c>
      <c r="G3473">
        <f t="shared" si="162"/>
        <v>24000</v>
      </c>
      <c r="H3473" t="s">
        <v>21</v>
      </c>
      <c r="I3473">
        <f t="shared" si="163"/>
        <v>7200</v>
      </c>
      <c r="J3473">
        <f t="shared" si="164"/>
        <v>28800</v>
      </c>
    </row>
    <row r="3474" spans="1:10" x14ac:dyDescent="0.45">
      <c r="A3474" t="s">
        <v>2997</v>
      </c>
      <c r="B3474" s="1">
        <v>45886</v>
      </c>
      <c r="C3474" t="s">
        <v>4007</v>
      </c>
      <c r="D3474" t="s">
        <v>28</v>
      </c>
      <c r="E3474">
        <v>500</v>
      </c>
      <c r="F3474">
        <v>2</v>
      </c>
      <c r="G3474">
        <f t="shared" si="162"/>
        <v>1000</v>
      </c>
      <c r="H3474" t="s">
        <v>21</v>
      </c>
      <c r="I3474">
        <f t="shared" si="163"/>
        <v>600</v>
      </c>
      <c r="J3474">
        <f t="shared" si="164"/>
        <v>1200</v>
      </c>
    </row>
    <row r="3475" spans="1:10" x14ac:dyDescent="0.45">
      <c r="A3475" t="s">
        <v>3074</v>
      </c>
      <c r="B3475" s="1">
        <v>45886</v>
      </c>
      <c r="C3475" t="s">
        <v>2772</v>
      </c>
      <c r="D3475" t="s">
        <v>2775</v>
      </c>
      <c r="E3475">
        <v>9100</v>
      </c>
      <c r="F3475">
        <v>1</v>
      </c>
      <c r="G3475">
        <f t="shared" si="162"/>
        <v>9100</v>
      </c>
      <c r="H3475" t="s">
        <v>7</v>
      </c>
      <c r="I3475">
        <f t="shared" si="163"/>
        <v>10920</v>
      </c>
      <c r="J3475">
        <f t="shared" si="164"/>
        <v>10920</v>
      </c>
    </row>
    <row r="3476" spans="1:10" x14ac:dyDescent="0.45">
      <c r="A3476" t="s">
        <v>3210</v>
      </c>
      <c r="B3476" s="1">
        <v>45886</v>
      </c>
      <c r="C3476" t="s">
        <v>4007</v>
      </c>
      <c r="D3476" t="s">
        <v>2773</v>
      </c>
      <c r="E3476">
        <v>3300</v>
      </c>
      <c r="F3476">
        <v>1</v>
      </c>
      <c r="G3476">
        <f t="shared" si="162"/>
        <v>3300</v>
      </c>
      <c r="H3476" t="s">
        <v>7</v>
      </c>
      <c r="I3476">
        <f t="shared" si="163"/>
        <v>3960</v>
      </c>
      <c r="J3476">
        <f t="shared" si="164"/>
        <v>3960</v>
      </c>
    </row>
    <row r="3477" spans="1:10" x14ac:dyDescent="0.45">
      <c r="A3477" t="s">
        <v>3728</v>
      </c>
      <c r="B3477" s="1">
        <v>45886</v>
      </c>
      <c r="C3477" t="s">
        <v>33</v>
      </c>
      <c r="D3477" t="s">
        <v>34</v>
      </c>
      <c r="E3477">
        <v>1700</v>
      </c>
      <c r="F3477">
        <v>6</v>
      </c>
      <c r="G3477">
        <f t="shared" si="162"/>
        <v>10200</v>
      </c>
      <c r="H3477" t="s">
        <v>7</v>
      </c>
      <c r="I3477">
        <f t="shared" si="163"/>
        <v>2040</v>
      </c>
      <c r="J3477">
        <f t="shared" si="164"/>
        <v>12240</v>
      </c>
    </row>
    <row r="3478" spans="1:10" x14ac:dyDescent="0.45">
      <c r="A3478" t="s">
        <v>1752</v>
      </c>
      <c r="B3478" s="1">
        <v>45887</v>
      </c>
      <c r="C3478" t="s">
        <v>33</v>
      </c>
      <c r="D3478" t="s">
        <v>42</v>
      </c>
      <c r="E3478">
        <v>6900</v>
      </c>
      <c r="F3478">
        <v>4</v>
      </c>
      <c r="G3478">
        <f t="shared" si="162"/>
        <v>27600</v>
      </c>
      <c r="H3478" t="s">
        <v>17</v>
      </c>
      <c r="I3478">
        <f t="shared" si="163"/>
        <v>8280</v>
      </c>
      <c r="J3478">
        <f t="shared" si="164"/>
        <v>33120</v>
      </c>
    </row>
    <row r="3479" spans="1:10" x14ac:dyDescent="0.45">
      <c r="A3479" t="s">
        <v>1753</v>
      </c>
      <c r="B3479" s="1">
        <v>45887</v>
      </c>
      <c r="C3479" t="s">
        <v>33</v>
      </c>
      <c r="D3479" t="s">
        <v>42</v>
      </c>
      <c r="E3479">
        <v>6900</v>
      </c>
      <c r="F3479">
        <v>8</v>
      </c>
      <c r="G3479">
        <f t="shared" si="162"/>
        <v>55200</v>
      </c>
      <c r="H3479" t="s">
        <v>21</v>
      </c>
      <c r="I3479">
        <f t="shared" si="163"/>
        <v>8280</v>
      </c>
      <c r="J3479">
        <f t="shared" si="164"/>
        <v>66240</v>
      </c>
    </row>
    <row r="3480" spans="1:10" x14ac:dyDescent="0.45">
      <c r="A3480" t="s">
        <v>1754</v>
      </c>
      <c r="B3480" s="1">
        <v>45887</v>
      </c>
      <c r="C3480" t="s">
        <v>4007</v>
      </c>
      <c r="D3480" t="s">
        <v>28</v>
      </c>
      <c r="E3480">
        <v>500</v>
      </c>
      <c r="F3480">
        <v>7</v>
      </c>
      <c r="G3480">
        <f t="shared" si="162"/>
        <v>3500</v>
      </c>
      <c r="H3480" t="s">
        <v>21</v>
      </c>
      <c r="I3480">
        <f t="shared" si="163"/>
        <v>600</v>
      </c>
      <c r="J3480">
        <f t="shared" si="164"/>
        <v>4200</v>
      </c>
    </row>
    <row r="3481" spans="1:10" x14ac:dyDescent="0.45">
      <c r="A3481" t="s">
        <v>1755</v>
      </c>
      <c r="B3481" s="1">
        <v>45887</v>
      </c>
      <c r="C3481" t="s">
        <v>12</v>
      </c>
      <c r="D3481" t="s">
        <v>5021</v>
      </c>
      <c r="E3481">
        <v>2880</v>
      </c>
      <c r="F3481">
        <v>5</v>
      </c>
      <c r="G3481">
        <f t="shared" si="162"/>
        <v>14400</v>
      </c>
      <c r="H3481" t="s">
        <v>17</v>
      </c>
      <c r="I3481">
        <f t="shared" si="163"/>
        <v>3456</v>
      </c>
      <c r="J3481">
        <f t="shared" si="164"/>
        <v>17280</v>
      </c>
    </row>
    <row r="3482" spans="1:10" x14ac:dyDescent="0.45">
      <c r="A3482" t="s">
        <v>1756</v>
      </c>
      <c r="B3482" s="1">
        <v>45887</v>
      </c>
      <c r="C3482" t="s">
        <v>9</v>
      </c>
      <c r="D3482" t="s">
        <v>25</v>
      </c>
      <c r="E3482">
        <v>5200</v>
      </c>
      <c r="F3482">
        <v>9</v>
      </c>
      <c r="G3482">
        <f t="shared" si="162"/>
        <v>46800</v>
      </c>
      <c r="H3482" t="s">
        <v>21</v>
      </c>
      <c r="I3482">
        <f t="shared" si="163"/>
        <v>6240</v>
      </c>
      <c r="J3482">
        <f t="shared" si="164"/>
        <v>56160</v>
      </c>
    </row>
    <row r="3483" spans="1:10" x14ac:dyDescent="0.45">
      <c r="A3483" t="s">
        <v>1757</v>
      </c>
      <c r="B3483" s="1">
        <v>45887</v>
      </c>
      <c r="C3483" t="s">
        <v>4007</v>
      </c>
      <c r="D3483" t="s">
        <v>39</v>
      </c>
      <c r="E3483">
        <v>6000</v>
      </c>
      <c r="F3483">
        <v>7</v>
      </c>
      <c r="G3483">
        <f t="shared" si="162"/>
        <v>42000</v>
      </c>
      <c r="H3483" t="s">
        <v>17</v>
      </c>
      <c r="I3483">
        <f t="shared" si="163"/>
        <v>7200</v>
      </c>
      <c r="J3483">
        <f t="shared" si="164"/>
        <v>50400</v>
      </c>
    </row>
    <row r="3484" spans="1:10" x14ac:dyDescent="0.45">
      <c r="A3484" t="s">
        <v>1758</v>
      </c>
      <c r="B3484" s="1">
        <v>45887</v>
      </c>
      <c r="C3484" t="s">
        <v>33</v>
      </c>
      <c r="D3484" t="s">
        <v>34</v>
      </c>
      <c r="E3484">
        <v>1700</v>
      </c>
      <c r="F3484">
        <v>6</v>
      </c>
      <c r="G3484">
        <f t="shared" si="162"/>
        <v>10200</v>
      </c>
      <c r="H3484" t="s">
        <v>21</v>
      </c>
      <c r="I3484">
        <f t="shared" si="163"/>
        <v>2040</v>
      </c>
      <c r="J3484">
        <f t="shared" si="164"/>
        <v>12240</v>
      </c>
    </row>
    <row r="3485" spans="1:10" x14ac:dyDescent="0.45">
      <c r="A3485" t="s">
        <v>2827</v>
      </c>
      <c r="B3485" s="1">
        <v>45887</v>
      </c>
      <c r="C3485" t="s">
        <v>2772</v>
      </c>
      <c r="D3485" t="s">
        <v>2775</v>
      </c>
      <c r="E3485">
        <v>9100</v>
      </c>
      <c r="F3485">
        <v>7</v>
      </c>
      <c r="G3485">
        <f t="shared" si="162"/>
        <v>63700</v>
      </c>
      <c r="H3485" t="s">
        <v>21</v>
      </c>
      <c r="I3485">
        <f t="shared" si="163"/>
        <v>10920</v>
      </c>
      <c r="J3485">
        <f t="shared" si="164"/>
        <v>76440</v>
      </c>
    </row>
    <row r="3486" spans="1:10" x14ac:dyDescent="0.45">
      <c r="A3486" t="s">
        <v>3056</v>
      </c>
      <c r="B3486" s="1">
        <v>45887</v>
      </c>
      <c r="C3486" t="s">
        <v>2772</v>
      </c>
      <c r="D3486" t="s">
        <v>2771</v>
      </c>
      <c r="E3486">
        <v>120</v>
      </c>
      <c r="F3486">
        <v>7</v>
      </c>
      <c r="G3486">
        <f t="shared" si="162"/>
        <v>840</v>
      </c>
      <c r="H3486" t="s">
        <v>21</v>
      </c>
      <c r="I3486">
        <f t="shared" si="163"/>
        <v>144</v>
      </c>
      <c r="J3486">
        <f t="shared" si="164"/>
        <v>1008</v>
      </c>
    </row>
    <row r="3487" spans="1:10" x14ac:dyDescent="0.45">
      <c r="A3487" t="s">
        <v>3629</v>
      </c>
      <c r="B3487" s="1">
        <v>45887</v>
      </c>
      <c r="C3487" t="s">
        <v>33</v>
      </c>
      <c r="D3487" t="s">
        <v>34</v>
      </c>
      <c r="E3487">
        <v>1700</v>
      </c>
      <c r="F3487">
        <v>2</v>
      </c>
      <c r="G3487">
        <f t="shared" si="162"/>
        <v>3400</v>
      </c>
      <c r="H3487" t="s">
        <v>7</v>
      </c>
      <c r="I3487">
        <f t="shared" si="163"/>
        <v>2040</v>
      </c>
      <c r="J3487">
        <f t="shared" si="164"/>
        <v>4080</v>
      </c>
    </row>
    <row r="3488" spans="1:10" x14ac:dyDescent="0.45">
      <c r="A3488" t="s">
        <v>1759</v>
      </c>
      <c r="B3488" s="1">
        <v>45888</v>
      </c>
      <c r="C3488" t="s">
        <v>33</v>
      </c>
      <c r="D3488" t="s">
        <v>14</v>
      </c>
      <c r="E3488">
        <v>800</v>
      </c>
      <c r="F3488">
        <v>10</v>
      </c>
      <c r="G3488">
        <f t="shared" si="162"/>
        <v>8000</v>
      </c>
      <c r="H3488" t="s">
        <v>17</v>
      </c>
      <c r="I3488">
        <f t="shared" si="163"/>
        <v>960</v>
      </c>
      <c r="J3488">
        <f t="shared" si="164"/>
        <v>9600</v>
      </c>
    </row>
    <row r="3489" spans="1:10" x14ac:dyDescent="0.45">
      <c r="A3489" t="s">
        <v>1760</v>
      </c>
      <c r="B3489" s="1">
        <v>45888</v>
      </c>
      <c r="C3489" t="s">
        <v>12</v>
      </c>
      <c r="D3489" t="s">
        <v>5021</v>
      </c>
      <c r="E3489">
        <v>2880</v>
      </c>
      <c r="F3489">
        <v>8</v>
      </c>
      <c r="G3489">
        <f t="shared" si="162"/>
        <v>23040</v>
      </c>
      <c r="H3489" t="s">
        <v>7</v>
      </c>
      <c r="I3489">
        <f t="shared" si="163"/>
        <v>3456</v>
      </c>
      <c r="J3489">
        <f t="shared" si="164"/>
        <v>27648</v>
      </c>
    </row>
    <row r="3490" spans="1:10" x14ac:dyDescent="0.45">
      <c r="A3490" t="s">
        <v>1761</v>
      </c>
      <c r="B3490" s="1">
        <v>45888</v>
      </c>
      <c r="C3490" t="s">
        <v>9</v>
      </c>
      <c r="D3490" t="s">
        <v>25</v>
      </c>
      <c r="E3490">
        <v>5200</v>
      </c>
      <c r="F3490">
        <v>5</v>
      </c>
      <c r="G3490">
        <f t="shared" si="162"/>
        <v>26000</v>
      </c>
      <c r="H3490" t="s">
        <v>7</v>
      </c>
      <c r="I3490">
        <f t="shared" si="163"/>
        <v>6240</v>
      </c>
      <c r="J3490">
        <f t="shared" si="164"/>
        <v>31200</v>
      </c>
    </row>
    <row r="3491" spans="1:10" x14ac:dyDescent="0.45">
      <c r="A3491" t="s">
        <v>1762</v>
      </c>
      <c r="B3491" s="1">
        <v>45888</v>
      </c>
      <c r="C3491" t="s">
        <v>12</v>
      </c>
      <c r="D3491" t="s">
        <v>5021</v>
      </c>
      <c r="E3491">
        <v>2880</v>
      </c>
      <c r="F3491">
        <v>9</v>
      </c>
      <c r="G3491">
        <f t="shared" si="162"/>
        <v>25920</v>
      </c>
      <c r="H3491" t="s">
        <v>7</v>
      </c>
      <c r="I3491">
        <f t="shared" si="163"/>
        <v>3456</v>
      </c>
      <c r="J3491">
        <f t="shared" si="164"/>
        <v>31104</v>
      </c>
    </row>
    <row r="3492" spans="1:10" x14ac:dyDescent="0.45">
      <c r="A3492" t="s">
        <v>1763</v>
      </c>
      <c r="B3492" s="1">
        <v>45888</v>
      </c>
      <c r="C3492" t="s">
        <v>9</v>
      </c>
      <c r="D3492" t="s">
        <v>19</v>
      </c>
      <c r="E3492">
        <v>3000</v>
      </c>
      <c r="F3492">
        <v>9</v>
      </c>
      <c r="G3492">
        <f t="shared" si="162"/>
        <v>27000</v>
      </c>
      <c r="H3492" t="s">
        <v>21</v>
      </c>
      <c r="I3492">
        <f t="shared" si="163"/>
        <v>3600</v>
      </c>
      <c r="J3492">
        <f t="shared" si="164"/>
        <v>32400</v>
      </c>
    </row>
    <row r="3493" spans="1:10" x14ac:dyDescent="0.45">
      <c r="A3493" t="s">
        <v>1764</v>
      </c>
      <c r="B3493" s="1">
        <v>45888</v>
      </c>
      <c r="C3493" t="s">
        <v>33</v>
      </c>
      <c r="D3493" t="s">
        <v>42</v>
      </c>
      <c r="E3493">
        <v>6900</v>
      </c>
      <c r="F3493">
        <v>3</v>
      </c>
      <c r="G3493">
        <f t="shared" si="162"/>
        <v>20700</v>
      </c>
      <c r="H3493" t="s">
        <v>17</v>
      </c>
      <c r="I3493">
        <f t="shared" si="163"/>
        <v>8280</v>
      </c>
      <c r="J3493">
        <f t="shared" si="164"/>
        <v>24840</v>
      </c>
    </row>
    <row r="3494" spans="1:10" x14ac:dyDescent="0.45">
      <c r="A3494" t="s">
        <v>1765</v>
      </c>
      <c r="B3494" s="1">
        <v>45888</v>
      </c>
      <c r="C3494" t="s">
        <v>12</v>
      </c>
      <c r="D3494" t="s">
        <v>5020</v>
      </c>
      <c r="E3494">
        <v>2880</v>
      </c>
      <c r="F3494">
        <v>1</v>
      </c>
      <c r="G3494">
        <f t="shared" si="162"/>
        <v>2880</v>
      </c>
      <c r="H3494" t="s">
        <v>21</v>
      </c>
      <c r="I3494">
        <f t="shared" si="163"/>
        <v>3456</v>
      </c>
      <c r="J3494">
        <f t="shared" si="164"/>
        <v>3456</v>
      </c>
    </row>
    <row r="3495" spans="1:10" x14ac:dyDescent="0.45">
      <c r="A3495" t="s">
        <v>1766</v>
      </c>
      <c r="B3495" s="1">
        <v>45888</v>
      </c>
      <c r="C3495" t="s">
        <v>4007</v>
      </c>
      <c r="D3495" t="s">
        <v>4005</v>
      </c>
      <c r="E3495">
        <v>60000</v>
      </c>
      <c r="F3495">
        <v>8</v>
      </c>
      <c r="G3495">
        <f t="shared" si="162"/>
        <v>480000</v>
      </c>
      <c r="H3495" t="s">
        <v>17</v>
      </c>
      <c r="I3495">
        <f t="shared" si="163"/>
        <v>72000</v>
      </c>
      <c r="J3495">
        <f t="shared" si="164"/>
        <v>576000</v>
      </c>
    </row>
    <row r="3496" spans="1:10" x14ac:dyDescent="0.45">
      <c r="A3496" t="s">
        <v>1767</v>
      </c>
      <c r="B3496" s="1">
        <v>45888</v>
      </c>
      <c r="C3496" t="s">
        <v>4007</v>
      </c>
      <c r="D3496" t="s">
        <v>28</v>
      </c>
      <c r="E3496">
        <v>500</v>
      </c>
      <c r="F3496">
        <v>5</v>
      </c>
      <c r="G3496">
        <f t="shared" si="162"/>
        <v>2500</v>
      </c>
      <c r="H3496" t="s">
        <v>21</v>
      </c>
      <c r="I3496">
        <f t="shared" si="163"/>
        <v>600</v>
      </c>
      <c r="J3496">
        <f t="shared" si="164"/>
        <v>3000</v>
      </c>
    </row>
    <row r="3497" spans="1:10" x14ac:dyDescent="0.45">
      <c r="A3497" t="s">
        <v>2804</v>
      </c>
      <c r="B3497" s="1">
        <v>45888</v>
      </c>
      <c r="C3497" t="s">
        <v>4007</v>
      </c>
      <c r="D3497" t="s">
        <v>5015</v>
      </c>
      <c r="E3497">
        <v>48000</v>
      </c>
      <c r="F3497">
        <v>4</v>
      </c>
      <c r="G3497">
        <f t="shared" si="162"/>
        <v>192000</v>
      </c>
      <c r="H3497" t="s">
        <v>7</v>
      </c>
      <c r="I3497">
        <f t="shared" si="163"/>
        <v>57600</v>
      </c>
      <c r="J3497">
        <f t="shared" si="164"/>
        <v>230400</v>
      </c>
    </row>
    <row r="3498" spans="1:10" x14ac:dyDescent="0.45">
      <c r="A3498" t="s">
        <v>3024</v>
      </c>
      <c r="B3498" s="1">
        <v>45888</v>
      </c>
      <c r="C3498" t="s">
        <v>2772</v>
      </c>
      <c r="D3498" t="s">
        <v>2775</v>
      </c>
      <c r="E3498">
        <v>9100</v>
      </c>
      <c r="F3498">
        <v>10</v>
      </c>
      <c r="G3498">
        <f t="shared" si="162"/>
        <v>91000</v>
      </c>
      <c r="H3498" t="s">
        <v>7</v>
      </c>
      <c r="I3498">
        <f t="shared" si="163"/>
        <v>10920</v>
      </c>
      <c r="J3498">
        <f t="shared" si="164"/>
        <v>109200</v>
      </c>
    </row>
    <row r="3499" spans="1:10" x14ac:dyDescent="0.45">
      <c r="A3499" t="s">
        <v>3263</v>
      </c>
      <c r="B3499" s="1">
        <v>45888</v>
      </c>
      <c r="C3499" t="s">
        <v>33</v>
      </c>
      <c r="D3499" t="s">
        <v>34</v>
      </c>
      <c r="E3499">
        <v>1700</v>
      </c>
      <c r="F3499">
        <v>1</v>
      </c>
      <c r="G3499">
        <f t="shared" si="162"/>
        <v>1700</v>
      </c>
      <c r="H3499" t="s">
        <v>17</v>
      </c>
      <c r="I3499">
        <f t="shared" si="163"/>
        <v>2040</v>
      </c>
      <c r="J3499">
        <f t="shared" si="164"/>
        <v>2040</v>
      </c>
    </row>
    <row r="3500" spans="1:10" x14ac:dyDescent="0.45">
      <c r="A3500" t="s">
        <v>3907</v>
      </c>
      <c r="B3500" s="1">
        <v>45888</v>
      </c>
      <c r="C3500" t="s">
        <v>2772</v>
      </c>
      <c r="D3500" t="s">
        <v>2771</v>
      </c>
      <c r="E3500">
        <v>120</v>
      </c>
      <c r="F3500">
        <v>5</v>
      </c>
      <c r="G3500">
        <f t="shared" si="162"/>
        <v>600</v>
      </c>
      <c r="H3500" t="s">
        <v>7</v>
      </c>
      <c r="I3500">
        <f t="shared" si="163"/>
        <v>144</v>
      </c>
      <c r="J3500">
        <f t="shared" si="164"/>
        <v>720</v>
      </c>
    </row>
    <row r="3501" spans="1:10" x14ac:dyDescent="0.45">
      <c r="A3501" t="s">
        <v>3975</v>
      </c>
      <c r="B3501" s="1">
        <v>45888</v>
      </c>
      <c r="C3501" t="s">
        <v>4007</v>
      </c>
      <c r="D3501" t="s">
        <v>5015</v>
      </c>
      <c r="E3501">
        <v>48000</v>
      </c>
      <c r="F3501">
        <v>4</v>
      </c>
      <c r="G3501">
        <f t="shared" si="162"/>
        <v>192000</v>
      </c>
      <c r="H3501" t="s">
        <v>17</v>
      </c>
      <c r="I3501">
        <f t="shared" si="163"/>
        <v>57600</v>
      </c>
      <c r="J3501">
        <f t="shared" si="164"/>
        <v>230400</v>
      </c>
    </row>
    <row r="3502" spans="1:10" x14ac:dyDescent="0.45">
      <c r="A3502" t="s">
        <v>1768</v>
      </c>
      <c r="B3502" s="1">
        <v>45889</v>
      </c>
      <c r="C3502" t="s">
        <v>33</v>
      </c>
      <c r="D3502" t="s">
        <v>14</v>
      </c>
      <c r="E3502">
        <v>800</v>
      </c>
      <c r="F3502">
        <v>10</v>
      </c>
      <c r="G3502">
        <f t="shared" si="162"/>
        <v>8000</v>
      </c>
      <c r="H3502" t="s">
        <v>21</v>
      </c>
      <c r="I3502">
        <f t="shared" si="163"/>
        <v>960</v>
      </c>
      <c r="J3502">
        <f t="shared" si="164"/>
        <v>9600</v>
      </c>
    </row>
    <row r="3503" spans="1:10" x14ac:dyDescent="0.45">
      <c r="A3503" t="s">
        <v>1769</v>
      </c>
      <c r="B3503" s="1">
        <v>45889</v>
      </c>
      <c r="C3503" t="s">
        <v>12</v>
      </c>
      <c r="D3503" t="s">
        <v>5023</v>
      </c>
      <c r="E3503">
        <v>1750</v>
      </c>
      <c r="F3503">
        <v>1</v>
      </c>
      <c r="G3503">
        <f t="shared" si="162"/>
        <v>1750</v>
      </c>
      <c r="H3503" t="s">
        <v>21</v>
      </c>
      <c r="I3503">
        <f t="shared" si="163"/>
        <v>2100</v>
      </c>
      <c r="J3503">
        <f t="shared" si="164"/>
        <v>2100</v>
      </c>
    </row>
    <row r="3504" spans="1:10" x14ac:dyDescent="0.45">
      <c r="A3504" t="s">
        <v>1770</v>
      </c>
      <c r="B3504" s="1">
        <v>45889</v>
      </c>
      <c r="C3504" t="s">
        <v>12</v>
      </c>
      <c r="D3504" t="s">
        <v>5020</v>
      </c>
      <c r="E3504">
        <v>2880</v>
      </c>
      <c r="F3504">
        <v>8</v>
      </c>
      <c r="G3504">
        <f t="shared" si="162"/>
        <v>23040</v>
      </c>
      <c r="H3504" t="s">
        <v>7</v>
      </c>
      <c r="I3504">
        <f t="shared" si="163"/>
        <v>3456</v>
      </c>
      <c r="J3504">
        <f t="shared" si="164"/>
        <v>27648</v>
      </c>
    </row>
    <row r="3505" spans="1:10" x14ac:dyDescent="0.45">
      <c r="A3505" t="s">
        <v>1771</v>
      </c>
      <c r="B3505" s="1">
        <v>45889</v>
      </c>
      <c r="C3505" t="s">
        <v>4007</v>
      </c>
      <c r="D3505" t="s">
        <v>28</v>
      </c>
      <c r="E3505">
        <v>500</v>
      </c>
      <c r="F3505">
        <v>6</v>
      </c>
      <c r="G3505">
        <f t="shared" si="162"/>
        <v>3000</v>
      </c>
      <c r="H3505" t="s">
        <v>21</v>
      </c>
      <c r="I3505">
        <f t="shared" si="163"/>
        <v>600</v>
      </c>
      <c r="J3505">
        <f t="shared" si="164"/>
        <v>3600</v>
      </c>
    </row>
    <row r="3506" spans="1:10" x14ac:dyDescent="0.45">
      <c r="A3506" t="s">
        <v>1772</v>
      </c>
      <c r="B3506" s="1">
        <v>45889</v>
      </c>
      <c r="C3506" t="s">
        <v>4007</v>
      </c>
      <c r="D3506" t="s">
        <v>39</v>
      </c>
      <c r="E3506">
        <v>6000</v>
      </c>
      <c r="F3506">
        <v>8</v>
      </c>
      <c r="G3506">
        <f t="shared" si="162"/>
        <v>48000</v>
      </c>
      <c r="H3506" t="s">
        <v>21</v>
      </c>
      <c r="I3506">
        <f t="shared" si="163"/>
        <v>7200</v>
      </c>
      <c r="J3506">
        <f t="shared" si="164"/>
        <v>57600</v>
      </c>
    </row>
    <row r="3507" spans="1:10" x14ac:dyDescent="0.45">
      <c r="A3507" t="s">
        <v>1773</v>
      </c>
      <c r="B3507" s="1">
        <v>45889</v>
      </c>
      <c r="C3507" t="s">
        <v>4007</v>
      </c>
      <c r="D3507" t="s">
        <v>28</v>
      </c>
      <c r="E3507">
        <v>500</v>
      </c>
      <c r="F3507">
        <v>6</v>
      </c>
      <c r="G3507">
        <f t="shared" si="162"/>
        <v>3000</v>
      </c>
      <c r="H3507" t="s">
        <v>17</v>
      </c>
      <c r="I3507">
        <f t="shared" si="163"/>
        <v>600</v>
      </c>
      <c r="J3507">
        <f t="shared" si="164"/>
        <v>3600</v>
      </c>
    </row>
    <row r="3508" spans="1:10" x14ac:dyDescent="0.45">
      <c r="A3508" t="s">
        <v>1774</v>
      </c>
      <c r="B3508" s="1">
        <v>45889</v>
      </c>
      <c r="C3508" t="s">
        <v>12</v>
      </c>
      <c r="D3508" t="s">
        <v>5020</v>
      </c>
      <c r="E3508">
        <v>2880</v>
      </c>
      <c r="F3508">
        <v>2</v>
      </c>
      <c r="G3508">
        <f t="shared" si="162"/>
        <v>5760</v>
      </c>
      <c r="H3508" t="s">
        <v>17</v>
      </c>
      <c r="I3508">
        <f t="shared" si="163"/>
        <v>3456</v>
      </c>
      <c r="J3508">
        <f t="shared" si="164"/>
        <v>6912</v>
      </c>
    </row>
    <row r="3509" spans="1:10" x14ac:dyDescent="0.45">
      <c r="A3509" t="s">
        <v>3069</v>
      </c>
      <c r="B3509" s="1">
        <v>45889</v>
      </c>
      <c r="C3509" t="s">
        <v>4007</v>
      </c>
      <c r="D3509" t="s">
        <v>2776</v>
      </c>
      <c r="E3509">
        <v>3600</v>
      </c>
      <c r="F3509">
        <v>3</v>
      </c>
      <c r="G3509">
        <f t="shared" si="162"/>
        <v>10800</v>
      </c>
      <c r="H3509" t="s">
        <v>7</v>
      </c>
      <c r="I3509">
        <f t="shared" si="163"/>
        <v>4320</v>
      </c>
      <c r="J3509">
        <f t="shared" si="164"/>
        <v>12960</v>
      </c>
    </row>
    <row r="3510" spans="1:10" x14ac:dyDescent="0.45">
      <c r="A3510" t="s">
        <v>3148</v>
      </c>
      <c r="B3510" s="1">
        <v>45889</v>
      </c>
      <c r="C3510" t="s">
        <v>4007</v>
      </c>
      <c r="D3510" t="s">
        <v>5015</v>
      </c>
      <c r="E3510">
        <v>48000</v>
      </c>
      <c r="F3510">
        <v>2</v>
      </c>
      <c r="G3510">
        <f t="shared" si="162"/>
        <v>96000</v>
      </c>
      <c r="H3510" t="s">
        <v>17</v>
      </c>
      <c r="I3510">
        <f t="shared" si="163"/>
        <v>57600</v>
      </c>
      <c r="J3510">
        <f t="shared" si="164"/>
        <v>115200</v>
      </c>
    </row>
    <row r="3511" spans="1:10" x14ac:dyDescent="0.45">
      <c r="A3511" t="s">
        <v>3923</v>
      </c>
      <c r="B3511" s="1">
        <v>45889</v>
      </c>
      <c r="C3511" t="s">
        <v>4007</v>
      </c>
      <c r="D3511" t="s">
        <v>2773</v>
      </c>
      <c r="E3511">
        <v>3300</v>
      </c>
      <c r="F3511">
        <v>1</v>
      </c>
      <c r="G3511">
        <f t="shared" si="162"/>
        <v>3300</v>
      </c>
      <c r="H3511" t="s">
        <v>7</v>
      </c>
      <c r="I3511">
        <f t="shared" si="163"/>
        <v>3960</v>
      </c>
      <c r="J3511">
        <f t="shared" si="164"/>
        <v>3960</v>
      </c>
    </row>
    <row r="3512" spans="1:10" x14ac:dyDescent="0.45">
      <c r="A3512" t="s">
        <v>1775</v>
      </c>
      <c r="B3512" s="1">
        <v>45890</v>
      </c>
      <c r="C3512" t="s">
        <v>9</v>
      </c>
      <c r="D3512" t="s">
        <v>10</v>
      </c>
      <c r="E3512">
        <v>400</v>
      </c>
      <c r="F3512">
        <v>8</v>
      </c>
      <c r="G3512">
        <f t="shared" si="162"/>
        <v>3200</v>
      </c>
      <c r="H3512" t="s">
        <v>7</v>
      </c>
      <c r="I3512">
        <f t="shared" si="163"/>
        <v>480</v>
      </c>
      <c r="J3512">
        <f t="shared" si="164"/>
        <v>3840</v>
      </c>
    </row>
    <row r="3513" spans="1:10" x14ac:dyDescent="0.45">
      <c r="A3513" t="s">
        <v>1776</v>
      </c>
      <c r="B3513" s="1">
        <v>45890</v>
      </c>
      <c r="C3513" t="s">
        <v>4007</v>
      </c>
      <c r="D3513" t="s">
        <v>28</v>
      </c>
      <c r="E3513">
        <v>500</v>
      </c>
      <c r="F3513">
        <v>2</v>
      </c>
      <c r="G3513">
        <f t="shared" si="162"/>
        <v>1000</v>
      </c>
      <c r="H3513" t="s">
        <v>17</v>
      </c>
      <c r="I3513">
        <f t="shared" si="163"/>
        <v>600</v>
      </c>
      <c r="J3513">
        <f t="shared" si="164"/>
        <v>1200</v>
      </c>
    </row>
    <row r="3514" spans="1:10" x14ac:dyDescent="0.45">
      <c r="A3514" t="s">
        <v>1777</v>
      </c>
      <c r="B3514" s="1">
        <v>45890</v>
      </c>
      <c r="C3514" t="s">
        <v>12</v>
      </c>
      <c r="D3514" t="s">
        <v>5022</v>
      </c>
      <c r="E3514">
        <v>2880</v>
      </c>
      <c r="F3514">
        <v>7</v>
      </c>
      <c r="G3514">
        <f t="shared" si="162"/>
        <v>20160</v>
      </c>
      <c r="H3514" t="s">
        <v>21</v>
      </c>
      <c r="I3514">
        <f t="shared" si="163"/>
        <v>3456</v>
      </c>
      <c r="J3514">
        <f t="shared" si="164"/>
        <v>24192</v>
      </c>
    </row>
    <row r="3515" spans="1:10" x14ac:dyDescent="0.45">
      <c r="A3515" t="s">
        <v>1778</v>
      </c>
      <c r="B3515" s="1">
        <v>45890</v>
      </c>
      <c r="C3515" t="s">
        <v>9</v>
      </c>
      <c r="D3515" t="s">
        <v>10</v>
      </c>
      <c r="E3515">
        <v>400</v>
      </c>
      <c r="F3515">
        <v>10</v>
      </c>
      <c r="G3515">
        <f t="shared" si="162"/>
        <v>4000</v>
      </c>
      <c r="H3515" t="s">
        <v>7</v>
      </c>
      <c r="I3515">
        <f t="shared" si="163"/>
        <v>480</v>
      </c>
      <c r="J3515">
        <f t="shared" si="164"/>
        <v>4800</v>
      </c>
    </row>
    <row r="3516" spans="1:10" x14ac:dyDescent="0.45">
      <c r="A3516" t="s">
        <v>1779</v>
      </c>
      <c r="B3516" s="1">
        <v>45890</v>
      </c>
      <c r="C3516" t="s">
        <v>4007</v>
      </c>
      <c r="D3516" t="s">
        <v>4005</v>
      </c>
      <c r="E3516">
        <v>60000</v>
      </c>
      <c r="F3516">
        <v>3</v>
      </c>
      <c r="G3516">
        <f t="shared" si="162"/>
        <v>180000</v>
      </c>
      <c r="H3516" t="s">
        <v>21</v>
      </c>
      <c r="I3516">
        <f t="shared" si="163"/>
        <v>72000</v>
      </c>
      <c r="J3516">
        <f t="shared" si="164"/>
        <v>216000</v>
      </c>
    </row>
    <row r="3517" spans="1:10" x14ac:dyDescent="0.45">
      <c r="A3517" t="s">
        <v>1780</v>
      </c>
      <c r="B3517" s="1">
        <v>45890</v>
      </c>
      <c r="C3517" t="s">
        <v>33</v>
      </c>
      <c r="D3517" t="s">
        <v>42</v>
      </c>
      <c r="E3517">
        <v>6900</v>
      </c>
      <c r="F3517">
        <v>3</v>
      </c>
      <c r="G3517">
        <f t="shared" si="162"/>
        <v>20700</v>
      </c>
      <c r="H3517" t="s">
        <v>17</v>
      </c>
      <c r="I3517">
        <f t="shared" si="163"/>
        <v>8280</v>
      </c>
      <c r="J3517">
        <f t="shared" si="164"/>
        <v>24840</v>
      </c>
    </row>
    <row r="3518" spans="1:10" x14ac:dyDescent="0.45">
      <c r="A3518" t="s">
        <v>2889</v>
      </c>
      <c r="B3518" s="1">
        <v>45890</v>
      </c>
      <c r="C3518" t="s">
        <v>2772</v>
      </c>
      <c r="D3518" t="s">
        <v>2771</v>
      </c>
      <c r="E3518">
        <v>120</v>
      </c>
      <c r="F3518">
        <v>4</v>
      </c>
      <c r="G3518">
        <f t="shared" si="162"/>
        <v>480</v>
      </c>
      <c r="H3518" t="s">
        <v>7</v>
      </c>
      <c r="I3518">
        <f t="shared" si="163"/>
        <v>144</v>
      </c>
      <c r="J3518">
        <f t="shared" si="164"/>
        <v>576</v>
      </c>
    </row>
    <row r="3519" spans="1:10" x14ac:dyDescent="0.45">
      <c r="A3519" t="s">
        <v>2919</v>
      </c>
      <c r="B3519" s="1">
        <v>45890</v>
      </c>
      <c r="C3519" t="s">
        <v>4007</v>
      </c>
      <c r="D3519" t="s">
        <v>5015</v>
      </c>
      <c r="E3519">
        <v>48000</v>
      </c>
      <c r="F3519">
        <v>1</v>
      </c>
      <c r="G3519">
        <f t="shared" si="162"/>
        <v>48000</v>
      </c>
      <c r="H3519" t="s">
        <v>17</v>
      </c>
      <c r="I3519">
        <f t="shared" si="163"/>
        <v>57600</v>
      </c>
      <c r="J3519">
        <f t="shared" si="164"/>
        <v>57600</v>
      </c>
    </row>
    <row r="3520" spans="1:10" x14ac:dyDescent="0.45">
      <c r="A3520" t="s">
        <v>2990</v>
      </c>
      <c r="B3520" s="1">
        <v>45890</v>
      </c>
      <c r="C3520" t="s">
        <v>4007</v>
      </c>
      <c r="D3520" t="s">
        <v>2770</v>
      </c>
      <c r="E3520">
        <v>600</v>
      </c>
      <c r="F3520">
        <v>7</v>
      </c>
      <c r="G3520">
        <f t="shared" si="162"/>
        <v>4200</v>
      </c>
      <c r="H3520" t="s">
        <v>21</v>
      </c>
      <c r="I3520">
        <f t="shared" si="163"/>
        <v>720</v>
      </c>
      <c r="J3520">
        <f t="shared" si="164"/>
        <v>5040</v>
      </c>
    </row>
    <row r="3521" spans="1:10" x14ac:dyDescent="0.45">
      <c r="A3521" t="s">
        <v>3539</v>
      </c>
      <c r="B3521" s="1">
        <v>45890</v>
      </c>
      <c r="C3521" t="s">
        <v>4007</v>
      </c>
      <c r="D3521" t="s">
        <v>5015</v>
      </c>
      <c r="E3521">
        <v>48000</v>
      </c>
      <c r="F3521">
        <v>2</v>
      </c>
      <c r="G3521">
        <f t="shared" si="162"/>
        <v>96000</v>
      </c>
      <c r="H3521" t="s">
        <v>7</v>
      </c>
      <c r="I3521">
        <f t="shared" si="163"/>
        <v>57600</v>
      </c>
      <c r="J3521">
        <f t="shared" si="164"/>
        <v>115200</v>
      </c>
    </row>
    <row r="3522" spans="1:10" x14ac:dyDescent="0.45">
      <c r="A3522" t="s">
        <v>3552</v>
      </c>
      <c r="B3522" s="1">
        <v>45890</v>
      </c>
      <c r="C3522" t="s">
        <v>4007</v>
      </c>
      <c r="D3522" t="s">
        <v>2773</v>
      </c>
      <c r="E3522">
        <v>3300</v>
      </c>
      <c r="F3522">
        <v>10</v>
      </c>
      <c r="G3522">
        <f t="shared" ref="G3522:G3585" si="165">E3522*F3522</f>
        <v>33000</v>
      </c>
      <c r="H3522" t="s">
        <v>7</v>
      </c>
      <c r="I3522">
        <f t="shared" ref="I3522:I3585" si="166">E3522*1.2</f>
        <v>3960</v>
      </c>
      <c r="J3522">
        <f t="shared" ref="J3522:J3585" si="167">I3522*F3522</f>
        <v>39600</v>
      </c>
    </row>
    <row r="3523" spans="1:10" x14ac:dyDescent="0.45">
      <c r="A3523" t="s">
        <v>1781</v>
      </c>
      <c r="B3523" s="1">
        <v>45891</v>
      </c>
      <c r="C3523" t="s">
        <v>9</v>
      </c>
      <c r="D3523" t="s">
        <v>10</v>
      </c>
      <c r="E3523">
        <v>400</v>
      </c>
      <c r="F3523">
        <v>4</v>
      </c>
      <c r="G3523">
        <f t="shared" si="165"/>
        <v>1600</v>
      </c>
      <c r="H3523" t="s">
        <v>7</v>
      </c>
      <c r="I3523">
        <f t="shared" si="166"/>
        <v>480</v>
      </c>
      <c r="J3523">
        <f t="shared" si="167"/>
        <v>1920</v>
      </c>
    </row>
    <row r="3524" spans="1:10" x14ac:dyDescent="0.45">
      <c r="A3524" t="s">
        <v>1782</v>
      </c>
      <c r="B3524" s="1">
        <v>45891</v>
      </c>
      <c r="C3524" t="s">
        <v>33</v>
      </c>
      <c r="D3524" t="s">
        <v>14</v>
      </c>
      <c r="E3524">
        <v>800</v>
      </c>
      <c r="F3524">
        <v>4</v>
      </c>
      <c r="G3524">
        <f t="shared" si="165"/>
        <v>3200</v>
      </c>
      <c r="H3524" t="s">
        <v>17</v>
      </c>
      <c r="I3524">
        <f t="shared" si="166"/>
        <v>960</v>
      </c>
      <c r="J3524">
        <f t="shared" si="167"/>
        <v>3840</v>
      </c>
    </row>
    <row r="3525" spans="1:10" x14ac:dyDescent="0.45">
      <c r="A3525" t="s">
        <v>1783</v>
      </c>
      <c r="B3525" s="1">
        <v>45891</v>
      </c>
      <c r="C3525" t="s">
        <v>4007</v>
      </c>
      <c r="D3525" t="s">
        <v>4005</v>
      </c>
      <c r="E3525">
        <v>60000</v>
      </c>
      <c r="F3525">
        <v>3</v>
      </c>
      <c r="G3525">
        <f t="shared" si="165"/>
        <v>180000</v>
      </c>
      <c r="H3525" t="s">
        <v>17</v>
      </c>
      <c r="I3525">
        <f t="shared" si="166"/>
        <v>72000</v>
      </c>
      <c r="J3525">
        <f t="shared" si="167"/>
        <v>216000</v>
      </c>
    </row>
    <row r="3526" spans="1:10" x14ac:dyDescent="0.45">
      <c r="A3526" t="s">
        <v>1784</v>
      </c>
      <c r="B3526" s="1">
        <v>45891</v>
      </c>
      <c r="C3526" t="s">
        <v>12</v>
      </c>
      <c r="D3526" t="s">
        <v>5022</v>
      </c>
      <c r="E3526">
        <v>2880</v>
      </c>
      <c r="F3526">
        <v>8</v>
      </c>
      <c r="G3526">
        <f t="shared" si="165"/>
        <v>23040</v>
      </c>
      <c r="H3526" t="s">
        <v>21</v>
      </c>
      <c r="I3526">
        <f t="shared" si="166"/>
        <v>3456</v>
      </c>
      <c r="J3526">
        <f t="shared" si="167"/>
        <v>27648</v>
      </c>
    </row>
    <row r="3527" spans="1:10" x14ac:dyDescent="0.45">
      <c r="A3527" t="s">
        <v>1785</v>
      </c>
      <c r="B3527" s="1">
        <v>45891</v>
      </c>
      <c r="C3527" t="s">
        <v>33</v>
      </c>
      <c r="D3527" t="s">
        <v>14</v>
      </c>
      <c r="E3527">
        <v>800</v>
      </c>
      <c r="F3527">
        <v>9</v>
      </c>
      <c r="G3527">
        <f t="shared" si="165"/>
        <v>7200</v>
      </c>
      <c r="H3527" t="s">
        <v>21</v>
      </c>
      <c r="I3527">
        <f t="shared" si="166"/>
        <v>960</v>
      </c>
      <c r="J3527">
        <f t="shared" si="167"/>
        <v>8640</v>
      </c>
    </row>
    <row r="3528" spans="1:10" x14ac:dyDescent="0.45">
      <c r="A3528" t="s">
        <v>1786</v>
      </c>
      <c r="B3528" s="1">
        <v>45891</v>
      </c>
      <c r="C3528" t="s">
        <v>4007</v>
      </c>
      <c r="D3528" t="s">
        <v>5015</v>
      </c>
      <c r="E3528">
        <v>48000</v>
      </c>
      <c r="F3528">
        <v>8</v>
      </c>
      <c r="G3528">
        <f t="shared" si="165"/>
        <v>384000</v>
      </c>
      <c r="H3528" t="s">
        <v>17</v>
      </c>
      <c r="I3528">
        <f t="shared" si="166"/>
        <v>57600</v>
      </c>
      <c r="J3528">
        <f t="shared" si="167"/>
        <v>460800</v>
      </c>
    </row>
    <row r="3529" spans="1:10" x14ac:dyDescent="0.45">
      <c r="A3529" t="s">
        <v>1787</v>
      </c>
      <c r="B3529" s="1">
        <v>45891</v>
      </c>
      <c r="C3529" t="s">
        <v>4007</v>
      </c>
      <c r="D3529" t="s">
        <v>28</v>
      </c>
      <c r="E3529">
        <v>500</v>
      </c>
      <c r="F3529">
        <v>5</v>
      </c>
      <c r="G3529">
        <f t="shared" si="165"/>
        <v>2500</v>
      </c>
      <c r="H3529" t="s">
        <v>7</v>
      </c>
      <c r="I3529">
        <f t="shared" si="166"/>
        <v>600</v>
      </c>
      <c r="J3529">
        <f t="shared" si="167"/>
        <v>3000</v>
      </c>
    </row>
    <row r="3530" spans="1:10" x14ac:dyDescent="0.45">
      <c r="A3530" t="s">
        <v>1788</v>
      </c>
      <c r="B3530" s="1">
        <v>45891</v>
      </c>
      <c r="C3530" t="s">
        <v>9</v>
      </c>
      <c r="D3530" t="s">
        <v>10</v>
      </c>
      <c r="E3530">
        <v>400</v>
      </c>
      <c r="F3530">
        <v>10</v>
      </c>
      <c r="G3530">
        <f t="shared" si="165"/>
        <v>4000</v>
      </c>
      <c r="H3530" t="s">
        <v>17</v>
      </c>
      <c r="I3530">
        <f t="shared" si="166"/>
        <v>480</v>
      </c>
      <c r="J3530">
        <f t="shared" si="167"/>
        <v>4800</v>
      </c>
    </row>
    <row r="3531" spans="1:10" x14ac:dyDescent="0.45">
      <c r="A3531" t="s">
        <v>1789</v>
      </c>
      <c r="B3531" s="1">
        <v>45891</v>
      </c>
      <c r="C3531" t="s">
        <v>12</v>
      </c>
      <c r="D3531" t="s">
        <v>5023</v>
      </c>
      <c r="E3531">
        <v>1750</v>
      </c>
      <c r="F3531">
        <v>3</v>
      </c>
      <c r="G3531">
        <f t="shared" si="165"/>
        <v>5250</v>
      </c>
      <c r="H3531" t="s">
        <v>7</v>
      </c>
      <c r="I3531">
        <f t="shared" si="166"/>
        <v>2100</v>
      </c>
      <c r="J3531">
        <f t="shared" si="167"/>
        <v>6300</v>
      </c>
    </row>
    <row r="3532" spans="1:10" x14ac:dyDescent="0.45">
      <c r="A3532" t="s">
        <v>1790</v>
      </c>
      <c r="B3532" s="1">
        <v>45891</v>
      </c>
      <c r="C3532" t="s">
        <v>33</v>
      </c>
      <c r="D3532" t="s">
        <v>42</v>
      </c>
      <c r="E3532">
        <v>6900</v>
      </c>
      <c r="F3532">
        <v>9</v>
      </c>
      <c r="G3532">
        <f t="shared" si="165"/>
        <v>62100</v>
      </c>
      <c r="H3532" t="s">
        <v>17</v>
      </c>
      <c r="I3532">
        <f t="shared" si="166"/>
        <v>8280</v>
      </c>
      <c r="J3532">
        <f t="shared" si="167"/>
        <v>74520</v>
      </c>
    </row>
    <row r="3533" spans="1:10" x14ac:dyDescent="0.45">
      <c r="A3533" t="s">
        <v>3167</v>
      </c>
      <c r="B3533" s="1">
        <v>45891</v>
      </c>
      <c r="C3533" t="s">
        <v>4007</v>
      </c>
      <c r="D3533" t="s">
        <v>28</v>
      </c>
      <c r="E3533">
        <v>500</v>
      </c>
      <c r="F3533">
        <v>1</v>
      </c>
      <c r="G3533">
        <f t="shared" si="165"/>
        <v>500</v>
      </c>
      <c r="H3533" t="s">
        <v>17</v>
      </c>
      <c r="I3533">
        <f t="shared" si="166"/>
        <v>600</v>
      </c>
      <c r="J3533">
        <f t="shared" si="167"/>
        <v>600</v>
      </c>
    </row>
    <row r="3534" spans="1:10" x14ac:dyDescent="0.45">
      <c r="A3534" t="s">
        <v>3371</v>
      </c>
      <c r="B3534" s="1">
        <v>45891</v>
      </c>
      <c r="C3534" t="s">
        <v>4007</v>
      </c>
      <c r="D3534" t="s">
        <v>28</v>
      </c>
      <c r="E3534">
        <v>500</v>
      </c>
      <c r="F3534">
        <v>6</v>
      </c>
      <c r="G3534">
        <f t="shared" si="165"/>
        <v>3000</v>
      </c>
      <c r="H3534" t="s">
        <v>17</v>
      </c>
      <c r="I3534">
        <f t="shared" si="166"/>
        <v>600</v>
      </c>
      <c r="J3534">
        <f t="shared" si="167"/>
        <v>3600</v>
      </c>
    </row>
    <row r="3535" spans="1:10" x14ac:dyDescent="0.45">
      <c r="A3535" t="s">
        <v>3814</v>
      </c>
      <c r="B3535" s="1">
        <v>45891</v>
      </c>
      <c r="C3535" t="s">
        <v>4007</v>
      </c>
      <c r="D3535" t="s">
        <v>2774</v>
      </c>
      <c r="E3535">
        <v>1900</v>
      </c>
      <c r="F3535">
        <v>5</v>
      </c>
      <c r="G3535">
        <f t="shared" si="165"/>
        <v>9500</v>
      </c>
      <c r="H3535" t="s">
        <v>21</v>
      </c>
      <c r="I3535">
        <f t="shared" si="166"/>
        <v>2280</v>
      </c>
      <c r="J3535">
        <f t="shared" si="167"/>
        <v>11400</v>
      </c>
    </row>
    <row r="3536" spans="1:10" x14ac:dyDescent="0.45">
      <c r="A3536" t="s">
        <v>3815</v>
      </c>
      <c r="B3536" s="1">
        <v>45891</v>
      </c>
      <c r="C3536" t="s">
        <v>4007</v>
      </c>
      <c r="D3536" t="s">
        <v>5015</v>
      </c>
      <c r="E3536">
        <v>48000</v>
      </c>
      <c r="F3536">
        <v>10</v>
      </c>
      <c r="G3536">
        <f t="shared" si="165"/>
        <v>480000</v>
      </c>
      <c r="H3536" t="s">
        <v>17</v>
      </c>
      <c r="I3536">
        <f t="shared" si="166"/>
        <v>57600</v>
      </c>
      <c r="J3536">
        <f t="shared" si="167"/>
        <v>576000</v>
      </c>
    </row>
    <row r="3537" spans="1:10" x14ac:dyDescent="0.45">
      <c r="A3537" t="s">
        <v>1791</v>
      </c>
      <c r="B3537" s="1">
        <v>45892</v>
      </c>
      <c r="C3537" t="s">
        <v>9</v>
      </c>
      <c r="D3537" t="s">
        <v>10</v>
      </c>
      <c r="E3537">
        <v>400</v>
      </c>
      <c r="F3537">
        <v>5</v>
      </c>
      <c r="G3537">
        <f t="shared" si="165"/>
        <v>2000</v>
      </c>
      <c r="H3537" t="s">
        <v>17</v>
      </c>
      <c r="I3537">
        <f t="shared" si="166"/>
        <v>480</v>
      </c>
      <c r="J3537">
        <f t="shared" si="167"/>
        <v>2400</v>
      </c>
    </row>
    <row r="3538" spans="1:10" x14ac:dyDescent="0.45">
      <c r="A3538" t="s">
        <v>1792</v>
      </c>
      <c r="B3538" s="1">
        <v>45892</v>
      </c>
      <c r="C3538" t="s">
        <v>12</v>
      </c>
      <c r="D3538" t="s">
        <v>5020</v>
      </c>
      <c r="E3538">
        <v>2880</v>
      </c>
      <c r="F3538">
        <v>8</v>
      </c>
      <c r="G3538">
        <f t="shared" si="165"/>
        <v>23040</v>
      </c>
      <c r="H3538" t="s">
        <v>7</v>
      </c>
      <c r="I3538">
        <f t="shared" si="166"/>
        <v>3456</v>
      </c>
      <c r="J3538">
        <f t="shared" si="167"/>
        <v>27648</v>
      </c>
    </row>
    <row r="3539" spans="1:10" x14ac:dyDescent="0.45">
      <c r="A3539" t="s">
        <v>1793</v>
      </c>
      <c r="B3539" s="1">
        <v>45892</v>
      </c>
      <c r="C3539" t="s">
        <v>9</v>
      </c>
      <c r="D3539" t="s">
        <v>10</v>
      </c>
      <c r="E3539">
        <v>400</v>
      </c>
      <c r="F3539">
        <v>3</v>
      </c>
      <c r="G3539">
        <f t="shared" si="165"/>
        <v>1200</v>
      </c>
      <c r="H3539" t="s">
        <v>7</v>
      </c>
      <c r="I3539">
        <f t="shared" si="166"/>
        <v>480</v>
      </c>
      <c r="J3539">
        <f t="shared" si="167"/>
        <v>1440</v>
      </c>
    </row>
    <row r="3540" spans="1:10" x14ac:dyDescent="0.45">
      <c r="A3540" t="s">
        <v>1794</v>
      </c>
      <c r="B3540" s="1">
        <v>45892</v>
      </c>
      <c r="C3540" t="s">
        <v>12</v>
      </c>
      <c r="D3540" t="s">
        <v>5021</v>
      </c>
      <c r="E3540">
        <v>2880</v>
      </c>
      <c r="F3540">
        <v>7</v>
      </c>
      <c r="G3540">
        <f t="shared" si="165"/>
        <v>20160</v>
      </c>
      <c r="H3540" t="s">
        <v>17</v>
      </c>
      <c r="I3540">
        <f t="shared" si="166"/>
        <v>3456</v>
      </c>
      <c r="J3540">
        <f t="shared" si="167"/>
        <v>24192</v>
      </c>
    </row>
    <row r="3541" spans="1:10" x14ac:dyDescent="0.45">
      <c r="A3541" t="s">
        <v>1795</v>
      </c>
      <c r="B3541" s="1">
        <v>45892</v>
      </c>
      <c r="C3541" t="s">
        <v>12</v>
      </c>
      <c r="D3541" t="s">
        <v>5020</v>
      </c>
      <c r="E3541">
        <v>2880</v>
      </c>
      <c r="F3541">
        <v>8</v>
      </c>
      <c r="G3541">
        <f t="shared" si="165"/>
        <v>23040</v>
      </c>
      <c r="H3541" t="s">
        <v>21</v>
      </c>
      <c r="I3541">
        <f t="shared" si="166"/>
        <v>3456</v>
      </c>
      <c r="J3541">
        <f t="shared" si="167"/>
        <v>27648</v>
      </c>
    </row>
    <row r="3542" spans="1:10" x14ac:dyDescent="0.45">
      <c r="A3542" t="s">
        <v>1796</v>
      </c>
      <c r="B3542" s="1">
        <v>45892</v>
      </c>
      <c r="C3542" t="s">
        <v>33</v>
      </c>
      <c r="D3542" t="s">
        <v>14</v>
      </c>
      <c r="E3542">
        <v>800</v>
      </c>
      <c r="F3542">
        <v>3</v>
      </c>
      <c r="G3542">
        <f t="shared" si="165"/>
        <v>2400</v>
      </c>
      <c r="H3542" t="s">
        <v>7</v>
      </c>
      <c r="I3542">
        <f t="shared" si="166"/>
        <v>960</v>
      </c>
      <c r="J3542">
        <f t="shared" si="167"/>
        <v>2880</v>
      </c>
    </row>
    <row r="3543" spans="1:10" x14ac:dyDescent="0.45">
      <c r="A3543" t="s">
        <v>1797</v>
      </c>
      <c r="B3543" s="1">
        <v>45892</v>
      </c>
      <c r="C3543" t="s">
        <v>4007</v>
      </c>
      <c r="D3543" t="s">
        <v>28</v>
      </c>
      <c r="E3543">
        <v>500</v>
      </c>
      <c r="F3543">
        <v>3</v>
      </c>
      <c r="G3543">
        <f t="shared" si="165"/>
        <v>1500</v>
      </c>
      <c r="H3543" t="s">
        <v>7</v>
      </c>
      <c r="I3543">
        <f t="shared" si="166"/>
        <v>600</v>
      </c>
      <c r="J3543">
        <f t="shared" si="167"/>
        <v>1800</v>
      </c>
    </row>
    <row r="3544" spans="1:10" x14ac:dyDescent="0.45">
      <c r="A3544" t="s">
        <v>1798</v>
      </c>
      <c r="B3544" s="1">
        <v>45892</v>
      </c>
      <c r="C3544" t="s">
        <v>33</v>
      </c>
      <c r="D3544" t="s">
        <v>42</v>
      </c>
      <c r="E3544">
        <v>6900</v>
      </c>
      <c r="F3544">
        <v>10</v>
      </c>
      <c r="G3544">
        <f t="shared" si="165"/>
        <v>69000</v>
      </c>
      <c r="H3544" t="s">
        <v>21</v>
      </c>
      <c r="I3544">
        <f t="shared" si="166"/>
        <v>8280</v>
      </c>
      <c r="J3544">
        <f t="shared" si="167"/>
        <v>82800</v>
      </c>
    </row>
    <row r="3545" spans="1:10" x14ac:dyDescent="0.45">
      <c r="A3545" t="s">
        <v>3014</v>
      </c>
      <c r="B3545" s="1">
        <v>45892</v>
      </c>
      <c r="C3545" t="s">
        <v>4007</v>
      </c>
      <c r="D3545" t="s">
        <v>5015</v>
      </c>
      <c r="E3545">
        <v>48000</v>
      </c>
      <c r="F3545">
        <v>4</v>
      </c>
      <c r="G3545">
        <f t="shared" si="165"/>
        <v>192000</v>
      </c>
      <c r="H3545" t="s">
        <v>17</v>
      </c>
      <c r="I3545">
        <f t="shared" si="166"/>
        <v>57600</v>
      </c>
      <c r="J3545">
        <f t="shared" si="167"/>
        <v>230400</v>
      </c>
    </row>
    <row r="3546" spans="1:10" x14ac:dyDescent="0.45">
      <c r="A3546" t="s">
        <v>3501</v>
      </c>
      <c r="B3546" s="1">
        <v>45892</v>
      </c>
      <c r="C3546" t="s">
        <v>33</v>
      </c>
      <c r="D3546" t="s">
        <v>14</v>
      </c>
      <c r="E3546">
        <v>800</v>
      </c>
      <c r="F3546">
        <v>7</v>
      </c>
      <c r="G3546">
        <f t="shared" si="165"/>
        <v>5600</v>
      </c>
      <c r="H3546" t="s">
        <v>17</v>
      </c>
      <c r="I3546">
        <f t="shared" si="166"/>
        <v>960</v>
      </c>
      <c r="J3546">
        <f t="shared" si="167"/>
        <v>6720</v>
      </c>
    </row>
    <row r="3547" spans="1:10" x14ac:dyDescent="0.45">
      <c r="A3547" t="s">
        <v>1799</v>
      </c>
      <c r="B3547" s="1">
        <v>45893</v>
      </c>
      <c r="C3547" t="s">
        <v>33</v>
      </c>
      <c r="D3547" t="s">
        <v>14</v>
      </c>
      <c r="E3547">
        <v>800</v>
      </c>
      <c r="F3547">
        <v>9</v>
      </c>
      <c r="G3547">
        <f t="shared" si="165"/>
        <v>7200</v>
      </c>
      <c r="H3547" t="s">
        <v>7</v>
      </c>
      <c r="I3547">
        <f t="shared" si="166"/>
        <v>960</v>
      </c>
      <c r="J3547">
        <f t="shared" si="167"/>
        <v>8640</v>
      </c>
    </row>
    <row r="3548" spans="1:10" x14ac:dyDescent="0.45">
      <c r="A3548" t="s">
        <v>1800</v>
      </c>
      <c r="B3548" s="1">
        <v>45893</v>
      </c>
      <c r="C3548" t="s">
        <v>9</v>
      </c>
      <c r="D3548" t="s">
        <v>19</v>
      </c>
      <c r="E3548">
        <v>3000</v>
      </c>
      <c r="F3548">
        <v>8</v>
      </c>
      <c r="G3548">
        <f t="shared" si="165"/>
        <v>24000</v>
      </c>
      <c r="H3548" t="s">
        <v>17</v>
      </c>
      <c r="I3548">
        <f t="shared" si="166"/>
        <v>3600</v>
      </c>
      <c r="J3548">
        <f t="shared" si="167"/>
        <v>28800</v>
      </c>
    </row>
    <row r="3549" spans="1:10" x14ac:dyDescent="0.45">
      <c r="A3549" t="s">
        <v>1801</v>
      </c>
      <c r="B3549" s="1">
        <v>45893</v>
      </c>
      <c r="C3549" t="s">
        <v>4007</v>
      </c>
      <c r="D3549" t="s">
        <v>4005</v>
      </c>
      <c r="E3549">
        <v>60000</v>
      </c>
      <c r="F3549">
        <v>6</v>
      </c>
      <c r="G3549">
        <f t="shared" si="165"/>
        <v>360000</v>
      </c>
      <c r="H3549" t="s">
        <v>7</v>
      </c>
      <c r="I3549">
        <f t="shared" si="166"/>
        <v>72000</v>
      </c>
      <c r="J3549">
        <f t="shared" si="167"/>
        <v>432000</v>
      </c>
    </row>
    <row r="3550" spans="1:10" x14ac:dyDescent="0.45">
      <c r="A3550" t="s">
        <v>1802</v>
      </c>
      <c r="B3550" s="1">
        <v>45893</v>
      </c>
      <c r="C3550" t="s">
        <v>9</v>
      </c>
      <c r="D3550" t="s">
        <v>19</v>
      </c>
      <c r="E3550">
        <v>3000</v>
      </c>
      <c r="F3550">
        <v>8</v>
      </c>
      <c r="G3550">
        <f t="shared" si="165"/>
        <v>24000</v>
      </c>
      <c r="H3550" t="s">
        <v>21</v>
      </c>
      <c r="I3550">
        <f t="shared" si="166"/>
        <v>3600</v>
      </c>
      <c r="J3550">
        <f t="shared" si="167"/>
        <v>28800</v>
      </c>
    </row>
    <row r="3551" spans="1:10" x14ac:dyDescent="0.45">
      <c r="A3551" t="s">
        <v>1803</v>
      </c>
      <c r="B3551" s="1">
        <v>45893</v>
      </c>
      <c r="C3551" t="s">
        <v>12</v>
      </c>
      <c r="D3551" t="s">
        <v>5020</v>
      </c>
      <c r="E3551">
        <v>2880</v>
      </c>
      <c r="F3551">
        <v>8</v>
      </c>
      <c r="G3551">
        <f t="shared" si="165"/>
        <v>23040</v>
      </c>
      <c r="H3551" t="s">
        <v>7</v>
      </c>
      <c r="I3551">
        <f t="shared" si="166"/>
        <v>3456</v>
      </c>
      <c r="J3551">
        <f t="shared" si="167"/>
        <v>27648</v>
      </c>
    </row>
    <row r="3552" spans="1:10" x14ac:dyDescent="0.45">
      <c r="A3552" t="s">
        <v>1804</v>
      </c>
      <c r="B3552" s="1">
        <v>45893</v>
      </c>
      <c r="C3552" t="s">
        <v>4007</v>
      </c>
      <c r="D3552" t="s">
        <v>4005</v>
      </c>
      <c r="E3552">
        <v>60000</v>
      </c>
      <c r="F3552">
        <v>7</v>
      </c>
      <c r="G3552">
        <f t="shared" si="165"/>
        <v>420000</v>
      </c>
      <c r="H3552" t="s">
        <v>17</v>
      </c>
      <c r="I3552">
        <f t="shared" si="166"/>
        <v>72000</v>
      </c>
      <c r="J3552">
        <f t="shared" si="167"/>
        <v>504000</v>
      </c>
    </row>
    <row r="3553" spans="1:10" x14ac:dyDescent="0.45">
      <c r="A3553" t="s">
        <v>1805</v>
      </c>
      <c r="B3553" s="1">
        <v>45893</v>
      </c>
      <c r="C3553" t="s">
        <v>9</v>
      </c>
      <c r="D3553" t="s">
        <v>19</v>
      </c>
      <c r="E3553">
        <v>3000</v>
      </c>
      <c r="F3553">
        <v>3</v>
      </c>
      <c r="G3553">
        <f t="shared" si="165"/>
        <v>9000</v>
      </c>
      <c r="H3553" t="s">
        <v>21</v>
      </c>
      <c r="I3553">
        <f t="shared" si="166"/>
        <v>3600</v>
      </c>
      <c r="J3553">
        <f t="shared" si="167"/>
        <v>10800</v>
      </c>
    </row>
    <row r="3554" spans="1:10" x14ac:dyDescent="0.45">
      <c r="A3554" t="s">
        <v>2936</v>
      </c>
      <c r="B3554" s="1">
        <v>45893</v>
      </c>
      <c r="C3554" t="s">
        <v>4007</v>
      </c>
      <c r="D3554" t="s">
        <v>2770</v>
      </c>
      <c r="E3554">
        <v>600</v>
      </c>
      <c r="F3554">
        <v>2</v>
      </c>
      <c r="G3554">
        <f t="shared" si="165"/>
        <v>1200</v>
      </c>
      <c r="H3554" t="s">
        <v>17</v>
      </c>
      <c r="I3554">
        <f t="shared" si="166"/>
        <v>720</v>
      </c>
      <c r="J3554">
        <f t="shared" si="167"/>
        <v>1440</v>
      </c>
    </row>
    <row r="3555" spans="1:10" x14ac:dyDescent="0.45">
      <c r="A3555" t="s">
        <v>3043</v>
      </c>
      <c r="B3555" s="1">
        <v>45893</v>
      </c>
      <c r="C3555" t="s">
        <v>2772</v>
      </c>
      <c r="D3555" t="s">
        <v>2771</v>
      </c>
      <c r="E3555">
        <v>120</v>
      </c>
      <c r="F3555">
        <v>4</v>
      </c>
      <c r="G3555">
        <f t="shared" si="165"/>
        <v>480</v>
      </c>
      <c r="H3555" t="s">
        <v>21</v>
      </c>
      <c r="I3555">
        <f t="shared" si="166"/>
        <v>144</v>
      </c>
      <c r="J3555">
        <f t="shared" si="167"/>
        <v>576</v>
      </c>
    </row>
    <row r="3556" spans="1:10" x14ac:dyDescent="0.45">
      <c r="A3556" t="s">
        <v>3059</v>
      </c>
      <c r="B3556" s="1">
        <v>45893</v>
      </c>
      <c r="C3556" t="s">
        <v>4007</v>
      </c>
      <c r="D3556" t="s">
        <v>28</v>
      </c>
      <c r="E3556">
        <v>500</v>
      </c>
      <c r="F3556">
        <v>4</v>
      </c>
      <c r="G3556">
        <f t="shared" si="165"/>
        <v>2000</v>
      </c>
      <c r="H3556" t="s">
        <v>17</v>
      </c>
      <c r="I3556">
        <f t="shared" si="166"/>
        <v>600</v>
      </c>
      <c r="J3556">
        <f t="shared" si="167"/>
        <v>2400</v>
      </c>
    </row>
    <row r="3557" spans="1:10" x14ac:dyDescent="0.45">
      <c r="A3557" t="s">
        <v>3106</v>
      </c>
      <c r="B3557" s="1">
        <v>45893</v>
      </c>
      <c r="C3557" t="s">
        <v>4007</v>
      </c>
      <c r="D3557" t="s">
        <v>2770</v>
      </c>
      <c r="E3557">
        <v>600</v>
      </c>
      <c r="F3557">
        <v>1</v>
      </c>
      <c r="G3557">
        <f t="shared" si="165"/>
        <v>600</v>
      </c>
      <c r="H3557" t="s">
        <v>21</v>
      </c>
      <c r="I3557">
        <f t="shared" si="166"/>
        <v>720</v>
      </c>
      <c r="J3557">
        <f t="shared" si="167"/>
        <v>720</v>
      </c>
    </row>
    <row r="3558" spans="1:10" x14ac:dyDescent="0.45">
      <c r="A3558" t="s">
        <v>3791</v>
      </c>
      <c r="B3558" s="1">
        <v>45893</v>
      </c>
      <c r="C3558" t="s">
        <v>33</v>
      </c>
      <c r="D3558" t="s">
        <v>14</v>
      </c>
      <c r="E3558">
        <v>800</v>
      </c>
      <c r="F3558">
        <v>6</v>
      </c>
      <c r="G3558">
        <f t="shared" si="165"/>
        <v>4800</v>
      </c>
      <c r="H3558" t="s">
        <v>7</v>
      </c>
      <c r="I3558">
        <f t="shared" si="166"/>
        <v>960</v>
      </c>
      <c r="J3558">
        <f t="shared" si="167"/>
        <v>5760</v>
      </c>
    </row>
    <row r="3559" spans="1:10" x14ac:dyDescent="0.45">
      <c r="A3559" t="s">
        <v>1806</v>
      </c>
      <c r="B3559" s="1">
        <v>45894</v>
      </c>
      <c r="C3559" t="s">
        <v>9</v>
      </c>
      <c r="D3559" t="s">
        <v>10</v>
      </c>
      <c r="E3559">
        <v>400</v>
      </c>
      <c r="F3559">
        <v>9</v>
      </c>
      <c r="G3559">
        <f t="shared" si="165"/>
        <v>3600</v>
      </c>
      <c r="H3559" t="s">
        <v>21</v>
      </c>
      <c r="I3559">
        <f t="shared" si="166"/>
        <v>480</v>
      </c>
      <c r="J3559">
        <f t="shared" si="167"/>
        <v>4320</v>
      </c>
    </row>
    <row r="3560" spans="1:10" x14ac:dyDescent="0.45">
      <c r="A3560" t="s">
        <v>1807</v>
      </c>
      <c r="B3560" s="1">
        <v>45894</v>
      </c>
      <c r="C3560" t="s">
        <v>9</v>
      </c>
      <c r="D3560" t="s">
        <v>25</v>
      </c>
      <c r="E3560">
        <v>5200</v>
      </c>
      <c r="F3560">
        <v>10</v>
      </c>
      <c r="G3560">
        <f t="shared" si="165"/>
        <v>52000</v>
      </c>
      <c r="H3560" t="s">
        <v>7</v>
      </c>
      <c r="I3560">
        <f t="shared" si="166"/>
        <v>6240</v>
      </c>
      <c r="J3560">
        <f t="shared" si="167"/>
        <v>62400</v>
      </c>
    </row>
    <row r="3561" spans="1:10" x14ac:dyDescent="0.45">
      <c r="A3561" t="s">
        <v>1808</v>
      </c>
      <c r="B3561" s="1">
        <v>45894</v>
      </c>
      <c r="C3561" t="s">
        <v>12</v>
      </c>
      <c r="D3561" t="s">
        <v>5020</v>
      </c>
      <c r="E3561">
        <v>2880</v>
      </c>
      <c r="F3561">
        <v>5</v>
      </c>
      <c r="G3561">
        <f t="shared" si="165"/>
        <v>14400</v>
      </c>
      <c r="H3561" t="s">
        <v>7</v>
      </c>
      <c r="I3561">
        <f t="shared" si="166"/>
        <v>3456</v>
      </c>
      <c r="J3561">
        <f t="shared" si="167"/>
        <v>17280</v>
      </c>
    </row>
    <row r="3562" spans="1:10" x14ac:dyDescent="0.45">
      <c r="A3562" t="s">
        <v>1809</v>
      </c>
      <c r="B3562" s="1">
        <v>45894</v>
      </c>
      <c r="C3562" t="s">
        <v>12</v>
      </c>
      <c r="D3562" t="s">
        <v>5022</v>
      </c>
      <c r="E3562">
        <v>2880</v>
      </c>
      <c r="F3562">
        <v>7</v>
      </c>
      <c r="G3562">
        <f t="shared" si="165"/>
        <v>20160</v>
      </c>
      <c r="H3562" t="s">
        <v>7</v>
      </c>
      <c r="I3562">
        <f t="shared" si="166"/>
        <v>3456</v>
      </c>
      <c r="J3562">
        <f t="shared" si="167"/>
        <v>24192</v>
      </c>
    </row>
    <row r="3563" spans="1:10" x14ac:dyDescent="0.45">
      <c r="A3563" t="s">
        <v>1810</v>
      </c>
      <c r="B3563" s="1">
        <v>45894</v>
      </c>
      <c r="C3563" t="s">
        <v>12</v>
      </c>
      <c r="D3563" t="s">
        <v>5022</v>
      </c>
      <c r="E3563">
        <v>2880</v>
      </c>
      <c r="F3563">
        <v>10</v>
      </c>
      <c r="G3563">
        <f t="shared" si="165"/>
        <v>28800</v>
      </c>
      <c r="H3563" t="s">
        <v>21</v>
      </c>
      <c r="I3563">
        <f t="shared" si="166"/>
        <v>3456</v>
      </c>
      <c r="J3563">
        <f t="shared" si="167"/>
        <v>34560</v>
      </c>
    </row>
    <row r="3564" spans="1:10" x14ac:dyDescent="0.45">
      <c r="A3564" t="s">
        <v>1811</v>
      </c>
      <c r="B3564" s="1">
        <v>45894</v>
      </c>
      <c r="C3564" t="s">
        <v>33</v>
      </c>
      <c r="D3564" t="s">
        <v>34</v>
      </c>
      <c r="E3564">
        <v>1700</v>
      </c>
      <c r="F3564">
        <v>3</v>
      </c>
      <c r="G3564">
        <f t="shared" si="165"/>
        <v>5100</v>
      </c>
      <c r="H3564" t="s">
        <v>7</v>
      </c>
      <c r="I3564">
        <f t="shared" si="166"/>
        <v>2040</v>
      </c>
      <c r="J3564">
        <f t="shared" si="167"/>
        <v>6120</v>
      </c>
    </row>
    <row r="3565" spans="1:10" x14ac:dyDescent="0.45">
      <c r="A3565" t="s">
        <v>3076</v>
      </c>
      <c r="B3565" s="1">
        <v>45894</v>
      </c>
      <c r="C3565" t="s">
        <v>2772</v>
      </c>
      <c r="D3565" t="s">
        <v>2771</v>
      </c>
      <c r="E3565">
        <v>120</v>
      </c>
      <c r="F3565">
        <v>10</v>
      </c>
      <c r="G3565">
        <f t="shared" si="165"/>
        <v>1200</v>
      </c>
      <c r="H3565" t="s">
        <v>17</v>
      </c>
      <c r="I3565">
        <f t="shared" si="166"/>
        <v>144</v>
      </c>
      <c r="J3565">
        <f t="shared" si="167"/>
        <v>1440</v>
      </c>
    </row>
    <row r="3566" spans="1:10" x14ac:dyDescent="0.45">
      <c r="A3566" t="s">
        <v>3163</v>
      </c>
      <c r="B3566" s="1">
        <v>45894</v>
      </c>
      <c r="C3566" t="s">
        <v>33</v>
      </c>
      <c r="D3566" t="s">
        <v>14</v>
      </c>
      <c r="E3566">
        <v>800</v>
      </c>
      <c r="F3566">
        <v>9</v>
      </c>
      <c r="G3566">
        <f t="shared" si="165"/>
        <v>7200</v>
      </c>
      <c r="H3566" t="s">
        <v>21</v>
      </c>
      <c r="I3566">
        <f t="shared" si="166"/>
        <v>960</v>
      </c>
      <c r="J3566">
        <f t="shared" si="167"/>
        <v>8640</v>
      </c>
    </row>
    <row r="3567" spans="1:10" x14ac:dyDescent="0.45">
      <c r="A3567" t="s">
        <v>3482</v>
      </c>
      <c r="B3567" s="1">
        <v>45894</v>
      </c>
      <c r="C3567" t="s">
        <v>4007</v>
      </c>
      <c r="D3567" t="s">
        <v>2770</v>
      </c>
      <c r="E3567">
        <v>600</v>
      </c>
      <c r="F3567">
        <v>6</v>
      </c>
      <c r="G3567">
        <f t="shared" si="165"/>
        <v>3600</v>
      </c>
      <c r="H3567" t="s">
        <v>21</v>
      </c>
      <c r="I3567">
        <f t="shared" si="166"/>
        <v>720</v>
      </c>
      <c r="J3567">
        <f t="shared" si="167"/>
        <v>4320</v>
      </c>
    </row>
    <row r="3568" spans="1:10" x14ac:dyDescent="0.45">
      <c r="A3568" t="s">
        <v>1812</v>
      </c>
      <c r="B3568" s="1">
        <v>45895</v>
      </c>
      <c r="C3568" t="s">
        <v>4007</v>
      </c>
      <c r="D3568" t="s">
        <v>28</v>
      </c>
      <c r="E3568">
        <v>500</v>
      </c>
      <c r="F3568">
        <v>5</v>
      </c>
      <c r="G3568">
        <f t="shared" si="165"/>
        <v>2500</v>
      </c>
      <c r="H3568" t="s">
        <v>21</v>
      </c>
      <c r="I3568">
        <f t="shared" si="166"/>
        <v>600</v>
      </c>
      <c r="J3568">
        <f t="shared" si="167"/>
        <v>3000</v>
      </c>
    </row>
    <row r="3569" spans="1:10" x14ac:dyDescent="0.45">
      <c r="A3569" t="s">
        <v>1813</v>
      </c>
      <c r="B3569" s="1">
        <v>45895</v>
      </c>
      <c r="C3569" t="s">
        <v>33</v>
      </c>
      <c r="D3569" t="s">
        <v>16</v>
      </c>
      <c r="E3569">
        <v>1200</v>
      </c>
      <c r="F3569">
        <v>7</v>
      </c>
      <c r="G3569">
        <f t="shared" si="165"/>
        <v>8400</v>
      </c>
      <c r="H3569" t="s">
        <v>21</v>
      </c>
      <c r="I3569">
        <f t="shared" si="166"/>
        <v>1440</v>
      </c>
      <c r="J3569">
        <f t="shared" si="167"/>
        <v>10080</v>
      </c>
    </row>
    <row r="3570" spans="1:10" x14ac:dyDescent="0.45">
      <c r="A3570" t="s">
        <v>1814</v>
      </c>
      <c r="B3570" s="1">
        <v>45895</v>
      </c>
      <c r="C3570" t="s">
        <v>12</v>
      </c>
      <c r="D3570" t="s">
        <v>5022</v>
      </c>
      <c r="E3570">
        <v>2880</v>
      </c>
      <c r="F3570">
        <v>2</v>
      </c>
      <c r="G3570">
        <f t="shared" si="165"/>
        <v>5760</v>
      </c>
      <c r="H3570" t="s">
        <v>21</v>
      </c>
      <c r="I3570">
        <f t="shared" si="166"/>
        <v>3456</v>
      </c>
      <c r="J3570">
        <f t="shared" si="167"/>
        <v>6912</v>
      </c>
    </row>
    <row r="3571" spans="1:10" x14ac:dyDescent="0.45">
      <c r="A3571" t="s">
        <v>1815</v>
      </c>
      <c r="B3571" s="1">
        <v>45895</v>
      </c>
      <c r="C3571" t="s">
        <v>9</v>
      </c>
      <c r="D3571" t="s">
        <v>19</v>
      </c>
      <c r="E3571">
        <v>3000</v>
      </c>
      <c r="F3571">
        <v>4</v>
      </c>
      <c r="G3571">
        <f t="shared" si="165"/>
        <v>12000</v>
      </c>
      <c r="H3571" t="s">
        <v>21</v>
      </c>
      <c r="I3571">
        <f t="shared" si="166"/>
        <v>3600</v>
      </c>
      <c r="J3571">
        <f t="shared" si="167"/>
        <v>14400</v>
      </c>
    </row>
    <row r="3572" spans="1:10" x14ac:dyDescent="0.45">
      <c r="A3572" t="s">
        <v>1816</v>
      </c>
      <c r="B3572" s="1">
        <v>45895</v>
      </c>
      <c r="C3572" t="s">
        <v>4007</v>
      </c>
      <c r="D3572" t="s">
        <v>4005</v>
      </c>
      <c r="E3572">
        <v>60000</v>
      </c>
      <c r="F3572">
        <v>4</v>
      </c>
      <c r="G3572">
        <f t="shared" si="165"/>
        <v>240000</v>
      </c>
      <c r="H3572" t="s">
        <v>17</v>
      </c>
      <c r="I3572">
        <f t="shared" si="166"/>
        <v>72000</v>
      </c>
      <c r="J3572">
        <f t="shared" si="167"/>
        <v>288000</v>
      </c>
    </row>
    <row r="3573" spans="1:10" x14ac:dyDescent="0.45">
      <c r="A3573" t="s">
        <v>1817</v>
      </c>
      <c r="B3573" s="1">
        <v>45895</v>
      </c>
      <c r="C3573" t="s">
        <v>9</v>
      </c>
      <c r="D3573" t="s">
        <v>10</v>
      </c>
      <c r="E3573">
        <v>400</v>
      </c>
      <c r="F3573">
        <v>3</v>
      </c>
      <c r="G3573">
        <f t="shared" si="165"/>
        <v>1200</v>
      </c>
      <c r="H3573" t="s">
        <v>21</v>
      </c>
      <c r="I3573">
        <f t="shared" si="166"/>
        <v>480</v>
      </c>
      <c r="J3573">
        <f t="shared" si="167"/>
        <v>1440</v>
      </c>
    </row>
    <row r="3574" spans="1:10" x14ac:dyDescent="0.45">
      <c r="A3574" t="s">
        <v>1818</v>
      </c>
      <c r="B3574" s="1">
        <v>45895</v>
      </c>
      <c r="C3574" t="s">
        <v>9</v>
      </c>
      <c r="D3574" t="s">
        <v>19</v>
      </c>
      <c r="E3574">
        <v>3000</v>
      </c>
      <c r="F3574">
        <v>6</v>
      </c>
      <c r="G3574">
        <f t="shared" si="165"/>
        <v>18000</v>
      </c>
      <c r="H3574" t="s">
        <v>21</v>
      </c>
      <c r="I3574">
        <f t="shared" si="166"/>
        <v>3600</v>
      </c>
      <c r="J3574">
        <f t="shared" si="167"/>
        <v>21600</v>
      </c>
    </row>
    <row r="3575" spans="1:10" x14ac:dyDescent="0.45">
      <c r="A3575" t="s">
        <v>1819</v>
      </c>
      <c r="B3575" s="1">
        <v>45895</v>
      </c>
      <c r="C3575" t="s">
        <v>9</v>
      </c>
      <c r="D3575" t="s">
        <v>19</v>
      </c>
      <c r="E3575">
        <v>3000</v>
      </c>
      <c r="F3575">
        <v>6</v>
      </c>
      <c r="G3575">
        <f t="shared" si="165"/>
        <v>18000</v>
      </c>
      <c r="H3575" t="s">
        <v>17</v>
      </c>
      <c r="I3575">
        <f t="shared" si="166"/>
        <v>3600</v>
      </c>
      <c r="J3575">
        <f t="shared" si="167"/>
        <v>21600</v>
      </c>
    </row>
    <row r="3576" spans="1:10" x14ac:dyDescent="0.45">
      <c r="A3576" t="s">
        <v>1820</v>
      </c>
      <c r="B3576" s="1">
        <v>45895</v>
      </c>
      <c r="C3576" t="s">
        <v>12</v>
      </c>
      <c r="D3576" t="s">
        <v>5023</v>
      </c>
      <c r="E3576">
        <v>1750</v>
      </c>
      <c r="F3576">
        <v>2</v>
      </c>
      <c r="G3576">
        <f t="shared" si="165"/>
        <v>3500</v>
      </c>
      <c r="H3576" t="s">
        <v>17</v>
      </c>
      <c r="I3576">
        <f t="shared" si="166"/>
        <v>2100</v>
      </c>
      <c r="J3576">
        <f t="shared" si="167"/>
        <v>4200</v>
      </c>
    </row>
    <row r="3577" spans="1:10" x14ac:dyDescent="0.45">
      <c r="A3577" t="s">
        <v>1821</v>
      </c>
      <c r="B3577" s="1">
        <v>45895</v>
      </c>
      <c r="C3577" t="s">
        <v>12</v>
      </c>
      <c r="D3577" t="s">
        <v>5021</v>
      </c>
      <c r="E3577">
        <v>2880</v>
      </c>
      <c r="F3577">
        <v>6</v>
      </c>
      <c r="G3577">
        <f t="shared" si="165"/>
        <v>17280</v>
      </c>
      <c r="H3577" t="s">
        <v>17</v>
      </c>
      <c r="I3577">
        <f t="shared" si="166"/>
        <v>3456</v>
      </c>
      <c r="J3577">
        <f t="shared" si="167"/>
        <v>20736</v>
      </c>
    </row>
    <row r="3578" spans="1:10" x14ac:dyDescent="0.45">
      <c r="A3578" t="s">
        <v>3213</v>
      </c>
      <c r="B3578" s="1">
        <v>45895</v>
      </c>
      <c r="C3578" t="s">
        <v>4007</v>
      </c>
      <c r="D3578" t="s">
        <v>28</v>
      </c>
      <c r="E3578">
        <v>500</v>
      </c>
      <c r="F3578">
        <v>4</v>
      </c>
      <c r="G3578">
        <f t="shared" si="165"/>
        <v>2000</v>
      </c>
      <c r="H3578" t="s">
        <v>21</v>
      </c>
      <c r="I3578">
        <f t="shared" si="166"/>
        <v>600</v>
      </c>
      <c r="J3578">
        <f t="shared" si="167"/>
        <v>2400</v>
      </c>
    </row>
    <row r="3579" spans="1:10" x14ac:dyDescent="0.45">
      <c r="A3579" t="s">
        <v>3292</v>
      </c>
      <c r="B3579" s="1">
        <v>45895</v>
      </c>
      <c r="C3579" t="s">
        <v>4007</v>
      </c>
      <c r="D3579" t="s">
        <v>2773</v>
      </c>
      <c r="E3579">
        <v>3300</v>
      </c>
      <c r="F3579">
        <v>10</v>
      </c>
      <c r="G3579">
        <f t="shared" si="165"/>
        <v>33000</v>
      </c>
      <c r="H3579" t="s">
        <v>7</v>
      </c>
      <c r="I3579">
        <f t="shared" si="166"/>
        <v>3960</v>
      </c>
      <c r="J3579">
        <f t="shared" si="167"/>
        <v>39600</v>
      </c>
    </row>
    <row r="3580" spans="1:10" x14ac:dyDescent="0.45">
      <c r="A3580" t="s">
        <v>1822</v>
      </c>
      <c r="B3580" s="1">
        <v>45896</v>
      </c>
      <c r="C3580" t="s">
        <v>12</v>
      </c>
      <c r="D3580" t="s">
        <v>5021</v>
      </c>
      <c r="E3580">
        <v>2880</v>
      </c>
      <c r="F3580">
        <v>3</v>
      </c>
      <c r="G3580">
        <f t="shared" si="165"/>
        <v>8640</v>
      </c>
      <c r="H3580" t="s">
        <v>21</v>
      </c>
      <c r="I3580">
        <f t="shared" si="166"/>
        <v>3456</v>
      </c>
      <c r="J3580">
        <f t="shared" si="167"/>
        <v>10368</v>
      </c>
    </row>
    <row r="3581" spans="1:10" x14ac:dyDescent="0.45">
      <c r="A3581" t="s">
        <v>1823</v>
      </c>
      <c r="B3581" s="1">
        <v>45896</v>
      </c>
      <c r="C3581" t="s">
        <v>4007</v>
      </c>
      <c r="D3581" t="s">
        <v>4005</v>
      </c>
      <c r="E3581">
        <v>60000</v>
      </c>
      <c r="F3581">
        <v>5</v>
      </c>
      <c r="G3581">
        <f t="shared" si="165"/>
        <v>300000</v>
      </c>
      <c r="H3581" t="s">
        <v>21</v>
      </c>
      <c r="I3581">
        <f t="shared" si="166"/>
        <v>72000</v>
      </c>
      <c r="J3581">
        <f t="shared" si="167"/>
        <v>360000</v>
      </c>
    </row>
    <row r="3582" spans="1:10" x14ac:dyDescent="0.45">
      <c r="A3582" t="s">
        <v>1824</v>
      </c>
      <c r="B3582" s="1">
        <v>45896</v>
      </c>
      <c r="C3582" t="s">
        <v>12</v>
      </c>
      <c r="D3582" t="s">
        <v>5021</v>
      </c>
      <c r="E3582">
        <v>2880</v>
      </c>
      <c r="F3582">
        <v>10</v>
      </c>
      <c r="G3582">
        <f t="shared" si="165"/>
        <v>28800</v>
      </c>
      <c r="H3582" t="s">
        <v>7</v>
      </c>
      <c r="I3582">
        <f t="shared" si="166"/>
        <v>3456</v>
      </c>
      <c r="J3582">
        <f t="shared" si="167"/>
        <v>34560</v>
      </c>
    </row>
    <row r="3583" spans="1:10" x14ac:dyDescent="0.45">
      <c r="A3583" t="s">
        <v>1825</v>
      </c>
      <c r="B3583" s="1">
        <v>45896</v>
      </c>
      <c r="C3583" t="s">
        <v>9</v>
      </c>
      <c r="D3583" t="s">
        <v>25</v>
      </c>
      <c r="E3583">
        <v>5200</v>
      </c>
      <c r="F3583">
        <v>1</v>
      </c>
      <c r="G3583">
        <f t="shared" si="165"/>
        <v>5200</v>
      </c>
      <c r="H3583" t="s">
        <v>17</v>
      </c>
      <c r="I3583">
        <f t="shared" si="166"/>
        <v>6240</v>
      </c>
      <c r="J3583">
        <f t="shared" si="167"/>
        <v>6240</v>
      </c>
    </row>
    <row r="3584" spans="1:10" x14ac:dyDescent="0.45">
      <c r="A3584" t="s">
        <v>1826</v>
      </c>
      <c r="B3584" s="1">
        <v>45896</v>
      </c>
      <c r="C3584" t="s">
        <v>9</v>
      </c>
      <c r="D3584" t="s">
        <v>25</v>
      </c>
      <c r="E3584">
        <v>5200</v>
      </c>
      <c r="F3584">
        <v>4</v>
      </c>
      <c r="G3584">
        <f t="shared" si="165"/>
        <v>20800</v>
      </c>
      <c r="H3584" t="s">
        <v>17</v>
      </c>
      <c r="I3584">
        <f t="shared" si="166"/>
        <v>6240</v>
      </c>
      <c r="J3584">
        <f t="shared" si="167"/>
        <v>24960</v>
      </c>
    </row>
    <row r="3585" spans="1:10" x14ac:dyDescent="0.45">
      <c r="A3585" t="s">
        <v>1827</v>
      </c>
      <c r="B3585" s="1">
        <v>45896</v>
      </c>
      <c r="C3585" t="s">
        <v>9</v>
      </c>
      <c r="D3585" t="s">
        <v>10</v>
      </c>
      <c r="E3585">
        <v>400</v>
      </c>
      <c r="F3585">
        <v>9</v>
      </c>
      <c r="G3585">
        <f t="shared" si="165"/>
        <v>3600</v>
      </c>
      <c r="H3585" t="s">
        <v>21</v>
      </c>
      <c r="I3585">
        <f t="shared" si="166"/>
        <v>480</v>
      </c>
      <c r="J3585">
        <f t="shared" si="167"/>
        <v>4320</v>
      </c>
    </row>
    <row r="3586" spans="1:10" x14ac:dyDescent="0.45">
      <c r="A3586" t="s">
        <v>1828</v>
      </c>
      <c r="B3586" s="1">
        <v>45896</v>
      </c>
      <c r="C3586" t="s">
        <v>4007</v>
      </c>
      <c r="D3586" t="s">
        <v>4005</v>
      </c>
      <c r="E3586">
        <v>60000</v>
      </c>
      <c r="F3586">
        <v>5</v>
      </c>
      <c r="G3586">
        <f t="shared" ref="G3586:G3649" si="168">E3586*F3586</f>
        <v>300000</v>
      </c>
      <c r="H3586" t="s">
        <v>7</v>
      </c>
      <c r="I3586">
        <f t="shared" ref="I3586:I3649" si="169">E3586*1.2</f>
        <v>72000</v>
      </c>
      <c r="J3586">
        <f t="shared" ref="J3586:J3649" si="170">I3586*F3586</f>
        <v>360000</v>
      </c>
    </row>
    <row r="3587" spans="1:10" x14ac:dyDescent="0.45">
      <c r="A3587" t="s">
        <v>3144</v>
      </c>
      <c r="B3587" s="1">
        <v>45896</v>
      </c>
      <c r="C3587" t="s">
        <v>33</v>
      </c>
      <c r="D3587" t="s">
        <v>34</v>
      </c>
      <c r="E3587">
        <v>1700</v>
      </c>
      <c r="F3587">
        <v>2</v>
      </c>
      <c r="G3587">
        <f t="shared" si="168"/>
        <v>3400</v>
      </c>
      <c r="H3587" t="s">
        <v>17</v>
      </c>
      <c r="I3587">
        <f t="shared" si="169"/>
        <v>2040</v>
      </c>
      <c r="J3587">
        <f t="shared" si="170"/>
        <v>4080</v>
      </c>
    </row>
    <row r="3588" spans="1:10" x14ac:dyDescent="0.45">
      <c r="A3588" t="s">
        <v>1829</v>
      </c>
      <c r="B3588" s="1">
        <v>45897</v>
      </c>
      <c r="C3588" t="s">
        <v>12</v>
      </c>
      <c r="D3588" t="s">
        <v>5022</v>
      </c>
      <c r="E3588">
        <v>2880</v>
      </c>
      <c r="F3588">
        <v>8</v>
      </c>
      <c r="G3588">
        <f t="shared" si="168"/>
        <v>23040</v>
      </c>
      <c r="H3588" t="s">
        <v>7</v>
      </c>
      <c r="I3588">
        <f t="shared" si="169"/>
        <v>3456</v>
      </c>
      <c r="J3588">
        <f t="shared" si="170"/>
        <v>27648</v>
      </c>
    </row>
    <row r="3589" spans="1:10" x14ac:dyDescent="0.45">
      <c r="A3589" t="s">
        <v>1830</v>
      </c>
      <c r="B3589" s="1">
        <v>45897</v>
      </c>
      <c r="C3589" t="s">
        <v>4007</v>
      </c>
      <c r="D3589" t="s">
        <v>39</v>
      </c>
      <c r="E3589">
        <v>6000</v>
      </c>
      <c r="F3589">
        <v>5</v>
      </c>
      <c r="G3589">
        <f t="shared" si="168"/>
        <v>30000</v>
      </c>
      <c r="H3589" t="s">
        <v>17</v>
      </c>
      <c r="I3589">
        <f t="shared" si="169"/>
        <v>7200</v>
      </c>
      <c r="J3589">
        <f t="shared" si="170"/>
        <v>36000</v>
      </c>
    </row>
    <row r="3590" spans="1:10" x14ac:dyDescent="0.45">
      <c r="A3590" t="s">
        <v>1831</v>
      </c>
      <c r="B3590" s="1">
        <v>45897</v>
      </c>
      <c r="C3590" t="s">
        <v>12</v>
      </c>
      <c r="D3590" t="s">
        <v>5023</v>
      </c>
      <c r="E3590">
        <v>1750</v>
      </c>
      <c r="F3590">
        <v>2</v>
      </c>
      <c r="G3590">
        <f t="shared" si="168"/>
        <v>3500</v>
      </c>
      <c r="H3590" t="s">
        <v>17</v>
      </c>
      <c r="I3590">
        <f t="shared" si="169"/>
        <v>2100</v>
      </c>
      <c r="J3590">
        <f t="shared" si="170"/>
        <v>4200</v>
      </c>
    </row>
    <row r="3591" spans="1:10" x14ac:dyDescent="0.45">
      <c r="A3591" t="s">
        <v>1832</v>
      </c>
      <c r="B3591" s="1">
        <v>45897</v>
      </c>
      <c r="C3591" t="s">
        <v>9</v>
      </c>
      <c r="D3591" t="s">
        <v>25</v>
      </c>
      <c r="E3591">
        <v>5200</v>
      </c>
      <c r="F3591">
        <v>2</v>
      </c>
      <c r="G3591">
        <f t="shared" si="168"/>
        <v>10400</v>
      </c>
      <c r="H3591" t="s">
        <v>7</v>
      </c>
      <c r="I3591">
        <f t="shared" si="169"/>
        <v>6240</v>
      </c>
      <c r="J3591">
        <f t="shared" si="170"/>
        <v>12480</v>
      </c>
    </row>
    <row r="3592" spans="1:10" x14ac:dyDescent="0.45">
      <c r="A3592" t="s">
        <v>1833</v>
      </c>
      <c r="B3592" s="1">
        <v>45897</v>
      </c>
      <c r="C3592" t="s">
        <v>33</v>
      </c>
      <c r="D3592" t="s">
        <v>14</v>
      </c>
      <c r="E3592">
        <v>800</v>
      </c>
      <c r="F3592">
        <v>6</v>
      </c>
      <c r="G3592">
        <f t="shared" si="168"/>
        <v>4800</v>
      </c>
      <c r="H3592" t="s">
        <v>7</v>
      </c>
      <c r="I3592">
        <f t="shared" si="169"/>
        <v>960</v>
      </c>
      <c r="J3592">
        <f t="shared" si="170"/>
        <v>5760</v>
      </c>
    </row>
    <row r="3593" spans="1:10" x14ac:dyDescent="0.45">
      <c r="A3593" t="s">
        <v>1834</v>
      </c>
      <c r="B3593" s="1">
        <v>45897</v>
      </c>
      <c r="C3593" t="s">
        <v>4007</v>
      </c>
      <c r="D3593" t="s">
        <v>28</v>
      </c>
      <c r="E3593">
        <v>500</v>
      </c>
      <c r="F3593">
        <v>3</v>
      </c>
      <c r="G3593">
        <f t="shared" si="168"/>
        <v>1500</v>
      </c>
      <c r="H3593" t="s">
        <v>21</v>
      </c>
      <c r="I3593">
        <f t="shared" si="169"/>
        <v>600</v>
      </c>
      <c r="J3593">
        <f t="shared" si="170"/>
        <v>1800</v>
      </c>
    </row>
    <row r="3594" spans="1:10" x14ac:dyDescent="0.45">
      <c r="A3594" t="s">
        <v>1835</v>
      </c>
      <c r="B3594" s="1">
        <v>45897</v>
      </c>
      <c r="C3594" t="s">
        <v>33</v>
      </c>
      <c r="D3594" t="s">
        <v>14</v>
      </c>
      <c r="E3594">
        <v>800</v>
      </c>
      <c r="F3594">
        <v>6</v>
      </c>
      <c r="G3594">
        <f t="shared" si="168"/>
        <v>4800</v>
      </c>
      <c r="H3594" t="s">
        <v>7</v>
      </c>
      <c r="I3594">
        <f t="shared" si="169"/>
        <v>960</v>
      </c>
      <c r="J3594">
        <f t="shared" si="170"/>
        <v>5760</v>
      </c>
    </row>
    <row r="3595" spans="1:10" x14ac:dyDescent="0.45">
      <c r="A3595" t="s">
        <v>1836</v>
      </c>
      <c r="B3595" s="1">
        <v>45897</v>
      </c>
      <c r="C3595" t="s">
        <v>9</v>
      </c>
      <c r="D3595" t="s">
        <v>19</v>
      </c>
      <c r="E3595">
        <v>3000</v>
      </c>
      <c r="F3595">
        <v>1</v>
      </c>
      <c r="G3595">
        <f t="shared" si="168"/>
        <v>3000</v>
      </c>
      <c r="H3595" t="s">
        <v>7</v>
      </c>
      <c r="I3595">
        <f t="shared" si="169"/>
        <v>3600</v>
      </c>
      <c r="J3595">
        <f t="shared" si="170"/>
        <v>3600</v>
      </c>
    </row>
    <row r="3596" spans="1:10" x14ac:dyDescent="0.45">
      <c r="A3596" t="s">
        <v>1837</v>
      </c>
      <c r="B3596" s="1">
        <v>45897</v>
      </c>
      <c r="C3596" t="s">
        <v>12</v>
      </c>
      <c r="D3596" t="s">
        <v>5020</v>
      </c>
      <c r="E3596">
        <v>2880</v>
      </c>
      <c r="F3596">
        <v>4</v>
      </c>
      <c r="G3596">
        <f t="shared" si="168"/>
        <v>11520</v>
      </c>
      <c r="H3596" t="s">
        <v>21</v>
      </c>
      <c r="I3596">
        <f t="shared" si="169"/>
        <v>3456</v>
      </c>
      <c r="J3596">
        <f t="shared" si="170"/>
        <v>13824</v>
      </c>
    </row>
    <row r="3597" spans="1:10" x14ac:dyDescent="0.45">
      <c r="A3597" t="s">
        <v>3187</v>
      </c>
      <c r="B3597" s="1">
        <v>45897</v>
      </c>
      <c r="C3597" t="s">
        <v>33</v>
      </c>
      <c r="D3597" t="s">
        <v>34</v>
      </c>
      <c r="E3597">
        <v>1700</v>
      </c>
      <c r="F3597">
        <v>7</v>
      </c>
      <c r="G3597">
        <f t="shared" si="168"/>
        <v>11900</v>
      </c>
      <c r="H3597" t="s">
        <v>17</v>
      </c>
      <c r="I3597">
        <f t="shared" si="169"/>
        <v>2040</v>
      </c>
      <c r="J3597">
        <f t="shared" si="170"/>
        <v>14280</v>
      </c>
    </row>
    <row r="3598" spans="1:10" x14ac:dyDescent="0.45">
      <c r="A3598" t="s">
        <v>3535</v>
      </c>
      <c r="B3598" s="1">
        <v>45897</v>
      </c>
      <c r="C3598" t="s">
        <v>33</v>
      </c>
      <c r="D3598" t="s">
        <v>14</v>
      </c>
      <c r="E3598">
        <v>800</v>
      </c>
      <c r="F3598">
        <v>9</v>
      </c>
      <c r="G3598">
        <f t="shared" si="168"/>
        <v>7200</v>
      </c>
      <c r="H3598" t="s">
        <v>21</v>
      </c>
      <c r="I3598">
        <f t="shared" si="169"/>
        <v>960</v>
      </c>
      <c r="J3598">
        <f t="shared" si="170"/>
        <v>8640</v>
      </c>
    </row>
    <row r="3599" spans="1:10" x14ac:dyDescent="0.45">
      <c r="A3599" t="s">
        <v>3653</v>
      </c>
      <c r="B3599" s="1">
        <v>45897</v>
      </c>
      <c r="C3599" t="s">
        <v>4007</v>
      </c>
      <c r="D3599" t="s">
        <v>2776</v>
      </c>
      <c r="E3599">
        <v>3600</v>
      </c>
      <c r="F3599">
        <v>3</v>
      </c>
      <c r="G3599">
        <f t="shared" si="168"/>
        <v>10800</v>
      </c>
      <c r="H3599" t="s">
        <v>7</v>
      </c>
      <c r="I3599">
        <f t="shared" si="169"/>
        <v>4320</v>
      </c>
      <c r="J3599">
        <f t="shared" si="170"/>
        <v>12960</v>
      </c>
    </row>
    <row r="3600" spans="1:10" x14ac:dyDescent="0.45">
      <c r="A3600" t="s">
        <v>1838</v>
      </c>
      <c r="B3600" s="1">
        <v>45898</v>
      </c>
      <c r="C3600" t="s">
        <v>4007</v>
      </c>
      <c r="D3600" t="s">
        <v>39</v>
      </c>
      <c r="E3600">
        <v>6000</v>
      </c>
      <c r="F3600">
        <v>3</v>
      </c>
      <c r="G3600">
        <f t="shared" si="168"/>
        <v>18000</v>
      </c>
      <c r="H3600" t="s">
        <v>7</v>
      </c>
      <c r="I3600">
        <f t="shared" si="169"/>
        <v>7200</v>
      </c>
      <c r="J3600">
        <f t="shared" si="170"/>
        <v>21600</v>
      </c>
    </row>
    <row r="3601" spans="1:10" x14ac:dyDescent="0.45">
      <c r="A3601" t="s">
        <v>1839</v>
      </c>
      <c r="B3601" s="1">
        <v>45898</v>
      </c>
      <c r="C3601" t="s">
        <v>33</v>
      </c>
      <c r="D3601" t="s">
        <v>42</v>
      </c>
      <c r="E3601">
        <v>6900</v>
      </c>
      <c r="F3601">
        <v>2</v>
      </c>
      <c r="G3601">
        <f t="shared" si="168"/>
        <v>13800</v>
      </c>
      <c r="H3601" t="s">
        <v>17</v>
      </c>
      <c r="I3601">
        <f t="shared" si="169"/>
        <v>8280</v>
      </c>
      <c r="J3601">
        <f t="shared" si="170"/>
        <v>16560</v>
      </c>
    </row>
    <row r="3602" spans="1:10" x14ac:dyDescent="0.45">
      <c r="A3602" t="s">
        <v>1840</v>
      </c>
      <c r="B3602" s="1">
        <v>45898</v>
      </c>
      <c r="C3602" t="s">
        <v>9</v>
      </c>
      <c r="D3602" t="s">
        <v>19</v>
      </c>
      <c r="E3602">
        <v>3000</v>
      </c>
      <c r="F3602">
        <v>6</v>
      </c>
      <c r="G3602">
        <f t="shared" si="168"/>
        <v>18000</v>
      </c>
      <c r="H3602" t="s">
        <v>21</v>
      </c>
      <c r="I3602">
        <f t="shared" si="169"/>
        <v>3600</v>
      </c>
      <c r="J3602">
        <f t="shared" si="170"/>
        <v>21600</v>
      </c>
    </row>
    <row r="3603" spans="1:10" x14ac:dyDescent="0.45">
      <c r="A3603" t="s">
        <v>1841</v>
      </c>
      <c r="B3603" s="1">
        <v>45898</v>
      </c>
      <c r="C3603" t="s">
        <v>4007</v>
      </c>
      <c r="D3603" t="s">
        <v>5015</v>
      </c>
      <c r="E3603">
        <v>48000</v>
      </c>
      <c r="F3603">
        <v>9</v>
      </c>
      <c r="G3603">
        <f t="shared" si="168"/>
        <v>432000</v>
      </c>
      <c r="H3603" t="s">
        <v>7</v>
      </c>
      <c r="I3603">
        <f t="shared" si="169"/>
        <v>57600</v>
      </c>
      <c r="J3603">
        <f t="shared" si="170"/>
        <v>518400</v>
      </c>
    </row>
    <row r="3604" spans="1:10" x14ac:dyDescent="0.45">
      <c r="A3604" t="s">
        <v>1842</v>
      </c>
      <c r="B3604" s="1">
        <v>45898</v>
      </c>
      <c r="C3604" t="s">
        <v>4007</v>
      </c>
      <c r="D3604" t="s">
        <v>39</v>
      </c>
      <c r="E3604">
        <v>6000</v>
      </c>
      <c r="F3604">
        <v>3</v>
      </c>
      <c r="G3604">
        <f t="shared" si="168"/>
        <v>18000</v>
      </c>
      <c r="H3604" t="s">
        <v>17</v>
      </c>
      <c r="I3604">
        <f t="shared" si="169"/>
        <v>7200</v>
      </c>
      <c r="J3604">
        <f t="shared" si="170"/>
        <v>21600</v>
      </c>
    </row>
    <row r="3605" spans="1:10" x14ac:dyDescent="0.45">
      <c r="A3605" t="s">
        <v>1843</v>
      </c>
      <c r="B3605" s="1">
        <v>45898</v>
      </c>
      <c r="C3605" t="s">
        <v>4007</v>
      </c>
      <c r="D3605" t="s">
        <v>39</v>
      </c>
      <c r="E3605">
        <v>6000</v>
      </c>
      <c r="F3605">
        <v>1</v>
      </c>
      <c r="G3605">
        <f t="shared" si="168"/>
        <v>6000</v>
      </c>
      <c r="H3605" t="s">
        <v>7</v>
      </c>
      <c r="I3605">
        <f t="shared" si="169"/>
        <v>7200</v>
      </c>
      <c r="J3605">
        <f t="shared" si="170"/>
        <v>7200</v>
      </c>
    </row>
    <row r="3606" spans="1:10" x14ac:dyDescent="0.45">
      <c r="A3606" t="s">
        <v>1844</v>
      </c>
      <c r="B3606" s="1">
        <v>45898</v>
      </c>
      <c r="C3606" t="s">
        <v>12</v>
      </c>
      <c r="D3606" t="s">
        <v>5023</v>
      </c>
      <c r="E3606">
        <v>1750</v>
      </c>
      <c r="F3606">
        <v>7</v>
      </c>
      <c r="G3606">
        <f t="shared" si="168"/>
        <v>12250</v>
      </c>
      <c r="H3606" t="s">
        <v>7</v>
      </c>
      <c r="I3606">
        <f t="shared" si="169"/>
        <v>2100</v>
      </c>
      <c r="J3606">
        <f t="shared" si="170"/>
        <v>14700</v>
      </c>
    </row>
    <row r="3607" spans="1:10" x14ac:dyDescent="0.45">
      <c r="A3607" t="s">
        <v>3197</v>
      </c>
      <c r="B3607" s="1">
        <v>45898</v>
      </c>
      <c r="C3607" t="s">
        <v>2772</v>
      </c>
      <c r="D3607" t="s">
        <v>2775</v>
      </c>
      <c r="E3607">
        <v>9100</v>
      </c>
      <c r="F3607">
        <v>6</v>
      </c>
      <c r="G3607">
        <f t="shared" si="168"/>
        <v>54600</v>
      </c>
      <c r="H3607" t="s">
        <v>17</v>
      </c>
      <c r="I3607">
        <f t="shared" si="169"/>
        <v>10920</v>
      </c>
      <c r="J3607">
        <f t="shared" si="170"/>
        <v>65520</v>
      </c>
    </row>
    <row r="3608" spans="1:10" x14ac:dyDescent="0.45">
      <c r="A3608" t="s">
        <v>3622</v>
      </c>
      <c r="B3608" s="1">
        <v>45898</v>
      </c>
      <c r="C3608" t="s">
        <v>4007</v>
      </c>
      <c r="D3608" t="s">
        <v>2774</v>
      </c>
      <c r="E3608">
        <v>1900</v>
      </c>
      <c r="F3608">
        <v>6</v>
      </c>
      <c r="G3608">
        <f t="shared" si="168"/>
        <v>11400</v>
      </c>
      <c r="H3608" t="s">
        <v>17</v>
      </c>
      <c r="I3608">
        <f t="shared" si="169"/>
        <v>2280</v>
      </c>
      <c r="J3608">
        <f t="shared" si="170"/>
        <v>13680</v>
      </c>
    </row>
    <row r="3609" spans="1:10" x14ac:dyDescent="0.45">
      <c r="A3609" t="s">
        <v>3680</v>
      </c>
      <c r="B3609" s="1">
        <v>45898</v>
      </c>
      <c r="C3609" t="s">
        <v>2772</v>
      </c>
      <c r="D3609" t="s">
        <v>2775</v>
      </c>
      <c r="E3609">
        <v>9100</v>
      </c>
      <c r="F3609">
        <v>4</v>
      </c>
      <c r="G3609">
        <f t="shared" si="168"/>
        <v>36400</v>
      </c>
      <c r="H3609" t="s">
        <v>21</v>
      </c>
      <c r="I3609">
        <f t="shared" si="169"/>
        <v>10920</v>
      </c>
      <c r="J3609">
        <f t="shared" si="170"/>
        <v>43680</v>
      </c>
    </row>
    <row r="3610" spans="1:10" x14ac:dyDescent="0.45">
      <c r="A3610" t="s">
        <v>1845</v>
      </c>
      <c r="B3610" s="1">
        <v>45899</v>
      </c>
      <c r="C3610" t="s">
        <v>33</v>
      </c>
      <c r="D3610" t="s">
        <v>34</v>
      </c>
      <c r="E3610">
        <v>1700</v>
      </c>
      <c r="F3610">
        <v>7</v>
      </c>
      <c r="G3610">
        <f t="shared" si="168"/>
        <v>11900</v>
      </c>
      <c r="H3610" t="s">
        <v>21</v>
      </c>
      <c r="I3610">
        <f t="shared" si="169"/>
        <v>2040</v>
      </c>
      <c r="J3610">
        <f t="shared" si="170"/>
        <v>14280</v>
      </c>
    </row>
    <row r="3611" spans="1:10" x14ac:dyDescent="0.45">
      <c r="A3611" t="s">
        <v>1846</v>
      </c>
      <c r="B3611" s="1">
        <v>45899</v>
      </c>
      <c r="C3611" t="s">
        <v>9</v>
      </c>
      <c r="D3611" t="s">
        <v>25</v>
      </c>
      <c r="E3611">
        <v>5200</v>
      </c>
      <c r="F3611">
        <v>10</v>
      </c>
      <c r="G3611">
        <f t="shared" si="168"/>
        <v>52000</v>
      </c>
      <c r="H3611" t="s">
        <v>7</v>
      </c>
      <c r="I3611">
        <f t="shared" si="169"/>
        <v>6240</v>
      </c>
      <c r="J3611">
        <f t="shared" si="170"/>
        <v>62400</v>
      </c>
    </row>
    <row r="3612" spans="1:10" x14ac:dyDescent="0.45">
      <c r="A3612" t="s">
        <v>1847</v>
      </c>
      <c r="B3612" s="1">
        <v>45899</v>
      </c>
      <c r="C3612" t="s">
        <v>4007</v>
      </c>
      <c r="D3612" t="s">
        <v>4005</v>
      </c>
      <c r="E3612">
        <v>60000</v>
      </c>
      <c r="F3612">
        <v>7</v>
      </c>
      <c r="G3612">
        <f t="shared" si="168"/>
        <v>420000</v>
      </c>
      <c r="H3612" t="s">
        <v>7</v>
      </c>
      <c r="I3612">
        <f t="shared" si="169"/>
        <v>72000</v>
      </c>
      <c r="J3612">
        <f t="shared" si="170"/>
        <v>504000</v>
      </c>
    </row>
    <row r="3613" spans="1:10" x14ac:dyDescent="0.45">
      <c r="A3613" t="s">
        <v>1848</v>
      </c>
      <c r="B3613" s="1">
        <v>45899</v>
      </c>
      <c r="C3613" t="s">
        <v>33</v>
      </c>
      <c r="D3613" t="s">
        <v>34</v>
      </c>
      <c r="E3613">
        <v>1700</v>
      </c>
      <c r="F3613">
        <v>1</v>
      </c>
      <c r="G3613">
        <f t="shared" si="168"/>
        <v>1700</v>
      </c>
      <c r="H3613" t="s">
        <v>17</v>
      </c>
      <c r="I3613">
        <f t="shared" si="169"/>
        <v>2040</v>
      </c>
      <c r="J3613">
        <f t="shared" si="170"/>
        <v>2040</v>
      </c>
    </row>
    <row r="3614" spans="1:10" x14ac:dyDescent="0.45">
      <c r="A3614" t="s">
        <v>1849</v>
      </c>
      <c r="B3614" s="1">
        <v>45899</v>
      </c>
      <c r="C3614" t="s">
        <v>12</v>
      </c>
      <c r="D3614" t="s">
        <v>5020</v>
      </c>
      <c r="E3614">
        <v>2880</v>
      </c>
      <c r="F3614">
        <v>7</v>
      </c>
      <c r="G3614">
        <f t="shared" si="168"/>
        <v>20160</v>
      </c>
      <c r="H3614" t="s">
        <v>7</v>
      </c>
      <c r="I3614">
        <f t="shared" si="169"/>
        <v>3456</v>
      </c>
      <c r="J3614">
        <f t="shared" si="170"/>
        <v>24192</v>
      </c>
    </row>
    <row r="3615" spans="1:10" x14ac:dyDescent="0.45">
      <c r="A3615" t="s">
        <v>1850</v>
      </c>
      <c r="B3615" s="1">
        <v>45899</v>
      </c>
      <c r="C3615" t="s">
        <v>9</v>
      </c>
      <c r="D3615" t="s">
        <v>25</v>
      </c>
      <c r="E3615">
        <v>5200</v>
      </c>
      <c r="F3615">
        <v>4</v>
      </c>
      <c r="G3615">
        <f t="shared" si="168"/>
        <v>20800</v>
      </c>
      <c r="H3615" t="s">
        <v>17</v>
      </c>
      <c r="I3615">
        <f t="shared" si="169"/>
        <v>6240</v>
      </c>
      <c r="J3615">
        <f t="shared" si="170"/>
        <v>24960</v>
      </c>
    </row>
    <row r="3616" spans="1:10" x14ac:dyDescent="0.45">
      <c r="A3616" t="s">
        <v>1851</v>
      </c>
      <c r="B3616" s="1">
        <v>45899</v>
      </c>
      <c r="C3616" t="s">
        <v>12</v>
      </c>
      <c r="D3616" t="s">
        <v>5023</v>
      </c>
      <c r="E3616">
        <v>1750</v>
      </c>
      <c r="F3616">
        <v>8</v>
      </c>
      <c r="G3616">
        <f t="shared" si="168"/>
        <v>14000</v>
      </c>
      <c r="H3616" t="s">
        <v>17</v>
      </c>
      <c r="I3616">
        <f t="shared" si="169"/>
        <v>2100</v>
      </c>
      <c r="J3616">
        <f t="shared" si="170"/>
        <v>16800</v>
      </c>
    </row>
    <row r="3617" spans="1:10" x14ac:dyDescent="0.45">
      <c r="A3617" t="s">
        <v>1852</v>
      </c>
      <c r="B3617" s="1">
        <v>45899</v>
      </c>
      <c r="C3617" t="s">
        <v>12</v>
      </c>
      <c r="D3617" t="s">
        <v>5022</v>
      </c>
      <c r="E3617">
        <v>2880</v>
      </c>
      <c r="F3617">
        <v>8</v>
      </c>
      <c r="G3617">
        <f t="shared" si="168"/>
        <v>23040</v>
      </c>
      <c r="H3617" t="s">
        <v>21</v>
      </c>
      <c r="I3617">
        <f t="shared" si="169"/>
        <v>3456</v>
      </c>
      <c r="J3617">
        <f t="shared" si="170"/>
        <v>27648</v>
      </c>
    </row>
    <row r="3618" spans="1:10" x14ac:dyDescent="0.45">
      <c r="A3618" t="s">
        <v>1853</v>
      </c>
      <c r="B3618" s="1">
        <v>45899</v>
      </c>
      <c r="C3618" t="s">
        <v>12</v>
      </c>
      <c r="D3618" t="s">
        <v>5020</v>
      </c>
      <c r="E3618">
        <v>2880</v>
      </c>
      <c r="F3618">
        <v>7</v>
      </c>
      <c r="G3618">
        <f t="shared" si="168"/>
        <v>20160</v>
      </c>
      <c r="H3618" t="s">
        <v>17</v>
      </c>
      <c r="I3618">
        <f t="shared" si="169"/>
        <v>3456</v>
      </c>
      <c r="J3618">
        <f t="shared" si="170"/>
        <v>24192</v>
      </c>
    </row>
    <row r="3619" spans="1:10" x14ac:dyDescent="0.45">
      <c r="A3619" t="s">
        <v>1854</v>
      </c>
      <c r="B3619" s="1">
        <v>45899</v>
      </c>
      <c r="C3619" t="s">
        <v>33</v>
      </c>
      <c r="D3619" t="s">
        <v>16</v>
      </c>
      <c r="E3619">
        <v>1200</v>
      </c>
      <c r="F3619">
        <v>3</v>
      </c>
      <c r="G3619">
        <f t="shared" si="168"/>
        <v>3600</v>
      </c>
      <c r="H3619" t="s">
        <v>7</v>
      </c>
      <c r="I3619">
        <f t="shared" si="169"/>
        <v>1440</v>
      </c>
      <c r="J3619">
        <f t="shared" si="170"/>
        <v>4320</v>
      </c>
    </row>
    <row r="3620" spans="1:10" x14ac:dyDescent="0.45">
      <c r="A3620" t="s">
        <v>3398</v>
      </c>
      <c r="B3620" s="1">
        <v>45899</v>
      </c>
      <c r="C3620" t="s">
        <v>4007</v>
      </c>
      <c r="D3620" t="s">
        <v>2773</v>
      </c>
      <c r="E3620">
        <v>3300</v>
      </c>
      <c r="F3620">
        <v>3</v>
      </c>
      <c r="G3620">
        <f t="shared" si="168"/>
        <v>9900</v>
      </c>
      <c r="H3620" t="s">
        <v>21</v>
      </c>
      <c r="I3620">
        <f t="shared" si="169"/>
        <v>3960</v>
      </c>
      <c r="J3620">
        <f t="shared" si="170"/>
        <v>11880</v>
      </c>
    </row>
    <row r="3621" spans="1:10" x14ac:dyDescent="0.45">
      <c r="A3621" t="s">
        <v>3410</v>
      </c>
      <c r="B3621" s="1">
        <v>45899</v>
      </c>
      <c r="C3621" t="s">
        <v>4007</v>
      </c>
      <c r="D3621" t="s">
        <v>28</v>
      </c>
      <c r="E3621">
        <v>500</v>
      </c>
      <c r="F3621">
        <v>4</v>
      </c>
      <c r="G3621">
        <f t="shared" si="168"/>
        <v>2000</v>
      </c>
      <c r="H3621" t="s">
        <v>7</v>
      </c>
      <c r="I3621">
        <f t="shared" si="169"/>
        <v>600</v>
      </c>
      <c r="J3621">
        <f t="shared" si="170"/>
        <v>2400</v>
      </c>
    </row>
    <row r="3622" spans="1:10" x14ac:dyDescent="0.45">
      <c r="A3622" t="s">
        <v>3423</v>
      </c>
      <c r="B3622" s="1">
        <v>45899</v>
      </c>
      <c r="C3622" t="s">
        <v>33</v>
      </c>
      <c r="D3622" t="s">
        <v>14</v>
      </c>
      <c r="E3622">
        <v>800</v>
      </c>
      <c r="F3622">
        <v>3</v>
      </c>
      <c r="G3622">
        <f t="shared" si="168"/>
        <v>2400</v>
      </c>
      <c r="H3622" t="s">
        <v>21</v>
      </c>
      <c r="I3622">
        <f t="shared" si="169"/>
        <v>960</v>
      </c>
      <c r="J3622">
        <f t="shared" si="170"/>
        <v>2880</v>
      </c>
    </row>
    <row r="3623" spans="1:10" x14ac:dyDescent="0.45">
      <c r="A3623" t="s">
        <v>3771</v>
      </c>
      <c r="B3623" s="1">
        <v>45899</v>
      </c>
      <c r="C3623" t="s">
        <v>4007</v>
      </c>
      <c r="D3623" t="s">
        <v>28</v>
      </c>
      <c r="E3623">
        <v>500</v>
      </c>
      <c r="F3623">
        <v>4</v>
      </c>
      <c r="G3623">
        <f t="shared" si="168"/>
        <v>2000</v>
      </c>
      <c r="H3623" t="s">
        <v>21</v>
      </c>
      <c r="I3623">
        <f t="shared" si="169"/>
        <v>600</v>
      </c>
      <c r="J3623">
        <f t="shared" si="170"/>
        <v>2400</v>
      </c>
    </row>
    <row r="3624" spans="1:10" x14ac:dyDescent="0.45">
      <c r="A3624" t="s">
        <v>1855</v>
      </c>
      <c r="B3624" s="1">
        <v>45900</v>
      </c>
      <c r="C3624" t="s">
        <v>33</v>
      </c>
      <c r="D3624" t="s">
        <v>14</v>
      </c>
      <c r="E3624">
        <v>800</v>
      </c>
      <c r="F3624">
        <v>2</v>
      </c>
      <c r="G3624">
        <f t="shared" si="168"/>
        <v>1600</v>
      </c>
      <c r="H3624" t="s">
        <v>7</v>
      </c>
      <c r="I3624">
        <f t="shared" si="169"/>
        <v>960</v>
      </c>
      <c r="J3624">
        <f t="shared" si="170"/>
        <v>1920</v>
      </c>
    </row>
    <row r="3625" spans="1:10" x14ac:dyDescent="0.45">
      <c r="A3625" t="s">
        <v>1856</v>
      </c>
      <c r="B3625" s="1">
        <v>45900</v>
      </c>
      <c r="C3625" t="s">
        <v>4007</v>
      </c>
      <c r="D3625" t="s">
        <v>28</v>
      </c>
      <c r="E3625">
        <v>500</v>
      </c>
      <c r="F3625">
        <v>5</v>
      </c>
      <c r="G3625">
        <f t="shared" si="168"/>
        <v>2500</v>
      </c>
      <c r="H3625" t="s">
        <v>17</v>
      </c>
      <c r="I3625">
        <f t="shared" si="169"/>
        <v>600</v>
      </c>
      <c r="J3625">
        <f t="shared" si="170"/>
        <v>3000</v>
      </c>
    </row>
    <row r="3626" spans="1:10" x14ac:dyDescent="0.45">
      <c r="A3626" t="s">
        <v>1857</v>
      </c>
      <c r="B3626" s="1">
        <v>45900</v>
      </c>
      <c r="C3626" t="s">
        <v>12</v>
      </c>
      <c r="D3626" t="s">
        <v>5021</v>
      </c>
      <c r="E3626">
        <v>2880</v>
      </c>
      <c r="F3626">
        <v>5</v>
      </c>
      <c r="G3626">
        <f t="shared" si="168"/>
        <v>14400</v>
      </c>
      <c r="H3626" t="s">
        <v>17</v>
      </c>
      <c r="I3626">
        <f t="shared" si="169"/>
        <v>3456</v>
      </c>
      <c r="J3626">
        <f t="shared" si="170"/>
        <v>17280</v>
      </c>
    </row>
    <row r="3627" spans="1:10" x14ac:dyDescent="0.45">
      <c r="A3627" t="s">
        <v>1858</v>
      </c>
      <c r="B3627" s="1">
        <v>45900</v>
      </c>
      <c r="C3627" t="s">
        <v>9</v>
      </c>
      <c r="D3627" t="s">
        <v>19</v>
      </c>
      <c r="E3627">
        <v>3000</v>
      </c>
      <c r="F3627">
        <v>4</v>
      </c>
      <c r="G3627">
        <f t="shared" si="168"/>
        <v>12000</v>
      </c>
      <c r="H3627" t="s">
        <v>21</v>
      </c>
      <c r="I3627">
        <f t="shared" si="169"/>
        <v>3600</v>
      </c>
      <c r="J3627">
        <f t="shared" si="170"/>
        <v>14400</v>
      </c>
    </row>
    <row r="3628" spans="1:10" x14ac:dyDescent="0.45">
      <c r="A3628" t="s">
        <v>1859</v>
      </c>
      <c r="B3628" s="1">
        <v>45900</v>
      </c>
      <c r="C3628" t="s">
        <v>4007</v>
      </c>
      <c r="D3628" t="s">
        <v>39</v>
      </c>
      <c r="E3628">
        <v>6000</v>
      </c>
      <c r="F3628">
        <v>7</v>
      </c>
      <c r="G3628">
        <f t="shared" si="168"/>
        <v>42000</v>
      </c>
      <c r="H3628" t="s">
        <v>21</v>
      </c>
      <c r="I3628">
        <f t="shared" si="169"/>
        <v>7200</v>
      </c>
      <c r="J3628">
        <f t="shared" si="170"/>
        <v>50400</v>
      </c>
    </row>
    <row r="3629" spans="1:10" x14ac:dyDescent="0.45">
      <c r="A3629" t="s">
        <v>1860</v>
      </c>
      <c r="B3629" s="1">
        <v>45900</v>
      </c>
      <c r="C3629" t="s">
        <v>12</v>
      </c>
      <c r="D3629" t="s">
        <v>5021</v>
      </c>
      <c r="E3629">
        <v>2880</v>
      </c>
      <c r="F3629">
        <v>4</v>
      </c>
      <c r="G3629">
        <f t="shared" si="168"/>
        <v>11520</v>
      </c>
      <c r="H3629" t="s">
        <v>21</v>
      </c>
      <c r="I3629">
        <f t="shared" si="169"/>
        <v>3456</v>
      </c>
      <c r="J3629">
        <f t="shared" si="170"/>
        <v>13824</v>
      </c>
    </row>
    <row r="3630" spans="1:10" x14ac:dyDescent="0.45">
      <c r="A3630" t="s">
        <v>1861</v>
      </c>
      <c r="B3630" s="1">
        <v>45900</v>
      </c>
      <c r="C3630" t="s">
        <v>4007</v>
      </c>
      <c r="D3630" t="s">
        <v>28</v>
      </c>
      <c r="E3630">
        <v>500</v>
      </c>
      <c r="F3630">
        <v>2</v>
      </c>
      <c r="G3630">
        <f t="shared" si="168"/>
        <v>1000</v>
      </c>
      <c r="H3630" t="s">
        <v>21</v>
      </c>
      <c r="I3630">
        <f t="shared" si="169"/>
        <v>600</v>
      </c>
      <c r="J3630">
        <f t="shared" si="170"/>
        <v>1200</v>
      </c>
    </row>
    <row r="3631" spans="1:10" x14ac:dyDescent="0.45">
      <c r="A3631" t="s">
        <v>1862</v>
      </c>
      <c r="B3631" s="1">
        <v>45900</v>
      </c>
      <c r="C3631" t="s">
        <v>4007</v>
      </c>
      <c r="D3631" t="s">
        <v>28</v>
      </c>
      <c r="E3631">
        <v>500</v>
      </c>
      <c r="F3631">
        <v>8</v>
      </c>
      <c r="G3631">
        <f t="shared" si="168"/>
        <v>4000</v>
      </c>
      <c r="H3631" t="s">
        <v>7</v>
      </c>
      <c r="I3631">
        <f t="shared" si="169"/>
        <v>600</v>
      </c>
      <c r="J3631">
        <f t="shared" si="170"/>
        <v>4800</v>
      </c>
    </row>
    <row r="3632" spans="1:10" x14ac:dyDescent="0.45">
      <c r="A3632" t="s">
        <v>1863</v>
      </c>
      <c r="B3632" s="1">
        <v>45900</v>
      </c>
      <c r="C3632" t="s">
        <v>33</v>
      </c>
      <c r="D3632" t="s">
        <v>42</v>
      </c>
      <c r="E3632">
        <v>6900</v>
      </c>
      <c r="F3632">
        <v>2</v>
      </c>
      <c r="G3632">
        <f t="shared" si="168"/>
        <v>13800</v>
      </c>
      <c r="H3632" t="s">
        <v>21</v>
      </c>
      <c r="I3632">
        <f t="shared" si="169"/>
        <v>8280</v>
      </c>
      <c r="J3632">
        <f t="shared" si="170"/>
        <v>16560</v>
      </c>
    </row>
    <row r="3633" spans="1:10" x14ac:dyDescent="0.45">
      <c r="A3633" t="s">
        <v>1864</v>
      </c>
      <c r="B3633" s="1">
        <v>45900</v>
      </c>
      <c r="C3633" t="s">
        <v>33</v>
      </c>
      <c r="D3633" t="s">
        <v>16</v>
      </c>
      <c r="E3633">
        <v>1200</v>
      </c>
      <c r="F3633">
        <v>4</v>
      </c>
      <c r="G3633">
        <f t="shared" si="168"/>
        <v>4800</v>
      </c>
      <c r="H3633" t="s">
        <v>7</v>
      </c>
      <c r="I3633">
        <f t="shared" si="169"/>
        <v>1440</v>
      </c>
      <c r="J3633">
        <f t="shared" si="170"/>
        <v>5760</v>
      </c>
    </row>
    <row r="3634" spans="1:10" x14ac:dyDescent="0.45">
      <c r="A3634" t="s">
        <v>2987</v>
      </c>
      <c r="B3634" s="1">
        <v>45900</v>
      </c>
      <c r="C3634" t="s">
        <v>33</v>
      </c>
      <c r="D3634" t="s">
        <v>34</v>
      </c>
      <c r="E3634">
        <v>1700</v>
      </c>
      <c r="F3634">
        <v>3</v>
      </c>
      <c r="G3634">
        <f t="shared" si="168"/>
        <v>5100</v>
      </c>
      <c r="H3634" t="s">
        <v>17</v>
      </c>
      <c r="I3634">
        <f t="shared" si="169"/>
        <v>2040</v>
      </c>
      <c r="J3634">
        <f t="shared" si="170"/>
        <v>6120</v>
      </c>
    </row>
    <row r="3635" spans="1:10" x14ac:dyDescent="0.45">
      <c r="A3635" t="s">
        <v>3650</v>
      </c>
      <c r="B3635" s="1">
        <v>45900</v>
      </c>
      <c r="C3635" t="s">
        <v>4007</v>
      </c>
      <c r="D3635" t="s">
        <v>5015</v>
      </c>
      <c r="E3635">
        <v>48000</v>
      </c>
      <c r="F3635">
        <v>6</v>
      </c>
      <c r="G3635">
        <f t="shared" si="168"/>
        <v>288000</v>
      </c>
      <c r="H3635" t="s">
        <v>17</v>
      </c>
      <c r="I3635">
        <f t="shared" si="169"/>
        <v>57600</v>
      </c>
      <c r="J3635">
        <f t="shared" si="170"/>
        <v>345600</v>
      </c>
    </row>
    <row r="3636" spans="1:10" x14ac:dyDescent="0.45">
      <c r="A3636" t="s">
        <v>3858</v>
      </c>
      <c r="B3636" s="1">
        <v>45900</v>
      </c>
      <c r="C3636" t="s">
        <v>33</v>
      </c>
      <c r="D3636" t="s">
        <v>14</v>
      </c>
      <c r="E3636">
        <v>800</v>
      </c>
      <c r="F3636">
        <v>4</v>
      </c>
      <c r="G3636">
        <f t="shared" si="168"/>
        <v>3200</v>
      </c>
      <c r="H3636" t="s">
        <v>7</v>
      </c>
      <c r="I3636">
        <f t="shared" si="169"/>
        <v>960</v>
      </c>
      <c r="J3636">
        <f t="shared" si="170"/>
        <v>3840</v>
      </c>
    </row>
    <row r="3637" spans="1:10" x14ac:dyDescent="0.45">
      <c r="A3637" t="s">
        <v>3891</v>
      </c>
      <c r="B3637" s="1">
        <v>45900</v>
      </c>
      <c r="C3637" t="s">
        <v>4007</v>
      </c>
      <c r="D3637" t="s">
        <v>5015</v>
      </c>
      <c r="E3637">
        <v>48000</v>
      </c>
      <c r="F3637">
        <v>9</v>
      </c>
      <c r="G3637">
        <f t="shared" si="168"/>
        <v>432000</v>
      </c>
      <c r="H3637" t="s">
        <v>7</v>
      </c>
      <c r="I3637">
        <f t="shared" si="169"/>
        <v>57600</v>
      </c>
      <c r="J3637">
        <f t="shared" si="170"/>
        <v>518400</v>
      </c>
    </row>
    <row r="3638" spans="1:10" x14ac:dyDescent="0.45">
      <c r="A3638" t="s">
        <v>1865</v>
      </c>
      <c r="B3638" s="1">
        <v>45901</v>
      </c>
      <c r="C3638" t="s">
        <v>4007</v>
      </c>
      <c r="D3638" t="s">
        <v>5015</v>
      </c>
      <c r="E3638">
        <v>48000</v>
      </c>
      <c r="F3638">
        <v>1</v>
      </c>
      <c r="G3638">
        <f t="shared" si="168"/>
        <v>48000</v>
      </c>
      <c r="H3638" t="s">
        <v>21</v>
      </c>
      <c r="I3638">
        <f t="shared" si="169"/>
        <v>57600</v>
      </c>
      <c r="J3638">
        <f t="shared" si="170"/>
        <v>57600</v>
      </c>
    </row>
    <row r="3639" spans="1:10" x14ac:dyDescent="0.45">
      <c r="A3639" t="s">
        <v>1866</v>
      </c>
      <c r="B3639" s="1">
        <v>45901</v>
      </c>
      <c r="C3639" t="s">
        <v>4007</v>
      </c>
      <c r="D3639" t="s">
        <v>39</v>
      </c>
      <c r="E3639">
        <v>6000</v>
      </c>
      <c r="F3639">
        <v>9</v>
      </c>
      <c r="G3639">
        <f t="shared" si="168"/>
        <v>54000</v>
      </c>
      <c r="H3639" t="s">
        <v>17</v>
      </c>
      <c r="I3639">
        <f t="shared" si="169"/>
        <v>7200</v>
      </c>
      <c r="J3639">
        <f t="shared" si="170"/>
        <v>64800</v>
      </c>
    </row>
    <row r="3640" spans="1:10" x14ac:dyDescent="0.45">
      <c r="A3640" t="s">
        <v>1867</v>
      </c>
      <c r="B3640" s="1">
        <v>45901</v>
      </c>
      <c r="C3640" t="s">
        <v>33</v>
      </c>
      <c r="D3640" t="s">
        <v>42</v>
      </c>
      <c r="E3640">
        <v>6900</v>
      </c>
      <c r="F3640">
        <v>10</v>
      </c>
      <c r="G3640">
        <f t="shared" si="168"/>
        <v>69000</v>
      </c>
      <c r="H3640" t="s">
        <v>21</v>
      </c>
      <c r="I3640">
        <f t="shared" si="169"/>
        <v>8280</v>
      </c>
      <c r="J3640">
        <f t="shared" si="170"/>
        <v>82800</v>
      </c>
    </row>
    <row r="3641" spans="1:10" x14ac:dyDescent="0.45">
      <c r="A3641" t="s">
        <v>1868</v>
      </c>
      <c r="B3641" s="1">
        <v>45901</v>
      </c>
      <c r="C3641" t="s">
        <v>12</v>
      </c>
      <c r="D3641" t="s">
        <v>5022</v>
      </c>
      <c r="E3641">
        <v>2880</v>
      </c>
      <c r="F3641">
        <v>6</v>
      </c>
      <c r="G3641">
        <f t="shared" si="168"/>
        <v>17280</v>
      </c>
      <c r="H3641" t="s">
        <v>21</v>
      </c>
      <c r="I3641">
        <f t="shared" si="169"/>
        <v>3456</v>
      </c>
      <c r="J3641">
        <f t="shared" si="170"/>
        <v>20736</v>
      </c>
    </row>
    <row r="3642" spans="1:10" x14ac:dyDescent="0.45">
      <c r="A3642" t="s">
        <v>1869</v>
      </c>
      <c r="B3642" s="1">
        <v>45901</v>
      </c>
      <c r="C3642" t="s">
        <v>12</v>
      </c>
      <c r="D3642" t="s">
        <v>5020</v>
      </c>
      <c r="E3642">
        <v>2880</v>
      </c>
      <c r="F3642">
        <v>6</v>
      </c>
      <c r="G3642">
        <f t="shared" si="168"/>
        <v>17280</v>
      </c>
      <c r="H3642" t="s">
        <v>17</v>
      </c>
      <c r="I3642">
        <f t="shared" si="169"/>
        <v>3456</v>
      </c>
      <c r="J3642">
        <f t="shared" si="170"/>
        <v>20736</v>
      </c>
    </row>
    <row r="3643" spans="1:10" x14ac:dyDescent="0.45">
      <c r="A3643" t="s">
        <v>1870</v>
      </c>
      <c r="B3643" s="1">
        <v>45901</v>
      </c>
      <c r="C3643" t="s">
        <v>9</v>
      </c>
      <c r="D3643" t="s">
        <v>10</v>
      </c>
      <c r="E3643">
        <v>400</v>
      </c>
      <c r="F3643">
        <v>3</v>
      </c>
      <c r="G3643">
        <f t="shared" si="168"/>
        <v>1200</v>
      </c>
      <c r="H3643" t="s">
        <v>7</v>
      </c>
      <c r="I3643">
        <f t="shared" si="169"/>
        <v>480</v>
      </c>
      <c r="J3643">
        <f t="shared" si="170"/>
        <v>1440</v>
      </c>
    </row>
    <row r="3644" spans="1:10" x14ac:dyDescent="0.45">
      <c r="A3644" t="s">
        <v>1871</v>
      </c>
      <c r="B3644" s="1">
        <v>45901</v>
      </c>
      <c r="C3644" t="s">
        <v>9</v>
      </c>
      <c r="D3644" t="s">
        <v>10</v>
      </c>
      <c r="E3644">
        <v>400</v>
      </c>
      <c r="F3644">
        <v>8</v>
      </c>
      <c r="G3644">
        <f t="shared" si="168"/>
        <v>3200</v>
      </c>
      <c r="H3644" t="s">
        <v>17</v>
      </c>
      <c r="I3644">
        <f t="shared" si="169"/>
        <v>480</v>
      </c>
      <c r="J3644">
        <f t="shared" si="170"/>
        <v>3840</v>
      </c>
    </row>
    <row r="3645" spans="1:10" x14ac:dyDescent="0.45">
      <c r="A3645" t="s">
        <v>2962</v>
      </c>
      <c r="B3645" s="1">
        <v>45901</v>
      </c>
      <c r="C3645" t="s">
        <v>4007</v>
      </c>
      <c r="D3645" t="s">
        <v>2774</v>
      </c>
      <c r="E3645">
        <v>1900</v>
      </c>
      <c r="F3645">
        <v>4</v>
      </c>
      <c r="G3645">
        <f t="shared" si="168"/>
        <v>7600</v>
      </c>
      <c r="H3645" t="s">
        <v>21</v>
      </c>
      <c r="I3645">
        <f t="shared" si="169"/>
        <v>2280</v>
      </c>
      <c r="J3645">
        <f t="shared" si="170"/>
        <v>9120</v>
      </c>
    </row>
    <row r="3646" spans="1:10" x14ac:dyDescent="0.45">
      <c r="A3646" t="s">
        <v>3832</v>
      </c>
      <c r="B3646" s="1">
        <v>45901</v>
      </c>
      <c r="C3646" t="s">
        <v>2772</v>
      </c>
      <c r="D3646" t="s">
        <v>2771</v>
      </c>
      <c r="E3646">
        <v>120</v>
      </c>
      <c r="F3646">
        <v>4</v>
      </c>
      <c r="G3646">
        <f t="shared" si="168"/>
        <v>480</v>
      </c>
      <c r="H3646" t="s">
        <v>21</v>
      </c>
      <c r="I3646">
        <f t="shared" si="169"/>
        <v>144</v>
      </c>
      <c r="J3646">
        <f t="shared" si="170"/>
        <v>576</v>
      </c>
    </row>
    <row r="3647" spans="1:10" x14ac:dyDescent="0.45">
      <c r="A3647" t="s">
        <v>1872</v>
      </c>
      <c r="B3647" s="1">
        <v>45902</v>
      </c>
      <c r="C3647" t="s">
        <v>4007</v>
      </c>
      <c r="D3647" t="s">
        <v>28</v>
      </c>
      <c r="E3647">
        <v>500</v>
      </c>
      <c r="F3647">
        <v>7</v>
      </c>
      <c r="G3647">
        <f t="shared" si="168"/>
        <v>3500</v>
      </c>
      <c r="H3647" t="s">
        <v>21</v>
      </c>
      <c r="I3647">
        <f t="shared" si="169"/>
        <v>600</v>
      </c>
      <c r="J3647">
        <f t="shared" si="170"/>
        <v>4200</v>
      </c>
    </row>
    <row r="3648" spans="1:10" x14ac:dyDescent="0.45">
      <c r="A3648" t="s">
        <v>1873</v>
      </c>
      <c r="B3648" s="1">
        <v>45902</v>
      </c>
      <c r="C3648" t="s">
        <v>4007</v>
      </c>
      <c r="D3648" t="s">
        <v>5015</v>
      </c>
      <c r="E3648">
        <v>48000</v>
      </c>
      <c r="F3648">
        <v>9</v>
      </c>
      <c r="G3648">
        <f t="shared" si="168"/>
        <v>432000</v>
      </c>
      <c r="H3648" t="s">
        <v>17</v>
      </c>
      <c r="I3648">
        <f t="shared" si="169"/>
        <v>57600</v>
      </c>
      <c r="J3648">
        <f t="shared" si="170"/>
        <v>518400</v>
      </c>
    </row>
    <row r="3649" spans="1:10" x14ac:dyDescent="0.45">
      <c r="A3649" t="s">
        <v>1874</v>
      </c>
      <c r="B3649" s="1">
        <v>45902</v>
      </c>
      <c r="C3649" t="s">
        <v>4007</v>
      </c>
      <c r="D3649" t="s">
        <v>28</v>
      </c>
      <c r="E3649">
        <v>500</v>
      </c>
      <c r="F3649">
        <v>6</v>
      </c>
      <c r="G3649">
        <f t="shared" si="168"/>
        <v>3000</v>
      </c>
      <c r="H3649" t="s">
        <v>21</v>
      </c>
      <c r="I3649">
        <f t="shared" si="169"/>
        <v>600</v>
      </c>
      <c r="J3649">
        <f t="shared" si="170"/>
        <v>3600</v>
      </c>
    </row>
    <row r="3650" spans="1:10" x14ac:dyDescent="0.45">
      <c r="A3650" t="s">
        <v>1875</v>
      </c>
      <c r="B3650" s="1">
        <v>45902</v>
      </c>
      <c r="C3650" t="s">
        <v>33</v>
      </c>
      <c r="D3650" t="s">
        <v>16</v>
      </c>
      <c r="E3650">
        <v>1200</v>
      </c>
      <c r="F3650">
        <v>6</v>
      </c>
      <c r="G3650">
        <f t="shared" ref="G3650:G3713" si="171">E3650*F3650</f>
        <v>7200</v>
      </c>
      <c r="H3650" t="s">
        <v>17</v>
      </c>
      <c r="I3650">
        <f t="shared" ref="I3650:I3713" si="172">E3650*1.2</f>
        <v>1440</v>
      </c>
      <c r="J3650">
        <f t="shared" ref="J3650:J3713" si="173">I3650*F3650</f>
        <v>8640</v>
      </c>
    </row>
    <row r="3651" spans="1:10" x14ac:dyDescent="0.45">
      <c r="A3651" t="s">
        <v>1876</v>
      </c>
      <c r="B3651" s="1">
        <v>45902</v>
      </c>
      <c r="C3651" t="s">
        <v>4007</v>
      </c>
      <c r="D3651" t="s">
        <v>28</v>
      </c>
      <c r="E3651">
        <v>500</v>
      </c>
      <c r="F3651">
        <v>6</v>
      </c>
      <c r="G3651">
        <f t="shared" si="171"/>
        <v>3000</v>
      </c>
      <c r="H3651" t="s">
        <v>21</v>
      </c>
      <c r="I3651">
        <f t="shared" si="172"/>
        <v>600</v>
      </c>
      <c r="J3651">
        <f t="shared" si="173"/>
        <v>3600</v>
      </c>
    </row>
    <row r="3652" spans="1:10" x14ac:dyDescent="0.45">
      <c r="A3652" t="s">
        <v>1877</v>
      </c>
      <c r="B3652" s="1">
        <v>45902</v>
      </c>
      <c r="C3652" t="s">
        <v>9</v>
      </c>
      <c r="D3652" t="s">
        <v>19</v>
      </c>
      <c r="E3652">
        <v>3000</v>
      </c>
      <c r="F3652">
        <v>4</v>
      </c>
      <c r="G3652">
        <f t="shared" si="171"/>
        <v>12000</v>
      </c>
      <c r="H3652" t="s">
        <v>21</v>
      </c>
      <c r="I3652">
        <f t="shared" si="172"/>
        <v>3600</v>
      </c>
      <c r="J3652">
        <f t="shared" si="173"/>
        <v>14400</v>
      </c>
    </row>
    <row r="3653" spans="1:10" x14ac:dyDescent="0.45">
      <c r="A3653" t="s">
        <v>2969</v>
      </c>
      <c r="B3653" s="1">
        <v>45902</v>
      </c>
      <c r="C3653" t="s">
        <v>33</v>
      </c>
      <c r="D3653" t="s">
        <v>34</v>
      </c>
      <c r="E3653">
        <v>1700</v>
      </c>
      <c r="F3653">
        <v>8</v>
      </c>
      <c r="G3653">
        <f t="shared" si="171"/>
        <v>13600</v>
      </c>
      <c r="H3653" t="s">
        <v>21</v>
      </c>
      <c r="I3653">
        <f t="shared" si="172"/>
        <v>2040</v>
      </c>
      <c r="J3653">
        <f t="shared" si="173"/>
        <v>16320</v>
      </c>
    </row>
    <row r="3654" spans="1:10" x14ac:dyDescent="0.45">
      <c r="A3654" t="s">
        <v>3086</v>
      </c>
      <c r="B3654" s="1">
        <v>45902</v>
      </c>
      <c r="C3654" t="s">
        <v>2772</v>
      </c>
      <c r="D3654" t="s">
        <v>2775</v>
      </c>
      <c r="E3654">
        <v>9100</v>
      </c>
      <c r="F3654">
        <v>9</v>
      </c>
      <c r="G3654">
        <f t="shared" si="171"/>
        <v>81900</v>
      </c>
      <c r="H3654" t="s">
        <v>7</v>
      </c>
      <c r="I3654">
        <f t="shared" si="172"/>
        <v>10920</v>
      </c>
      <c r="J3654">
        <f t="shared" si="173"/>
        <v>98280</v>
      </c>
    </row>
    <row r="3655" spans="1:10" x14ac:dyDescent="0.45">
      <c r="A3655" t="s">
        <v>3695</v>
      </c>
      <c r="B3655" s="1">
        <v>45902</v>
      </c>
      <c r="C3655" t="s">
        <v>4007</v>
      </c>
      <c r="D3655" t="s">
        <v>2774</v>
      </c>
      <c r="E3655">
        <v>1900</v>
      </c>
      <c r="F3655">
        <v>9</v>
      </c>
      <c r="G3655">
        <f t="shared" si="171"/>
        <v>17100</v>
      </c>
      <c r="H3655" t="s">
        <v>17</v>
      </c>
      <c r="I3655">
        <f t="shared" si="172"/>
        <v>2280</v>
      </c>
      <c r="J3655">
        <f t="shared" si="173"/>
        <v>20520</v>
      </c>
    </row>
    <row r="3656" spans="1:10" x14ac:dyDescent="0.45">
      <c r="A3656" t="s">
        <v>1878</v>
      </c>
      <c r="B3656" s="1">
        <v>45903</v>
      </c>
      <c r="C3656" t="s">
        <v>12</v>
      </c>
      <c r="D3656" t="s">
        <v>5020</v>
      </c>
      <c r="E3656">
        <v>2880</v>
      </c>
      <c r="F3656">
        <v>3</v>
      </c>
      <c r="G3656">
        <f t="shared" si="171"/>
        <v>8640</v>
      </c>
      <c r="H3656" t="s">
        <v>17</v>
      </c>
      <c r="I3656">
        <f t="shared" si="172"/>
        <v>3456</v>
      </c>
      <c r="J3656">
        <f t="shared" si="173"/>
        <v>10368</v>
      </c>
    </row>
    <row r="3657" spans="1:10" x14ac:dyDescent="0.45">
      <c r="A3657" t="s">
        <v>1879</v>
      </c>
      <c r="B3657" s="1">
        <v>45903</v>
      </c>
      <c r="C3657" t="s">
        <v>33</v>
      </c>
      <c r="D3657" t="s">
        <v>34</v>
      </c>
      <c r="E3657">
        <v>1700</v>
      </c>
      <c r="F3657">
        <v>7</v>
      </c>
      <c r="G3657">
        <f t="shared" si="171"/>
        <v>11900</v>
      </c>
      <c r="H3657" t="s">
        <v>7</v>
      </c>
      <c r="I3657">
        <f t="shared" si="172"/>
        <v>2040</v>
      </c>
      <c r="J3657">
        <f t="shared" si="173"/>
        <v>14280</v>
      </c>
    </row>
    <row r="3658" spans="1:10" x14ac:dyDescent="0.45">
      <c r="A3658" t="s">
        <v>1880</v>
      </c>
      <c r="B3658" s="1">
        <v>45903</v>
      </c>
      <c r="C3658" t="s">
        <v>12</v>
      </c>
      <c r="D3658" t="s">
        <v>5022</v>
      </c>
      <c r="E3658">
        <v>2880</v>
      </c>
      <c r="F3658">
        <v>9</v>
      </c>
      <c r="G3658">
        <f t="shared" si="171"/>
        <v>25920</v>
      </c>
      <c r="H3658" t="s">
        <v>7</v>
      </c>
      <c r="I3658">
        <f t="shared" si="172"/>
        <v>3456</v>
      </c>
      <c r="J3658">
        <f t="shared" si="173"/>
        <v>31104</v>
      </c>
    </row>
    <row r="3659" spans="1:10" x14ac:dyDescent="0.45">
      <c r="A3659" t="s">
        <v>1881</v>
      </c>
      <c r="B3659" s="1">
        <v>45903</v>
      </c>
      <c r="C3659" t="s">
        <v>9</v>
      </c>
      <c r="D3659" t="s">
        <v>19</v>
      </c>
      <c r="E3659">
        <v>3000</v>
      </c>
      <c r="F3659">
        <v>6</v>
      </c>
      <c r="G3659">
        <f t="shared" si="171"/>
        <v>18000</v>
      </c>
      <c r="H3659" t="s">
        <v>7</v>
      </c>
      <c r="I3659">
        <f t="shared" si="172"/>
        <v>3600</v>
      </c>
      <c r="J3659">
        <f t="shared" si="173"/>
        <v>21600</v>
      </c>
    </row>
    <row r="3660" spans="1:10" x14ac:dyDescent="0.45">
      <c r="A3660" t="s">
        <v>1882</v>
      </c>
      <c r="B3660" s="1">
        <v>45903</v>
      </c>
      <c r="C3660" t="s">
        <v>33</v>
      </c>
      <c r="D3660" t="s">
        <v>14</v>
      </c>
      <c r="E3660">
        <v>800</v>
      </c>
      <c r="F3660">
        <v>2</v>
      </c>
      <c r="G3660">
        <f t="shared" si="171"/>
        <v>1600</v>
      </c>
      <c r="H3660" t="s">
        <v>17</v>
      </c>
      <c r="I3660">
        <f t="shared" si="172"/>
        <v>960</v>
      </c>
      <c r="J3660">
        <f t="shared" si="173"/>
        <v>1920</v>
      </c>
    </row>
    <row r="3661" spans="1:10" x14ac:dyDescent="0.45">
      <c r="A3661" t="s">
        <v>1883</v>
      </c>
      <c r="B3661" s="1">
        <v>45903</v>
      </c>
      <c r="C3661" t="s">
        <v>12</v>
      </c>
      <c r="D3661" t="s">
        <v>5023</v>
      </c>
      <c r="E3661">
        <v>1750</v>
      </c>
      <c r="F3661">
        <v>3</v>
      </c>
      <c r="G3661">
        <f t="shared" si="171"/>
        <v>5250</v>
      </c>
      <c r="H3661" t="s">
        <v>7</v>
      </c>
      <c r="I3661">
        <f t="shared" si="172"/>
        <v>2100</v>
      </c>
      <c r="J3661">
        <f t="shared" si="173"/>
        <v>6300</v>
      </c>
    </row>
    <row r="3662" spans="1:10" x14ac:dyDescent="0.45">
      <c r="A3662" t="s">
        <v>1884</v>
      </c>
      <c r="B3662" s="1">
        <v>45903</v>
      </c>
      <c r="C3662" t="s">
        <v>12</v>
      </c>
      <c r="D3662" t="s">
        <v>5022</v>
      </c>
      <c r="E3662">
        <v>2880</v>
      </c>
      <c r="F3662">
        <v>1</v>
      </c>
      <c r="G3662">
        <f t="shared" si="171"/>
        <v>2880</v>
      </c>
      <c r="H3662" t="s">
        <v>21</v>
      </c>
      <c r="I3662">
        <f t="shared" si="172"/>
        <v>3456</v>
      </c>
      <c r="J3662">
        <f t="shared" si="173"/>
        <v>3456</v>
      </c>
    </row>
    <row r="3663" spans="1:10" x14ac:dyDescent="0.45">
      <c r="A3663" t="s">
        <v>1885</v>
      </c>
      <c r="B3663" s="1">
        <v>45903</v>
      </c>
      <c r="C3663" t="s">
        <v>33</v>
      </c>
      <c r="D3663" t="s">
        <v>34</v>
      </c>
      <c r="E3663">
        <v>1700</v>
      </c>
      <c r="F3663">
        <v>5</v>
      </c>
      <c r="G3663">
        <f t="shared" si="171"/>
        <v>8500</v>
      </c>
      <c r="H3663" t="s">
        <v>21</v>
      </c>
      <c r="I3663">
        <f t="shared" si="172"/>
        <v>2040</v>
      </c>
      <c r="J3663">
        <f t="shared" si="173"/>
        <v>10200</v>
      </c>
    </row>
    <row r="3664" spans="1:10" x14ac:dyDescent="0.45">
      <c r="A3664" t="s">
        <v>2965</v>
      </c>
      <c r="B3664" s="1">
        <v>45903</v>
      </c>
      <c r="C3664" t="s">
        <v>33</v>
      </c>
      <c r="D3664" t="s">
        <v>14</v>
      </c>
      <c r="E3664">
        <v>800</v>
      </c>
      <c r="F3664">
        <v>4</v>
      </c>
      <c r="G3664">
        <f t="shared" si="171"/>
        <v>3200</v>
      </c>
      <c r="H3664" t="s">
        <v>7</v>
      </c>
      <c r="I3664">
        <f t="shared" si="172"/>
        <v>960</v>
      </c>
      <c r="J3664">
        <f t="shared" si="173"/>
        <v>3840</v>
      </c>
    </row>
    <row r="3665" spans="1:10" x14ac:dyDescent="0.45">
      <c r="A3665" t="s">
        <v>3013</v>
      </c>
      <c r="B3665" s="1">
        <v>45903</v>
      </c>
      <c r="C3665" t="s">
        <v>4007</v>
      </c>
      <c r="D3665" t="s">
        <v>2774</v>
      </c>
      <c r="E3665">
        <v>1900</v>
      </c>
      <c r="F3665">
        <v>5</v>
      </c>
      <c r="G3665">
        <f t="shared" si="171"/>
        <v>9500</v>
      </c>
      <c r="H3665" t="s">
        <v>21</v>
      </c>
      <c r="I3665">
        <f t="shared" si="172"/>
        <v>2280</v>
      </c>
      <c r="J3665">
        <f t="shared" si="173"/>
        <v>11400</v>
      </c>
    </row>
    <row r="3666" spans="1:10" x14ac:dyDescent="0.45">
      <c r="A3666" t="s">
        <v>3218</v>
      </c>
      <c r="B3666" s="1">
        <v>45903</v>
      </c>
      <c r="C3666" t="s">
        <v>4007</v>
      </c>
      <c r="D3666" t="s">
        <v>2773</v>
      </c>
      <c r="E3666">
        <v>3300</v>
      </c>
      <c r="F3666">
        <v>6</v>
      </c>
      <c r="G3666">
        <f t="shared" si="171"/>
        <v>19800</v>
      </c>
      <c r="H3666" t="s">
        <v>21</v>
      </c>
      <c r="I3666">
        <f t="shared" si="172"/>
        <v>3960</v>
      </c>
      <c r="J3666">
        <f t="shared" si="173"/>
        <v>23760</v>
      </c>
    </row>
    <row r="3667" spans="1:10" x14ac:dyDescent="0.45">
      <c r="A3667" t="s">
        <v>3378</v>
      </c>
      <c r="B3667" s="1">
        <v>45903</v>
      </c>
      <c r="C3667" t="s">
        <v>4007</v>
      </c>
      <c r="D3667" t="s">
        <v>28</v>
      </c>
      <c r="E3667">
        <v>500</v>
      </c>
      <c r="F3667">
        <v>3</v>
      </c>
      <c r="G3667">
        <f t="shared" si="171"/>
        <v>1500</v>
      </c>
      <c r="H3667" t="s">
        <v>21</v>
      </c>
      <c r="I3667">
        <f t="shared" si="172"/>
        <v>600</v>
      </c>
      <c r="J3667">
        <f t="shared" si="173"/>
        <v>1800</v>
      </c>
    </row>
    <row r="3668" spans="1:10" x14ac:dyDescent="0.45">
      <c r="A3668" t="s">
        <v>3397</v>
      </c>
      <c r="B3668" s="1">
        <v>45903</v>
      </c>
      <c r="C3668" t="s">
        <v>4007</v>
      </c>
      <c r="D3668" t="s">
        <v>28</v>
      </c>
      <c r="E3668">
        <v>500</v>
      </c>
      <c r="F3668">
        <v>2</v>
      </c>
      <c r="G3668">
        <f t="shared" si="171"/>
        <v>1000</v>
      </c>
      <c r="H3668" t="s">
        <v>7</v>
      </c>
      <c r="I3668">
        <f t="shared" si="172"/>
        <v>600</v>
      </c>
      <c r="J3668">
        <f t="shared" si="173"/>
        <v>1200</v>
      </c>
    </row>
    <row r="3669" spans="1:10" x14ac:dyDescent="0.45">
      <c r="A3669" t="s">
        <v>3651</v>
      </c>
      <c r="B3669" s="1">
        <v>45903</v>
      </c>
      <c r="C3669" t="s">
        <v>4007</v>
      </c>
      <c r="D3669" t="s">
        <v>2770</v>
      </c>
      <c r="E3669">
        <v>600</v>
      </c>
      <c r="F3669">
        <v>7</v>
      </c>
      <c r="G3669">
        <f t="shared" si="171"/>
        <v>4200</v>
      </c>
      <c r="H3669" t="s">
        <v>7</v>
      </c>
      <c r="I3669">
        <f t="shared" si="172"/>
        <v>720</v>
      </c>
      <c r="J3669">
        <f t="shared" si="173"/>
        <v>5040</v>
      </c>
    </row>
    <row r="3670" spans="1:10" x14ac:dyDescent="0.45">
      <c r="A3670" t="s">
        <v>1886</v>
      </c>
      <c r="B3670" s="1">
        <v>45904</v>
      </c>
      <c r="C3670" t="s">
        <v>33</v>
      </c>
      <c r="D3670" t="s">
        <v>34</v>
      </c>
      <c r="E3670">
        <v>1700</v>
      </c>
      <c r="F3670">
        <v>7</v>
      </c>
      <c r="G3670">
        <f t="shared" si="171"/>
        <v>11900</v>
      </c>
      <c r="H3670" t="s">
        <v>17</v>
      </c>
      <c r="I3670">
        <f t="shared" si="172"/>
        <v>2040</v>
      </c>
      <c r="J3670">
        <f t="shared" si="173"/>
        <v>14280</v>
      </c>
    </row>
    <row r="3671" spans="1:10" x14ac:dyDescent="0.45">
      <c r="A3671" t="s">
        <v>1887</v>
      </c>
      <c r="B3671" s="1">
        <v>45904</v>
      </c>
      <c r="C3671" t="s">
        <v>12</v>
      </c>
      <c r="D3671" t="s">
        <v>5023</v>
      </c>
      <c r="E3671">
        <v>1750</v>
      </c>
      <c r="F3671">
        <v>9</v>
      </c>
      <c r="G3671">
        <f t="shared" si="171"/>
        <v>15750</v>
      </c>
      <c r="H3671" t="s">
        <v>17</v>
      </c>
      <c r="I3671">
        <f t="shared" si="172"/>
        <v>2100</v>
      </c>
      <c r="J3671">
        <f t="shared" si="173"/>
        <v>18900</v>
      </c>
    </row>
    <row r="3672" spans="1:10" x14ac:dyDescent="0.45">
      <c r="A3672" t="s">
        <v>1888</v>
      </c>
      <c r="B3672" s="1">
        <v>45904</v>
      </c>
      <c r="C3672" t="s">
        <v>9</v>
      </c>
      <c r="D3672" t="s">
        <v>25</v>
      </c>
      <c r="E3672">
        <v>5200</v>
      </c>
      <c r="F3672">
        <v>2</v>
      </c>
      <c r="G3672">
        <f t="shared" si="171"/>
        <v>10400</v>
      </c>
      <c r="H3672" t="s">
        <v>17</v>
      </c>
      <c r="I3672">
        <f t="shared" si="172"/>
        <v>6240</v>
      </c>
      <c r="J3672">
        <f t="shared" si="173"/>
        <v>12480</v>
      </c>
    </row>
    <row r="3673" spans="1:10" x14ac:dyDescent="0.45">
      <c r="A3673" t="s">
        <v>1889</v>
      </c>
      <c r="B3673" s="1">
        <v>45904</v>
      </c>
      <c r="C3673" t="s">
        <v>9</v>
      </c>
      <c r="D3673" t="s">
        <v>25</v>
      </c>
      <c r="E3673">
        <v>5200</v>
      </c>
      <c r="F3673">
        <v>2</v>
      </c>
      <c r="G3673">
        <f t="shared" si="171"/>
        <v>10400</v>
      </c>
      <c r="H3673" t="s">
        <v>7</v>
      </c>
      <c r="I3673">
        <f t="shared" si="172"/>
        <v>6240</v>
      </c>
      <c r="J3673">
        <f t="shared" si="173"/>
        <v>12480</v>
      </c>
    </row>
    <row r="3674" spans="1:10" x14ac:dyDescent="0.45">
      <c r="A3674" t="s">
        <v>1890</v>
      </c>
      <c r="B3674" s="1">
        <v>45904</v>
      </c>
      <c r="C3674" t="s">
        <v>12</v>
      </c>
      <c r="D3674" t="s">
        <v>5020</v>
      </c>
      <c r="E3674">
        <v>2880</v>
      </c>
      <c r="F3674">
        <v>4</v>
      </c>
      <c r="G3674">
        <f t="shared" si="171"/>
        <v>11520</v>
      </c>
      <c r="H3674" t="s">
        <v>7</v>
      </c>
      <c r="I3674">
        <f t="shared" si="172"/>
        <v>3456</v>
      </c>
      <c r="J3674">
        <f t="shared" si="173"/>
        <v>13824</v>
      </c>
    </row>
    <row r="3675" spans="1:10" x14ac:dyDescent="0.45">
      <c r="A3675" t="s">
        <v>1891</v>
      </c>
      <c r="B3675" s="1">
        <v>45904</v>
      </c>
      <c r="C3675" t="s">
        <v>33</v>
      </c>
      <c r="D3675" t="s">
        <v>34</v>
      </c>
      <c r="E3675">
        <v>1700</v>
      </c>
      <c r="F3675">
        <v>4</v>
      </c>
      <c r="G3675">
        <f t="shared" si="171"/>
        <v>6800</v>
      </c>
      <c r="H3675" t="s">
        <v>17</v>
      </c>
      <c r="I3675">
        <f t="shared" si="172"/>
        <v>2040</v>
      </c>
      <c r="J3675">
        <f t="shared" si="173"/>
        <v>8160</v>
      </c>
    </row>
    <row r="3676" spans="1:10" x14ac:dyDescent="0.45">
      <c r="A3676" t="s">
        <v>1892</v>
      </c>
      <c r="B3676" s="1">
        <v>45904</v>
      </c>
      <c r="C3676" t="s">
        <v>33</v>
      </c>
      <c r="D3676" t="s">
        <v>34</v>
      </c>
      <c r="E3676">
        <v>1700</v>
      </c>
      <c r="F3676">
        <v>3</v>
      </c>
      <c r="G3676">
        <f t="shared" si="171"/>
        <v>5100</v>
      </c>
      <c r="H3676" t="s">
        <v>7</v>
      </c>
      <c r="I3676">
        <f t="shared" si="172"/>
        <v>2040</v>
      </c>
      <c r="J3676">
        <f t="shared" si="173"/>
        <v>6120</v>
      </c>
    </row>
    <row r="3677" spans="1:10" x14ac:dyDescent="0.45">
      <c r="A3677" t="s">
        <v>1893</v>
      </c>
      <c r="B3677" s="1">
        <v>45904</v>
      </c>
      <c r="C3677" t="s">
        <v>12</v>
      </c>
      <c r="D3677" t="s">
        <v>5020</v>
      </c>
      <c r="E3677">
        <v>2880</v>
      </c>
      <c r="F3677">
        <v>4</v>
      </c>
      <c r="G3677">
        <f t="shared" si="171"/>
        <v>11520</v>
      </c>
      <c r="H3677" t="s">
        <v>17</v>
      </c>
      <c r="I3677">
        <f t="shared" si="172"/>
        <v>3456</v>
      </c>
      <c r="J3677">
        <f t="shared" si="173"/>
        <v>13824</v>
      </c>
    </row>
    <row r="3678" spans="1:10" x14ac:dyDescent="0.45">
      <c r="A3678" t="s">
        <v>2835</v>
      </c>
      <c r="B3678" s="1">
        <v>45904</v>
      </c>
      <c r="C3678" t="s">
        <v>2772</v>
      </c>
      <c r="D3678" t="s">
        <v>2775</v>
      </c>
      <c r="E3678">
        <v>9100</v>
      </c>
      <c r="F3678">
        <v>3</v>
      </c>
      <c r="G3678">
        <f t="shared" si="171"/>
        <v>27300</v>
      </c>
      <c r="H3678" t="s">
        <v>7</v>
      </c>
      <c r="I3678">
        <f t="shared" si="172"/>
        <v>10920</v>
      </c>
      <c r="J3678">
        <f t="shared" si="173"/>
        <v>32760</v>
      </c>
    </row>
    <row r="3679" spans="1:10" x14ac:dyDescent="0.45">
      <c r="A3679" t="s">
        <v>3313</v>
      </c>
      <c r="B3679" s="1">
        <v>45904</v>
      </c>
      <c r="C3679" t="s">
        <v>2772</v>
      </c>
      <c r="D3679" t="s">
        <v>2775</v>
      </c>
      <c r="E3679">
        <v>9100</v>
      </c>
      <c r="F3679">
        <v>2</v>
      </c>
      <c r="G3679">
        <f t="shared" si="171"/>
        <v>18200</v>
      </c>
      <c r="H3679" t="s">
        <v>7</v>
      </c>
      <c r="I3679">
        <f t="shared" si="172"/>
        <v>10920</v>
      </c>
      <c r="J3679">
        <f t="shared" si="173"/>
        <v>21840</v>
      </c>
    </row>
    <row r="3680" spans="1:10" x14ac:dyDescent="0.45">
      <c r="A3680" t="s">
        <v>1894</v>
      </c>
      <c r="B3680" s="1">
        <v>45905</v>
      </c>
      <c r="C3680" t="s">
        <v>12</v>
      </c>
      <c r="D3680" t="s">
        <v>5023</v>
      </c>
      <c r="E3680">
        <v>1750</v>
      </c>
      <c r="F3680">
        <v>10</v>
      </c>
      <c r="G3680">
        <f t="shared" si="171"/>
        <v>17500</v>
      </c>
      <c r="H3680" t="s">
        <v>7</v>
      </c>
      <c r="I3680">
        <f t="shared" si="172"/>
        <v>2100</v>
      </c>
      <c r="J3680">
        <f t="shared" si="173"/>
        <v>21000</v>
      </c>
    </row>
    <row r="3681" spans="1:10" x14ac:dyDescent="0.45">
      <c r="A3681" t="s">
        <v>1895</v>
      </c>
      <c r="B3681" s="1">
        <v>45905</v>
      </c>
      <c r="C3681" t="s">
        <v>12</v>
      </c>
      <c r="D3681" t="s">
        <v>5022</v>
      </c>
      <c r="E3681">
        <v>2880</v>
      </c>
      <c r="F3681">
        <v>1</v>
      </c>
      <c r="G3681">
        <f t="shared" si="171"/>
        <v>2880</v>
      </c>
      <c r="H3681" t="s">
        <v>17</v>
      </c>
      <c r="I3681">
        <f t="shared" si="172"/>
        <v>3456</v>
      </c>
      <c r="J3681">
        <f t="shared" si="173"/>
        <v>3456</v>
      </c>
    </row>
    <row r="3682" spans="1:10" x14ac:dyDescent="0.45">
      <c r="A3682" t="s">
        <v>1896</v>
      </c>
      <c r="B3682" s="1">
        <v>45905</v>
      </c>
      <c r="C3682" t="s">
        <v>12</v>
      </c>
      <c r="D3682" t="s">
        <v>5022</v>
      </c>
      <c r="E3682">
        <v>2880</v>
      </c>
      <c r="F3682">
        <v>7</v>
      </c>
      <c r="G3682">
        <f t="shared" si="171"/>
        <v>20160</v>
      </c>
      <c r="H3682" t="s">
        <v>7</v>
      </c>
      <c r="I3682">
        <f t="shared" si="172"/>
        <v>3456</v>
      </c>
      <c r="J3682">
        <f t="shared" si="173"/>
        <v>24192</v>
      </c>
    </row>
    <row r="3683" spans="1:10" x14ac:dyDescent="0.45">
      <c r="A3683" t="s">
        <v>1897</v>
      </c>
      <c r="B3683" s="1">
        <v>45905</v>
      </c>
      <c r="C3683" t="s">
        <v>4007</v>
      </c>
      <c r="D3683" t="s">
        <v>28</v>
      </c>
      <c r="E3683">
        <v>500</v>
      </c>
      <c r="F3683">
        <v>4</v>
      </c>
      <c r="G3683">
        <f t="shared" si="171"/>
        <v>2000</v>
      </c>
      <c r="H3683" t="s">
        <v>21</v>
      </c>
      <c r="I3683">
        <f t="shared" si="172"/>
        <v>600</v>
      </c>
      <c r="J3683">
        <f t="shared" si="173"/>
        <v>2400</v>
      </c>
    </row>
    <row r="3684" spans="1:10" x14ac:dyDescent="0.45">
      <c r="A3684" t="s">
        <v>1898</v>
      </c>
      <c r="B3684" s="1">
        <v>45905</v>
      </c>
      <c r="C3684" t="s">
        <v>33</v>
      </c>
      <c r="D3684" t="s">
        <v>42</v>
      </c>
      <c r="E3684">
        <v>6900</v>
      </c>
      <c r="F3684">
        <v>1</v>
      </c>
      <c r="G3684">
        <f t="shared" si="171"/>
        <v>6900</v>
      </c>
      <c r="H3684" t="s">
        <v>21</v>
      </c>
      <c r="I3684">
        <f t="shared" si="172"/>
        <v>8280</v>
      </c>
      <c r="J3684">
        <f t="shared" si="173"/>
        <v>8280</v>
      </c>
    </row>
    <row r="3685" spans="1:10" x14ac:dyDescent="0.45">
      <c r="A3685" t="s">
        <v>1899</v>
      </c>
      <c r="B3685" s="1">
        <v>45905</v>
      </c>
      <c r="C3685" t="s">
        <v>12</v>
      </c>
      <c r="D3685" t="s">
        <v>5020</v>
      </c>
      <c r="E3685">
        <v>2880</v>
      </c>
      <c r="F3685">
        <v>9</v>
      </c>
      <c r="G3685">
        <f t="shared" si="171"/>
        <v>25920</v>
      </c>
      <c r="H3685" t="s">
        <v>17</v>
      </c>
      <c r="I3685">
        <f t="shared" si="172"/>
        <v>3456</v>
      </c>
      <c r="J3685">
        <f t="shared" si="173"/>
        <v>31104</v>
      </c>
    </row>
    <row r="3686" spans="1:10" x14ac:dyDescent="0.45">
      <c r="A3686" t="s">
        <v>1900</v>
      </c>
      <c r="B3686" s="1">
        <v>45905</v>
      </c>
      <c r="C3686" t="s">
        <v>12</v>
      </c>
      <c r="D3686" t="s">
        <v>5021</v>
      </c>
      <c r="E3686">
        <v>2880</v>
      </c>
      <c r="F3686">
        <v>10</v>
      </c>
      <c r="G3686">
        <f t="shared" si="171"/>
        <v>28800</v>
      </c>
      <c r="H3686" t="s">
        <v>7</v>
      </c>
      <c r="I3686">
        <f t="shared" si="172"/>
        <v>3456</v>
      </c>
      <c r="J3686">
        <f t="shared" si="173"/>
        <v>34560</v>
      </c>
    </row>
    <row r="3687" spans="1:10" x14ac:dyDescent="0.45">
      <c r="A3687" t="s">
        <v>3063</v>
      </c>
      <c r="B3687" s="1">
        <v>45905</v>
      </c>
      <c r="C3687" t="s">
        <v>4007</v>
      </c>
      <c r="D3687" t="s">
        <v>28</v>
      </c>
      <c r="E3687">
        <v>500</v>
      </c>
      <c r="F3687">
        <v>10</v>
      </c>
      <c r="G3687">
        <f t="shared" si="171"/>
        <v>5000</v>
      </c>
      <c r="H3687" t="s">
        <v>21</v>
      </c>
      <c r="I3687">
        <f t="shared" si="172"/>
        <v>600</v>
      </c>
      <c r="J3687">
        <f t="shared" si="173"/>
        <v>6000</v>
      </c>
    </row>
    <row r="3688" spans="1:10" x14ac:dyDescent="0.45">
      <c r="A3688" t="s">
        <v>3317</v>
      </c>
      <c r="B3688" s="1">
        <v>45905</v>
      </c>
      <c r="C3688" t="s">
        <v>33</v>
      </c>
      <c r="D3688" t="s">
        <v>34</v>
      </c>
      <c r="E3688">
        <v>1700</v>
      </c>
      <c r="F3688">
        <v>3</v>
      </c>
      <c r="G3688">
        <f t="shared" si="171"/>
        <v>5100</v>
      </c>
      <c r="H3688" t="s">
        <v>17</v>
      </c>
      <c r="I3688">
        <f t="shared" si="172"/>
        <v>2040</v>
      </c>
      <c r="J3688">
        <f t="shared" si="173"/>
        <v>6120</v>
      </c>
    </row>
    <row r="3689" spans="1:10" x14ac:dyDescent="0.45">
      <c r="A3689" t="s">
        <v>3385</v>
      </c>
      <c r="B3689" s="1">
        <v>45905</v>
      </c>
      <c r="C3689" t="s">
        <v>4007</v>
      </c>
      <c r="D3689" t="s">
        <v>2770</v>
      </c>
      <c r="E3689">
        <v>600</v>
      </c>
      <c r="F3689">
        <v>1</v>
      </c>
      <c r="G3689">
        <f t="shared" si="171"/>
        <v>600</v>
      </c>
      <c r="H3689" t="s">
        <v>7</v>
      </c>
      <c r="I3689">
        <f t="shared" si="172"/>
        <v>720</v>
      </c>
      <c r="J3689">
        <f t="shared" si="173"/>
        <v>720</v>
      </c>
    </row>
    <row r="3690" spans="1:10" x14ac:dyDescent="0.45">
      <c r="A3690" t="s">
        <v>3401</v>
      </c>
      <c r="B3690" s="1">
        <v>45905</v>
      </c>
      <c r="C3690" t="s">
        <v>4007</v>
      </c>
      <c r="D3690" t="s">
        <v>5015</v>
      </c>
      <c r="E3690">
        <v>48000</v>
      </c>
      <c r="F3690">
        <v>7</v>
      </c>
      <c r="G3690">
        <f t="shared" si="171"/>
        <v>336000</v>
      </c>
      <c r="H3690" t="s">
        <v>7</v>
      </c>
      <c r="I3690">
        <f t="shared" si="172"/>
        <v>57600</v>
      </c>
      <c r="J3690">
        <f t="shared" si="173"/>
        <v>403200</v>
      </c>
    </row>
    <row r="3691" spans="1:10" x14ac:dyDescent="0.45">
      <c r="A3691" t="s">
        <v>3734</v>
      </c>
      <c r="B3691" s="1">
        <v>45905</v>
      </c>
      <c r="C3691" t="s">
        <v>2772</v>
      </c>
      <c r="D3691" t="s">
        <v>2775</v>
      </c>
      <c r="E3691">
        <v>9100</v>
      </c>
      <c r="F3691">
        <v>1</v>
      </c>
      <c r="G3691">
        <f t="shared" si="171"/>
        <v>9100</v>
      </c>
      <c r="H3691" t="s">
        <v>21</v>
      </c>
      <c r="I3691">
        <f t="shared" si="172"/>
        <v>10920</v>
      </c>
      <c r="J3691">
        <f t="shared" si="173"/>
        <v>10920</v>
      </c>
    </row>
    <row r="3692" spans="1:10" x14ac:dyDescent="0.45">
      <c r="A3692" t="s">
        <v>1901</v>
      </c>
      <c r="B3692" s="1">
        <v>45906</v>
      </c>
      <c r="C3692" t="s">
        <v>4007</v>
      </c>
      <c r="D3692" t="s">
        <v>39</v>
      </c>
      <c r="E3692">
        <v>6000</v>
      </c>
      <c r="F3692">
        <v>2</v>
      </c>
      <c r="G3692">
        <f t="shared" si="171"/>
        <v>12000</v>
      </c>
      <c r="H3692" t="s">
        <v>17</v>
      </c>
      <c r="I3692">
        <f t="shared" si="172"/>
        <v>7200</v>
      </c>
      <c r="J3692">
        <f t="shared" si="173"/>
        <v>14400</v>
      </c>
    </row>
    <row r="3693" spans="1:10" x14ac:dyDescent="0.45">
      <c r="A3693" t="s">
        <v>1902</v>
      </c>
      <c r="B3693" s="1">
        <v>45906</v>
      </c>
      <c r="C3693" t="s">
        <v>9</v>
      </c>
      <c r="D3693" t="s">
        <v>19</v>
      </c>
      <c r="E3693">
        <v>3000</v>
      </c>
      <c r="F3693">
        <v>9</v>
      </c>
      <c r="G3693">
        <f t="shared" si="171"/>
        <v>27000</v>
      </c>
      <c r="H3693" t="s">
        <v>17</v>
      </c>
      <c r="I3693">
        <f t="shared" si="172"/>
        <v>3600</v>
      </c>
      <c r="J3693">
        <f t="shared" si="173"/>
        <v>32400</v>
      </c>
    </row>
    <row r="3694" spans="1:10" x14ac:dyDescent="0.45">
      <c r="A3694" t="s">
        <v>1903</v>
      </c>
      <c r="B3694" s="1">
        <v>45906</v>
      </c>
      <c r="C3694" t="s">
        <v>4007</v>
      </c>
      <c r="D3694" t="s">
        <v>5015</v>
      </c>
      <c r="E3694">
        <v>48000</v>
      </c>
      <c r="F3694">
        <v>10</v>
      </c>
      <c r="G3694">
        <f t="shared" si="171"/>
        <v>480000</v>
      </c>
      <c r="H3694" t="s">
        <v>17</v>
      </c>
      <c r="I3694">
        <f t="shared" si="172"/>
        <v>57600</v>
      </c>
      <c r="J3694">
        <f t="shared" si="173"/>
        <v>576000</v>
      </c>
    </row>
    <row r="3695" spans="1:10" x14ac:dyDescent="0.45">
      <c r="A3695" t="s">
        <v>1904</v>
      </c>
      <c r="B3695" s="1">
        <v>45906</v>
      </c>
      <c r="C3695" t="s">
        <v>33</v>
      </c>
      <c r="D3695" t="s">
        <v>34</v>
      </c>
      <c r="E3695">
        <v>1700</v>
      </c>
      <c r="F3695">
        <v>7</v>
      </c>
      <c r="G3695">
        <f t="shared" si="171"/>
        <v>11900</v>
      </c>
      <c r="H3695" t="s">
        <v>7</v>
      </c>
      <c r="I3695">
        <f t="shared" si="172"/>
        <v>2040</v>
      </c>
      <c r="J3695">
        <f t="shared" si="173"/>
        <v>14280</v>
      </c>
    </row>
    <row r="3696" spans="1:10" x14ac:dyDescent="0.45">
      <c r="A3696" t="s">
        <v>1905</v>
      </c>
      <c r="B3696" s="1">
        <v>45906</v>
      </c>
      <c r="C3696" t="s">
        <v>4007</v>
      </c>
      <c r="D3696" t="s">
        <v>39</v>
      </c>
      <c r="E3696">
        <v>6000</v>
      </c>
      <c r="F3696">
        <v>8</v>
      </c>
      <c r="G3696">
        <f t="shared" si="171"/>
        <v>48000</v>
      </c>
      <c r="H3696" t="s">
        <v>17</v>
      </c>
      <c r="I3696">
        <f t="shared" si="172"/>
        <v>7200</v>
      </c>
      <c r="J3696">
        <f t="shared" si="173"/>
        <v>57600</v>
      </c>
    </row>
    <row r="3697" spans="1:10" x14ac:dyDescent="0.45">
      <c r="A3697" t="s">
        <v>2801</v>
      </c>
      <c r="B3697" s="1">
        <v>45906</v>
      </c>
      <c r="C3697" t="s">
        <v>4007</v>
      </c>
      <c r="D3697" t="s">
        <v>2776</v>
      </c>
      <c r="E3697">
        <v>3600</v>
      </c>
      <c r="F3697">
        <v>8</v>
      </c>
      <c r="G3697">
        <f t="shared" si="171"/>
        <v>28800</v>
      </c>
      <c r="H3697" t="s">
        <v>21</v>
      </c>
      <c r="I3697">
        <f t="shared" si="172"/>
        <v>4320</v>
      </c>
      <c r="J3697">
        <f t="shared" si="173"/>
        <v>34560</v>
      </c>
    </row>
    <row r="3698" spans="1:10" x14ac:dyDescent="0.45">
      <c r="A3698" t="s">
        <v>2976</v>
      </c>
      <c r="B3698" s="1">
        <v>45906</v>
      </c>
      <c r="C3698" t="s">
        <v>33</v>
      </c>
      <c r="D3698" t="s">
        <v>14</v>
      </c>
      <c r="E3698">
        <v>800</v>
      </c>
      <c r="F3698">
        <v>8</v>
      </c>
      <c r="G3698">
        <f t="shared" si="171"/>
        <v>6400</v>
      </c>
      <c r="H3698" t="s">
        <v>7</v>
      </c>
      <c r="I3698">
        <f t="shared" si="172"/>
        <v>960</v>
      </c>
      <c r="J3698">
        <f t="shared" si="173"/>
        <v>7680</v>
      </c>
    </row>
    <row r="3699" spans="1:10" x14ac:dyDescent="0.45">
      <c r="A3699" t="s">
        <v>3465</v>
      </c>
      <c r="B3699" s="1">
        <v>45906</v>
      </c>
      <c r="C3699" t="s">
        <v>4007</v>
      </c>
      <c r="D3699" t="s">
        <v>2770</v>
      </c>
      <c r="E3699">
        <v>600</v>
      </c>
      <c r="F3699">
        <v>10</v>
      </c>
      <c r="G3699">
        <f t="shared" si="171"/>
        <v>6000</v>
      </c>
      <c r="H3699" t="s">
        <v>21</v>
      </c>
      <c r="I3699">
        <f t="shared" si="172"/>
        <v>720</v>
      </c>
      <c r="J3699">
        <f t="shared" si="173"/>
        <v>7200</v>
      </c>
    </row>
    <row r="3700" spans="1:10" x14ac:dyDescent="0.45">
      <c r="A3700" t="s">
        <v>3841</v>
      </c>
      <c r="B3700" s="1">
        <v>45906</v>
      </c>
      <c r="C3700" t="s">
        <v>4007</v>
      </c>
      <c r="D3700" t="s">
        <v>2770</v>
      </c>
      <c r="E3700">
        <v>600</v>
      </c>
      <c r="F3700">
        <v>3</v>
      </c>
      <c r="G3700">
        <f t="shared" si="171"/>
        <v>1800</v>
      </c>
      <c r="H3700" t="s">
        <v>21</v>
      </c>
      <c r="I3700">
        <f t="shared" si="172"/>
        <v>720</v>
      </c>
      <c r="J3700">
        <f t="shared" si="173"/>
        <v>2160</v>
      </c>
    </row>
    <row r="3701" spans="1:10" x14ac:dyDescent="0.45">
      <c r="A3701" t="s">
        <v>1906</v>
      </c>
      <c r="B3701" s="1">
        <v>45907</v>
      </c>
      <c r="C3701" t="s">
        <v>12</v>
      </c>
      <c r="D3701" t="s">
        <v>5022</v>
      </c>
      <c r="E3701">
        <v>2880</v>
      </c>
      <c r="F3701">
        <v>4</v>
      </c>
      <c r="G3701">
        <f t="shared" si="171"/>
        <v>11520</v>
      </c>
      <c r="H3701" t="s">
        <v>17</v>
      </c>
      <c r="I3701">
        <f t="shared" si="172"/>
        <v>3456</v>
      </c>
      <c r="J3701">
        <f t="shared" si="173"/>
        <v>13824</v>
      </c>
    </row>
    <row r="3702" spans="1:10" x14ac:dyDescent="0.45">
      <c r="A3702" t="s">
        <v>1907</v>
      </c>
      <c r="B3702" s="1">
        <v>45907</v>
      </c>
      <c r="C3702" t="s">
        <v>33</v>
      </c>
      <c r="D3702" t="s">
        <v>14</v>
      </c>
      <c r="E3702">
        <v>800</v>
      </c>
      <c r="F3702">
        <v>8</v>
      </c>
      <c r="G3702">
        <f t="shared" si="171"/>
        <v>6400</v>
      </c>
      <c r="H3702" t="s">
        <v>7</v>
      </c>
      <c r="I3702">
        <f t="shared" si="172"/>
        <v>960</v>
      </c>
      <c r="J3702">
        <f t="shared" si="173"/>
        <v>7680</v>
      </c>
    </row>
    <row r="3703" spans="1:10" x14ac:dyDescent="0.45">
      <c r="A3703" t="s">
        <v>1908</v>
      </c>
      <c r="B3703" s="1">
        <v>45907</v>
      </c>
      <c r="C3703" t="s">
        <v>4007</v>
      </c>
      <c r="D3703" t="s">
        <v>39</v>
      </c>
      <c r="E3703">
        <v>6000</v>
      </c>
      <c r="F3703">
        <v>5</v>
      </c>
      <c r="G3703">
        <f t="shared" si="171"/>
        <v>30000</v>
      </c>
      <c r="H3703" t="s">
        <v>21</v>
      </c>
      <c r="I3703">
        <f t="shared" si="172"/>
        <v>7200</v>
      </c>
      <c r="J3703">
        <f t="shared" si="173"/>
        <v>36000</v>
      </c>
    </row>
    <row r="3704" spans="1:10" x14ac:dyDescent="0.45">
      <c r="A3704" t="s">
        <v>1909</v>
      </c>
      <c r="B3704" s="1">
        <v>45907</v>
      </c>
      <c r="C3704" t="s">
        <v>33</v>
      </c>
      <c r="D3704" t="s">
        <v>14</v>
      </c>
      <c r="E3704">
        <v>800</v>
      </c>
      <c r="F3704">
        <v>2</v>
      </c>
      <c r="G3704">
        <f t="shared" si="171"/>
        <v>1600</v>
      </c>
      <c r="H3704" t="s">
        <v>7</v>
      </c>
      <c r="I3704">
        <f t="shared" si="172"/>
        <v>960</v>
      </c>
      <c r="J3704">
        <f t="shared" si="173"/>
        <v>1920</v>
      </c>
    </row>
    <row r="3705" spans="1:10" x14ac:dyDescent="0.45">
      <c r="A3705" t="s">
        <v>1910</v>
      </c>
      <c r="B3705" s="1">
        <v>45907</v>
      </c>
      <c r="C3705" t="s">
        <v>12</v>
      </c>
      <c r="D3705" t="s">
        <v>5021</v>
      </c>
      <c r="E3705">
        <v>2880</v>
      </c>
      <c r="F3705">
        <v>8</v>
      </c>
      <c r="G3705">
        <f t="shared" si="171"/>
        <v>23040</v>
      </c>
      <c r="H3705" t="s">
        <v>7</v>
      </c>
      <c r="I3705">
        <f t="shared" si="172"/>
        <v>3456</v>
      </c>
      <c r="J3705">
        <f t="shared" si="173"/>
        <v>27648</v>
      </c>
    </row>
    <row r="3706" spans="1:10" x14ac:dyDescent="0.45">
      <c r="A3706" t="s">
        <v>1911</v>
      </c>
      <c r="B3706" s="1">
        <v>45907</v>
      </c>
      <c r="C3706" t="s">
        <v>12</v>
      </c>
      <c r="D3706" t="s">
        <v>5022</v>
      </c>
      <c r="E3706">
        <v>2880</v>
      </c>
      <c r="F3706">
        <v>6</v>
      </c>
      <c r="G3706">
        <f t="shared" si="171"/>
        <v>17280</v>
      </c>
      <c r="H3706" t="s">
        <v>17</v>
      </c>
      <c r="I3706">
        <f t="shared" si="172"/>
        <v>3456</v>
      </c>
      <c r="J3706">
        <f t="shared" si="173"/>
        <v>20736</v>
      </c>
    </row>
    <row r="3707" spans="1:10" x14ac:dyDescent="0.45">
      <c r="A3707" t="s">
        <v>1912</v>
      </c>
      <c r="B3707" s="1">
        <v>45907</v>
      </c>
      <c r="C3707" t="s">
        <v>4007</v>
      </c>
      <c r="D3707" t="s">
        <v>4005</v>
      </c>
      <c r="E3707">
        <v>60000</v>
      </c>
      <c r="F3707">
        <v>1</v>
      </c>
      <c r="G3707">
        <f t="shared" si="171"/>
        <v>60000</v>
      </c>
      <c r="H3707" t="s">
        <v>17</v>
      </c>
      <c r="I3707">
        <f t="shared" si="172"/>
        <v>72000</v>
      </c>
      <c r="J3707">
        <f t="shared" si="173"/>
        <v>72000</v>
      </c>
    </row>
    <row r="3708" spans="1:10" x14ac:dyDescent="0.45">
      <c r="A3708" t="s">
        <v>2784</v>
      </c>
      <c r="B3708" s="1">
        <v>45907</v>
      </c>
      <c r="C3708" t="s">
        <v>4007</v>
      </c>
      <c r="D3708" t="s">
        <v>28</v>
      </c>
      <c r="E3708">
        <v>500</v>
      </c>
      <c r="F3708">
        <v>1</v>
      </c>
      <c r="G3708">
        <f t="shared" si="171"/>
        <v>500</v>
      </c>
      <c r="H3708" t="s">
        <v>21</v>
      </c>
      <c r="I3708">
        <f t="shared" si="172"/>
        <v>600</v>
      </c>
      <c r="J3708">
        <f t="shared" si="173"/>
        <v>600</v>
      </c>
    </row>
    <row r="3709" spans="1:10" x14ac:dyDescent="0.45">
      <c r="A3709" t="s">
        <v>3180</v>
      </c>
      <c r="B3709" s="1">
        <v>45907</v>
      </c>
      <c r="C3709" t="s">
        <v>33</v>
      </c>
      <c r="D3709" t="s">
        <v>14</v>
      </c>
      <c r="E3709">
        <v>800</v>
      </c>
      <c r="F3709">
        <v>1</v>
      </c>
      <c r="G3709">
        <f t="shared" si="171"/>
        <v>800</v>
      </c>
      <c r="H3709" t="s">
        <v>17</v>
      </c>
      <c r="I3709">
        <f t="shared" si="172"/>
        <v>960</v>
      </c>
      <c r="J3709">
        <f t="shared" si="173"/>
        <v>960</v>
      </c>
    </row>
    <row r="3710" spans="1:10" x14ac:dyDescent="0.45">
      <c r="A3710" t="s">
        <v>3947</v>
      </c>
      <c r="B3710" s="1">
        <v>45907</v>
      </c>
      <c r="C3710" t="s">
        <v>4007</v>
      </c>
      <c r="D3710" t="s">
        <v>2773</v>
      </c>
      <c r="E3710">
        <v>3300</v>
      </c>
      <c r="F3710">
        <v>2</v>
      </c>
      <c r="G3710">
        <f t="shared" si="171"/>
        <v>6600</v>
      </c>
      <c r="H3710" t="s">
        <v>21</v>
      </c>
      <c r="I3710">
        <f t="shared" si="172"/>
        <v>3960</v>
      </c>
      <c r="J3710">
        <f t="shared" si="173"/>
        <v>7920</v>
      </c>
    </row>
    <row r="3711" spans="1:10" x14ac:dyDescent="0.45">
      <c r="A3711" t="s">
        <v>1913</v>
      </c>
      <c r="B3711" s="1">
        <v>45908</v>
      </c>
      <c r="C3711" t="s">
        <v>4007</v>
      </c>
      <c r="D3711" t="s">
        <v>28</v>
      </c>
      <c r="E3711">
        <v>500</v>
      </c>
      <c r="F3711">
        <v>3</v>
      </c>
      <c r="G3711">
        <f t="shared" si="171"/>
        <v>1500</v>
      </c>
      <c r="H3711" t="s">
        <v>17</v>
      </c>
      <c r="I3711">
        <f t="shared" si="172"/>
        <v>600</v>
      </c>
      <c r="J3711">
        <f t="shared" si="173"/>
        <v>1800</v>
      </c>
    </row>
    <row r="3712" spans="1:10" x14ac:dyDescent="0.45">
      <c r="A3712" t="s">
        <v>1914</v>
      </c>
      <c r="B3712" s="1">
        <v>45908</v>
      </c>
      <c r="C3712" t="s">
        <v>33</v>
      </c>
      <c r="D3712" t="s">
        <v>16</v>
      </c>
      <c r="E3712">
        <v>1200</v>
      </c>
      <c r="F3712">
        <v>3</v>
      </c>
      <c r="G3712">
        <f t="shared" si="171"/>
        <v>3600</v>
      </c>
      <c r="H3712" t="s">
        <v>21</v>
      </c>
      <c r="I3712">
        <f t="shared" si="172"/>
        <v>1440</v>
      </c>
      <c r="J3712">
        <f t="shared" si="173"/>
        <v>4320</v>
      </c>
    </row>
    <row r="3713" spans="1:10" x14ac:dyDescent="0.45">
      <c r="A3713" t="s">
        <v>1915</v>
      </c>
      <c r="B3713" s="1">
        <v>45908</v>
      </c>
      <c r="C3713" t="s">
        <v>33</v>
      </c>
      <c r="D3713" t="s">
        <v>42</v>
      </c>
      <c r="E3713">
        <v>6900</v>
      </c>
      <c r="F3713">
        <v>8</v>
      </c>
      <c r="G3713">
        <f t="shared" si="171"/>
        <v>55200</v>
      </c>
      <c r="H3713" t="s">
        <v>17</v>
      </c>
      <c r="I3713">
        <f t="shared" si="172"/>
        <v>8280</v>
      </c>
      <c r="J3713">
        <f t="shared" si="173"/>
        <v>66240</v>
      </c>
    </row>
    <row r="3714" spans="1:10" x14ac:dyDescent="0.45">
      <c r="A3714" t="s">
        <v>1916</v>
      </c>
      <c r="B3714" s="1">
        <v>45908</v>
      </c>
      <c r="C3714" t="s">
        <v>4007</v>
      </c>
      <c r="D3714" t="s">
        <v>5015</v>
      </c>
      <c r="E3714">
        <v>48000</v>
      </c>
      <c r="F3714">
        <v>7</v>
      </c>
      <c r="G3714">
        <f t="shared" ref="G3714:G3777" si="174">E3714*F3714</f>
        <v>336000</v>
      </c>
      <c r="H3714" t="s">
        <v>21</v>
      </c>
      <c r="I3714">
        <f t="shared" ref="I3714:I3777" si="175">E3714*1.2</f>
        <v>57600</v>
      </c>
      <c r="J3714">
        <f t="shared" ref="J3714:J3777" si="176">I3714*F3714</f>
        <v>403200</v>
      </c>
    </row>
    <row r="3715" spans="1:10" x14ac:dyDescent="0.45">
      <c r="A3715" t="s">
        <v>1917</v>
      </c>
      <c r="B3715" s="1">
        <v>45908</v>
      </c>
      <c r="C3715" t="s">
        <v>33</v>
      </c>
      <c r="D3715" t="s">
        <v>42</v>
      </c>
      <c r="E3715">
        <v>6900</v>
      </c>
      <c r="F3715">
        <v>5</v>
      </c>
      <c r="G3715">
        <f t="shared" si="174"/>
        <v>34500</v>
      </c>
      <c r="H3715" t="s">
        <v>17</v>
      </c>
      <c r="I3715">
        <f t="shared" si="175"/>
        <v>8280</v>
      </c>
      <c r="J3715">
        <f t="shared" si="176"/>
        <v>41400</v>
      </c>
    </row>
    <row r="3716" spans="1:10" x14ac:dyDescent="0.45">
      <c r="A3716" t="s">
        <v>1918</v>
      </c>
      <c r="B3716" s="1">
        <v>45908</v>
      </c>
      <c r="C3716" t="s">
        <v>12</v>
      </c>
      <c r="D3716" t="s">
        <v>5022</v>
      </c>
      <c r="E3716">
        <v>2880</v>
      </c>
      <c r="F3716">
        <v>4</v>
      </c>
      <c r="G3716">
        <f t="shared" si="174"/>
        <v>11520</v>
      </c>
      <c r="H3716" t="s">
        <v>21</v>
      </c>
      <c r="I3716">
        <f t="shared" si="175"/>
        <v>3456</v>
      </c>
      <c r="J3716">
        <f t="shared" si="176"/>
        <v>13824</v>
      </c>
    </row>
    <row r="3717" spans="1:10" x14ac:dyDescent="0.45">
      <c r="A3717" t="s">
        <v>1919</v>
      </c>
      <c r="B3717" s="1">
        <v>45908</v>
      </c>
      <c r="C3717" t="s">
        <v>12</v>
      </c>
      <c r="D3717" t="s">
        <v>5021</v>
      </c>
      <c r="E3717">
        <v>2880</v>
      </c>
      <c r="F3717">
        <v>5</v>
      </c>
      <c r="G3717">
        <f t="shared" si="174"/>
        <v>14400</v>
      </c>
      <c r="H3717" t="s">
        <v>17</v>
      </c>
      <c r="I3717">
        <f t="shared" si="175"/>
        <v>3456</v>
      </c>
      <c r="J3717">
        <f t="shared" si="176"/>
        <v>17280</v>
      </c>
    </row>
    <row r="3718" spans="1:10" x14ac:dyDescent="0.45">
      <c r="A3718" t="s">
        <v>1920</v>
      </c>
      <c r="B3718" s="1">
        <v>45908</v>
      </c>
      <c r="C3718" t="s">
        <v>4007</v>
      </c>
      <c r="D3718" t="s">
        <v>5015</v>
      </c>
      <c r="E3718">
        <v>48000</v>
      </c>
      <c r="F3718">
        <v>2</v>
      </c>
      <c r="G3718">
        <f t="shared" si="174"/>
        <v>96000</v>
      </c>
      <c r="H3718" t="s">
        <v>7</v>
      </c>
      <c r="I3718">
        <f t="shared" si="175"/>
        <v>57600</v>
      </c>
      <c r="J3718">
        <f t="shared" si="176"/>
        <v>115200</v>
      </c>
    </row>
    <row r="3719" spans="1:10" x14ac:dyDescent="0.45">
      <c r="A3719" t="s">
        <v>1921</v>
      </c>
      <c r="B3719" s="1">
        <v>45908</v>
      </c>
      <c r="C3719" t="s">
        <v>4007</v>
      </c>
      <c r="D3719" t="s">
        <v>4005</v>
      </c>
      <c r="E3719">
        <v>60000</v>
      </c>
      <c r="F3719">
        <v>4</v>
      </c>
      <c r="G3719">
        <f t="shared" si="174"/>
        <v>240000</v>
      </c>
      <c r="H3719" t="s">
        <v>21</v>
      </c>
      <c r="I3719">
        <f t="shared" si="175"/>
        <v>72000</v>
      </c>
      <c r="J3719">
        <f t="shared" si="176"/>
        <v>288000</v>
      </c>
    </row>
    <row r="3720" spans="1:10" x14ac:dyDescent="0.45">
      <c r="A3720" t="s">
        <v>1922</v>
      </c>
      <c r="B3720" s="1">
        <v>45908</v>
      </c>
      <c r="C3720" t="s">
        <v>9</v>
      </c>
      <c r="D3720" t="s">
        <v>25</v>
      </c>
      <c r="E3720">
        <v>5200</v>
      </c>
      <c r="F3720">
        <v>7</v>
      </c>
      <c r="G3720">
        <f t="shared" si="174"/>
        <v>36400</v>
      </c>
      <c r="H3720" t="s">
        <v>21</v>
      </c>
      <c r="I3720">
        <f t="shared" si="175"/>
        <v>6240</v>
      </c>
      <c r="J3720">
        <f t="shared" si="176"/>
        <v>43680</v>
      </c>
    </row>
    <row r="3721" spans="1:10" x14ac:dyDescent="0.45">
      <c r="A3721" t="s">
        <v>3967</v>
      </c>
      <c r="B3721" s="1">
        <v>45908</v>
      </c>
      <c r="C3721" t="s">
        <v>4007</v>
      </c>
      <c r="D3721" t="s">
        <v>2770</v>
      </c>
      <c r="E3721">
        <v>600</v>
      </c>
      <c r="F3721">
        <v>5</v>
      </c>
      <c r="G3721">
        <f t="shared" si="174"/>
        <v>3000</v>
      </c>
      <c r="H3721" t="s">
        <v>7</v>
      </c>
      <c r="I3721">
        <f t="shared" si="175"/>
        <v>720</v>
      </c>
      <c r="J3721">
        <f t="shared" si="176"/>
        <v>3600</v>
      </c>
    </row>
    <row r="3722" spans="1:10" x14ac:dyDescent="0.45">
      <c r="A3722" t="s">
        <v>1923</v>
      </c>
      <c r="B3722" s="1">
        <v>45909</v>
      </c>
      <c r="C3722" t="s">
        <v>4007</v>
      </c>
      <c r="D3722" t="s">
        <v>5015</v>
      </c>
      <c r="E3722">
        <v>48000</v>
      </c>
      <c r="F3722">
        <v>6</v>
      </c>
      <c r="G3722">
        <f t="shared" si="174"/>
        <v>288000</v>
      </c>
      <c r="H3722" t="s">
        <v>17</v>
      </c>
      <c r="I3722">
        <f t="shared" si="175"/>
        <v>57600</v>
      </c>
      <c r="J3722">
        <f t="shared" si="176"/>
        <v>345600</v>
      </c>
    </row>
    <row r="3723" spans="1:10" x14ac:dyDescent="0.45">
      <c r="A3723" t="s">
        <v>1924</v>
      </c>
      <c r="B3723" s="1">
        <v>45909</v>
      </c>
      <c r="C3723" t="s">
        <v>33</v>
      </c>
      <c r="D3723" t="s">
        <v>14</v>
      </c>
      <c r="E3723">
        <v>800</v>
      </c>
      <c r="F3723">
        <v>8</v>
      </c>
      <c r="G3723">
        <f t="shared" si="174"/>
        <v>6400</v>
      </c>
      <c r="H3723" t="s">
        <v>17</v>
      </c>
      <c r="I3723">
        <f t="shared" si="175"/>
        <v>960</v>
      </c>
      <c r="J3723">
        <f t="shared" si="176"/>
        <v>7680</v>
      </c>
    </row>
    <row r="3724" spans="1:10" x14ac:dyDescent="0.45">
      <c r="A3724" t="s">
        <v>1925</v>
      </c>
      <c r="B3724" s="1">
        <v>45909</v>
      </c>
      <c r="C3724" t="s">
        <v>12</v>
      </c>
      <c r="D3724" t="s">
        <v>5022</v>
      </c>
      <c r="E3724">
        <v>2880</v>
      </c>
      <c r="F3724">
        <v>7</v>
      </c>
      <c r="G3724">
        <f t="shared" si="174"/>
        <v>20160</v>
      </c>
      <c r="H3724" t="s">
        <v>7</v>
      </c>
      <c r="I3724">
        <f t="shared" si="175"/>
        <v>3456</v>
      </c>
      <c r="J3724">
        <f t="shared" si="176"/>
        <v>24192</v>
      </c>
    </row>
    <row r="3725" spans="1:10" x14ac:dyDescent="0.45">
      <c r="A3725" t="s">
        <v>1926</v>
      </c>
      <c r="B3725" s="1">
        <v>45909</v>
      </c>
      <c r="C3725" t="s">
        <v>4007</v>
      </c>
      <c r="D3725" t="s">
        <v>4005</v>
      </c>
      <c r="E3725">
        <v>60000</v>
      </c>
      <c r="F3725">
        <v>6</v>
      </c>
      <c r="G3725">
        <f t="shared" si="174"/>
        <v>360000</v>
      </c>
      <c r="H3725" t="s">
        <v>21</v>
      </c>
      <c r="I3725">
        <f t="shared" si="175"/>
        <v>72000</v>
      </c>
      <c r="J3725">
        <f t="shared" si="176"/>
        <v>432000</v>
      </c>
    </row>
    <row r="3726" spans="1:10" x14ac:dyDescent="0.45">
      <c r="A3726" t="s">
        <v>1927</v>
      </c>
      <c r="B3726" s="1">
        <v>45909</v>
      </c>
      <c r="C3726" t="s">
        <v>33</v>
      </c>
      <c r="D3726" t="s">
        <v>42</v>
      </c>
      <c r="E3726">
        <v>6900</v>
      </c>
      <c r="F3726">
        <v>1</v>
      </c>
      <c r="G3726">
        <f t="shared" si="174"/>
        <v>6900</v>
      </c>
      <c r="H3726" t="s">
        <v>7</v>
      </c>
      <c r="I3726">
        <f t="shared" si="175"/>
        <v>8280</v>
      </c>
      <c r="J3726">
        <f t="shared" si="176"/>
        <v>8280</v>
      </c>
    </row>
    <row r="3727" spans="1:10" x14ac:dyDescent="0.45">
      <c r="A3727" t="s">
        <v>1928</v>
      </c>
      <c r="B3727" s="1">
        <v>45909</v>
      </c>
      <c r="C3727" t="s">
        <v>33</v>
      </c>
      <c r="D3727" t="s">
        <v>14</v>
      </c>
      <c r="E3727">
        <v>800</v>
      </c>
      <c r="F3727">
        <v>6</v>
      </c>
      <c r="G3727">
        <f t="shared" si="174"/>
        <v>4800</v>
      </c>
      <c r="H3727" t="s">
        <v>21</v>
      </c>
      <c r="I3727">
        <f t="shared" si="175"/>
        <v>960</v>
      </c>
      <c r="J3727">
        <f t="shared" si="176"/>
        <v>5760</v>
      </c>
    </row>
    <row r="3728" spans="1:10" x14ac:dyDescent="0.45">
      <c r="A3728" t="s">
        <v>1929</v>
      </c>
      <c r="B3728" s="1">
        <v>45909</v>
      </c>
      <c r="C3728" t="s">
        <v>33</v>
      </c>
      <c r="D3728" t="s">
        <v>16</v>
      </c>
      <c r="E3728">
        <v>1200</v>
      </c>
      <c r="F3728">
        <v>7</v>
      </c>
      <c r="G3728">
        <f t="shared" si="174"/>
        <v>8400</v>
      </c>
      <c r="H3728" t="s">
        <v>7</v>
      </c>
      <c r="I3728">
        <f t="shared" si="175"/>
        <v>1440</v>
      </c>
      <c r="J3728">
        <f t="shared" si="176"/>
        <v>10080</v>
      </c>
    </row>
    <row r="3729" spans="1:10" x14ac:dyDescent="0.45">
      <c r="A3729" t="s">
        <v>3759</v>
      </c>
      <c r="B3729" s="1">
        <v>45909</v>
      </c>
      <c r="C3729" t="s">
        <v>33</v>
      </c>
      <c r="D3729" t="s">
        <v>14</v>
      </c>
      <c r="E3729">
        <v>800</v>
      </c>
      <c r="F3729">
        <v>10</v>
      </c>
      <c r="G3729">
        <f t="shared" si="174"/>
        <v>8000</v>
      </c>
      <c r="H3729" t="s">
        <v>7</v>
      </c>
      <c r="I3729">
        <f t="shared" si="175"/>
        <v>960</v>
      </c>
      <c r="J3729">
        <f t="shared" si="176"/>
        <v>9600</v>
      </c>
    </row>
    <row r="3730" spans="1:10" x14ac:dyDescent="0.45">
      <c r="A3730" t="s">
        <v>1930</v>
      </c>
      <c r="B3730" s="1">
        <v>45910</v>
      </c>
      <c r="C3730" t="s">
        <v>12</v>
      </c>
      <c r="D3730" t="s">
        <v>5022</v>
      </c>
      <c r="E3730">
        <v>2880</v>
      </c>
      <c r="F3730">
        <v>1</v>
      </c>
      <c r="G3730">
        <f t="shared" si="174"/>
        <v>2880</v>
      </c>
      <c r="H3730" t="s">
        <v>7</v>
      </c>
      <c r="I3730">
        <f t="shared" si="175"/>
        <v>3456</v>
      </c>
      <c r="J3730">
        <f t="shared" si="176"/>
        <v>3456</v>
      </c>
    </row>
    <row r="3731" spans="1:10" x14ac:dyDescent="0.45">
      <c r="A3731" t="s">
        <v>1931</v>
      </c>
      <c r="B3731" s="1">
        <v>45910</v>
      </c>
      <c r="C3731" t="s">
        <v>12</v>
      </c>
      <c r="D3731" t="s">
        <v>5022</v>
      </c>
      <c r="E3731">
        <v>2880</v>
      </c>
      <c r="F3731">
        <v>9</v>
      </c>
      <c r="G3731">
        <f t="shared" si="174"/>
        <v>25920</v>
      </c>
      <c r="H3731" t="s">
        <v>7</v>
      </c>
      <c r="I3731">
        <f t="shared" si="175"/>
        <v>3456</v>
      </c>
      <c r="J3731">
        <f t="shared" si="176"/>
        <v>31104</v>
      </c>
    </row>
    <row r="3732" spans="1:10" x14ac:dyDescent="0.45">
      <c r="A3732" t="s">
        <v>1932</v>
      </c>
      <c r="B3732" s="1">
        <v>45910</v>
      </c>
      <c r="C3732" t="s">
        <v>33</v>
      </c>
      <c r="D3732" t="s">
        <v>14</v>
      </c>
      <c r="E3732">
        <v>800</v>
      </c>
      <c r="F3732">
        <v>8</v>
      </c>
      <c r="G3732">
        <f t="shared" si="174"/>
        <v>6400</v>
      </c>
      <c r="H3732" t="s">
        <v>17</v>
      </c>
      <c r="I3732">
        <f t="shared" si="175"/>
        <v>960</v>
      </c>
      <c r="J3732">
        <f t="shared" si="176"/>
        <v>7680</v>
      </c>
    </row>
    <row r="3733" spans="1:10" x14ac:dyDescent="0.45">
      <c r="A3733" t="s">
        <v>1933</v>
      </c>
      <c r="B3733" s="1">
        <v>45910</v>
      </c>
      <c r="C3733" t="s">
        <v>9</v>
      </c>
      <c r="D3733" t="s">
        <v>25</v>
      </c>
      <c r="E3733">
        <v>5200</v>
      </c>
      <c r="F3733">
        <v>3</v>
      </c>
      <c r="G3733">
        <f t="shared" si="174"/>
        <v>15600</v>
      </c>
      <c r="H3733" t="s">
        <v>17</v>
      </c>
      <c r="I3733">
        <f t="shared" si="175"/>
        <v>6240</v>
      </c>
      <c r="J3733">
        <f t="shared" si="176"/>
        <v>18720</v>
      </c>
    </row>
    <row r="3734" spans="1:10" x14ac:dyDescent="0.45">
      <c r="A3734" t="s">
        <v>1934</v>
      </c>
      <c r="B3734" s="1">
        <v>45910</v>
      </c>
      <c r="C3734" t="s">
        <v>9</v>
      </c>
      <c r="D3734" t="s">
        <v>25</v>
      </c>
      <c r="E3734">
        <v>5200</v>
      </c>
      <c r="F3734">
        <v>1</v>
      </c>
      <c r="G3734">
        <f t="shared" si="174"/>
        <v>5200</v>
      </c>
      <c r="H3734" t="s">
        <v>17</v>
      </c>
      <c r="I3734">
        <f t="shared" si="175"/>
        <v>6240</v>
      </c>
      <c r="J3734">
        <f t="shared" si="176"/>
        <v>6240</v>
      </c>
    </row>
    <row r="3735" spans="1:10" x14ac:dyDescent="0.45">
      <c r="A3735" t="s">
        <v>1935</v>
      </c>
      <c r="B3735" s="1">
        <v>45910</v>
      </c>
      <c r="C3735" t="s">
        <v>12</v>
      </c>
      <c r="D3735" t="s">
        <v>5021</v>
      </c>
      <c r="E3735">
        <v>2880</v>
      </c>
      <c r="F3735">
        <v>8</v>
      </c>
      <c r="G3735">
        <f t="shared" si="174"/>
        <v>23040</v>
      </c>
      <c r="H3735" t="s">
        <v>7</v>
      </c>
      <c r="I3735">
        <f t="shared" si="175"/>
        <v>3456</v>
      </c>
      <c r="J3735">
        <f t="shared" si="176"/>
        <v>27648</v>
      </c>
    </row>
    <row r="3736" spans="1:10" x14ac:dyDescent="0.45">
      <c r="A3736" t="s">
        <v>1936</v>
      </c>
      <c r="B3736" s="1">
        <v>45910</v>
      </c>
      <c r="C3736" t="s">
        <v>33</v>
      </c>
      <c r="D3736" t="s">
        <v>14</v>
      </c>
      <c r="E3736">
        <v>800</v>
      </c>
      <c r="F3736">
        <v>4</v>
      </c>
      <c r="G3736">
        <f t="shared" si="174"/>
        <v>3200</v>
      </c>
      <c r="H3736" t="s">
        <v>21</v>
      </c>
      <c r="I3736">
        <f t="shared" si="175"/>
        <v>960</v>
      </c>
      <c r="J3736">
        <f t="shared" si="176"/>
        <v>3840</v>
      </c>
    </row>
    <row r="3737" spans="1:10" x14ac:dyDescent="0.45">
      <c r="A3737" t="s">
        <v>1937</v>
      </c>
      <c r="B3737" s="1">
        <v>45910</v>
      </c>
      <c r="C3737" t="s">
        <v>33</v>
      </c>
      <c r="D3737" t="s">
        <v>16</v>
      </c>
      <c r="E3737">
        <v>1200</v>
      </c>
      <c r="F3737">
        <v>5</v>
      </c>
      <c r="G3737">
        <f t="shared" si="174"/>
        <v>6000</v>
      </c>
      <c r="H3737" t="s">
        <v>17</v>
      </c>
      <c r="I3737">
        <f t="shared" si="175"/>
        <v>1440</v>
      </c>
      <c r="J3737">
        <f t="shared" si="176"/>
        <v>7200</v>
      </c>
    </row>
    <row r="3738" spans="1:10" x14ac:dyDescent="0.45">
      <c r="A3738" t="s">
        <v>1938</v>
      </c>
      <c r="B3738" s="1">
        <v>45910</v>
      </c>
      <c r="C3738" t="s">
        <v>33</v>
      </c>
      <c r="D3738" t="s">
        <v>34</v>
      </c>
      <c r="E3738">
        <v>1700</v>
      </c>
      <c r="F3738">
        <v>1</v>
      </c>
      <c r="G3738">
        <f t="shared" si="174"/>
        <v>1700</v>
      </c>
      <c r="H3738" t="s">
        <v>17</v>
      </c>
      <c r="I3738">
        <f t="shared" si="175"/>
        <v>2040</v>
      </c>
      <c r="J3738">
        <f t="shared" si="176"/>
        <v>2040</v>
      </c>
    </row>
    <row r="3739" spans="1:10" x14ac:dyDescent="0.45">
      <c r="A3739" t="s">
        <v>2872</v>
      </c>
      <c r="B3739" s="1">
        <v>45910</v>
      </c>
      <c r="C3739" t="s">
        <v>4007</v>
      </c>
      <c r="D3739" t="s">
        <v>28</v>
      </c>
      <c r="E3739">
        <v>500</v>
      </c>
      <c r="F3739">
        <v>5</v>
      </c>
      <c r="G3739">
        <f t="shared" si="174"/>
        <v>2500</v>
      </c>
      <c r="H3739" t="s">
        <v>17</v>
      </c>
      <c r="I3739">
        <f t="shared" si="175"/>
        <v>600</v>
      </c>
      <c r="J3739">
        <f t="shared" si="176"/>
        <v>3000</v>
      </c>
    </row>
    <row r="3740" spans="1:10" x14ac:dyDescent="0.45">
      <c r="A3740" t="s">
        <v>3038</v>
      </c>
      <c r="B3740" s="1">
        <v>45910</v>
      </c>
      <c r="C3740" t="s">
        <v>33</v>
      </c>
      <c r="D3740" t="s">
        <v>14</v>
      </c>
      <c r="E3740">
        <v>800</v>
      </c>
      <c r="F3740">
        <v>5</v>
      </c>
      <c r="G3740">
        <f t="shared" si="174"/>
        <v>4000</v>
      </c>
      <c r="H3740" t="s">
        <v>17</v>
      </c>
      <c r="I3740">
        <f t="shared" si="175"/>
        <v>960</v>
      </c>
      <c r="J3740">
        <f t="shared" si="176"/>
        <v>4800</v>
      </c>
    </row>
    <row r="3741" spans="1:10" x14ac:dyDescent="0.45">
      <c r="A3741" t="s">
        <v>3420</v>
      </c>
      <c r="B3741" s="1">
        <v>45910</v>
      </c>
      <c r="C3741" t="s">
        <v>33</v>
      </c>
      <c r="D3741" t="s">
        <v>34</v>
      </c>
      <c r="E3741">
        <v>1700</v>
      </c>
      <c r="F3741">
        <v>5</v>
      </c>
      <c r="G3741">
        <f t="shared" si="174"/>
        <v>8500</v>
      </c>
      <c r="H3741" t="s">
        <v>17</v>
      </c>
      <c r="I3741">
        <f t="shared" si="175"/>
        <v>2040</v>
      </c>
      <c r="J3741">
        <f t="shared" si="176"/>
        <v>10200</v>
      </c>
    </row>
    <row r="3742" spans="1:10" x14ac:dyDescent="0.45">
      <c r="A3742" t="s">
        <v>3799</v>
      </c>
      <c r="B3742" s="1">
        <v>45910</v>
      </c>
      <c r="C3742" t="s">
        <v>4007</v>
      </c>
      <c r="D3742" t="s">
        <v>5015</v>
      </c>
      <c r="E3742">
        <v>48000</v>
      </c>
      <c r="F3742">
        <v>1</v>
      </c>
      <c r="G3742">
        <f t="shared" si="174"/>
        <v>48000</v>
      </c>
      <c r="H3742" t="s">
        <v>17</v>
      </c>
      <c r="I3742">
        <f t="shared" si="175"/>
        <v>57600</v>
      </c>
      <c r="J3742">
        <f t="shared" si="176"/>
        <v>57600</v>
      </c>
    </row>
    <row r="3743" spans="1:10" x14ac:dyDescent="0.45">
      <c r="A3743" t="s">
        <v>3800</v>
      </c>
      <c r="B3743" s="1">
        <v>45910</v>
      </c>
      <c r="C3743" t="s">
        <v>4007</v>
      </c>
      <c r="D3743" t="s">
        <v>2770</v>
      </c>
      <c r="E3743">
        <v>600</v>
      </c>
      <c r="F3743">
        <v>5</v>
      </c>
      <c r="G3743">
        <f t="shared" si="174"/>
        <v>3000</v>
      </c>
      <c r="H3743" t="s">
        <v>7</v>
      </c>
      <c r="I3743">
        <f t="shared" si="175"/>
        <v>720</v>
      </c>
      <c r="J3743">
        <f t="shared" si="176"/>
        <v>3600</v>
      </c>
    </row>
    <row r="3744" spans="1:10" x14ac:dyDescent="0.45">
      <c r="A3744" t="s">
        <v>1939</v>
      </c>
      <c r="B3744" s="1">
        <v>45911</v>
      </c>
      <c r="C3744" t="s">
        <v>33</v>
      </c>
      <c r="D3744" t="s">
        <v>42</v>
      </c>
      <c r="E3744">
        <v>6900</v>
      </c>
      <c r="F3744">
        <v>1</v>
      </c>
      <c r="G3744">
        <f t="shared" si="174"/>
        <v>6900</v>
      </c>
      <c r="H3744" t="s">
        <v>7</v>
      </c>
      <c r="I3744">
        <f t="shared" si="175"/>
        <v>8280</v>
      </c>
      <c r="J3744">
        <f t="shared" si="176"/>
        <v>8280</v>
      </c>
    </row>
    <row r="3745" spans="1:10" x14ac:dyDescent="0.45">
      <c r="A3745" t="s">
        <v>1940</v>
      </c>
      <c r="B3745" s="1">
        <v>45911</v>
      </c>
      <c r="C3745" t="s">
        <v>9</v>
      </c>
      <c r="D3745" t="s">
        <v>10</v>
      </c>
      <c r="E3745">
        <v>400</v>
      </c>
      <c r="F3745">
        <v>7</v>
      </c>
      <c r="G3745">
        <f t="shared" si="174"/>
        <v>2800</v>
      </c>
      <c r="H3745" t="s">
        <v>17</v>
      </c>
      <c r="I3745">
        <f t="shared" si="175"/>
        <v>480</v>
      </c>
      <c r="J3745">
        <f t="shared" si="176"/>
        <v>3360</v>
      </c>
    </row>
    <row r="3746" spans="1:10" x14ac:dyDescent="0.45">
      <c r="A3746" t="s">
        <v>1941</v>
      </c>
      <c r="B3746" s="1">
        <v>45911</v>
      </c>
      <c r="C3746" t="s">
        <v>33</v>
      </c>
      <c r="D3746" t="s">
        <v>42</v>
      </c>
      <c r="E3746">
        <v>6900</v>
      </c>
      <c r="F3746">
        <v>10</v>
      </c>
      <c r="G3746">
        <f t="shared" si="174"/>
        <v>69000</v>
      </c>
      <c r="H3746" t="s">
        <v>7</v>
      </c>
      <c r="I3746">
        <f t="shared" si="175"/>
        <v>8280</v>
      </c>
      <c r="J3746">
        <f t="shared" si="176"/>
        <v>82800</v>
      </c>
    </row>
    <row r="3747" spans="1:10" x14ac:dyDescent="0.45">
      <c r="A3747" t="s">
        <v>1942</v>
      </c>
      <c r="B3747" s="1">
        <v>45911</v>
      </c>
      <c r="C3747" t="s">
        <v>12</v>
      </c>
      <c r="D3747" t="s">
        <v>5023</v>
      </c>
      <c r="E3747">
        <v>1750</v>
      </c>
      <c r="F3747">
        <v>1</v>
      </c>
      <c r="G3747">
        <f t="shared" si="174"/>
        <v>1750</v>
      </c>
      <c r="H3747" t="s">
        <v>21</v>
      </c>
      <c r="I3747">
        <f t="shared" si="175"/>
        <v>2100</v>
      </c>
      <c r="J3747">
        <f t="shared" si="176"/>
        <v>2100</v>
      </c>
    </row>
    <row r="3748" spans="1:10" x14ac:dyDescent="0.45">
      <c r="A3748" t="s">
        <v>1943</v>
      </c>
      <c r="B3748" s="1">
        <v>45911</v>
      </c>
      <c r="C3748" t="s">
        <v>33</v>
      </c>
      <c r="D3748" t="s">
        <v>42</v>
      </c>
      <c r="E3748">
        <v>6900</v>
      </c>
      <c r="F3748">
        <v>2</v>
      </c>
      <c r="G3748">
        <f t="shared" si="174"/>
        <v>13800</v>
      </c>
      <c r="H3748" t="s">
        <v>21</v>
      </c>
      <c r="I3748">
        <f t="shared" si="175"/>
        <v>8280</v>
      </c>
      <c r="J3748">
        <f t="shared" si="176"/>
        <v>16560</v>
      </c>
    </row>
    <row r="3749" spans="1:10" x14ac:dyDescent="0.45">
      <c r="A3749" t="s">
        <v>2951</v>
      </c>
      <c r="B3749" s="1">
        <v>45911</v>
      </c>
      <c r="C3749" t="s">
        <v>4007</v>
      </c>
      <c r="D3749" t="s">
        <v>2773</v>
      </c>
      <c r="E3749">
        <v>3300</v>
      </c>
      <c r="F3749">
        <v>8</v>
      </c>
      <c r="G3749">
        <f t="shared" si="174"/>
        <v>26400</v>
      </c>
      <c r="H3749" t="s">
        <v>21</v>
      </c>
      <c r="I3749">
        <f t="shared" si="175"/>
        <v>3960</v>
      </c>
      <c r="J3749">
        <f t="shared" si="176"/>
        <v>31680</v>
      </c>
    </row>
    <row r="3750" spans="1:10" x14ac:dyDescent="0.45">
      <c r="A3750" t="s">
        <v>1944</v>
      </c>
      <c r="B3750" s="1">
        <v>45912</v>
      </c>
      <c r="C3750" t="s">
        <v>4007</v>
      </c>
      <c r="D3750" t="s">
        <v>4005</v>
      </c>
      <c r="E3750">
        <v>60000</v>
      </c>
      <c r="F3750">
        <v>6</v>
      </c>
      <c r="G3750">
        <f t="shared" si="174"/>
        <v>360000</v>
      </c>
      <c r="H3750" t="s">
        <v>17</v>
      </c>
      <c r="I3750">
        <f t="shared" si="175"/>
        <v>72000</v>
      </c>
      <c r="J3750">
        <f t="shared" si="176"/>
        <v>432000</v>
      </c>
    </row>
    <row r="3751" spans="1:10" x14ac:dyDescent="0.45">
      <c r="A3751" t="s">
        <v>1945</v>
      </c>
      <c r="B3751" s="1">
        <v>45912</v>
      </c>
      <c r="C3751" t="s">
        <v>12</v>
      </c>
      <c r="D3751" t="s">
        <v>5021</v>
      </c>
      <c r="E3751">
        <v>2880</v>
      </c>
      <c r="F3751">
        <v>3</v>
      </c>
      <c r="G3751">
        <f t="shared" si="174"/>
        <v>8640</v>
      </c>
      <c r="H3751" t="s">
        <v>7</v>
      </c>
      <c r="I3751">
        <f t="shared" si="175"/>
        <v>3456</v>
      </c>
      <c r="J3751">
        <f t="shared" si="176"/>
        <v>10368</v>
      </c>
    </row>
    <row r="3752" spans="1:10" x14ac:dyDescent="0.45">
      <c r="A3752" t="s">
        <v>1946</v>
      </c>
      <c r="B3752" s="1">
        <v>45912</v>
      </c>
      <c r="C3752" t="s">
        <v>9</v>
      </c>
      <c r="D3752" t="s">
        <v>25</v>
      </c>
      <c r="E3752">
        <v>5200</v>
      </c>
      <c r="F3752">
        <v>2</v>
      </c>
      <c r="G3752">
        <f t="shared" si="174"/>
        <v>10400</v>
      </c>
      <c r="H3752" t="s">
        <v>21</v>
      </c>
      <c r="I3752">
        <f t="shared" si="175"/>
        <v>6240</v>
      </c>
      <c r="J3752">
        <f t="shared" si="176"/>
        <v>12480</v>
      </c>
    </row>
    <row r="3753" spans="1:10" x14ac:dyDescent="0.45">
      <c r="A3753" t="s">
        <v>1947</v>
      </c>
      <c r="B3753" s="1">
        <v>45912</v>
      </c>
      <c r="C3753" t="s">
        <v>33</v>
      </c>
      <c r="D3753" t="s">
        <v>16</v>
      </c>
      <c r="E3753">
        <v>1200</v>
      </c>
      <c r="F3753">
        <v>1</v>
      </c>
      <c r="G3753">
        <f t="shared" si="174"/>
        <v>1200</v>
      </c>
      <c r="H3753" t="s">
        <v>21</v>
      </c>
      <c r="I3753">
        <f t="shared" si="175"/>
        <v>1440</v>
      </c>
      <c r="J3753">
        <f t="shared" si="176"/>
        <v>1440</v>
      </c>
    </row>
    <row r="3754" spans="1:10" x14ac:dyDescent="0.45">
      <c r="A3754" t="s">
        <v>1948</v>
      </c>
      <c r="B3754" s="1">
        <v>45912</v>
      </c>
      <c r="C3754" t="s">
        <v>33</v>
      </c>
      <c r="D3754" t="s">
        <v>14</v>
      </c>
      <c r="E3754">
        <v>800</v>
      </c>
      <c r="F3754">
        <v>2</v>
      </c>
      <c r="G3754">
        <f t="shared" si="174"/>
        <v>1600</v>
      </c>
      <c r="H3754" t="s">
        <v>7</v>
      </c>
      <c r="I3754">
        <f t="shared" si="175"/>
        <v>960</v>
      </c>
      <c r="J3754">
        <f t="shared" si="176"/>
        <v>1920</v>
      </c>
    </row>
    <row r="3755" spans="1:10" x14ac:dyDescent="0.45">
      <c r="A3755" t="s">
        <v>3255</v>
      </c>
      <c r="B3755" s="1">
        <v>45912</v>
      </c>
      <c r="C3755" t="s">
        <v>4007</v>
      </c>
      <c r="D3755" t="s">
        <v>2774</v>
      </c>
      <c r="E3755">
        <v>1900</v>
      </c>
      <c r="F3755">
        <v>10</v>
      </c>
      <c r="G3755">
        <f t="shared" si="174"/>
        <v>19000</v>
      </c>
      <c r="H3755" t="s">
        <v>17</v>
      </c>
      <c r="I3755">
        <f t="shared" si="175"/>
        <v>2280</v>
      </c>
      <c r="J3755">
        <f t="shared" si="176"/>
        <v>22800</v>
      </c>
    </row>
    <row r="3756" spans="1:10" x14ac:dyDescent="0.45">
      <c r="A3756" t="s">
        <v>3405</v>
      </c>
      <c r="B3756" s="1">
        <v>45912</v>
      </c>
      <c r="C3756" t="s">
        <v>4007</v>
      </c>
      <c r="D3756" t="s">
        <v>2774</v>
      </c>
      <c r="E3756">
        <v>1900</v>
      </c>
      <c r="F3756">
        <v>10</v>
      </c>
      <c r="G3756">
        <f t="shared" si="174"/>
        <v>19000</v>
      </c>
      <c r="H3756" t="s">
        <v>17</v>
      </c>
      <c r="I3756">
        <f t="shared" si="175"/>
        <v>2280</v>
      </c>
      <c r="J3756">
        <f t="shared" si="176"/>
        <v>22800</v>
      </c>
    </row>
    <row r="3757" spans="1:10" x14ac:dyDescent="0.45">
      <c r="A3757" t="s">
        <v>3617</v>
      </c>
      <c r="B3757" s="1">
        <v>45912</v>
      </c>
      <c r="C3757" t="s">
        <v>4007</v>
      </c>
      <c r="D3757" t="s">
        <v>28</v>
      </c>
      <c r="E3757">
        <v>500</v>
      </c>
      <c r="F3757">
        <v>8</v>
      </c>
      <c r="G3757">
        <f t="shared" si="174"/>
        <v>4000</v>
      </c>
      <c r="H3757" t="s">
        <v>7</v>
      </c>
      <c r="I3757">
        <f t="shared" si="175"/>
        <v>600</v>
      </c>
      <c r="J3757">
        <f t="shared" si="176"/>
        <v>4800</v>
      </c>
    </row>
    <row r="3758" spans="1:10" x14ac:dyDescent="0.45">
      <c r="A3758" t="s">
        <v>3773</v>
      </c>
      <c r="B3758" s="1">
        <v>45912</v>
      </c>
      <c r="C3758" t="s">
        <v>4007</v>
      </c>
      <c r="D3758" t="s">
        <v>2774</v>
      </c>
      <c r="E3758">
        <v>1900</v>
      </c>
      <c r="F3758">
        <v>4</v>
      </c>
      <c r="G3758">
        <f t="shared" si="174"/>
        <v>7600</v>
      </c>
      <c r="H3758" t="s">
        <v>17</v>
      </c>
      <c r="I3758">
        <f t="shared" si="175"/>
        <v>2280</v>
      </c>
      <c r="J3758">
        <f t="shared" si="176"/>
        <v>9120</v>
      </c>
    </row>
    <row r="3759" spans="1:10" x14ac:dyDescent="0.45">
      <c r="A3759" t="s">
        <v>3812</v>
      </c>
      <c r="B3759" s="1">
        <v>45912</v>
      </c>
      <c r="C3759" t="s">
        <v>4007</v>
      </c>
      <c r="D3759" t="s">
        <v>28</v>
      </c>
      <c r="E3759">
        <v>500</v>
      </c>
      <c r="F3759">
        <v>2</v>
      </c>
      <c r="G3759">
        <f t="shared" si="174"/>
        <v>1000</v>
      </c>
      <c r="H3759" t="s">
        <v>7</v>
      </c>
      <c r="I3759">
        <f t="shared" si="175"/>
        <v>600</v>
      </c>
      <c r="J3759">
        <f t="shared" si="176"/>
        <v>1200</v>
      </c>
    </row>
    <row r="3760" spans="1:10" x14ac:dyDescent="0.45">
      <c r="A3760" t="s">
        <v>3905</v>
      </c>
      <c r="B3760" s="1">
        <v>45912</v>
      </c>
      <c r="C3760" t="s">
        <v>2772</v>
      </c>
      <c r="D3760" t="s">
        <v>2771</v>
      </c>
      <c r="E3760">
        <v>120</v>
      </c>
      <c r="F3760">
        <v>3</v>
      </c>
      <c r="G3760">
        <f t="shared" si="174"/>
        <v>360</v>
      </c>
      <c r="H3760" t="s">
        <v>17</v>
      </c>
      <c r="I3760">
        <f t="shared" si="175"/>
        <v>144</v>
      </c>
      <c r="J3760">
        <f t="shared" si="176"/>
        <v>432</v>
      </c>
    </row>
    <row r="3761" spans="1:10" x14ac:dyDescent="0.45">
      <c r="A3761" t="s">
        <v>1949</v>
      </c>
      <c r="B3761" s="1">
        <v>45913</v>
      </c>
      <c r="C3761" t="s">
        <v>33</v>
      </c>
      <c r="D3761" t="s">
        <v>42</v>
      </c>
      <c r="E3761">
        <v>6900</v>
      </c>
      <c r="F3761">
        <v>3</v>
      </c>
      <c r="G3761">
        <f t="shared" si="174"/>
        <v>20700</v>
      </c>
      <c r="H3761" t="s">
        <v>7</v>
      </c>
      <c r="I3761">
        <f t="shared" si="175"/>
        <v>8280</v>
      </c>
      <c r="J3761">
        <f t="shared" si="176"/>
        <v>24840</v>
      </c>
    </row>
    <row r="3762" spans="1:10" x14ac:dyDescent="0.45">
      <c r="A3762" t="s">
        <v>1950</v>
      </c>
      <c r="B3762" s="1">
        <v>45913</v>
      </c>
      <c r="C3762" t="s">
        <v>33</v>
      </c>
      <c r="D3762" t="s">
        <v>42</v>
      </c>
      <c r="E3762">
        <v>6900</v>
      </c>
      <c r="F3762">
        <v>10</v>
      </c>
      <c r="G3762">
        <f t="shared" si="174"/>
        <v>69000</v>
      </c>
      <c r="H3762" t="s">
        <v>21</v>
      </c>
      <c r="I3762">
        <f t="shared" si="175"/>
        <v>8280</v>
      </c>
      <c r="J3762">
        <f t="shared" si="176"/>
        <v>82800</v>
      </c>
    </row>
    <row r="3763" spans="1:10" x14ac:dyDescent="0.45">
      <c r="A3763" t="s">
        <v>1951</v>
      </c>
      <c r="B3763" s="1">
        <v>45913</v>
      </c>
      <c r="C3763" t="s">
        <v>12</v>
      </c>
      <c r="D3763" t="s">
        <v>5023</v>
      </c>
      <c r="E3763">
        <v>1750</v>
      </c>
      <c r="F3763">
        <v>3</v>
      </c>
      <c r="G3763">
        <f t="shared" si="174"/>
        <v>5250</v>
      </c>
      <c r="H3763" t="s">
        <v>17</v>
      </c>
      <c r="I3763">
        <f t="shared" si="175"/>
        <v>2100</v>
      </c>
      <c r="J3763">
        <f t="shared" si="176"/>
        <v>6300</v>
      </c>
    </row>
    <row r="3764" spans="1:10" x14ac:dyDescent="0.45">
      <c r="A3764" t="s">
        <v>1952</v>
      </c>
      <c r="B3764" s="1">
        <v>45913</v>
      </c>
      <c r="C3764" t="s">
        <v>9</v>
      </c>
      <c r="D3764" t="s">
        <v>10</v>
      </c>
      <c r="E3764">
        <v>400</v>
      </c>
      <c r="F3764">
        <v>4</v>
      </c>
      <c r="G3764">
        <f t="shared" si="174"/>
        <v>1600</v>
      </c>
      <c r="H3764" t="s">
        <v>21</v>
      </c>
      <c r="I3764">
        <f t="shared" si="175"/>
        <v>480</v>
      </c>
      <c r="J3764">
        <f t="shared" si="176"/>
        <v>1920</v>
      </c>
    </row>
    <row r="3765" spans="1:10" x14ac:dyDescent="0.45">
      <c r="A3765" t="s">
        <v>1953</v>
      </c>
      <c r="B3765" s="1">
        <v>45913</v>
      </c>
      <c r="C3765" t="s">
        <v>33</v>
      </c>
      <c r="D3765" t="s">
        <v>42</v>
      </c>
      <c r="E3765">
        <v>6900</v>
      </c>
      <c r="F3765">
        <v>1</v>
      </c>
      <c r="G3765">
        <f t="shared" si="174"/>
        <v>6900</v>
      </c>
      <c r="H3765" t="s">
        <v>7</v>
      </c>
      <c r="I3765">
        <f t="shared" si="175"/>
        <v>8280</v>
      </c>
      <c r="J3765">
        <f t="shared" si="176"/>
        <v>8280</v>
      </c>
    </row>
    <row r="3766" spans="1:10" x14ac:dyDescent="0.45">
      <c r="A3766" t="s">
        <v>1954</v>
      </c>
      <c r="B3766" s="1">
        <v>45913</v>
      </c>
      <c r="C3766" t="s">
        <v>4007</v>
      </c>
      <c r="D3766" t="s">
        <v>39</v>
      </c>
      <c r="E3766">
        <v>6000</v>
      </c>
      <c r="F3766">
        <v>7</v>
      </c>
      <c r="G3766">
        <f t="shared" si="174"/>
        <v>42000</v>
      </c>
      <c r="H3766" t="s">
        <v>7</v>
      </c>
      <c r="I3766">
        <f t="shared" si="175"/>
        <v>7200</v>
      </c>
      <c r="J3766">
        <f t="shared" si="176"/>
        <v>50400</v>
      </c>
    </row>
    <row r="3767" spans="1:10" x14ac:dyDescent="0.45">
      <c r="A3767" t="s">
        <v>1955</v>
      </c>
      <c r="B3767" s="1">
        <v>45913</v>
      </c>
      <c r="C3767" t="s">
        <v>33</v>
      </c>
      <c r="D3767" t="s">
        <v>42</v>
      </c>
      <c r="E3767">
        <v>6900</v>
      </c>
      <c r="F3767">
        <v>5</v>
      </c>
      <c r="G3767">
        <f t="shared" si="174"/>
        <v>34500</v>
      </c>
      <c r="H3767" t="s">
        <v>7</v>
      </c>
      <c r="I3767">
        <f t="shared" si="175"/>
        <v>8280</v>
      </c>
      <c r="J3767">
        <f t="shared" si="176"/>
        <v>41400</v>
      </c>
    </row>
    <row r="3768" spans="1:10" x14ac:dyDescent="0.45">
      <c r="A3768" t="s">
        <v>1956</v>
      </c>
      <c r="B3768" s="1">
        <v>45913</v>
      </c>
      <c r="C3768" t="s">
        <v>9</v>
      </c>
      <c r="D3768" t="s">
        <v>25</v>
      </c>
      <c r="E3768">
        <v>5200</v>
      </c>
      <c r="F3768">
        <v>7</v>
      </c>
      <c r="G3768">
        <f t="shared" si="174"/>
        <v>36400</v>
      </c>
      <c r="H3768" t="s">
        <v>7</v>
      </c>
      <c r="I3768">
        <f t="shared" si="175"/>
        <v>6240</v>
      </c>
      <c r="J3768">
        <f t="shared" si="176"/>
        <v>43680</v>
      </c>
    </row>
    <row r="3769" spans="1:10" x14ac:dyDescent="0.45">
      <c r="A3769" t="s">
        <v>3355</v>
      </c>
      <c r="B3769" s="1">
        <v>45913</v>
      </c>
      <c r="C3769" t="s">
        <v>4007</v>
      </c>
      <c r="D3769" t="s">
        <v>2770</v>
      </c>
      <c r="E3769">
        <v>600</v>
      </c>
      <c r="F3769">
        <v>10</v>
      </c>
      <c r="G3769">
        <f t="shared" si="174"/>
        <v>6000</v>
      </c>
      <c r="H3769" t="s">
        <v>21</v>
      </c>
      <c r="I3769">
        <f t="shared" si="175"/>
        <v>720</v>
      </c>
      <c r="J3769">
        <f t="shared" si="176"/>
        <v>7200</v>
      </c>
    </row>
    <row r="3770" spans="1:10" x14ac:dyDescent="0.45">
      <c r="A3770" t="s">
        <v>3742</v>
      </c>
      <c r="B3770" s="1">
        <v>45913</v>
      </c>
      <c r="C3770" t="s">
        <v>4007</v>
      </c>
      <c r="D3770" t="s">
        <v>2776</v>
      </c>
      <c r="E3770">
        <v>3600</v>
      </c>
      <c r="F3770">
        <v>3</v>
      </c>
      <c r="G3770">
        <f t="shared" si="174"/>
        <v>10800</v>
      </c>
      <c r="H3770" t="s">
        <v>17</v>
      </c>
      <c r="I3770">
        <f t="shared" si="175"/>
        <v>4320</v>
      </c>
      <c r="J3770">
        <f t="shared" si="176"/>
        <v>12960</v>
      </c>
    </row>
    <row r="3771" spans="1:10" x14ac:dyDescent="0.45">
      <c r="A3771" t="s">
        <v>3822</v>
      </c>
      <c r="B3771" s="1">
        <v>45913</v>
      </c>
      <c r="C3771" t="s">
        <v>4007</v>
      </c>
      <c r="D3771" t="s">
        <v>2770</v>
      </c>
      <c r="E3771">
        <v>600</v>
      </c>
      <c r="F3771">
        <v>9</v>
      </c>
      <c r="G3771">
        <f t="shared" si="174"/>
        <v>5400</v>
      </c>
      <c r="H3771" t="s">
        <v>7</v>
      </c>
      <c r="I3771">
        <f t="shared" si="175"/>
        <v>720</v>
      </c>
      <c r="J3771">
        <f t="shared" si="176"/>
        <v>6480</v>
      </c>
    </row>
    <row r="3772" spans="1:10" x14ac:dyDescent="0.45">
      <c r="A3772" t="s">
        <v>3912</v>
      </c>
      <c r="B3772" s="1">
        <v>45913</v>
      </c>
      <c r="C3772" t="s">
        <v>33</v>
      </c>
      <c r="D3772" t="s">
        <v>34</v>
      </c>
      <c r="E3772">
        <v>1700</v>
      </c>
      <c r="F3772">
        <v>4</v>
      </c>
      <c r="G3772">
        <f t="shared" si="174"/>
        <v>6800</v>
      </c>
      <c r="H3772" t="s">
        <v>7</v>
      </c>
      <c r="I3772">
        <f t="shared" si="175"/>
        <v>2040</v>
      </c>
      <c r="J3772">
        <f t="shared" si="176"/>
        <v>8160</v>
      </c>
    </row>
    <row r="3773" spans="1:10" x14ac:dyDescent="0.45">
      <c r="A3773" t="s">
        <v>1957</v>
      </c>
      <c r="B3773" s="1">
        <v>45914</v>
      </c>
      <c r="C3773" t="s">
        <v>12</v>
      </c>
      <c r="D3773" t="s">
        <v>5022</v>
      </c>
      <c r="E3773">
        <v>2880</v>
      </c>
      <c r="F3773">
        <v>6</v>
      </c>
      <c r="G3773">
        <f t="shared" si="174"/>
        <v>17280</v>
      </c>
      <c r="H3773" t="s">
        <v>17</v>
      </c>
      <c r="I3773">
        <f t="shared" si="175"/>
        <v>3456</v>
      </c>
      <c r="J3773">
        <f t="shared" si="176"/>
        <v>20736</v>
      </c>
    </row>
    <row r="3774" spans="1:10" x14ac:dyDescent="0.45">
      <c r="A3774" t="s">
        <v>1958</v>
      </c>
      <c r="B3774" s="1">
        <v>45914</v>
      </c>
      <c r="C3774" t="s">
        <v>33</v>
      </c>
      <c r="D3774" t="s">
        <v>34</v>
      </c>
      <c r="E3774">
        <v>1700</v>
      </c>
      <c r="F3774">
        <v>9</v>
      </c>
      <c r="G3774">
        <f t="shared" si="174"/>
        <v>15300</v>
      </c>
      <c r="H3774" t="s">
        <v>17</v>
      </c>
      <c r="I3774">
        <f t="shared" si="175"/>
        <v>2040</v>
      </c>
      <c r="J3774">
        <f t="shared" si="176"/>
        <v>18360</v>
      </c>
    </row>
    <row r="3775" spans="1:10" x14ac:dyDescent="0.45">
      <c r="A3775" t="s">
        <v>1959</v>
      </c>
      <c r="B3775" s="1">
        <v>45914</v>
      </c>
      <c r="C3775" t="s">
        <v>9</v>
      </c>
      <c r="D3775" t="s">
        <v>19</v>
      </c>
      <c r="E3775">
        <v>3000</v>
      </c>
      <c r="F3775">
        <v>4</v>
      </c>
      <c r="G3775">
        <f t="shared" si="174"/>
        <v>12000</v>
      </c>
      <c r="H3775" t="s">
        <v>7</v>
      </c>
      <c r="I3775">
        <f t="shared" si="175"/>
        <v>3600</v>
      </c>
      <c r="J3775">
        <f t="shared" si="176"/>
        <v>14400</v>
      </c>
    </row>
    <row r="3776" spans="1:10" x14ac:dyDescent="0.45">
      <c r="A3776" t="s">
        <v>1960</v>
      </c>
      <c r="B3776" s="1">
        <v>45914</v>
      </c>
      <c r="C3776" t="s">
        <v>33</v>
      </c>
      <c r="D3776" t="s">
        <v>16</v>
      </c>
      <c r="E3776">
        <v>1200</v>
      </c>
      <c r="F3776">
        <v>8</v>
      </c>
      <c r="G3776">
        <f t="shared" si="174"/>
        <v>9600</v>
      </c>
      <c r="H3776" t="s">
        <v>7</v>
      </c>
      <c r="I3776">
        <f t="shared" si="175"/>
        <v>1440</v>
      </c>
      <c r="J3776">
        <f t="shared" si="176"/>
        <v>11520</v>
      </c>
    </row>
    <row r="3777" spans="1:10" x14ac:dyDescent="0.45">
      <c r="A3777" t="s">
        <v>1961</v>
      </c>
      <c r="B3777" s="1">
        <v>45914</v>
      </c>
      <c r="C3777" t="s">
        <v>33</v>
      </c>
      <c r="D3777" t="s">
        <v>34</v>
      </c>
      <c r="E3777">
        <v>1700</v>
      </c>
      <c r="F3777">
        <v>10</v>
      </c>
      <c r="G3777">
        <f t="shared" si="174"/>
        <v>17000</v>
      </c>
      <c r="H3777" t="s">
        <v>17</v>
      </c>
      <c r="I3777">
        <f t="shared" si="175"/>
        <v>2040</v>
      </c>
      <c r="J3777">
        <f t="shared" si="176"/>
        <v>20400</v>
      </c>
    </row>
    <row r="3778" spans="1:10" x14ac:dyDescent="0.45">
      <c r="A3778" t="s">
        <v>1962</v>
      </c>
      <c r="B3778" s="1">
        <v>45914</v>
      </c>
      <c r="C3778" t="s">
        <v>33</v>
      </c>
      <c r="D3778" t="s">
        <v>16</v>
      </c>
      <c r="E3778">
        <v>1200</v>
      </c>
      <c r="F3778">
        <v>9</v>
      </c>
      <c r="G3778">
        <f t="shared" ref="G3778:G3841" si="177">E3778*F3778</f>
        <v>10800</v>
      </c>
      <c r="H3778" t="s">
        <v>21</v>
      </c>
      <c r="I3778">
        <f t="shared" ref="I3778:I3841" si="178">E3778*1.2</f>
        <v>1440</v>
      </c>
      <c r="J3778">
        <f t="shared" ref="J3778:J3841" si="179">I3778*F3778</f>
        <v>12960</v>
      </c>
    </row>
    <row r="3779" spans="1:10" x14ac:dyDescent="0.45">
      <c r="A3779" t="s">
        <v>1963</v>
      </c>
      <c r="B3779" s="1">
        <v>45914</v>
      </c>
      <c r="C3779" t="s">
        <v>9</v>
      </c>
      <c r="D3779" t="s">
        <v>25</v>
      </c>
      <c r="E3779">
        <v>5200</v>
      </c>
      <c r="F3779">
        <v>6</v>
      </c>
      <c r="G3779">
        <f t="shared" si="177"/>
        <v>31200</v>
      </c>
      <c r="H3779" t="s">
        <v>17</v>
      </c>
      <c r="I3779">
        <f t="shared" si="178"/>
        <v>6240</v>
      </c>
      <c r="J3779">
        <f t="shared" si="179"/>
        <v>37440</v>
      </c>
    </row>
    <row r="3780" spans="1:10" x14ac:dyDescent="0.45">
      <c r="A3780" t="s">
        <v>2934</v>
      </c>
      <c r="B3780" s="1">
        <v>45914</v>
      </c>
      <c r="C3780" t="s">
        <v>4007</v>
      </c>
      <c r="D3780" t="s">
        <v>2773</v>
      </c>
      <c r="E3780">
        <v>3300</v>
      </c>
      <c r="F3780">
        <v>8</v>
      </c>
      <c r="G3780">
        <f t="shared" si="177"/>
        <v>26400</v>
      </c>
      <c r="H3780" t="s">
        <v>21</v>
      </c>
      <c r="I3780">
        <f t="shared" si="178"/>
        <v>3960</v>
      </c>
      <c r="J3780">
        <f t="shared" si="179"/>
        <v>31680</v>
      </c>
    </row>
    <row r="3781" spans="1:10" x14ac:dyDescent="0.45">
      <c r="A3781" t="s">
        <v>3351</v>
      </c>
      <c r="B3781" s="1">
        <v>45914</v>
      </c>
      <c r="C3781" t="s">
        <v>4007</v>
      </c>
      <c r="D3781" t="s">
        <v>2773</v>
      </c>
      <c r="E3781">
        <v>3300</v>
      </c>
      <c r="F3781">
        <v>7</v>
      </c>
      <c r="G3781">
        <f t="shared" si="177"/>
        <v>23100</v>
      </c>
      <c r="H3781" t="s">
        <v>21</v>
      </c>
      <c r="I3781">
        <f t="shared" si="178"/>
        <v>3960</v>
      </c>
      <c r="J3781">
        <f t="shared" si="179"/>
        <v>27720</v>
      </c>
    </row>
    <row r="3782" spans="1:10" x14ac:dyDescent="0.45">
      <c r="A3782" t="s">
        <v>3630</v>
      </c>
      <c r="B3782" s="1">
        <v>45914</v>
      </c>
      <c r="C3782" t="s">
        <v>4007</v>
      </c>
      <c r="D3782" t="s">
        <v>5015</v>
      </c>
      <c r="E3782">
        <v>48000</v>
      </c>
      <c r="F3782">
        <v>6</v>
      </c>
      <c r="G3782">
        <f t="shared" si="177"/>
        <v>288000</v>
      </c>
      <c r="H3782" t="s">
        <v>17</v>
      </c>
      <c r="I3782">
        <f t="shared" si="178"/>
        <v>57600</v>
      </c>
      <c r="J3782">
        <f t="shared" si="179"/>
        <v>345600</v>
      </c>
    </row>
    <row r="3783" spans="1:10" x14ac:dyDescent="0.45">
      <c r="A3783" t="s">
        <v>3754</v>
      </c>
      <c r="B3783" s="1">
        <v>45914</v>
      </c>
      <c r="C3783" t="s">
        <v>33</v>
      </c>
      <c r="D3783" t="s">
        <v>34</v>
      </c>
      <c r="E3783">
        <v>1700</v>
      </c>
      <c r="F3783">
        <v>8</v>
      </c>
      <c r="G3783">
        <f t="shared" si="177"/>
        <v>13600</v>
      </c>
      <c r="H3783" t="s">
        <v>21</v>
      </c>
      <c r="I3783">
        <f t="shared" si="178"/>
        <v>2040</v>
      </c>
      <c r="J3783">
        <f t="shared" si="179"/>
        <v>16320</v>
      </c>
    </row>
    <row r="3784" spans="1:10" x14ac:dyDescent="0.45">
      <c r="A3784" t="s">
        <v>1964</v>
      </c>
      <c r="B3784" s="1">
        <v>45915</v>
      </c>
      <c r="C3784" t="s">
        <v>33</v>
      </c>
      <c r="D3784" t="s">
        <v>14</v>
      </c>
      <c r="E3784">
        <v>800</v>
      </c>
      <c r="F3784">
        <v>2</v>
      </c>
      <c r="G3784">
        <f t="shared" si="177"/>
        <v>1600</v>
      </c>
      <c r="H3784" t="s">
        <v>7</v>
      </c>
      <c r="I3784">
        <f t="shared" si="178"/>
        <v>960</v>
      </c>
      <c r="J3784">
        <f t="shared" si="179"/>
        <v>1920</v>
      </c>
    </row>
    <row r="3785" spans="1:10" x14ac:dyDescent="0.45">
      <c r="A3785" t="s">
        <v>1965</v>
      </c>
      <c r="B3785" s="1">
        <v>45915</v>
      </c>
      <c r="C3785" t="s">
        <v>12</v>
      </c>
      <c r="D3785" t="s">
        <v>5022</v>
      </c>
      <c r="E3785">
        <v>2880</v>
      </c>
      <c r="F3785">
        <v>6</v>
      </c>
      <c r="G3785">
        <f t="shared" si="177"/>
        <v>17280</v>
      </c>
      <c r="H3785" t="s">
        <v>21</v>
      </c>
      <c r="I3785">
        <f t="shared" si="178"/>
        <v>3456</v>
      </c>
      <c r="J3785">
        <f t="shared" si="179"/>
        <v>20736</v>
      </c>
    </row>
    <row r="3786" spans="1:10" x14ac:dyDescent="0.45">
      <c r="A3786" t="s">
        <v>1966</v>
      </c>
      <c r="B3786" s="1">
        <v>45915</v>
      </c>
      <c r="C3786" t="s">
        <v>9</v>
      </c>
      <c r="D3786" t="s">
        <v>10</v>
      </c>
      <c r="E3786">
        <v>400</v>
      </c>
      <c r="F3786">
        <v>4</v>
      </c>
      <c r="G3786">
        <f t="shared" si="177"/>
        <v>1600</v>
      </c>
      <c r="H3786" t="s">
        <v>7</v>
      </c>
      <c r="I3786">
        <f t="shared" si="178"/>
        <v>480</v>
      </c>
      <c r="J3786">
        <f t="shared" si="179"/>
        <v>1920</v>
      </c>
    </row>
    <row r="3787" spans="1:10" x14ac:dyDescent="0.45">
      <c r="A3787" t="s">
        <v>1967</v>
      </c>
      <c r="B3787" s="1">
        <v>45915</v>
      </c>
      <c r="C3787" t="s">
        <v>33</v>
      </c>
      <c r="D3787" t="s">
        <v>42</v>
      </c>
      <c r="E3787">
        <v>6900</v>
      </c>
      <c r="F3787">
        <v>1</v>
      </c>
      <c r="G3787">
        <f t="shared" si="177"/>
        <v>6900</v>
      </c>
      <c r="H3787" t="s">
        <v>17</v>
      </c>
      <c r="I3787">
        <f t="shared" si="178"/>
        <v>8280</v>
      </c>
      <c r="J3787">
        <f t="shared" si="179"/>
        <v>8280</v>
      </c>
    </row>
    <row r="3788" spans="1:10" x14ac:dyDescent="0.45">
      <c r="A3788" t="s">
        <v>1968</v>
      </c>
      <c r="B3788" s="1">
        <v>45915</v>
      </c>
      <c r="C3788" t="s">
        <v>12</v>
      </c>
      <c r="D3788" t="s">
        <v>5021</v>
      </c>
      <c r="E3788">
        <v>2880</v>
      </c>
      <c r="F3788">
        <v>7</v>
      </c>
      <c r="G3788">
        <f t="shared" si="177"/>
        <v>20160</v>
      </c>
      <c r="H3788" t="s">
        <v>17</v>
      </c>
      <c r="I3788">
        <f t="shared" si="178"/>
        <v>3456</v>
      </c>
      <c r="J3788">
        <f t="shared" si="179"/>
        <v>24192</v>
      </c>
    </row>
    <row r="3789" spans="1:10" x14ac:dyDescent="0.45">
      <c r="A3789" t="s">
        <v>1969</v>
      </c>
      <c r="B3789" s="1">
        <v>45915</v>
      </c>
      <c r="C3789" t="s">
        <v>12</v>
      </c>
      <c r="D3789" t="s">
        <v>5020</v>
      </c>
      <c r="E3789">
        <v>2880</v>
      </c>
      <c r="F3789">
        <v>3</v>
      </c>
      <c r="G3789">
        <f t="shared" si="177"/>
        <v>8640</v>
      </c>
      <c r="H3789" t="s">
        <v>7</v>
      </c>
      <c r="I3789">
        <f t="shared" si="178"/>
        <v>3456</v>
      </c>
      <c r="J3789">
        <f t="shared" si="179"/>
        <v>10368</v>
      </c>
    </row>
    <row r="3790" spans="1:10" x14ac:dyDescent="0.45">
      <c r="A3790" t="s">
        <v>1970</v>
      </c>
      <c r="B3790" s="1">
        <v>45915</v>
      </c>
      <c r="C3790" t="s">
        <v>4007</v>
      </c>
      <c r="D3790" t="s">
        <v>4005</v>
      </c>
      <c r="E3790">
        <v>60000</v>
      </c>
      <c r="F3790">
        <v>5</v>
      </c>
      <c r="G3790">
        <f t="shared" si="177"/>
        <v>300000</v>
      </c>
      <c r="H3790" t="s">
        <v>21</v>
      </c>
      <c r="I3790">
        <f t="shared" si="178"/>
        <v>72000</v>
      </c>
      <c r="J3790">
        <f t="shared" si="179"/>
        <v>360000</v>
      </c>
    </row>
    <row r="3791" spans="1:10" x14ac:dyDescent="0.45">
      <c r="A3791" t="s">
        <v>1971</v>
      </c>
      <c r="B3791" s="1">
        <v>45915</v>
      </c>
      <c r="C3791" t="s">
        <v>4007</v>
      </c>
      <c r="D3791" t="s">
        <v>28</v>
      </c>
      <c r="E3791">
        <v>500</v>
      </c>
      <c r="F3791">
        <v>9</v>
      </c>
      <c r="G3791">
        <f t="shared" si="177"/>
        <v>4500</v>
      </c>
      <c r="H3791" t="s">
        <v>17</v>
      </c>
      <c r="I3791">
        <f t="shared" si="178"/>
        <v>600</v>
      </c>
      <c r="J3791">
        <f t="shared" si="179"/>
        <v>5400</v>
      </c>
    </row>
    <row r="3792" spans="1:10" x14ac:dyDescent="0.45">
      <c r="A3792" t="s">
        <v>1972</v>
      </c>
      <c r="B3792" s="1">
        <v>45915</v>
      </c>
      <c r="C3792" t="s">
        <v>33</v>
      </c>
      <c r="D3792" t="s">
        <v>34</v>
      </c>
      <c r="E3792">
        <v>1700</v>
      </c>
      <c r="F3792">
        <v>4</v>
      </c>
      <c r="G3792">
        <f t="shared" si="177"/>
        <v>6800</v>
      </c>
      <c r="H3792" t="s">
        <v>7</v>
      </c>
      <c r="I3792">
        <f t="shared" si="178"/>
        <v>2040</v>
      </c>
      <c r="J3792">
        <f t="shared" si="179"/>
        <v>8160</v>
      </c>
    </row>
    <row r="3793" spans="1:10" x14ac:dyDescent="0.45">
      <c r="A3793" t="s">
        <v>1973</v>
      </c>
      <c r="B3793" s="1">
        <v>45915</v>
      </c>
      <c r="C3793" t="s">
        <v>4007</v>
      </c>
      <c r="D3793" t="s">
        <v>5015</v>
      </c>
      <c r="E3793">
        <v>48000</v>
      </c>
      <c r="F3793">
        <v>7</v>
      </c>
      <c r="G3793">
        <f t="shared" si="177"/>
        <v>336000</v>
      </c>
      <c r="H3793" t="s">
        <v>21</v>
      </c>
      <c r="I3793">
        <f t="shared" si="178"/>
        <v>57600</v>
      </c>
      <c r="J3793">
        <f t="shared" si="179"/>
        <v>403200</v>
      </c>
    </row>
    <row r="3794" spans="1:10" x14ac:dyDescent="0.45">
      <c r="A3794" t="s">
        <v>2854</v>
      </c>
      <c r="B3794" s="1">
        <v>45915</v>
      </c>
      <c r="C3794" t="s">
        <v>2772</v>
      </c>
      <c r="D3794" t="s">
        <v>2771</v>
      </c>
      <c r="E3794">
        <v>120</v>
      </c>
      <c r="F3794">
        <v>5</v>
      </c>
      <c r="G3794">
        <f t="shared" si="177"/>
        <v>600</v>
      </c>
      <c r="H3794" t="s">
        <v>17</v>
      </c>
      <c r="I3794">
        <f t="shared" si="178"/>
        <v>144</v>
      </c>
      <c r="J3794">
        <f t="shared" si="179"/>
        <v>720</v>
      </c>
    </row>
    <row r="3795" spans="1:10" x14ac:dyDescent="0.45">
      <c r="A3795" t="s">
        <v>3126</v>
      </c>
      <c r="B3795" s="1">
        <v>45915</v>
      </c>
      <c r="C3795" t="s">
        <v>4007</v>
      </c>
      <c r="D3795" t="s">
        <v>5015</v>
      </c>
      <c r="E3795">
        <v>48000</v>
      </c>
      <c r="F3795">
        <v>9</v>
      </c>
      <c r="G3795">
        <f t="shared" si="177"/>
        <v>432000</v>
      </c>
      <c r="H3795" t="s">
        <v>7</v>
      </c>
      <c r="I3795">
        <f t="shared" si="178"/>
        <v>57600</v>
      </c>
      <c r="J3795">
        <f t="shared" si="179"/>
        <v>518400</v>
      </c>
    </row>
    <row r="3796" spans="1:10" x14ac:dyDescent="0.45">
      <c r="A3796" t="s">
        <v>3150</v>
      </c>
      <c r="B3796" s="1">
        <v>45915</v>
      </c>
      <c r="C3796" t="s">
        <v>4007</v>
      </c>
      <c r="D3796" t="s">
        <v>5015</v>
      </c>
      <c r="E3796">
        <v>48000</v>
      </c>
      <c r="F3796">
        <v>8</v>
      </c>
      <c r="G3796">
        <f t="shared" si="177"/>
        <v>384000</v>
      </c>
      <c r="H3796" t="s">
        <v>21</v>
      </c>
      <c r="I3796">
        <f t="shared" si="178"/>
        <v>57600</v>
      </c>
      <c r="J3796">
        <f t="shared" si="179"/>
        <v>460800</v>
      </c>
    </row>
    <row r="3797" spans="1:10" x14ac:dyDescent="0.45">
      <c r="A3797" t="s">
        <v>3306</v>
      </c>
      <c r="B3797" s="1">
        <v>45915</v>
      </c>
      <c r="C3797" t="s">
        <v>4007</v>
      </c>
      <c r="D3797" t="s">
        <v>28</v>
      </c>
      <c r="E3797">
        <v>500</v>
      </c>
      <c r="F3797">
        <v>8</v>
      </c>
      <c r="G3797">
        <f t="shared" si="177"/>
        <v>4000</v>
      </c>
      <c r="H3797" t="s">
        <v>21</v>
      </c>
      <c r="I3797">
        <f t="shared" si="178"/>
        <v>600</v>
      </c>
      <c r="J3797">
        <f t="shared" si="179"/>
        <v>4800</v>
      </c>
    </row>
    <row r="3798" spans="1:10" x14ac:dyDescent="0.45">
      <c r="A3798" t="s">
        <v>3647</v>
      </c>
      <c r="B3798" s="1">
        <v>45915</v>
      </c>
      <c r="C3798" t="s">
        <v>2772</v>
      </c>
      <c r="D3798" t="s">
        <v>2775</v>
      </c>
      <c r="E3798">
        <v>9100</v>
      </c>
      <c r="F3798">
        <v>10</v>
      </c>
      <c r="G3798">
        <f t="shared" si="177"/>
        <v>91000</v>
      </c>
      <c r="H3798" t="s">
        <v>7</v>
      </c>
      <c r="I3798">
        <f t="shared" si="178"/>
        <v>10920</v>
      </c>
      <c r="J3798">
        <f t="shared" si="179"/>
        <v>109200</v>
      </c>
    </row>
    <row r="3799" spans="1:10" x14ac:dyDescent="0.45">
      <c r="A3799" t="s">
        <v>3962</v>
      </c>
      <c r="B3799" s="1">
        <v>45915</v>
      </c>
      <c r="C3799" t="s">
        <v>2772</v>
      </c>
      <c r="D3799" t="s">
        <v>2771</v>
      </c>
      <c r="E3799">
        <v>120</v>
      </c>
      <c r="F3799">
        <v>9</v>
      </c>
      <c r="G3799">
        <f t="shared" si="177"/>
        <v>1080</v>
      </c>
      <c r="H3799" t="s">
        <v>7</v>
      </c>
      <c r="I3799">
        <f t="shared" si="178"/>
        <v>144</v>
      </c>
      <c r="J3799">
        <f t="shared" si="179"/>
        <v>1296</v>
      </c>
    </row>
    <row r="3800" spans="1:10" x14ac:dyDescent="0.45">
      <c r="A3800" t="s">
        <v>1974</v>
      </c>
      <c r="B3800" s="1">
        <v>45916</v>
      </c>
      <c r="C3800" t="s">
        <v>12</v>
      </c>
      <c r="D3800" t="s">
        <v>5021</v>
      </c>
      <c r="E3800">
        <v>2880</v>
      </c>
      <c r="F3800">
        <v>6</v>
      </c>
      <c r="G3800">
        <f t="shared" si="177"/>
        <v>17280</v>
      </c>
      <c r="H3800" t="s">
        <v>21</v>
      </c>
      <c r="I3800">
        <f t="shared" si="178"/>
        <v>3456</v>
      </c>
      <c r="J3800">
        <f t="shared" si="179"/>
        <v>20736</v>
      </c>
    </row>
    <row r="3801" spans="1:10" x14ac:dyDescent="0.45">
      <c r="A3801" t="s">
        <v>1975</v>
      </c>
      <c r="B3801" s="1">
        <v>45916</v>
      </c>
      <c r="C3801" t="s">
        <v>4007</v>
      </c>
      <c r="D3801" t="s">
        <v>4005</v>
      </c>
      <c r="E3801">
        <v>60000</v>
      </c>
      <c r="F3801">
        <v>3</v>
      </c>
      <c r="G3801">
        <f t="shared" si="177"/>
        <v>180000</v>
      </c>
      <c r="H3801" t="s">
        <v>7</v>
      </c>
      <c r="I3801">
        <f t="shared" si="178"/>
        <v>72000</v>
      </c>
      <c r="J3801">
        <f t="shared" si="179"/>
        <v>216000</v>
      </c>
    </row>
    <row r="3802" spans="1:10" x14ac:dyDescent="0.45">
      <c r="A3802" t="s">
        <v>1976</v>
      </c>
      <c r="B3802" s="1">
        <v>45916</v>
      </c>
      <c r="C3802" t="s">
        <v>4007</v>
      </c>
      <c r="D3802" t="s">
        <v>28</v>
      </c>
      <c r="E3802">
        <v>500</v>
      </c>
      <c r="F3802">
        <v>8</v>
      </c>
      <c r="G3802">
        <f t="shared" si="177"/>
        <v>4000</v>
      </c>
      <c r="H3802" t="s">
        <v>7</v>
      </c>
      <c r="I3802">
        <f t="shared" si="178"/>
        <v>600</v>
      </c>
      <c r="J3802">
        <f t="shared" si="179"/>
        <v>4800</v>
      </c>
    </row>
    <row r="3803" spans="1:10" x14ac:dyDescent="0.45">
      <c r="A3803" t="s">
        <v>1977</v>
      </c>
      <c r="B3803" s="1">
        <v>45916</v>
      </c>
      <c r="C3803" t="s">
        <v>12</v>
      </c>
      <c r="D3803" t="s">
        <v>5020</v>
      </c>
      <c r="E3803">
        <v>2880</v>
      </c>
      <c r="F3803">
        <v>9</v>
      </c>
      <c r="G3803">
        <f t="shared" si="177"/>
        <v>25920</v>
      </c>
      <c r="H3803" t="s">
        <v>21</v>
      </c>
      <c r="I3803">
        <f t="shared" si="178"/>
        <v>3456</v>
      </c>
      <c r="J3803">
        <f t="shared" si="179"/>
        <v>31104</v>
      </c>
    </row>
    <row r="3804" spans="1:10" x14ac:dyDescent="0.45">
      <c r="A3804" t="s">
        <v>1978</v>
      </c>
      <c r="B3804" s="1">
        <v>45916</v>
      </c>
      <c r="C3804" t="s">
        <v>4007</v>
      </c>
      <c r="D3804" t="s">
        <v>5015</v>
      </c>
      <c r="E3804">
        <v>48000</v>
      </c>
      <c r="F3804">
        <v>2</v>
      </c>
      <c r="G3804">
        <f t="shared" si="177"/>
        <v>96000</v>
      </c>
      <c r="H3804" t="s">
        <v>17</v>
      </c>
      <c r="I3804">
        <f t="shared" si="178"/>
        <v>57600</v>
      </c>
      <c r="J3804">
        <f t="shared" si="179"/>
        <v>115200</v>
      </c>
    </row>
    <row r="3805" spans="1:10" x14ac:dyDescent="0.45">
      <c r="A3805" t="s">
        <v>1979</v>
      </c>
      <c r="B3805" s="1">
        <v>45916</v>
      </c>
      <c r="C3805" t="s">
        <v>4007</v>
      </c>
      <c r="D3805" t="s">
        <v>5015</v>
      </c>
      <c r="E3805">
        <v>48000</v>
      </c>
      <c r="F3805">
        <v>10</v>
      </c>
      <c r="G3805">
        <f t="shared" si="177"/>
        <v>480000</v>
      </c>
      <c r="H3805" t="s">
        <v>21</v>
      </c>
      <c r="I3805">
        <f t="shared" si="178"/>
        <v>57600</v>
      </c>
      <c r="J3805">
        <f t="shared" si="179"/>
        <v>576000</v>
      </c>
    </row>
    <row r="3806" spans="1:10" x14ac:dyDescent="0.45">
      <c r="A3806" t="s">
        <v>1980</v>
      </c>
      <c r="B3806" s="1">
        <v>45916</v>
      </c>
      <c r="C3806" t="s">
        <v>9</v>
      </c>
      <c r="D3806" t="s">
        <v>19</v>
      </c>
      <c r="E3806">
        <v>3000</v>
      </c>
      <c r="F3806">
        <v>5</v>
      </c>
      <c r="G3806">
        <f t="shared" si="177"/>
        <v>15000</v>
      </c>
      <c r="H3806" t="s">
        <v>17</v>
      </c>
      <c r="I3806">
        <f t="shared" si="178"/>
        <v>3600</v>
      </c>
      <c r="J3806">
        <f t="shared" si="179"/>
        <v>18000</v>
      </c>
    </row>
    <row r="3807" spans="1:10" x14ac:dyDescent="0.45">
      <c r="A3807" t="s">
        <v>1981</v>
      </c>
      <c r="B3807" s="1">
        <v>45916</v>
      </c>
      <c r="C3807" t="s">
        <v>33</v>
      </c>
      <c r="D3807" t="s">
        <v>42</v>
      </c>
      <c r="E3807">
        <v>6900</v>
      </c>
      <c r="F3807">
        <v>1</v>
      </c>
      <c r="G3807">
        <f t="shared" si="177"/>
        <v>6900</v>
      </c>
      <c r="H3807" t="s">
        <v>17</v>
      </c>
      <c r="I3807">
        <f t="shared" si="178"/>
        <v>8280</v>
      </c>
      <c r="J3807">
        <f t="shared" si="179"/>
        <v>8280</v>
      </c>
    </row>
    <row r="3808" spans="1:10" x14ac:dyDescent="0.45">
      <c r="A3808" t="s">
        <v>2823</v>
      </c>
      <c r="B3808" s="1">
        <v>45916</v>
      </c>
      <c r="C3808" t="s">
        <v>4007</v>
      </c>
      <c r="D3808" t="s">
        <v>2773</v>
      </c>
      <c r="E3808">
        <v>3300</v>
      </c>
      <c r="F3808">
        <v>3</v>
      </c>
      <c r="G3808">
        <f t="shared" si="177"/>
        <v>9900</v>
      </c>
      <c r="H3808" t="s">
        <v>17</v>
      </c>
      <c r="I3808">
        <f t="shared" si="178"/>
        <v>3960</v>
      </c>
      <c r="J3808">
        <f t="shared" si="179"/>
        <v>11880</v>
      </c>
    </row>
    <row r="3809" spans="1:10" x14ac:dyDescent="0.45">
      <c r="A3809" t="s">
        <v>2856</v>
      </c>
      <c r="B3809" s="1">
        <v>45916</v>
      </c>
      <c r="C3809" t="s">
        <v>4007</v>
      </c>
      <c r="D3809" t="s">
        <v>2770</v>
      </c>
      <c r="E3809">
        <v>600</v>
      </c>
      <c r="F3809">
        <v>7</v>
      </c>
      <c r="G3809">
        <f t="shared" si="177"/>
        <v>4200</v>
      </c>
      <c r="H3809" t="s">
        <v>7</v>
      </c>
      <c r="I3809">
        <f t="shared" si="178"/>
        <v>720</v>
      </c>
      <c r="J3809">
        <f t="shared" si="179"/>
        <v>5040</v>
      </c>
    </row>
    <row r="3810" spans="1:10" x14ac:dyDescent="0.45">
      <c r="A3810" t="s">
        <v>3017</v>
      </c>
      <c r="B3810" s="1">
        <v>45916</v>
      </c>
      <c r="C3810" t="s">
        <v>33</v>
      </c>
      <c r="D3810" t="s">
        <v>14</v>
      </c>
      <c r="E3810">
        <v>800</v>
      </c>
      <c r="F3810">
        <v>2</v>
      </c>
      <c r="G3810">
        <f t="shared" si="177"/>
        <v>1600</v>
      </c>
      <c r="H3810" t="s">
        <v>7</v>
      </c>
      <c r="I3810">
        <f t="shared" si="178"/>
        <v>960</v>
      </c>
      <c r="J3810">
        <f t="shared" si="179"/>
        <v>1920</v>
      </c>
    </row>
    <row r="3811" spans="1:10" x14ac:dyDescent="0.45">
      <c r="A3811" t="s">
        <v>3203</v>
      </c>
      <c r="B3811" s="1">
        <v>45916</v>
      </c>
      <c r="C3811" t="s">
        <v>2772</v>
      </c>
      <c r="D3811" t="s">
        <v>2771</v>
      </c>
      <c r="E3811">
        <v>120</v>
      </c>
      <c r="F3811">
        <v>8</v>
      </c>
      <c r="G3811">
        <f t="shared" si="177"/>
        <v>960</v>
      </c>
      <c r="H3811" t="s">
        <v>7</v>
      </c>
      <c r="I3811">
        <f t="shared" si="178"/>
        <v>144</v>
      </c>
      <c r="J3811">
        <f t="shared" si="179"/>
        <v>1152</v>
      </c>
    </row>
    <row r="3812" spans="1:10" x14ac:dyDescent="0.45">
      <c r="A3812" t="s">
        <v>3433</v>
      </c>
      <c r="B3812" s="1">
        <v>45916</v>
      </c>
      <c r="C3812" t="s">
        <v>33</v>
      </c>
      <c r="D3812" t="s">
        <v>14</v>
      </c>
      <c r="E3812">
        <v>800</v>
      </c>
      <c r="F3812">
        <v>3</v>
      </c>
      <c r="G3812">
        <f t="shared" si="177"/>
        <v>2400</v>
      </c>
      <c r="H3812" t="s">
        <v>7</v>
      </c>
      <c r="I3812">
        <f t="shared" si="178"/>
        <v>960</v>
      </c>
      <c r="J3812">
        <f t="shared" si="179"/>
        <v>2880</v>
      </c>
    </row>
    <row r="3813" spans="1:10" x14ac:dyDescent="0.45">
      <c r="A3813" t="s">
        <v>1982</v>
      </c>
      <c r="B3813" s="1">
        <v>45917</v>
      </c>
      <c r="C3813" t="s">
        <v>12</v>
      </c>
      <c r="D3813" t="s">
        <v>5020</v>
      </c>
      <c r="E3813">
        <v>2880</v>
      </c>
      <c r="F3813">
        <v>5</v>
      </c>
      <c r="G3813">
        <f t="shared" si="177"/>
        <v>14400</v>
      </c>
      <c r="H3813" t="s">
        <v>17</v>
      </c>
      <c r="I3813">
        <f t="shared" si="178"/>
        <v>3456</v>
      </c>
      <c r="J3813">
        <f t="shared" si="179"/>
        <v>17280</v>
      </c>
    </row>
    <row r="3814" spans="1:10" x14ac:dyDescent="0.45">
      <c r="A3814" t="s">
        <v>1983</v>
      </c>
      <c r="B3814" s="1">
        <v>45917</v>
      </c>
      <c r="C3814" t="s">
        <v>12</v>
      </c>
      <c r="D3814" t="s">
        <v>5020</v>
      </c>
      <c r="E3814">
        <v>2880</v>
      </c>
      <c r="F3814">
        <v>8</v>
      </c>
      <c r="G3814">
        <f t="shared" si="177"/>
        <v>23040</v>
      </c>
      <c r="H3814" t="s">
        <v>17</v>
      </c>
      <c r="I3814">
        <f t="shared" si="178"/>
        <v>3456</v>
      </c>
      <c r="J3814">
        <f t="shared" si="179"/>
        <v>27648</v>
      </c>
    </row>
    <row r="3815" spans="1:10" x14ac:dyDescent="0.45">
      <c r="A3815" t="s">
        <v>1984</v>
      </c>
      <c r="B3815" s="1">
        <v>45917</v>
      </c>
      <c r="C3815" t="s">
        <v>33</v>
      </c>
      <c r="D3815" t="s">
        <v>42</v>
      </c>
      <c r="E3815">
        <v>6900</v>
      </c>
      <c r="F3815">
        <v>5</v>
      </c>
      <c r="G3815">
        <f t="shared" si="177"/>
        <v>34500</v>
      </c>
      <c r="H3815" t="s">
        <v>21</v>
      </c>
      <c r="I3815">
        <f t="shared" si="178"/>
        <v>8280</v>
      </c>
      <c r="J3815">
        <f t="shared" si="179"/>
        <v>41400</v>
      </c>
    </row>
    <row r="3816" spans="1:10" x14ac:dyDescent="0.45">
      <c r="A3816" t="s">
        <v>1985</v>
      </c>
      <c r="B3816" s="1">
        <v>45917</v>
      </c>
      <c r="C3816" t="s">
        <v>12</v>
      </c>
      <c r="D3816" t="s">
        <v>5022</v>
      </c>
      <c r="E3816">
        <v>2880</v>
      </c>
      <c r="F3816">
        <v>4</v>
      </c>
      <c r="G3816">
        <f t="shared" si="177"/>
        <v>11520</v>
      </c>
      <c r="H3816" t="s">
        <v>21</v>
      </c>
      <c r="I3816">
        <f t="shared" si="178"/>
        <v>3456</v>
      </c>
      <c r="J3816">
        <f t="shared" si="179"/>
        <v>13824</v>
      </c>
    </row>
    <row r="3817" spans="1:10" x14ac:dyDescent="0.45">
      <c r="A3817" t="s">
        <v>1986</v>
      </c>
      <c r="B3817" s="1">
        <v>45917</v>
      </c>
      <c r="C3817" t="s">
        <v>12</v>
      </c>
      <c r="D3817" t="s">
        <v>5021</v>
      </c>
      <c r="E3817">
        <v>2880</v>
      </c>
      <c r="F3817">
        <v>9</v>
      </c>
      <c r="G3817">
        <f t="shared" si="177"/>
        <v>25920</v>
      </c>
      <c r="H3817" t="s">
        <v>21</v>
      </c>
      <c r="I3817">
        <f t="shared" si="178"/>
        <v>3456</v>
      </c>
      <c r="J3817">
        <f t="shared" si="179"/>
        <v>31104</v>
      </c>
    </row>
    <row r="3818" spans="1:10" x14ac:dyDescent="0.45">
      <c r="A3818" t="s">
        <v>1987</v>
      </c>
      <c r="B3818" s="1">
        <v>45917</v>
      </c>
      <c r="C3818" t="s">
        <v>33</v>
      </c>
      <c r="D3818" t="s">
        <v>34</v>
      </c>
      <c r="E3818">
        <v>1700</v>
      </c>
      <c r="F3818">
        <v>2</v>
      </c>
      <c r="G3818">
        <f t="shared" si="177"/>
        <v>3400</v>
      </c>
      <c r="H3818" t="s">
        <v>21</v>
      </c>
      <c r="I3818">
        <f t="shared" si="178"/>
        <v>2040</v>
      </c>
      <c r="J3818">
        <f t="shared" si="179"/>
        <v>4080</v>
      </c>
    </row>
    <row r="3819" spans="1:10" x14ac:dyDescent="0.45">
      <c r="A3819" t="s">
        <v>2964</v>
      </c>
      <c r="B3819" s="1">
        <v>45917</v>
      </c>
      <c r="C3819" t="s">
        <v>4007</v>
      </c>
      <c r="D3819" t="s">
        <v>2773</v>
      </c>
      <c r="E3819">
        <v>3300</v>
      </c>
      <c r="F3819">
        <v>4</v>
      </c>
      <c r="G3819">
        <f t="shared" si="177"/>
        <v>13200</v>
      </c>
      <c r="H3819" t="s">
        <v>7</v>
      </c>
      <c r="I3819">
        <f t="shared" si="178"/>
        <v>3960</v>
      </c>
      <c r="J3819">
        <f t="shared" si="179"/>
        <v>15840</v>
      </c>
    </row>
    <row r="3820" spans="1:10" x14ac:dyDescent="0.45">
      <c r="A3820" t="s">
        <v>3016</v>
      </c>
      <c r="B3820" s="1">
        <v>45917</v>
      </c>
      <c r="C3820" t="s">
        <v>33</v>
      </c>
      <c r="D3820" t="s">
        <v>34</v>
      </c>
      <c r="E3820">
        <v>1700</v>
      </c>
      <c r="F3820">
        <v>7</v>
      </c>
      <c r="G3820">
        <f t="shared" si="177"/>
        <v>11900</v>
      </c>
      <c r="H3820" t="s">
        <v>17</v>
      </c>
      <c r="I3820">
        <f t="shared" si="178"/>
        <v>2040</v>
      </c>
      <c r="J3820">
        <f t="shared" si="179"/>
        <v>14280</v>
      </c>
    </row>
    <row r="3821" spans="1:10" x14ac:dyDescent="0.45">
      <c r="A3821" t="s">
        <v>3276</v>
      </c>
      <c r="B3821" s="1">
        <v>45917</v>
      </c>
      <c r="C3821" t="s">
        <v>4007</v>
      </c>
      <c r="D3821" t="s">
        <v>2773</v>
      </c>
      <c r="E3821">
        <v>3300</v>
      </c>
      <c r="F3821">
        <v>8</v>
      </c>
      <c r="G3821">
        <f t="shared" si="177"/>
        <v>26400</v>
      </c>
      <c r="H3821" t="s">
        <v>7</v>
      </c>
      <c r="I3821">
        <f t="shared" si="178"/>
        <v>3960</v>
      </c>
      <c r="J3821">
        <f t="shared" si="179"/>
        <v>31680</v>
      </c>
    </row>
    <row r="3822" spans="1:10" x14ac:dyDescent="0.45">
      <c r="A3822" t="s">
        <v>3404</v>
      </c>
      <c r="B3822" s="1">
        <v>45917</v>
      </c>
      <c r="C3822" t="s">
        <v>4007</v>
      </c>
      <c r="D3822" t="s">
        <v>2776</v>
      </c>
      <c r="E3822">
        <v>3600</v>
      </c>
      <c r="F3822">
        <v>8</v>
      </c>
      <c r="G3822">
        <f t="shared" si="177"/>
        <v>28800</v>
      </c>
      <c r="H3822" t="s">
        <v>17</v>
      </c>
      <c r="I3822">
        <f t="shared" si="178"/>
        <v>4320</v>
      </c>
      <c r="J3822">
        <f t="shared" si="179"/>
        <v>34560</v>
      </c>
    </row>
    <row r="3823" spans="1:10" x14ac:dyDescent="0.45">
      <c r="A3823" t="s">
        <v>1988</v>
      </c>
      <c r="B3823" s="1">
        <v>45918</v>
      </c>
      <c r="C3823" t="s">
        <v>4007</v>
      </c>
      <c r="D3823" t="s">
        <v>5015</v>
      </c>
      <c r="E3823">
        <v>48000</v>
      </c>
      <c r="F3823">
        <v>6</v>
      </c>
      <c r="G3823">
        <f t="shared" si="177"/>
        <v>288000</v>
      </c>
      <c r="H3823" t="s">
        <v>21</v>
      </c>
      <c r="I3823">
        <f t="shared" si="178"/>
        <v>57600</v>
      </c>
      <c r="J3823">
        <f t="shared" si="179"/>
        <v>345600</v>
      </c>
    </row>
    <row r="3824" spans="1:10" x14ac:dyDescent="0.45">
      <c r="A3824" t="s">
        <v>1989</v>
      </c>
      <c r="B3824" s="1">
        <v>45918</v>
      </c>
      <c r="C3824" t="s">
        <v>12</v>
      </c>
      <c r="D3824" t="s">
        <v>5021</v>
      </c>
      <c r="E3824">
        <v>2880</v>
      </c>
      <c r="F3824">
        <v>5</v>
      </c>
      <c r="G3824">
        <f t="shared" si="177"/>
        <v>14400</v>
      </c>
      <c r="H3824" t="s">
        <v>7</v>
      </c>
      <c r="I3824">
        <f t="shared" si="178"/>
        <v>3456</v>
      </c>
      <c r="J3824">
        <f t="shared" si="179"/>
        <v>17280</v>
      </c>
    </row>
    <row r="3825" spans="1:10" x14ac:dyDescent="0.45">
      <c r="A3825" t="s">
        <v>1990</v>
      </c>
      <c r="B3825" s="1">
        <v>45918</v>
      </c>
      <c r="C3825" t="s">
        <v>12</v>
      </c>
      <c r="D3825" t="s">
        <v>5021</v>
      </c>
      <c r="E3825">
        <v>2880</v>
      </c>
      <c r="F3825">
        <v>8</v>
      </c>
      <c r="G3825">
        <f t="shared" si="177"/>
        <v>23040</v>
      </c>
      <c r="H3825" t="s">
        <v>7</v>
      </c>
      <c r="I3825">
        <f t="shared" si="178"/>
        <v>3456</v>
      </c>
      <c r="J3825">
        <f t="shared" si="179"/>
        <v>27648</v>
      </c>
    </row>
    <row r="3826" spans="1:10" x14ac:dyDescent="0.45">
      <c r="A3826" t="s">
        <v>1991</v>
      </c>
      <c r="B3826" s="1">
        <v>45918</v>
      </c>
      <c r="C3826" t="s">
        <v>9</v>
      </c>
      <c r="D3826" t="s">
        <v>10</v>
      </c>
      <c r="E3826">
        <v>400</v>
      </c>
      <c r="F3826">
        <v>2</v>
      </c>
      <c r="G3826">
        <f t="shared" si="177"/>
        <v>800</v>
      </c>
      <c r="H3826" t="s">
        <v>21</v>
      </c>
      <c r="I3826">
        <f t="shared" si="178"/>
        <v>480</v>
      </c>
      <c r="J3826">
        <f t="shared" si="179"/>
        <v>960</v>
      </c>
    </row>
    <row r="3827" spans="1:10" x14ac:dyDescent="0.45">
      <c r="A3827" t="s">
        <v>1992</v>
      </c>
      <c r="B3827" s="1">
        <v>45918</v>
      </c>
      <c r="C3827" t="s">
        <v>4007</v>
      </c>
      <c r="D3827" t="s">
        <v>5015</v>
      </c>
      <c r="E3827">
        <v>48000</v>
      </c>
      <c r="F3827">
        <v>2</v>
      </c>
      <c r="G3827">
        <f t="shared" si="177"/>
        <v>96000</v>
      </c>
      <c r="H3827" t="s">
        <v>17</v>
      </c>
      <c r="I3827">
        <f t="shared" si="178"/>
        <v>57600</v>
      </c>
      <c r="J3827">
        <f t="shared" si="179"/>
        <v>115200</v>
      </c>
    </row>
    <row r="3828" spans="1:10" x14ac:dyDescent="0.45">
      <c r="A3828" t="s">
        <v>1993</v>
      </c>
      <c r="B3828" s="1">
        <v>45918</v>
      </c>
      <c r="C3828" t="s">
        <v>9</v>
      </c>
      <c r="D3828" t="s">
        <v>19</v>
      </c>
      <c r="E3828">
        <v>3000</v>
      </c>
      <c r="F3828">
        <v>10</v>
      </c>
      <c r="G3828">
        <f t="shared" si="177"/>
        <v>30000</v>
      </c>
      <c r="H3828" t="s">
        <v>21</v>
      </c>
      <c r="I3828">
        <f t="shared" si="178"/>
        <v>3600</v>
      </c>
      <c r="J3828">
        <f t="shared" si="179"/>
        <v>36000</v>
      </c>
    </row>
    <row r="3829" spans="1:10" x14ac:dyDescent="0.45">
      <c r="A3829" t="s">
        <v>1994</v>
      </c>
      <c r="B3829" s="1">
        <v>45918</v>
      </c>
      <c r="C3829" t="s">
        <v>9</v>
      </c>
      <c r="D3829" t="s">
        <v>10</v>
      </c>
      <c r="E3829">
        <v>400</v>
      </c>
      <c r="F3829">
        <v>1</v>
      </c>
      <c r="G3829">
        <f t="shared" si="177"/>
        <v>400</v>
      </c>
      <c r="H3829" t="s">
        <v>7</v>
      </c>
      <c r="I3829">
        <f t="shared" si="178"/>
        <v>480</v>
      </c>
      <c r="J3829">
        <f t="shared" si="179"/>
        <v>480</v>
      </c>
    </row>
    <row r="3830" spans="1:10" x14ac:dyDescent="0.45">
      <c r="A3830" t="s">
        <v>1995</v>
      </c>
      <c r="B3830" s="1">
        <v>45918</v>
      </c>
      <c r="C3830" t="s">
        <v>12</v>
      </c>
      <c r="D3830" t="s">
        <v>5021</v>
      </c>
      <c r="E3830">
        <v>2880</v>
      </c>
      <c r="F3830">
        <v>5</v>
      </c>
      <c r="G3830">
        <f t="shared" si="177"/>
        <v>14400</v>
      </c>
      <c r="H3830" t="s">
        <v>7</v>
      </c>
      <c r="I3830">
        <f t="shared" si="178"/>
        <v>3456</v>
      </c>
      <c r="J3830">
        <f t="shared" si="179"/>
        <v>17280</v>
      </c>
    </row>
    <row r="3831" spans="1:10" x14ac:dyDescent="0.45">
      <c r="A3831" t="s">
        <v>1996</v>
      </c>
      <c r="B3831" s="1">
        <v>45918</v>
      </c>
      <c r="C3831" t="s">
        <v>4007</v>
      </c>
      <c r="D3831" t="s">
        <v>4005</v>
      </c>
      <c r="E3831">
        <v>60000</v>
      </c>
      <c r="F3831">
        <v>2</v>
      </c>
      <c r="G3831">
        <f t="shared" si="177"/>
        <v>120000</v>
      </c>
      <c r="H3831" t="s">
        <v>21</v>
      </c>
      <c r="I3831">
        <f t="shared" si="178"/>
        <v>72000</v>
      </c>
      <c r="J3831">
        <f t="shared" si="179"/>
        <v>144000</v>
      </c>
    </row>
    <row r="3832" spans="1:10" x14ac:dyDescent="0.45">
      <c r="A3832" t="s">
        <v>2944</v>
      </c>
      <c r="B3832" s="1">
        <v>45918</v>
      </c>
      <c r="C3832" t="s">
        <v>4007</v>
      </c>
      <c r="D3832" t="s">
        <v>28</v>
      </c>
      <c r="E3832">
        <v>500</v>
      </c>
      <c r="F3832">
        <v>5</v>
      </c>
      <c r="G3832">
        <f t="shared" si="177"/>
        <v>2500</v>
      </c>
      <c r="H3832" t="s">
        <v>21</v>
      </c>
      <c r="I3832">
        <f t="shared" si="178"/>
        <v>600</v>
      </c>
      <c r="J3832">
        <f t="shared" si="179"/>
        <v>3000</v>
      </c>
    </row>
    <row r="3833" spans="1:10" x14ac:dyDescent="0.45">
      <c r="A3833" t="s">
        <v>3467</v>
      </c>
      <c r="B3833" s="1">
        <v>45918</v>
      </c>
      <c r="C3833" t="s">
        <v>33</v>
      </c>
      <c r="D3833" t="s">
        <v>14</v>
      </c>
      <c r="E3833">
        <v>800</v>
      </c>
      <c r="F3833">
        <v>7</v>
      </c>
      <c r="G3833">
        <f t="shared" si="177"/>
        <v>5600</v>
      </c>
      <c r="H3833" t="s">
        <v>17</v>
      </c>
      <c r="I3833">
        <f t="shared" si="178"/>
        <v>960</v>
      </c>
      <c r="J3833">
        <f t="shared" si="179"/>
        <v>6720</v>
      </c>
    </row>
    <row r="3834" spans="1:10" x14ac:dyDescent="0.45">
      <c r="A3834" t="s">
        <v>3525</v>
      </c>
      <c r="B3834" s="1">
        <v>45918</v>
      </c>
      <c r="C3834" t="s">
        <v>2772</v>
      </c>
      <c r="D3834" t="s">
        <v>2775</v>
      </c>
      <c r="E3834">
        <v>9100</v>
      </c>
      <c r="F3834">
        <v>3</v>
      </c>
      <c r="G3834">
        <f t="shared" si="177"/>
        <v>27300</v>
      </c>
      <c r="H3834" t="s">
        <v>17</v>
      </c>
      <c r="I3834">
        <f t="shared" si="178"/>
        <v>10920</v>
      </c>
      <c r="J3834">
        <f t="shared" si="179"/>
        <v>32760</v>
      </c>
    </row>
    <row r="3835" spans="1:10" x14ac:dyDescent="0.45">
      <c r="A3835" t="s">
        <v>3641</v>
      </c>
      <c r="B3835" s="1">
        <v>45918</v>
      </c>
      <c r="C3835" t="s">
        <v>33</v>
      </c>
      <c r="D3835" t="s">
        <v>34</v>
      </c>
      <c r="E3835">
        <v>1700</v>
      </c>
      <c r="F3835">
        <v>6</v>
      </c>
      <c r="G3835">
        <f t="shared" si="177"/>
        <v>10200</v>
      </c>
      <c r="H3835" t="s">
        <v>17</v>
      </c>
      <c r="I3835">
        <f t="shared" si="178"/>
        <v>2040</v>
      </c>
      <c r="J3835">
        <f t="shared" si="179"/>
        <v>12240</v>
      </c>
    </row>
    <row r="3836" spans="1:10" x14ac:dyDescent="0.45">
      <c r="A3836" t="s">
        <v>1997</v>
      </c>
      <c r="B3836" s="1">
        <v>45919</v>
      </c>
      <c r="C3836" t="s">
        <v>12</v>
      </c>
      <c r="D3836" t="s">
        <v>5022</v>
      </c>
      <c r="E3836">
        <v>2880</v>
      </c>
      <c r="F3836">
        <v>4</v>
      </c>
      <c r="G3836">
        <f t="shared" si="177"/>
        <v>11520</v>
      </c>
      <c r="H3836" t="s">
        <v>21</v>
      </c>
      <c r="I3836">
        <f t="shared" si="178"/>
        <v>3456</v>
      </c>
      <c r="J3836">
        <f t="shared" si="179"/>
        <v>13824</v>
      </c>
    </row>
    <row r="3837" spans="1:10" x14ac:dyDescent="0.45">
      <c r="A3837" t="s">
        <v>1998</v>
      </c>
      <c r="B3837" s="1">
        <v>45919</v>
      </c>
      <c r="C3837" t="s">
        <v>4007</v>
      </c>
      <c r="D3837" t="s">
        <v>4005</v>
      </c>
      <c r="E3837">
        <v>60000</v>
      </c>
      <c r="F3837">
        <v>10</v>
      </c>
      <c r="G3837">
        <f t="shared" si="177"/>
        <v>600000</v>
      </c>
      <c r="H3837" t="s">
        <v>7</v>
      </c>
      <c r="I3837">
        <f t="shared" si="178"/>
        <v>72000</v>
      </c>
      <c r="J3837">
        <f t="shared" si="179"/>
        <v>720000</v>
      </c>
    </row>
    <row r="3838" spans="1:10" x14ac:dyDescent="0.45">
      <c r="A3838" t="s">
        <v>1999</v>
      </c>
      <c r="B3838" s="1">
        <v>45919</v>
      </c>
      <c r="C3838" t="s">
        <v>33</v>
      </c>
      <c r="D3838" t="s">
        <v>42</v>
      </c>
      <c r="E3838">
        <v>6900</v>
      </c>
      <c r="F3838">
        <v>6</v>
      </c>
      <c r="G3838">
        <f t="shared" si="177"/>
        <v>41400</v>
      </c>
      <c r="H3838" t="s">
        <v>7</v>
      </c>
      <c r="I3838">
        <f t="shared" si="178"/>
        <v>8280</v>
      </c>
      <c r="J3838">
        <f t="shared" si="179"/>
        <v>49680</v>
      </c>
    </row>
    <row r="3839" spans="1:10" x14ac:dyDescent="0.45">
      <c r="A3839" t="s">
        <v>2000</v>
      </c>
      <c r="B3839" s="1">
        <v>45919</v>
      </c>
      <c r="C3839" t="s">
        <v>4007</v>
      </c>
      <c r="D3839" t="s">
        <v>39</v>
      </c>
      <c r="E3839">
        <v>6000</v>
      </c>
      <c r="F3839">
        <v>1</v>
      </c>
      <c r="G3839">
        <f t="shared" si="177"/>
        <v>6000</v>
      </c>
      <c r="H3839" t="s">
        <v>21</v>
      </c>
      <c r="I3839">
        <f t="shared" si="178"/>
        <v>7200</v>
      </c>
      <c r="J3839">
        <f t="shared" si="179"/>
        <v>7200</v>
      </c>
    </row>
    <row r="3840" spans="1:10" x14ac:dyDescent="0.45">
      <c r="A3840" t="s">
        <v>2001</v>
      </c>
      <c r="B3840" s="1">
        <v>45919</v>
      </c>
      <c r="C3840" t="s">
        <v>33</v>
      </c>
      <c r="D3840" t="s">
        <v>34</v>
      </c>
      <c r="E3840">
        <v>1700</v>
      </c>
      <c r="F3840">
        <v>3</v>
      </c>
      <c r="G3840">
        <f t="shared" si="177"/>
        <v>5100</v>
      </c>
      <c r="H3840" t="s">
        <v>21</v>
      </c>
      <c r="I3840">
        <f t="shared" si="178"/>
        <v>2040</v>
      </c>
      <c r="J3840">
        <f t="shared" si="179"/>
        <v>6120</v>
      </c>
    </row>
    <row r="3841" spans="1:10" x14ac:dyDescent="0.45">
      <c r="A3841" t="s">
        <v>2002</v>
      </c>
      <c r="B3841" s="1">
        <v>45919</v>
      </c>
      <c r="C3841" t="s">
        <v>12</v>
      </c>
      <c r="D3841" t="s">
        <v>5020</v>
      </c>
      <c r="E3841">
        <v>2880</v>
      </c>
      <c r="F3841">
        <v>2</v>
      </c>
      <c r="G3841">
        <f t="shared" si="177"/>
        <v>5760</v>
      </c>
      <c r="H3841" t="s">
        <v>7</v>
      </c>
      <c r="I3841">
        <f t="shared" si="178"/>
        <v>3456</v>
      </c>
      <c r="J3841">
        <f t="shared" si="179"/>
        <v>6912</v>
      </c>
    </row>
    <row r="3842" spans="1:10" x14ac:dyDescent="0.45">
      <c r="A3842" t="s">
        <v>2003</v>
      </c>
      <c r="B3842" s="1">
        <v>45919</v>
      </c>
      <c r="C3842" t="s">
        <v>12</v>
      </c>
      <c r="D3842" t="s">
        <v>5020</v>
      </c>
      <c r="E3842">
        <v>2880</v>
      </c>
      <c r="F3842">
        <v>9</v>
      </c>
      <c r="G3842">
        <f t="shared" ref="G3842:G3905" si="180">E3842*F3842</f>
        <v>25920</v>
      </c>
      <c r="H3842" t="s">
        <v>7</v>
      </c>
      <c r="I3842">
        <f t="shared" ref="I3842:I3905" si="181">E3842*1.2</f>
        <v>3456</v>
      </c>
      <c r="J3842">
        <f t="shared" ref="J3842:J3905" si="182">I3842*F3842</f>
        <v>31104</v>
      </c>
    </row>
    <row r="3843" spans="1:10" x14ac:dyDescent="0.45">
      <c r="A3843" t="s">
        <v>2946</v>
      </c>
      <c r="B3843" s="1">
        <v>45919</v>
      </c>
      <c r="C3843" t="s">
        <v>2772</v>
      </c>
      <c r="D3843" t="s">
        <v>2771</v>
      </c>
      <c r="E3843">
        <v>120</v>
      </c>
      <c r="F3843">
        <v>2</v>
      </c>
      <c r="G3843">
        <f t="shared" si="180"/>
        <v>240</v>
      </c>
      <c r="H3843" t="s">
        <v>21</v>
      </c>
      <c r="I3843">
        <f t="shared" si="181"/>
        <v>144</v>
      </c>
      <c r="J3843">
        <f t="shared" si="182"/>
        <v>288</v>
      </c>
    </row>
    <row r="3844" spans="1:10" x14ac:dyDescent="0.45">
      <c r="A3844" t="s">
        <v>2960</v>
      </c>
      <c r="B3844" s="1">
        <v>45919</v>
      </c>
      <c r="C3844" t="s">
        <v>4007</v>
      </c>
      <c r="D3844" t="s">
        <v>2774</v>
      </c>
      <c r="E3844">
        <v>1900</v>
      </c>
      <c r="F3844">
        <v>1</v>
      </c>
      <c r="G3844">
        <f t="shared" si="180"/>
        <v>1900</v>
      </c>
      <c r="H3844" t="s">
        <v>17</v>
      </c>
      <c r="I3844">
        <f t="shared" si="181"/>
        <v>2280</v>
      </c>
      <c r="J3844">
        <f t="shared" si="182"/>
        <v>2280</v>
      </c>
    </row>
    <row r="3845" spans="1:10" x14ac:dyDescent="0.45">
      <c r="A3845" t="s">
        <v>3003</v>
      </c>
      <c r="B3845" s="1">
        <v>45919</v>
      </c>
      <c r="C3845" t="s">
        <v>4007</v>
      </c>
      <c r="D3845" t="s">
        <v>2776</v>
      </c>
      <c r="E3845">
        <v>3600</v>
      </c>
      <c r="F3845">
        <v>7</v>
      </c>
      <c r="G3845">
        <f t="shared" si="180"/>
        <v>25200</v>
      </c>
      <c r="H3845" t="s">
        <v>17</v>
      </c>
      <c r="I3845">
        <f t="shared" si="181"/>
        <v>4320</v>
      </c>
      <c r="J3845">
        <f t="shared" si="182"/>
        <v>30240</v>
      </c>
    </row>
    <row r="3846" spans="1:10" x14ac:dyDescent="0.45">
      <c r="A3846" t="s">
        <v>3181</v>
      </c>
      <c r="B3846" s="1">
        <v>45919</v>
      </c>
      <c r="C3846" t="s">
        <v>4007</v>
      </c>
      <c r="D3846" t="s">
        <v>28</v>
      </c>
      <c r="E3846">
        <v>500</v>
      </c>
      <c r="F3846">
        <v>3</v>
      </c>
      <c r="G3846">
        <f t="shared" si="180"/>
        <v>1500</v>
      </c>
      <c r="H3846" t="s">
        <v>17</v>
      </c>
      <c r="I3846">
        <f t="shared" si="181"/>
        <v>600</v>
      </c>
      <c r="J3846">
        <f t="shared" si="182"/>
        <v>1800</v>
      </c>
    </row>
    <row r="3847" spans="1:10" x14ac:dyDescent="0.45">
      <c r="A3847" t="s">
        <v>3400</v>
      </c>
      <c r="B3847" s="1">
        <v>45919</v>
      </c>
      <c r="C3847" t="s">
        <v>33</v>
      </c>
      <c r="D3847" t="s">
        <v>14</v>
      </c>
      <c r="E3847">
        <v>800</v>
      </c>
      <c r="F3847">
        <v>2</v>
      </c>
      <c r="G3847">
        <f t="shared" si="180"/>
        <v>1600</v>
      </c>
      <c r="H3847" t="s">
        <v>17</v>
      </c>
      <c r="I3847">
        <f t="shared" si="181"/>
        <v>960</v>
      </c>
      <c r="J3847">
        <f t="shared" si="182"/>
        <v>1920</v>
      </c>
    </row>
    <row r="3848" spans="1:10" x14ac:dyDescent="0.45">
      <c r="A3848" t="s">
        <v>3965</v>
      </c>
      <c r="B3848" s="1">
        <v>45919</v>
      </c>
      <c r="C3848" t="s">
        <v>33</v>
      </c>
      <c r="D3848" t="s">
        <v>14</v>
      </c>
      <c r="E3848">
        <v>800</v>
      </c>
      <c r="F3848">
        <v>6</v>
      </c>
      <c r="G3848">
        <f t="shared" si="180"/>
        <v>4800</v>
      </c>
      <c r="H3848" t="s">
        <v>21</v>
      </c>
      <c r="I3848">
        <f t="shared" si="181"/>
        <v>960</v>
      </c>
      <c r="J3848">
        <f t="shared" si="182"/>
        <v>5760</v>
      </c>
    </row>
    <row r="3849" spans="1:10" x14ac:dyDescent="0.45">
      <c r="A3849" t="s">
        <v>2004</v>
      </c>
      <c r="B3849" s="1">
        <v>45920</v>
      </c>
      <c r="C3849" t="s">
        <v>4007</v>
      </c>
      <c r="D3849" t="s">
        <v>5015</v>
      </c>
      <c r="E3849">
        <v>48000</v>
      </c>
      <c r="F3849">
        <v>9</v>
      </c>
      <c r="G3849">
        <f t="shared" si="180"/>
        <v>432000</v>
      </c>
      <c r="H3849" t="s">
        <v>21</v>
      </c>
      <c r="I3849">
        <f t="shared" si="181"/>
        <v>57600</v>
      </c>
      <c r="J3849">
        <f t="shared" si="182"/>
        <v>518400</v>
      </c>
    </row>
    <row r="3850" spans="1:10" x14ac:dyDescent="0.45">
      <c r="A3850" t="s">
        <v>2005</v>
      </c>
      <c r="B3850" s="1">
        <v>45920</v>
      </c>
      <c r="C3850" t="s">
        <v>4007</v>
      </c>
      <c r="D3850" t="s">
        <v>28</v>
      </c>
      <c r="E3850">
        <v>500</v>
      </c>
      <c r="F3850">
        <v>5</v>
      </c>
      <c r="G3850">
        <f t="shared" si="180"/>
        <v>2500</v>
      </c>
      <c r="H3850" t="s">
        <v>17</v>
      </c>
      <c r="I3850">
        <f t="shared" si="181"/>
        <v>600</v>
      </c>
      <c r="J3850">
        <f t="shared" si="182"/>
        <v>3000</v>
      </c>
    </row>
    <row r="3851" spans="1:10" x14ac:dyDescent="0.45">
      <c r="A3851" t="s">
        <v>2006</v>
      </c>
      <c r="B3851" s="1">
        <v>45920</v>
      </c>
      <c r="C3851" t="s">
        <v>12</v>
      </c>
      <c r="D3851" t="s">
        <v>5020</v>
      </c>
      <c r="E3851">
        <v>2880</v>
      </c>
      <c r="F3851">
        <v>4</v>
      </c>
      <c r="G3851">
        <f t="shared" si="180"/>
        <v>11520</v>
      </c>
      <c r="H3851" t="s">
        <v>7</v>
      </c>
      <c r="I3851">
        <f t="shared" si="181"/>
        <v>3456</v>
      </c>
      <c r="J3851">
        <f t="shared" si="182"/>
        <v>13824</v>
      </c>
    </row>
    <row r="3852" spans="1:10" x14ac:dyDescent="0.45">
      <c r="A3852" t="s">
        <v>2007</v>
      </c>
      <c r="B3852" s="1">
        <v>45920</v>
      </c>
      <c r="C3852" t="s">
        <v>12</v>
      </c>
      <c r="D3852" t="s">
        <v>5020</v>
      </c>
      <c r="E3852">
        <v>2880</v>
      </c>
      <c r="F3852">
        <v>3</v>
      </c>
      <c r="G3852">
        <f t="shared" si="180"/>
        <v>8640</v>
      </c>
      <c r="H3852" t="s">
        <v>17</v>
      </c>
      <c r="I3852">
        <f t="shared" si="181"/>
        <v>3456</v>
      </c>
      <c r="J3852">
        <f t="shared" si="182"/>
        <v>10368</v>
      </c>
    </row>
    <row r="3853" spans="1:10" x14ac:dyDescent="0.45">
      <c r="A3853" t="s">
        <v>2008</v>
      </c>
      <c r="B3853" s="1">
        <v>45920</v>
      </c>
      <c r="C3853" t="s">
        <v>4007</v>
      </c>
      <c r="D3853" t="s">
        <v>39</v>
      </c>
      <c r="E3853">
        <v>6000</v>
      </c>
      <c r="F3853">
        <v>4</v>
      </c>
      <c r="G3853">
        <f t="shared" si="180"/>
        <v>24000</v>
      </c>
      <c r="H3853" t="s">
        <v>7</v>
      </c>
      <c r="I3853">
        <f t="shared" si="181"/>
        <v>7200</v>
      </c>
      <c r="J3853">
        <f t="shared" si="182"/>
        <v>28800</v>
      </c>
    </row>
    <row r="3854" spans="1:10" x14ac:dyDescent="0.45">
      <c r="A3854" t="s">
        <v>2009</v>
      </c>
      <c r="B3854" s="1">
        <v>45920</v>
      </c>
      <c r="C3854" t="s">
        <v>4007</v>
      </c>
      <c r="D3854" t="s">
        <v>5015</v>
      </c>
      <c r="E3854">
        <v>48000</v>
      </c>
      <c r="F3854">
        <v>4</v>
      </c>
      <c r="G3854">
        <f t="shared" si="180"/>
        <v>192000</v>
      </c>
      <c r="H3854" t="s">
        <v>21</v>
      </c>
      <c r="I3854">
        <f t="shared" si="181"/>
        <v>57600</v>
      </c>
      <c r="J3854">
        <f t="shared" si="182"/>
        <v>230400</v>
      </c>
    </row>
    <row r="3855" spans="1:10" x14ac:dyDescent="0.45">
      <c r="A3855" t="s">
        <v>3070</v>
      </c>
      <c r="B3855" s="1">
        <v>45920</v>
      </c>
      <c r="C3855" t="s">
        <v>33</v>
      </c>
      <c r="D3855" t="s">
        <v>14</v>
      </c>
      <c r="E3855">
        <v>800</v>
      </c>
      <c r="F3855">
        <v>8</v>
      </c>
      <c r="G3855">
        <f t="shared" si="180"/>
        <v>6400</v>
      </c>
      <c r="H3855" t="s">
        <v>21</v>
      </c>
      <c r="I3855">
        <f t="shared" si="181"/>
        <v>960</v>
      </c>
      <c r="J3855">
        <f t="shared" si="182"/>
        <v>7680</v>
      </c>
    </row>
    <row r="3856" spans="1:10" x14ac:dyDescent="0.45">
      <c r="A3856" t="s">
        <v>3124</v>
      </c>
      <c r="B3856" s="1">
        <v>45920</v>
      </c>
      <c r="C3856" t="s">
        <v>4007</v>
      </c>
      <c r="D3856" t="s">
        <v>2776</v>
      </c>
      <c r="E3856">
        <v>3600</v>
      </c>
      <c r="F3856">
        <v>6</v>
      </c>
      <c r="G3856">
        <f t="shared" si="180"/>
        <v>21600</v>
      </c>
      <c r="H3856" t="s">
        <v>7</v>
      </c>
      <c r="I3856">
        <f t="shared" si="181"/>
        <v>4320</v>
      </c>
      <c r="J3856">
        <f t="shared" si="182"/>
        <v>25920</v>
      </c>
    </row>
    <row r="3857" spans="1:10" x14ac:dyDescent="0.45">
      <c r="A3857" t="s">
        <v>3345</v>
      </c>
      <c r="B3857" s="1">
        <v>45920</v>
      </c>
      <c r="C3857" t="s">
        <v>2772</v>
      </c>
      <c r="D3857" t="s">
        <v>2771</v>
      </c>
      <c r="E3857">
        <v>120</v>
      </c>
      <c r="F3857">
        <v>2</v>
      </c>
      <c r="G3857">
        <f t="shared" si="180"/>
        <v>240</v>
      </c>
      <c r="H3857" t="s">
        <v>17</v>
      </c>
      <c r="I3857">
        <f t="shared" si="181"/>
        <v>144</v>
      </c>
      <c r="J3857">
        <f t="shared" si="182"/>
        <v>288</v>
      </c>
    </row>
    <row r="3858" spans="1:10" x14ac:dyDescent="0.45">
      <c r="A3858" t="s">
        <v>3818</v>
      </c>
      <c r="B3858" s="1">
        <v>45920</v>
      </c>
      <c r="C3858" t="s">
        <v>33</v>
      </c>
      <c r="D3858" t="s">
        <v>34</v>
      </c>
      <c r="E3858">
        <v>1700</v>
      </c>
      <c r="F3858">
        <v>10</v>
      </c>
      <c r="G3858">
        <f t="shared" si="180"/>
        <v>17000</v>
      </c>
      <c r="H3858" t="s">
        <v>21</v>
      </c>
      <c r="I3858">
        <f t="shared" si="181"/>
        <v>2040</v>
      </c>
      <c r="J3858">
        <f t="shared" si="182"/>
        <v>20400</v>
      </c>
    </row>
    <row r="3859" spans="1:10" x14ac:dyDescent="0.45">
      <c r="A3859" t="s">
        <v>3883</v>
      </c>
      <c r="B3859" s="1">
        <v>45920</v>
      </c>
      <c r="C3859" t="s">
        <v>4007</v>
      </c>
      <c r="D3859" t="s">
        <v>5015</v>
      </c>
      <c r="E3859">
        <v>48000</v>
      </c>
      <c r="F3859">
        <v>10</v>
      </c>
      <c r="G3859">
        <f t="shared" si="180"/>
        <v>480000</v>
      </c>
      <c r="H3859" t="s">
        <v>21</v>
      </c>
      <c r="I3859">
        <f t="shared" si="181"/>
        <v>57600</v>
      </c>
      <c r="J3859">
        <f t="shared" si="182"/>
        <v>576000</v>
      </c>
    </row>
    <row r="3860" spans="1:10" x14ac:dyDescent="0.45">
      <c r="A3860" t="s">
        <v>2010</v>
      </c>
      <c r="B3860" s="1">
        <v>45921</v>
      </c>
      <c r="C3860" t="s">
        <v>33</v>
      </c>
      <c r="D3860" t="s">
        <v>16</v>
      </c>
      <c r="E3860">
        <v>1200</v>
      </c>
      <c r="F3860">
        <v>2</v>
      </c>
      <c r="G3860">
        <f t="shared" si="180"/>
        <v>2400</v>
      </c>
      <c r="H3860" t="s">
        <v>7</v>
      </c>
      <c r="I3860">
        <f t="shared" si="181"/>
        <v>1440</v>
      </c>
      <c r="J3860">
        <f t="shared" si="182"/>
        <v>2880</v>
      </c>
    </row>
    <row r="3861" spans="1:10" x14ac:dyDescent="0.45">
      <c r="A3861" t="s">
        <v>2011</v>
      </c>
      <c r="B3861" s="1">
        <v>45921</v>
      </c>
      <c r="C3861" t="s">
        <v>4007</v>
      </c>
      <c r="D3861" t="s">
        <v>39</v>
      </c>
      <c r="E3861">
        <v>6000</v>
      </c>
      <c r="F3861">
        <v>3</v>
      </c>
      <c r="G3861">
        <f t="shared" si="180"/>
        <v>18000</v>
      </c>
      <c r="H3861" t="s">
        <v>17</v>
      </c>
      <c r="I3861">
        <f t="shared" si="181"/>
        <v>7200</v>
      </c>
      <c r="J3861">
        <f t="shared" si="182"/>
        <v>21600</v>
      </c>
    </row>
    <row r="3862" spans="1:10" x14ac:dyDescent="0.45">
      <c r="A3862" t="s">
        <v>2012</v>
      </c>
      <c r="B3862" s="1">
        <v>45921</v>
      </c>
      <c r="C3862" t="s">
        <v>33</v>
      </c>
      <c r="D3862" t="s">
        <v>42</v>
      </c>
      <c r="E3862">
        <v>6900</v>
      </c>
      <c r="F3862">
        <v>4</v>
      </c>
      <c r="G3862">
        <f t="shared" si="180"/>
        <v>27600</v>
      </c>
      <c r="H3862" t="s">
        <v>21</v>
      </c>
      <c r="I3862">
        <f t="shared" si="181"/>
        <v>8280</v>
      </c>
      <c r="J3862">
        <f t="shared" si="182"/>
        <v>33120</v>
      </c>
    </row>
    <row r="3863" spans="1:10" x14ac:dyDescent="0.45">
      <c r="A3863" t="s">
        <v>2013</v>
      </c>
      <c r="B3863" s="1">
        <v>45921</v>
      </c>
      <c r="C3863" t="s">
        <v>33</v>
      </c>
      <c r="D3863" t="s">
        <v>14</v>
      </c>
      <c r="E3863">
        <v>800</v>
      </c>
      <c r="F3863">
        <v>2</v>
      </c>
      <c r="G3863">
        <f t="shared" si="180"/>
        <v>1600</v>
      </c>
      <c r="H3863" t="s">
        <v>7</v>
      </c>
      <c r="I3863">
        <f t="shared" si="181"/>
        <v>960</v>
      </c>
      <c r="J3863">
        <f t="shared" si="182"/>
        <v>1920</v>
      </c>
    </row>
    <row r="3864" spans="1:10" x14ac:dyDescent="0.45">
      <c r="A3864" t="s">
        <v>2014</v>
      </c>
      <c r="B3864" s="1">
        <v>45921</v>
      </c>
      <c r="C3864" t="s">
        <v>33</v>
      </c>
      <c r="D3864" t="s">
        <v>34</v>
      </c>
      <c r="E3864">
        <v>1700</v>
      </c>
      <c r="F3864">
        <v>10</v>
      </c>
      <c r="G3864">
        <f t="shared" si="180"/>
        <v>17000</v>
      </c>
      <c r="H3864" t="s">
        <v>7</v>
      </c>
      <c r="I3864">
        <f t="shared" si="181"/>
        <v>2040</v>
      </c>
      <c r="J3864">
        <f t="shared" si="182"/>
        <v>20400</v>
      </c>
    </row>
    <row r="3865" spans="1:10" x14ac:dyDescent="0.45">
      <c r="A3865" t="s">
        <v>3526</v>
      </c>
      <c r="B3865" s="1">
        <v>45921</v>
      </c>
      <c r="C3865" t="s">
        <v>4007</v>
      </c>
      <c r="D3865" t="s">
        <v>2774</v>
      </c>
      <c r="E3865">
        <v>1900</v>
      </c>
      <c r="F3865">
        <v>10</v>
      </c>
      <c r="G3865">
        <f t="shared" si="180"/>
        <v>19000</v>
      </c>
      <c r="H3865" t="s">
        <v>17</v>
      </c>
      <c r="I3865">
        <f t="shared" si="181"/>
        <v>2280</v>
      </c>
      <c r="J3865">
        <f t="shared" si="182"/>
        <v>22800</v>
      </c>
    </row>
    <row r="3866" spans="1:10" x14ac:dyDescent="0.45">
      <c r="A3866" t="s">
        <v>3635</v>
      </c>
      <c r="B3866" s="1">
        <v>45921</v>
      </c>
      <c r="C3866" t="s">
        <v>33</v>
      </c>
      <c r="D3866" t="s">
        <v>34</v>
      </c>
      <c r="E3866">
        <v>1700</v>
      </c>
      <c r="F3866">
        <v>2</v>
      </c>
      <c r="G3866">
        <f t="shared" si="180"/>
        <v>3400</v>
      </c>
      <c r="H3866" t="s">
        <v>7</v>
      </c>
      <c r="I3866">
        <f t="shared" si="181"/>
        <v>2040</v>
      </c>
      <c r="J3866">
        <f t="shared" si="182"/>
        <v>4080</v>
      </c>
    </row>
    <row r="3867" spans="1:10" x14ac:dyDescent="0.45">
      <c r="A3867" t="s">
        <v>3766</v>
      </c>
      <c r="B3867" s="1">
        <v>45921</v>
      </c>
      <c r="C3867" t="s">
        <v>4007</v>
      </c>
      <c r="D3867" t="s">
        <v>2776</v>
      </c>
      <c r="E3867">
        <v>3600</v>
      </c>
      <c r="F3867">
        <v>9</v>
      </c>
      <c r="G3867">
        <f t="shared" si="180"/>
        <v>32400</v>
      </c>
      <c r="H3867" t="s">
        <v>17</v>
      </c>
      <c r="I3867">
        <f t="shared" si="181"/>
        <v>4320</v>
      </c>
      <c r="J3867">
        <f t="shared" si="182"/>
        <v>38880</v>
      </c>
    </row>
    <row r="3868" spans="1:10" x14ac:dyDescent="0.45">
      <c r="A3868" t="s">
        <v>3828</v>
      </c>
      <c r="B3868" s="1">
        <v>45921</v>
      </c>
      <c r="C3868" t="s">
        <v>33</v>
      </c>
      <c r="D3868" t="s">
        <v>34</v>
      </c>
      <c r="E3868">
        <v>1700</v>
      </c>
      <c r="F3868">
        <v>3</v>
      </c>
      <c r="G3868">
        <f t="shared" si="180"/>
        <v>5100</v>
      </c>
      <c r="H3868" t="s">
        <v>7</v>
      </c>
      <c r="I3868">
        <f t="shared" si="181"/>
        <v>2040</v>
      </c>
      <c r="J3868">
        <f t="shared" si="182"/>
        <v>6120</v>
      </c>
    </row>
    <row r="3869" spans="1:10" x14ac:dyDescent="0.45">
      <c r="A3869" t="s">
        <v>2015</v>
      </c>
      <c r="B3869" s="1">
        <v>45922</v>
      </c>
      <c r="C3869" t="s">
        <v>9</v>
      </c>
      <c r="D3869" t="s">
        <v>25</v>
      </c>
      <c r="E3869">
        <v>5200</v>
      </c>
      <c r="F3869">
        <v>2</v>
      </c>
      <c r="G3869">
        <f t="shared" si="180"/>
        <v>10400</v>
      </c>
      <c r="H3869" t="s">
        <v>21</v>
      </c>
      <c r="I3869">
        <f t="shared" si="181"/>
        <v>6240</v>
      </c>
      <c r="J3869">
        <f t="shared" si="182"/>
        <v>12480</v>
      </c>
    </row>
    <row r="3870" spans="1:10" x14ac:dyDescent="0.45">
      <c r="A3870" t="s">
        <v>2016</v>
      </c>
      <c r="B3870" s="1">
        <v>45922</v>
      </c>
      <c r="C3870" t="s">
        <v>33</v>
      </c>
      <c r="D3870" t="s">
        <v>14</v>
      </c>
      <c r="E3870">
        <v>800</v>
      </c>
      <c r="F3870">
        <v>1</v>
      </c>
      <c r="G3870">
        <f t="shared" si="180"/>
        <v>800</v>
      </c>
      <c r="H3870" t="s">
        <v>17</v>
      </c>
      <c r="I3870">
        <f t="shared" si="181"/>
        <v>960</v>
      </c>
      <c r="J3870">
        <f t="shared" si="182"/>
        <v>960</v>
      </c>
    </row>
    <row r="3871" spans="1:10" x14ac:dyDescent="0.45">
      <c r="A3871" t="s">
        <v>2017</v>
      </c>
      <c r="B3871" s="1">
        <v>45922</v>
      </c>
      <c r="C3871" t="s">
        <v>4007</v>
      </c>
      <c r="D3871" t="s">
        <v>28</v>
      </c>
      <c r="E3871">
        <v>500</v>
      </c>
      <c r="F3871">
        <v>1</v>
      </c>
      <c r="G3871">
        <f t="shared" si="180"/>
        <v>500</v>
      </c>
      <c r="H3871" t="s">
        <v>21</v>
      </c>
      <c r="I3871">
        <f t="shared" si="181"/>
        <v>600</v>
      </c>
      <c r="J3871">
        <f t="shared" si="182"/>
        <v>600</v>
      </c>
    </row>
    <row r="3872" spans="1:10" x14ac:dyDescent="0.45">
      <c r="A3872" t="s">
        <v>2018</v>
      </c>
      <c r="B3872" s="1">
        <v>45922</v>
      </c>
      <c r="C3872" t="s">
        <v>4007</v>
      </c>
      <c r="D3872" t="s">
        <v>39</v>
      </c>
      <c r="E3872">
        <v>6000</v>
      </c>
      <c r="F3872">
        <v>3</v>
      </c>
      <c r="G3872">
        <f t="shared" si="180"/>
        <v>18000</v>
      </c>
      <c r="H3872" t="s">
        <v>17</v>
      </c>
      <c r="I3872">
        <f t="shared" si="181"/>
        <v>7200</v>
      </c>
      <c r="J3872">
        <f t="shared" si="182"/>
        <v>21600</v>
      </c>
    </row>
    <row r="3873" spans="1:10" x14ac:dyDescent="0.45">
      <c r="A3873" t="s">
        <v>2019</v>
      </c>
      <c r="B3873" s="1">
        <v>45922</v>
      </c>
      <c r="C3873" t="s">
        <v>33</v>
      </c>
      <c r="D3873" t="s">
        <v>14</v>
      </c>
      <c r="E3873">
        <v>800</v>
      </c>
      <c r="F3873">
        <v>10</v>
      </c>
      <c r="G3873">
        <f t="shared" si="180"/>
        <v>8000</v>
      </c>
      <c r="H3873" t="s">
        <v>17</v>
      </c>
      <c r="I3873">
        <f t="shared" si="181"/>
        <v>960</v>
      </c>
      <c r="J3873">
        <f t="shared" si="182"/>
        <v>9600</v>
      </c>
    </row>
    <row r="3874" spans="1:10" x14ac:dyDescent="0.45">
      <c r="A3874" t="s">
        <v>2020</v>
      </c>
      <c r="B3874" s="1">
        <v>45922</v>
      </c>
      <c r="C3874" t="s">
        <v>33</v>
      </c>
      <c r="D3874" t="s">
        <v>16</v>
      </c>
      <c r="E3874">
        <v>1200</v>
      </c>
      <c r="F3874">
        <v>2</v>
      </c>
      <c r="G3874">
        <f t="shared" si="180"/>
        <v>2400</v>
      </c>
      <c r="H3874" t="s">
        <v>7</v>
      </c>
      <c r="I3874">
        <f t="shared" si="181"/>
        <v>1440</v>
      </c>
      <c r="J3874">
        <f t="shared" si="182"/>
        <v>2880</v>
      </c>
    </row>
    <row r="3875" spans="1:10" x14ac:dyDescent="0.45">
      <c r="A3875" t="s">
        <v>2021</v>
      </c>
      <c r="B3875" s="1">
        <v>45922</v>
      </c>
      <c r="C3875" t="s">
        <v>12</v>
      </c>
      <c r="D3875" t="s">
        <v>5023</v>
      </c>
      <c r="E3875">
        <v>1750</v>
      </c>
      <c r="F3875">
        <v>3</v>
      </c>
      <c r="G3875">
        <f t="shared" si="180"/>
        <v>5250</v>
      </c>
      <c r="H3875" t="s">
        <v>17</v>
      </c>
      <c r="I3875">
        <f t="shared" si="181"/>
        <v>2100</v>
      </c>
      <c r="J3875">
        <f t="shared" si="182"/>
        <v>6300</v>
      </c>
    </row>
    <row r="3876" spans="1:10" x14ac:dyDescent="0.45">
      <c r="A3876" t="s">
        <v>2022</v>
      </c>
      <c r="B3876" s="1">
        <v>45922</v>
      </c>
      <c r="C3876" t="s">
        <v>12</v>
      </c>
      <c r="D3876" t="s">
        <v>5021</v>
      </c>
      <c r="E3876">
        <v>2880</v>
      </c>
      <c r="F3876">
        <v>9</v>
      </c>
      <c r="G3876">
        <f t="shared" si="180"/>
        <v>25920</v>
      </c>
      <c r="H3876" t="s">
        <v>17</v>
      </c>
      <c r="I3876">
        <f t="shared" si="181"/>
        <v>3456</v>
      </c>
      <c r="J3876">
        <f t="shared" si="182"/>
        <v>31104</v>
      </c>
    </row>
    <row r="3877" spans="1:10" x14ac:dyDescent="0.45">
      <c r="A3877" t="s">
        <v>2023</v>
      </c>
      <c r="B3877" s="1">
        <v>45922</v>
      </c>
      <c r="C3877" t="s">
        <v>12</v>
      </c>
      <c r="D3877" t="s">
        <v>5021</v>
      </c>
      <c r="E3877">
        <v>2880</v>
      </c>
      <c r="F3877">
        <v>10</v>
      </c>
      <c r="G3877">
        <f t="shared" si="180"/>
        <v>28800</v>
      </c>
      <c r="H3877" t="s">
        <v>7</v>
      </c>
      <c r="I3877">
        <f t="shared" si="181"/>
        <v>3456</v>
      </c>
      <c r="J3877">
        <f t="shared" si="182"/>
        <v>34560</v>
      </c>
    </row>
    <row r="3878" spans="1:10" x14ac:dyDescent="0.45">
      <c r="A3878" t="s">
        <v>2789</v>
      </c>
      <c r="B3878" s="1">
        <v>45922</v>
      </c>
      <c r="C3878" t="s">
        <v>2772</v>
      </c>
      <c r="D3878" t="s">
        <v>2771</v>
      </c>
      <c r="E3878">
        <v>120</v>
      </c>
      <c r="F3878">
        <v>4</v>
      </c>
      <c r="G3878">
        <f t="shared" si="180"/>
        <v>480</v>
      </c>
      <c r="H3878" t="s">
        <v>17</v>
      </c>
      <c r="I3878">
        <f t="shared" si="181"/>
        <v>144</v>
      </c>
      <c r="J3878">
        <f t="shared" si="182"/>
        <v>576</v>
      </c>
    </row>
    <row r="3879" spans="1:10" x14ac:dyDescent="0.45">
      <c r="A3879" t="s">
        <v>3091</v>
      </c>
      <c r="B3879" s="1">
        <v>45922</v>
      </c>
      <c r="C3879" t="s">
        <v>33</v>
      </c>
      <c r="D3879" t="s">
        <v>14</v>
      </c>
      <c r="E3879">
        <v>800</v>
      </c>
      <c r="F3879">
        <v>5</v>
      </c>
      <c r="G3879">
        <f t="shared" si="180"/>
        <v>4000</v>
      </c>
      <c r="H3879" t="s">
        <v>17</v>
      </c>
      <c r="I3879">
        <f t="shared" si="181"/>
        <v>960</v>
      </c>
      <c r="J3879">
        <f t="shared" si="182"/>
        <v>4800</v>
      </c>
    </row>
    <row r="3880" spans="1:10" x14ac:dyDescent="0.45">
      <c r="A3880" t="s">
        <v>3744</v>
      </c>
      <c r="B3880" s="1">
        <v>45922</v>
      </c>
      <c r="C3880" t="s">
        <v>4007</v>
      </c>
      <c r="D3880" t="s">
        <v>2774</v>
      </c>
      <c r="E3880">
        <v>1900</v>
      </c>
      <c r="F3880">
        <v>7</v>
      </c>
      <c r="G3880">
        <f t="shared" si="180"/>
        <v>13300</v>
      </c>
      <c r="H3880" t="s">
        <v>21</v>
      </c>
      <c r="I3880">
        <f t="shared" si="181"/>
        <v>2280</v>
      </c>
      <c r="J3880">
        <f t="shared" si="182"/>
        <v>15960</v>
      </c>
    </row>
    <row r="3881" spans="1:10" x14ac:dyDescent="0.45">
      <c r="A3881" t="s">
        <v>3774</v>
      </c>
      <c r="B3881" s="1">
        <v>45922</v>
      </c>
      <c r="C3881" t="s">
        <v>4007</v>
      </c>
      <c r="D3881" t="s">
        <v>2770</v>
      </c>
      <c r="E3881">
        <v>600</v>
      </c>
      <c r="F3881">
        <v>10</v>
      </c>
      <c r="G3881">
        <f t="shared" si="180"/>
        <v>6000</v>
      </c>
      <c r="H3881" t="s">
        <v>17</v>
      </c>
      <c r="I3881">
        <f t="shared" si="181"/>
        <v>720</v>
      </c>
      <c r="J3881">
        <f t="shared" si="182"/>
        <v>7200</v>
      </c>
    </row>
    <row r="3882" spans="1:10" x14ac:dyDescent="0.45">
      <c r="A3882" t="s">
        <v>2024</v>
      </c>
      <c r="B3882" s="1">
        <v>45923</v>
      </c>
      <c r="C3882" t="s">
        <v>4007</v>
      </c>
      <c r="D3882" t="s">
        <v>4005</v>
      </c>
      <c r="E3882">
        <v>60000</v>
      </c>
      <c r="F3882">
        <v>5</v>
      </c>
      <c r="G3882">
        <f t="shared" si="180"/>
        <v>300000</v>
      </c>
      <c r="H3882" t="s">
        <v>17</v>
      </c>
      <c r="I3882">
        <f t="shared" si="181"/>
        <v>72000</v>
      </c>
      <c r="J3882">
        <f t="shared" si="182"/>
        <v>360000</v>
      </c>
    </row>
    <row r="3883" spans="1:10" x14ac:dyDescent="0.45">
      <c r="A3883" t="s">
        <v>2025</v>
      </c>
      <c r="B3883" s="1">
        <v>45923</v>
      </c>
      <c r="C3883" t="s">
        <v>4007</v>
      </c>
      <c r="D3883" t="s">
        <v>5015</v>
      </c>
      <c r="E3883">
        <v>48000</v>
      </c>
      <c r="F3883">
        <v>9</v>
      </c>
      <c r="G3883">
        <f t="shared" si="180"/>
        <v>432000</v>
      </c>
      <c r="H3883" t="s">
        <v>7</v>
      </c>
      <c r="I3883">
        <f t="shared" si="181"/>
        <v>57600</v>
      </c>
      <c r="J3883">
        <f t="shared" si="182"/>
        <v>518400</v>
      </c>
    </row>
    <row r="3884" spans="1:10" x14ac:dyDescent="0.45">
      <c r="A3884" t="s">
        <v>2026</v>
      </c>
      <c r="B3884" s="1">
        <v>45923</v>
      </c>
      <c r="C3884" t="s">
        <v>9</v>
      </c>
      <c r="D3884" t="s">
        <v>19</v>
      </c>
      <c r="E3884">
        <v>3000</v>
      </c>
      <c r="F3884">
        <v>4</v>
      </c>
      <c r="G3884">
        <f t="shared" si="180"/>
        <v>12000</v>
      </c>
      <c r="H3884" t="s">
        <v>7</v>
      </c>
      <c r="I3884">
        <f t="shared" si="181"/>
        <v>3600</v>
      </c>
      <c r="J3884">
        <f t="shared" si="182"/>
        <v>14400</v>
      </c>
    </row>
    <row r="3885" spans="1:10" x14ac:dyDescent="0.45">
      <c r="A3885" t="s">
        <v>2027</v>
      </c>
      <c r="B3885" s="1">
        <v>45923</v>
      </c>
      <c r="C3885" t="s">
        <v>4007</v>
      </c>
      <c r="D3885" t="s">
        <v>4005</v>
      </c>
      <c r="E3885">
        <v>60000</v>
      </c>
      <c r="F3885">
        <v>7</v>
      </c>
      <c r="G3885">
        <f t="shared" si="180"/>
        <v>420000</v>
      </c>
      <c r="H3885" t="s">
        <v>7</v>
      </c>
      <c r="I3885">
        <f t="shared" si="181"/>
        <v>72000</v>
      </c>
      <c r="J3885">
        <f t="shared" si="182"/>
        <v>504000</v>
      </c>
    </row>
    <row r="3886" spans="1:10" x14ac:dyDescent="0.45">
      <c r="A3886" t="s">
        <v>2028</v>
      </c>
      <c r="B3886" s="1">
        <v>45923</v>
      </c>
      <c r="C3886" t="s">
        <v>12</v>
      </c>
      <c r="D3886" t="s">
        <v>5020</v>
      </c>
      <c r="E3886">
        <v>2880</v>
      </c>
      <c r="F3886">
        <v>6</v>
      </c>
      <c r="G3886">
        <f t="shared" si="180"/>
        <v>17280</v>
      </c>
      <c r="H3886" t="s">
        <v>7</v>
      </c>
      <c r="I3886">
        <f t="shared" si="181"/>
        <v>3456</v>
      </c>
      <c r="J3886">
        <f t="shared" si="182"/>
        <v>20736</v>
      </c>
    </row>
    <row r="3887" spans="1:10" x14ac:dyDescent="0.45">
      <c r="A3887" t="s">
        <v>2029</v>
      </c>
      <c r="B3887" s="1">
        <v>45923</v>
      </c>
      <c r="C3887" t="s">
        <v>4007</v>
      </c>
      <c r="D3887" t="s">
        <v>5015</v>
      </c>
      <c r="E3887">
        <v>48000</v>
      </c>
      <c r="F3887">
        <v>3</v>
      </c>
      <c r="G3887">
        <f t="shared" si="180"/>
        <v>144000</v>
      </c>
      <c r="H3887" t="s">
        <v>17</v>
      </c>
      <c r="I3887">
        <f t="shared" si="181"/>
        <v>57600</v>
      </c>
      <c r="J3887">
        <f t="shared" si="182"/>
        <v>172800</v>
      </c>
    </row>
    <row r="3888" spans="1:10" x14ac:dyDescent="0.45">
      <c r="A3888" t="s">
        <v>2030</v>
      </c>
      <c r="B3888" s="1">
        <v>45923</v>
      </c>
      <c r="C3888" t="s">
        <v>33</v>
      </c>
      <c r="D3888" t="s">
        <v>14</v>
      </c>
      <c r="E3888">
        <v>800</v>
      </c>
      <c r="F3888">
        <v>3</v>
      </c>
      <c r="G3888">
        <f t="shared" si="180"/>
        <v>2400</v>
      </c>
      <c r="H3888" t="s">
        <v>21</v>
      </c>
      <c r="I3888">
        <f t="shared" si="181"/>
        <v>960</v>
      </c>
      <c r="J3888">
        <f t="shared" si="182"/>
        <v>2880</v>
      </c>
    </row>
    <row r="3889" spans="1:10" x14ac:dyDescent="0.45">
      <c r="A3889" t="s">
        <v>2031</v>
      </c>
      <c r="B3889" s="1">
        <v>45923</v>
      </c>
      <c r="C3889" t="s">
        <v>12</v>
      </c>
      <c r="D3889" t="s">
        <v>5021</v>
      </c>
      <c r="E3889">
        <v>2880</v>
      </c>
      <c r="F3889">
        <v>4</v>
      </c>
      <c r="G3889">
        <f t="shared" si="180"/>
        <v>11520</v>
      </c>
      <c r="H3889" t="s">
        <v>21</v>
      </c>
      <c r="I3889">
        <f t="shared" si="181"/>
        <v>3456</v>
      </c>
      <c r="J3889">
        <f t="shared" si="182"/>
        <v>13824</v>
      </c>
    </row>
    <row r="3890" spans="1:10" x14ac:dyDescent="0.45">
      <c r="A3890" t="s">
        <v>3600</v>
      </c>
      <c r="B3890" s="1">
        <v>45923</v>
      </c>
      <c r="C3890" t="s">
        <v>4007</v>
      </c>
      <c r="D3890" t="s">
        <v>28</v>
      </c>
      <c r="E3890">
        <v>500</v>
      </c>
      <c r="F3890">
        <v>3</v>
      </c>
      <c r="G3890">
        <f t="shared" si="180"/>
        <v>1500</v>
      </c>
      <c r="H3890" t="s">
        <v>17</v>
      </c>
      <c r="I3890">
        <f t="shared" si="181"/>
        <v>600</v>
      </c>
      <c r="J3890">
        <f t="shared" si="182"/>
        <v>1800</v>
      </c>
    </row>
    <row r="3891" spans="1:10" x14ac:dyDescent="0.45">
      <c r="A3891" t="s">
        <v>3823</v>
      </c>
      <c r="B3891" s="1">
        <v>45923</v>
      </c>
      <c r="C3891" t="s">
        <v>2772</v>
      </c>
      <c r="D3891" t="s">
        <v>2775</v>
      </c>
      <c r="E3891">
        <v>9100</v>
      </c>
      <c r="F3891">
        <v>10</v>
      </c>
      <c r="G3891">
        <f t="shared" si="180"/>
        <v>91000</v>
      </c>
      <c r="H3891" t="s">
        <v>17</v>
      </c>
      <c r="I3891">
        <f t="shared" si="181"/>
        <v>10920</v>
      </c>
      <c r="J3891">
        <f t="shared" si="182"/>
        <v>109200</v>
      </c>
    </row>
    <row r="3892" spans="1:10" x14ac:dyDescent="0.45">
      <c r="A3892" t="s">
        <v>3834</v>
      </c>
      <c r="B3892" s="1">
        <v>45923</v>
      </c>
      <c r="C3892" t="s">
        <v>4007</v>
      </c>
      <c r="D3892" t="s">
        <v>2774</v>
      </c>
      <c r="E3892">
        <v>1900</v>
      </c>
      <c r="F3892">
        <v>9</v>
      </c>
      <c r="G3892">
        <f t="shared" si="180"/>
        <v>17100</v>
      </c>
      <c r="H3892" t="s">
        <v>7</v>
      </c>
      <c r="I3892">
        <f t="shared" si="181"/>
        <v>2280</v>
      </c>
      <c r="J3892">
        <f t="shared" si="182"/>
        <v>20520</v>
      </c>
    </row>
    <row r="3893" spans="1:10" x14ac:dyDescent="0.45">
      <c r="A3893" t="s">
        <v>3893</v>
      </c>
      <c r="B3893" s="1">
        <v>45923</v>
      </c>
      <c r="C3893" t="s">
        <v>2772</v>
      </c>
      <c r="D3893" t="s">
        <v>2771</v>
      </c>
      <c r="E3893">
        <v>120</v>
      </c>
      <c r="F3893">
        <v>6</v>
      </c>
      <c r="G3893">
        <f t="shared" si="180"/>
        <v>720</v>
      </c>
      <c r="H3893" t="s">
        <v>17</v>
      </c>
      <c r="I3893">
        <f t="shared" si="181"/>
        <v>144</v>
      </c>
      <c r="J3893">
        <f t="shared" si="182"/>
        <v>864</v>
      </c>
    </row>
    <row r="3894" spans="1:10" x14ac:dyDescent="0.45">
      <c r="A3894" t="s">
        <v>2032</v>
      </c>
      <c r="B3894" s="1">
        <v>45924</v>
      </c>
      <c r="C3894" t="s">
        <v>12</v>
      </c>
      <c r="D3894" t="s">
        <v>5021</v>
      </c>
      <c r="E3894">
        <v>2880</v>
      </c>
      <c r="F3894">
        <v>2</v>
      </c>
      <c r="G3894">
        <f t="shared" si="180"/>
        <v>5760</v>
      </c>
      <c r="H3894" t="s">
        <v>17</v>
      </c>
      <c r="I3894">
        <f t="shared" si="181"/>
        <v>3456</v>
      </c>
      <c r="J3894">
        <f t="shared" si="182"/>
        <v>6912</v>
      </c>
    </row>
    <row r="3895" spans="1:10" x14ac:dyDescent="0.45">
      <c r="A3895" t="s">
        <v>2033</v>
      </c>
      <c r="B3895" s="1">
        <v>45924</v>
      </c>
      <c r="C3895" t="s">
        <v>9</v>
      </c>
      <c r="D3895" t="s">
        <v>19</v>
      </c>
      <c r="E3895">
        <v>3000</v>
      </c>
      <c r="F3895">
        <v>1</v>
      </c>
      <c r="G3895">
        <f t="shared" si="180"/>
        <v>3000</v>
      </c>
      <c r="H3895" t="s">
        <v>17</v>
      </c>
      <c r="I3895">
        <f t="shared" si="181"/>
        <v>3600</v>
      </c>
      <c r="J3895">
        <f t="shared" si="182"/>
        <v>3600</v>
      </c>
    </row>
    <row r="3896" spans="1:10" x14ac:dyDescent="0.45">
      <c r="A3896" t="s">
        <v>2034</v>
      </c>
      <c r="B3896" s="1">
        <v>45924</v>
      </c>
      <c r="C3896" t="s">
        <v>12</v>
      </c>
      <c r="D3896" t="s">
        <v>5021</v>
      </c>
      <c r="E3896">
        <v>2880</v>
      </c>
      <c r="F3896">
        <v>5</v>
      </c>
      <c r="G3896">
        <f t="shared" si="180"/>
        <v>14400</v>
      </c>
      <c r="H3896" t="s">
        <v>7</v>
      </c>
      <c r="I3896">
        <f t="shared" si="181"/>
        <v>3456</v>
      </c>
      <c r="J3896">
        <f t="shared" si="182"/>
        <v>17280</v>
      </c>
    </row>
    <row r="3897" spans="1:10" x14ac:dyDescent="0.45">
      <c r="A3897" t="s">
        <v>2035</v>
      </c>
      <c r="B3897" s="1">
        <v>45924</v>
      </c>
      <c r="C3897" t="s">
        <v>4007</v>
      </c>
      <c r="D3897" t="s">
        <v>39</v>
      </c>
      <c r="E3897">
        <v>6000</v>
      </c>
      <c r="F3897">
        <v>1</v>
      </c>
      <c r="G3897">
        <f t="shared" si="180"/>
        <v>6000</v>
      </c>
      <c r="H3897" t="s">
        <v>17</v>
      </c>
      <c r="I3897">
        <f t="shared" si="181"/>
        <v>7200</v>
      </c>
      <c r="J3897">
        <f t="shared" si="182"/>
        <v>7200</v>
      </c>
    </row>
    <row r="3898" spans="1:10" x14ac:dyDescent="0.45">
      <c r="A3898" t="s">
        <v>2036</v>
      </c>
      <c r="B3898" s="1">
        <v>45924</v>
      </c>
      <c r="C3898" t="s">
        <v>9</v>
      </c>
      <c r="D3898" t="s">
        <v>10</v>
      </c>
      <c r="E3898">
        <v>400</v>
      </c>
      <c r="F3898">
        <v>1</v>
      </c>
      <c r="G3898">
        <f t="shared" si="180"/>
        <v>400</v>
      </c>
      <c r="H3898" t="s">
        <v>7</v>
      </c>
      <c r="I3898">
        <f t="shared" si="181"/>
        <v>480</v>
      </c>
      <c r="J3898">
        <f t="shared" si="182"/>
        <v>480</v>
      </c>
    </row>
    <row r="3899" spans="1:10" x14ac:dyDescent="0.45">
      <c r="A3899" t="s">
        <v>2037</v>
      </c>
      <c r="B3899" s="1">
        <v>45924</v>
      </c>
      <c r="C3899" t="s">
        <v>4007</v>
      </c>
      <c r="D3899" t="s">
        <v>28</v>
      </c>
      <c r="E3899">
        <v>500</v>
      </c>
      <c r="F3899">
        <v>9</v>
      </c>
      <c r="G3899">
        <f t="shared" si="180"/>
        <v>4500</v>
      </c>
      <c r="H3899" t="s">
        <v>21</v>
      </c>
      <c r="I3899">
        <f t="shared" si="181"/>
        <v>600</v>
      </c>
      <c r="J3899">
        <f t="shared" si="182"/>
        <v>5400</v>
      </c>
    </row>
    <row r="3900" spans="1:10" x14ac:dyDescent="0.45">
      <c r="A3900" t="s">
        <v>2038</v>
      </c>
      <c r="B3900" s="1">
        <v>45924</v>
      </c>
      <c r="C3900" t="s">
        <v>33</v>
      </c>
      <c r="D3900" t="s">
        <v>14</v>
      </c>
      <c r="E3900">
        <v>800</v>
      </c>
      <c r="F3900">
        <v>5</v>
      </c>
      <c r="G3900">
        <f t="shared" si="180"/>
        <v>4000</v>
      </c>
      <c r="H3900" t="s">
        <v>21</v>
      </c>
      <c r="I3900">
        <f t="shared" si="181"/>
        <v>960</v>
      </c>
      <c r="J3900">
        <f t="shared" si="182"/>
        <v>4800</v>
      </c>
    </row>
    <row r="3901" spans="1:10" x14ac:dyDescent="0.45">
      <c r="A3901" t="s">
        <v>2039</v>
      </c>
      <c r="B3901" s="1">
        <v>45924</v>
      </c>
      <c r="C3901" t="s">
        <v>9</v>
      </c>
      <c r="D3901" t="s">
        <v>25</v>
      </c>
      <c r="E3901">
        <v>5200</v>
      </c>
      <c r="F3901">
        <v>2</v>
      </c>
      <c r="G3901">
        <f t="shared" si="180"/>
        <v>10400</v>
      </c>
      <c r="H3901" t="s">
        <v>17</v>
      </c>
      <c r="I3901">
        <f t="shared" si="181"/>
        <v>6240</v>
      </c>
      <c r="J3901">
        <f t="shared" si="182"/>
        <v>12480</v>
      </c>
    </row>
    <row r="3902" spans="1:10" x14ac:dyDescent="0.45">
      <c r="A3902" t="s">
        <v>3797</v>
      </c>
      <c r="B3902" s="1">
        <v>45924</v>
      </c>
      <c r="C3902" t="s">
        <v>4007</v>
      </c>
      <c r="D3902" t="s">
        <v>5015</v>
      </c>
      <c r="E3902">
        <v>48000</v>
      </c>
      <c r="F3902">
        <v>4</v>
      </c>
      <c r="G3902">
        <f t="shared" si="180"/>
        <v>192000</v>
      </c>
      <c r="H3902" t="s">
        <v>21</v>
      </c>
      <c r="I3902">
        <f t="shared" si="181"/>
        <v>57600</v>
      </c>
      <c r="J3902">
        <f t="shared" si="182"/>
        <v>230400</v>
      </c>
    </row>
    <row r="3903" spans="1:10" x14ac:dyDescent="0.45">
      <c r="A3903" t="s">
        <v>2040</v>
      </c>
      <c r="B3903" s="1">
        <v>45925</v>
      </c>
      <c r="C3903" t="s">
        <v>9</v>
      </c>
      <c r="D3903" t="s">
        <v>19</v>
      </c>
      <c r="E3903">
        <v>3000</v>
      </c>
      <c r="F3903">
        <v>1</v>
      </c>
      <c r="G3903">
        <f t="shared" si="180"/>
        <v>3000</v>
      </c>
      <c r="H3903" t="s">
        <v>17</v>
      </c>
      <c r="I3903">
        <f t="shared" si="181"/>
        <v>3600</v>
      </c>
      <c r="J3903">
        <f t="shared" si="182"/>
        <v>3600</v>
      </c>
    </row>
    <row r="3904" spans="1:10" x14ac:dyDescent="0.45">
      <c r="A3904" t="s">
        <v>2041</v>
      </c>
      <c r="B3904" s="1">
        <v>45925</v>
      </c>
      <c r="C3904" t="s">
        <v>4007</v>
      </c>
      <c r="D3904" t="s">
        <v>4005</v>
      </c>
      <c r="E3904">
        <v>60000</v>
      </c>
      <c r="F3904">
        <v>5</v>
      </c>
      <c r="G3904">
        <f t="shared" si="180"/>
        <v>300000</v>
      </c>
      <c r="H3904" t="s">
        <v>17</v>
      </c>
      <c r="I3904">
        <f t="shared" si="181"/>
        <v>72000</v>
      </c>
      <c r="J3904">
        <f t="shared" si="182"/>
        <v>360000</v>
      </c>
    </row>
    <row r="3905" spans="1:10" x14ac:dyDescent="0.45">
      <c r="A3905" t="s">
        <v>2042</v>
      </c>
      <c r="B3905" s="1">
        <v>45925</v>
      </c>
      <c r="C3905" t="s">
        <v>12</v>
      </c>
      <c r="D3905" t="s">
        <v>5020</v>
      </c>
      <c r="E3905">
        <v>2880</v>
      </c>
      <c r="F3905">
        <v>3</v>
      </c>
      <c r="G3905">
        <f t="shared" si="180"/>
        <v>8640</v>
      </c>
      <c r="H3905" t="s">
        <v>17</v>
      </c>
      <c r="I3905">
        <f t="shared" si="181"/>
        <v>3456</v>
      </c>
      <c r="J3905">
        <f t="shared" si="182"/>
        <v>10368</v>
      </c>
    </row>
    <row r="3906" spans="1:10" x14ac:dyDescent="0.45">
      <c r="A3906" t="s">
        <v>2043</v>
      </c>
      <c r="B3906" s="1">
        <v>45925</v>
      </c>
      <c r="C3906" t="s">
        <v>4007</v>
      </c>
      <c r="D3906" t="s">
        <v>39</v>
      </c>
      <c r="E3906">
        <v>6000</v>
      </c>
      <c r="F3906">
        <v>8</v>
      </c>
      <c r="G3906">
        <f t="shared" ref="G3906:G3969" si="183">E3906*F3906</f>
        <v>48000</v>
      </c>
      <c r="H3906" t="s">
        <v>21</v>
      </c>
      <c r="I3906">
        <f t="shared" ref="I3906:I3969" si="184">E3906*1.2</f>
        <v>7200</v>
      </c>
      <c r="J3906">
        <f t="shared" ref="J3906:J3969" si="185">I3906*F3906</f>
        <v>57600</v>
      </c>
    </row>
    <row r="3907" spans="1:10" x14ac:dyDescent="0.45">
      <c r="A3907" t="s">
        <v>2044</v>
      </c>
      <c r="B3907" s="1">
        <v>45925</v>
      </c>
      <c r="C3907" t="s">
        <v>33</v>
      </c>
      <c r="D3907" t="s">
        <v>16</v>
      </c>
      <c r="E3907">
        <v>1200</v>
      </c>
      <c r="F3907">
        <v>1</v>
      </c>
      <c r="G3907">
        <f t="shared" si="183"/>
        <v>1200</v>
      </c>
      <c r="H3907" t="s">
        <v>7</v>
      </c>
      <c r="I3907">
        <f t="shared" si="184"/>
        <v>1440</v>
      </c>
      <c r="J3907">
        <f t="shared" si="185"/>
        <v>1440</v>
      </c>
    </row>
    <row r="3908" spans="1:10" x14ac:dyDescent="0.45">
      <c r="A3908" t="s">
        <v>2045</v>
      </c>
      <c r="B3908" s="1">
        <v>45925</v>
      </c>
      <c r="C3908" t="s">
        <v>33</v>
      </c>
      <c r="D3908" t="s">
        <v>42</v>
      </c>
      <c r="E3908">
        <v>6900</v>
      </c>
      <c r="F3908">
        <v>8</v>
      </c>
      <c r="G3908">
        <f t="shared" si="183"/>
        <v>55200</v>
      </c>
      <c r="H3908" t="s">
        <v>17</v>
      </c>
      <c r="I3908">
        <f t="shared" si="184"/>
        <v>8280</v>
      </c>
      <c r="J3908">
        <f t="shared" si="185"/>
        <v>66240</v>
      </c>
    </row>
    <row r="3909" spans="1:10" x14ac:dyDescent="0.45">
      <c r="A3909" t="s">
        <v>3053</v>
      </c>
      <c r="B3909" s="1">
        <v>45925</v>
      </c>
      <c r="C3909" t="s">
        <v>4007</v>
      </c>
      <c r="D3909" t="s">
        <v>2774</v>
      </c>
      <c r="E3909">
        <v>1900</v>
      </c>
      <c r="F3909">
        <v>2</v>
      </c>
      <c r="G3909">
        <f t="shared" si="183"/>
        <v>3800</v>
      </c>
      <c r="H3909" t="s">
        <v>17</v>
      </c>
      <c r="I3909">
        <f t="shared" si="184"/>
        <v>2280</v>
      </c>
      <c r="J3909">
        <f t="shared" si="185"/>
        <v>4560</v>
      </c>
    </row>
    <row r="3910" spans="1:10" x14ac:dyDescent="0.45">
      <c r="A3910" t="s">
        <v>3204</v>
      </c>
      <c r="B3910" s="1">
        <v>45925</v>
      </c>
      <c r="C3910" t="s">
        <v>4007</v>
      </c>
      <c r="D3910" t="s">
        <v>2774</v>
      </c>
      <c r="E3910">
        <v>1900</v>
      </c>
      <c r="F3910">
        <v>10</v>
      </c>
      <c r="G3910">
        <f t="shared" si="183"/>
        <v>19000</v>
      </c>
      <c r="H3910" t="s">
        <v>21</v>
      </c>
      <c r="I3910">
        <f t="shared" si="184"/>
        <v>2280</v>
      </c>
      <c r="J3910">
        <f t="shared" si="185"/>
        <v>22800</v>
      </c>
    </row>
    <row r="3911" spans="1:10" x14ac:dyDescent="0.45">
      <c r="A3911" t="s">
        <v>3256</v>
      </c>
      <c r="B3911" s="1">
        <v>45925</v>
      </c>
      <c r="C3911" t="s">
        <v>4007</v>
      </c>
      <c r="D3911" t="s">
        <v>28</v>
      </c>
      <c r="E3911">
        <v>500</v>
      </c>
      <c r="F3911">
        <v>8</v>
      </c>
      <c r="G3911">
        <f t="shared" si="183"/>
        <v>4000</v>
      </c>
      <c r="H3911" t="s">
        <v>17</v>
      </c>
      <c r="I3911">
        <f t="shared" si="184"/>
        <v>600</v>
      </c>
      <c r="J3911">
        <f t="shared" si="185"/>
        <v>4800</v>
      </c>
    </row>
    <row r="3912" spans="1:10" x14ac:dyDescent="0.45">
      <c r="A3912" t="s">
        <v>3272</v>
      </c>
      <c r="B3912" s="1">
        <v>45925</v>
      </c>
      <c r="C3912" t="s">
        <v>33</v>
      </c>
      <c r="D3912" t="s">
        <v>14</v>
      </c>
      <c r="E3912">
        <v>800</v>
      </c>
      <c r="F3912">
        <v>2</v>
      </c>
      <c r="G3912">
        <f t="shared" si="183"/>
        <v>1600</v>
      </c>
      <c r="H3912" t="s">
        <v>21</v>
      </c>
      <c r="I3912">
        <f t="shared" si="184"/>
        <v>960</v>
      </c>
      <c r="J3912">
        <f t="shared" si="185"/>
        <v>1920</v>
      </c>
    </row>
    <row r="3913" spans="1:10" x14ac:dyDescent="0.45">
      <c r="A3913" t="s">
        <v>3512</v>
      </c>
      <c r="B3913" s="1">
        <v>45925</v>
      </c>
      <c r="C3913" t="s">
        <v>4007</v>
      </c>
      <c r="D3913" t="s">
        <v>2776</v>
      </c>
      <c r="E3913">
        <v>3600</v>
      </c>
      <c r="F3913">
        <v>1</v>
      </c>
      <c r="G3913">
        <f t="shared" si="183"/>
        <v>3600</v>
      </c>
      <c r="H3913" t="s">
        <v>17</v>
      </c>
      <c r="I3913">
        <f t="shared" si="184"/>
        <v>4320</v>
      </c>
      <c r="J3913">
        <f t="shared" si="185"/>
        <v>4320</v>
      </c>
    </row>
    <row r="3914" spans="1:10" x14ac:dyDescent="0.45">
      <c r="A3914" t="s">
        <v>2046</v>
      </c>
      <c r="B3914" s="1">
        <v>45926</v>
      </c>
      <c r="C3914" t="s">
        <v>4007</v>
      </c>
      <c r="D3914" t="s">
        <v>28</v>
      </c>
      <c r="E3914">
        <v>500</v>
      </c>
      <c r="F3914">
        <v>4</v>
      </c>
      <c r="G3914">
        <f t="shared" si="183"/>
        <v>2000</v>
      </c>
      <c r="H3914" t="s">
        <v>17</v>
      </c>
      <c r="I3914">
        <f t="shared" si="184"/>
        <v>600</v>
      </c>
      <c r="J3914">
        <f t="shared" si="185"/>
        <v>2400</v>
      </c>
    </row>
    <row r="3915" spans="1:10" x14ac:dyDescent="0.45">
      <c r="A3915" t="s">
        <v>2047</v>
      </c>
      <c r="B3915" s="1">
        <v>45926</v>
      </c>
      <c r="C3915" t="s">
        <v>33</v>
      </c>
      <c r="D3915" t="s">
        <v>42</v>
      </c>
      <c r="E3915">
        <v>6900</v>
      </c>
      <c r="F3915">
        <v>8</v>
      </c>
      <c r="G3915">
        <f t="shared" si="183"/>
        <v>55200</v>
      </c>
      <c r="H3915" t="s">
        <v>7</v>
      </c>
      <c r="I3915">
        <f t="shared" si="184"/>
        <v>8280</v>
      </c>
      <c r="J3915">
        <f t="shared" si="185"/>
        <v>66240</v>
      </c>
    </row>
    <row r="3916" spans="1:10" x14ac:dyDescent="0.45">
      <c r="A3916" t="s">
        <v>2048</v>
      </c>
      <c r="B3916" s="1">
        <v>45926</v>
      </c>
      <c r="C3916" t="s">
        <v>4007</v>
      </c>
      <c r="D3916" t="s">
        <v>28</v>
      </c>
      <c r="E3916">
        <v>500</v>
      </c>
      <c r="F3916">
        <v>1</v>
      </c>
      <c r="G3916">
        <f t="shared" si="183"/>
        <v>500</v>
      </c>
      <c r="H3916" t="s">
        <v>17</v>
      </c>
      <c r="I3916">
        <f t="shared" si="184"/>
        <v>600</v>
      </c>
      <c r="J3916">
        <f t="shared" si="185"/>
        <v>600</v>
      </c>
    </row>
    <row r="3917" spans="1:10" x14ac:dyDescent="0.45">
      <c r="A3917" t="s">
        <v>2049</v>
      </c>
      <c r="B3917" s="1">
        <v>45926</v>
      </c>
      <c r="C3917" t="s">
        <v>4007</v>
      </c>
      <c r="D3917" t="s">
        <v>4005</v>
      </c>
      <c r="E3917">
        <v>60000</v>
      </c>
      <c r="F3917">
        <v>6</v>
      </c>
      <c r="G3917">
        <f t="shared" si="183"/>
        <v>360000</v>
      </c>
      <c r="H3917" t="s">
        <v>7</v>
      </c>
      <c r="I3917">
        <f t="shared" si="184"/>
        <v>72000</v>
      </c>
      <c r="J3917">
        <f t="shared" si="185"/>
        <v>432000</v>
      </c>
    </row>
    <row r="3918" spans="1:10" x14ac:dyDescent="0.45">
      <c r="A3918" t="s">
        <v>2050</v>
      </c>
      <c r="B3918" s="1">
        <v>45926</v>
      </c>
      <c r="C3918" t="s">
        <v>33</v>
      </c>
      <c r="D3918" t="s">
        <v>34</v>
      </c>
      <c r="E3918">
        <v>1700</v>
      </c>
      <c r="F3918">
        <v>5</v>
      </c>
      <c r="G3918">
        <f t="shared" si="183"/>
        <v>8500</v>
      </c>
      <c r="H3918" t="s">
        <v>21</v>
      </c>
      <c r="I3918">
        <f t="shared" si="184"/>
        <v>2040</v>
      </c>
      <c r="J3918">
        <f t="shared" si="185"/>
        <v>10200</v>
      </c>
    </row>
    <row r="3919" spans="1:10" x14ac:dyDescent="0.45">
      <c r="A3919" t="s">
        <v>2051</v>
      </c>
      <c r="B3919" s="1">
        <v>45926</v>
      </c>
      <c r="C3919" t="s">
        <v>4007</v>
      </c>
      <c r="D3919" t="s">
        <v>5015</v>
      </c>
      <c r="E3919">
        <v>48000</v>
      </c>
      <c r="F3919">
        <v>6</v>
      </c>
      <c r="G3919">
        <f t="shared" si="183"/>
        <v>288000</v>
      </c>
      <c r="H3919" t="s">
        <v>17</v>
      </c>
      <c r="I3919">
        <f t="shared" si="184"/>
        <v>57600</v>
      </c>
      <c r="J3919">
        <f t="shared" si="185"/>
        <v>345600</v>
      </c>
    </row>
    <row r="3920" spans="1:10" x14ac:dyDescent="0.45">
      <c r="A3920" t="s">
        <v>2052</v>
      </c>
      <c r="B3920" s="1">
        <v>45926</v>
      </c>
      <c r="C3920" t="s">
        <v>9</v>
      </c>
      <c r="D3920" t="s">
        <v>19</v>
      </c>
      <c r="E3920">
        <v>3000</v>
      </c>
      <c r="F3920">
        <v>6</v>
      </c>
      <c r="G3920">
        <f t="shared" si="183"/>
        <v>18000</v>
      </c>
      <c r="H3920" t="s">
        <v>21</v>
      </c>
      <c r="I3920">
        <f t="shared" si="184"/>
        <v>3600</v>
      </c>
      <c r="J3920">
        <f t="shared" si="185"/>
        <v>21600</v>
      </c>
    </row>
    <row r="3921" spans="1:10" x14ac:dyDescent="0.45">
      <c r="A3921" t="s">
        <v>2970</v>
      </c>
      <c r="B3921" s="1">
        <v>45926</v>
      </c>
      <c r="C3921" t="s">
        <v>4007</v>
      </c>
      <c r="D3921" t="s">
        <v>2773</v>
      </c>
      <c r="E3921">
        <v>3300</v>
      </c>
      <c r="F3921">
        <v>5</v>
      </c>
      <c r="G3921">
        <f t="shared" si="183"/>
        <v>16500</v>
      </c>
      <c r="H3921" t="s">
        <v>17</v>
      </c>
      <c r="I3921">
        <f t="shared" si="184"/>
        <v>3960</v>
      </c>
      <c r="J3921">
        <f t="shared" si="185"/>
        <v>19800</v>
      </c>
    </row>
    <row r="3922" spans="1:10" x14ac:dyDescent="0.45">
      <c r="A3922" t="s">
        <v>3110</v>
      </c>
      <c r="B3922" s="1">
        <v>45926</v>
      </c>
      <c r="C3922" t="s">
        <v>4007</v>
      </c>
      <c r="D3922" t="s">
        <v>28</v>
      </c>
      <c r="E3922">
        <v>500</v>
      </c>
      <c r="F3922">
        <v>9</v>
      </c>
      <c r="G3922">
        <f t="shared" si="183"/>
        <v>4500</v>
      </c>
      <c r="H3922" t="s">
        <v>21</v>
      </c>
      <c r="I3922">
        <f t="shared" si="184"/>
        <v>600</v>
      </c>
      <c r="J3922">
        <f t="shared" si="185"/>
        <v>5400</v>
      </c>
    </row>
    <row r="3923" spans="1:10" x14ac:dyDescent="0.45">
      <c r="A3923" t="s">
        <v>2053</v>
      </c>
      <c r="B3923" s="1">
        <v>45927</v>
      </c>
      <c r="C3923" t="s">
        <v>9</v>
      </c>
      <c r="D3923" t="s">
        <v>19</v>
      </c>
      <c r="E3923">
        <v>3000</v>
      </c>
      <c r="F3923">
        <v>10</v>
      </c>
      <c r="G3923">
        <f t="shared" si="183"/>
        <v>30000</v>
      </c>
      <c r="H3923" t="s">
        <v>21</v>
      </c>
      <c r="I3923">
        <f t="shared" si="184"/>
        <v>3600</v>
      </c>
      <c r="J3923">
        <f t="shared" si="185"/>
        <v>36000</v>
      </c>
    </row>
    <row r="3924" spans="1:10" x14ac:dyDescent="0.45">
      <c r="A3924" t="s">
        <v>2054</v>
      </c>
      <c r="B3924" s="1">
        <v>45927</v>
      </c>
      <c r="C3924" t="s">
        <v>4007</v>
      </c>
      <c r="D3924" t="s">
        <v>4005</v>
      </c>
      <c r="E3924">
        <v>60000</v>
      </c>
      <c r="F3924">
        <v>9</v>
      </c>
      <c r="G3924">
        <f t="shared" si="183"/>
        <v>540000</v>
      </c>
      <c r="H3924" t="s">
        <v>17</v>
      </c>
      <c r="I3924">
        <f t="shared" si="184"/>
        <v>72000</v>
      </c>
      <c r="J3924">
        <f t="shared" si="185"/>
        <v>648000</v>
      </c>
    </row>
    <row r="3925" spans="1:10" x14ac:dyDescent="0.45">
      <c r="A3925" t="s">
        <v>2055</v>
      </c>
      <c r="B3925" s="1">
        <v>45927</v>
      </c>
      <c r="C3925" t="s">
        <v>4007</v>
      </c>
      <c r="D3925" t="s">
        <v>28</v>
      </c>
      <c r="E3925">
        <v>500</v>
      </c>
      <c r="F3925">
        <v>1</v>
      </c>
      <c r="G3925">
        <f t="shared" si="183"/>
        <v>500</v>
      </c>
      <c r="H3925" t="s">
        <v>17</v>
      </c>
      <c r="I3925">
        <f t="shared" si="184"/>
        <v>600</v>
      </c>
      <c r="J3925">
        <f t="shared" si="185"/>
        <v>600</v>
      </c>
    </row>
    <row r="3926" spans="1:10" x14ac:dyDescent="0.45">
      <c r="A3926" t="s">
        <v>2056</v>
      </c>
      <c r="B3926" s="1">
        <v>45927</v>
      </c>
      <c r="C3926" t="s">
        <v>4007</v>
      </c>
      <c r="D3926" t="s">
        <v>4005</v>
      </c>
      <c r="E3926">
        <v>60000</v>
      </c>
      <c r="F3926">
        <v>5</v>
      </c>
      <c r="G3926">
        <f t="shared" si="183"/>
        <v>300000</v>
      </c>
      <c r="H3926" t="s">
        <v>21</v>
      </c>
      <c r="I3926">
        <f t="shared" si="184"/>
        <v>72000</v>
      </c>
      <c r="J3926">
        <f t="shared" si="185"/>
        <v>360000</v>
      </c>
    </row>
    <row r="3927" spans="1:10" x14ac:dyDescent="0.45">
      <c r="A3927" t="s">
        <v>2057</v>
      </c>
      <c r="B3927" s="1">
        <v>45927</v>
      </c>
      <c r="C3927" t="s">
        <v>12</v>
      </c>
      <c r="D3927" t="s">
        <v>5022</v>
      </c>
      <c r="E3927">
        <v>2880</v>
      </c>
      <c r="F3927">
        <v>3</v>
      </c>
      <c r="G3927">
        <f t="shared" si="183"/>
        <v>8640</v>
      </c>
      <c r="H3927" t="s">
        <v>17</v>
      </c>
      <c r="I3927">
        <f t="shared" si="184"/>
        <v>3456</v>
      </c>
      <c r="J3927">
        <f t="shared" si="185"/>
        <v>10368</v>
      </c>
    </row>
    <row r="3928" spans="1:10" x14ac:dyDescent="0.45">
      <c r="A3928" t="s">
        <v>2058</v>
      </c>
      <c r="B3928" s="1">
        <v>45927</v>
      </c>
      <c r="C3928" t="s">
        <v>12</v>
      </c>
      <c r="D3928" t="s">
        <v>5021</v>
      </c>
      <c r="E3928">
        <v>2880</v>
      </c>
      <c r="F3928">
        <v>7</v>
      </c>
      <c r="G3928">
        <f t="shared" si="183"/>
        <v>20160</v>
      </c>
      <c r="H3928" t="s">
        <v>17</v>
      </c>
      <c r="I3928">
        <f t="shared" si="184"/>
        <v>3456</v>
      </c>
      <c r="J3928">
        <f t="shared" si="185"/>
        <v>24192</v>
      </c>
    </row>
    <row r="3929" spans="1:10" x14ac:dyDescent="0.45">
      <c r="A3929" t="s">
        <v>2059</v>
      </c>
      <c r="B3929" s="1">
        <v>45927</v>
      </c>
      <c r="C3929" t="s">
        <v>12</v>
      </c>
      <c r="D3929" t="s">
        <v>5023</v>
      </c>
      <c r="E3929">
        <v>1750</v>
      </c>
      <c r="F3929">
        <v>9</v>
      </c>
      <c r="G3929">
        <f t="shared" si="183"/>
        <v>15750</v>
      </c>
      <c r="H3929" t="s">
        <v>7</v>
      </c>
      <c r="I3929">
        <f t="shared" si="184"/>
        <v>2100</v>
      </c>
      <c r="J3929">
        <f t="shared" si="185"/>
        <v>18900</v>
      </c>
    </row>
    <row r="3930" spans="1:10" x14ac:dyDescent="0.45">
      <c r="A3930" t="s">
        <v>3155</v>
      </c>
      <c r="B3930" s="1">
        <v>45927</v>
      </c>
      <c r="C3930" t="s">
        <v>2772</v>
      </c>
      <c r="D3930" t="s">
        <v>2775</v>
      </c>
      <c r="E3930">
        <v>9100</v>
      </c>
      <c r="F3930">
        <v>7</v>
      </c>
      <c r="G3930">
        <f t="shared" si="183"/>
        <v>63700</v>
      </c>
      <c r="H3930" t="s">
        <v>7</v>
      </c>
      <c r="I3930">
        <f t="shared" si="184"/>
        <v>10920</v>
      </c>
      <c r="J3930">
        <f t="shared" si="185"/>
        <v>76440</v>
      </c>
    </row>
    <row r="3931" spans="1:10" x14ac:dyDescent="0.45">
      <c r="A3931" t="s">
        <v>3253</v>
      </c>
      <c r="B3931" s="1">
        <v>45927</v>
      </c>
      <c r="C3931" t="s">
        <v>4007</v>
      </c>
      <c r="D3931" t="s">
        <v>5015</v>
      </c>
      <c r="E3931">
        <v>48000</v>
      </c>
      <c r="F3931">
        <v>1</v>
      </c>
      <c r="G3931">
        <f t="shared" si="183"/>
        <v>48000</v>
      </c>
      <c r="H3931" t="s">
        <v>21</v>
      </c>
      <c r="I3931">
        <f t="shared" si="184"/>
        <v>57600</v>
      </c>
      <c r="J3931">
        <f t="shared" si="185"/>
        <v>57600</v>
      </c>
    </row>
    <row r="3932" spans="1:10" x14ac:dyDescent="0.45">
      <c r="A3932" t="s">
        <v>3468</v>
      </c>
      <c r="B3932" s="1">
        <v>45927</v>
      </c>
      <c r="C3932" t="s">
        <v>33</v>
      </c>
      <c r="D3932" t="s">
        <v>14</v>
      </c>
      <c r="E3932">
        <v>800</v>
      </c>
      <c r="F3932">
        <v>3</v>
      </c>
      <c r="G3932">
        <f t="shared" si="183"/>
        <v>2400</v>
      </c>
      <c r="H3932" t="s">
        <v>21</v>
      </c>
      <c r="I3932">
        <f t="shared" si="184"/>
        <v>960</v>
      </c>
      <c r="J3932">
        <f t="shared" si="185"/>
        <v>2880</v>
      </c>
    </row>
    <row r="3933" spans="1:10" x14ac:dyDescent="0.45">
      <c r="A3933" t="s">
        <v>3591</v>
      </c>
      <c r="B3933" s="1">
        <v>45927</v>
      </c>
      <c r="C3933" t="s">
        <v>2772</v>
      </c>
      <c r="D3933" t="s">
        <v>2775</v>
      </c>
      <c r="E3933">
        <v>9100</v>
      </c>
      <c r="F3933">
        <v>6</v>
      </c>
      <c r="G3933">
        <f t="shared" si="183"/>
        <v>54600</v>
      </c>
      <c r="H3933" t="s">
        <v>7</v>
      </c>
      <c r="I3933">
        <f t="shared" si="184"/>
        <v>10920</v>
      </c>
      <c r="J3933">
        <f t="shared" si="185"/>
        <v>65520</v>
      </c>
    </row>
    <row r="3934" spans="1:10" x14ac:dyDescent="0.45">
      <c r="A3934" t="s">
        <v>3649</v>
      </c>
      <c r="B3934" s="1">
        <v>45927</v>
      </c>
      <c r="C3934" t="s">
        <v>4007</v>
      </c>
      <c r="D3934" t="s">
        <v>2773</v>
      </c>
      <c r="E3934">
        <v>3300</v>
      </c>
      <c r="F3934">
        <v>4</v>
      </c>
      <c r="G3934">
        <f t="shared" si="183"/>
        <v>13200</v>
      </c>
      <c r="H3934" t="s">
        <v>17</v>
      </c>
      <c r="I3934">
        <f t="shared" si="184"/>
        <v>3960</v>
      </c>
      <c r="J3934">
        <f t="shared" si="185"/>
        <v>15840</v>
      </c>
    </row>
    <row r="3935" spans="1:10" x14ac:dyDescent="0.45">
      <c r="A3935" t="s">
        <v>2060</v>
      </c>
      <c r="B3935" s="1">
        <v>45928</v>
      </c>
      <c r="C3935" t="s">
        <v>9</v>
      </c>
      <c r="D3935" t="s">
        <v>19</v>
      </c>
      <c r="E3935">
        <v>3000</v>
      </c>
      <c r="F3935">
        <v>3</v>
      </c>
      <c r="G3935">
        <f t="shared" si="183"/>
        <v>9000</v>
      </c>
      <c r="H3935" t="s">
        <v>21</v>
      </c>
      <c r="I3935">
        <f t="shared" si="184"/>
        <v>3600</v>
      </c>
      <c r="J3935">
        <f t="shared" si="185"/>
        <v>10800</v>
      </c>
    </row>
    <row r="3936" spans="1:10" x14ac:dyDescent="0.45">
      <c r="A3936" t="s">
        <v>2061</v>
      </c>
      <c r="B3936" s="1">
        <v>45928</v>
      </c>
      <c r="C3936" t="s">
        <v>12</v>
      </c>
      <c r="D3936" t="s">
        <v>5022</v>
      </c>
      <c r="E3936">
        <v>2880</v>
      </c>
      <c r="F3936">
        <v>9</v>
      </c>
      <c r="G3936">
        <f t="shared" si="183"/>
        <v>25920</v>
      </c>
      <c r="H3936" t="s">
        <v>17</v>
      </c>
      <c r="I3936">
        <f t="shared" si="184"/>
        <v>3456</v>
      </c>
      <c r="J3936">
        <f t="shared" si="185"/>
        <v>31104</v>
      </c>
    </row>
    <row r="3937" spans="1:10" x14ac:dyDescent="0.45">
      <c r="A3937" t="s">
        <v>2062</v>
      </c>
      <c r="B3937" s="1">
        <v>45928</v>
      </c>
      <c r="C3937" t="s">
        <v>9</v>
      </c>
      <c r="D3937" t="s">
        <v>25</v>
      </c>
      <c r="E3937">
        <v>5200</v>
      </c>
      <c r="F3937">
        <v>9</v>
      </c>
      <c r="G3937">
        <f t="shared" si="183"/>
        <v>46800</v>
      </c>
      <c r="H3937" t="s">
        <v>7</v>
      </c>
      <c r="I3937">
        <f t="shared" si="184"/>
        <v>6240</v>
      </c>
      <c r="J3937">
        <f t="shared" si="185"/>
        <v>56160</v>
      </c>
    </row>
    <row r="3938" spans="1:10" x14ac:dyDescent="0.45">
      <c r="A3938" t="s">
        <v>2063</v>
      </c>
      <c r="B3938" s="1">
        <v>45928</v>
      </c>
      <c r="C3938" t="s">
        <v>33</v>
      </c>
      <c r="D3938" t="s">
        <v>14</v>
      </c>
      <c r="E3938">
        <v>800</v>
      </c>
      <c r="F3938">
        <v>4</v>
      </c>
      <c r="G3938">
        <f t="shared" si="183"/>
        <v>3200</v>
      </c>
      <c r="H3938" t="s">
        <v>7</v>
      </c>
      <c r="I3938">
        <f t="shared" si="184"/>
        <v>960</v>
      </c>
      <c r="J3938">
        <f t="shared" si="185"/>
        <v>3840</v>
      </c>
    </row>
    <row r="3939" spans="1:10" x14ac:dyDescent="0.45">
      <c r="A3939" t="s">
        <v>2064</v>
      </c>
      <c r="B3939" s="1">
        <v>45928</v>
      </c>
      <c r="C3939" t="s">
        <v>4007</v>
      </c>
      <c r="D3939" t="s">
        <v>4005</v>
      </c>
      <c r="E3939">
        <v>60000</v>
      </c>
      <c r="F3939">
        <v>10</v>
      </c>
      <c r="G3939">
        <f t="shared" si="183"/>
        <v>600000</v>
      </c>
      <c r="H3939" t="s">
        <v>7</v>
      </c>
      <c r="I3939">
        <f t="shared" si="184"/>
        <v>72000</v>
      </c>
      <c r="J3939">
        <f t="shared" si="185"/>
        <v>720000</v>
      </c>
    </row>
    <row r="3940" spans="1:10" x14ac:dyDescent="0.45">
      <c r="A3940" t="s">
        <v>2065</v>
      </c>
      <c r="B3940" s="1">
        <v>45928</v>
      </c>
      <c r="C3940" t="s">
        <v>9</v>
      </c>
      <c r="D3940" t="s">
        <v>25</v>
      </c>
      <c r="E3940">
        <v>5200</v>
      </c>
      <c r="F3940">
        <v>4</v>
      </c>
      <c r="G3940">
        <f t="shared" si="183"/>
        <v>20800</v>
      </c>
      <c r="H3940" t="s">
        <v>7</v>
      </c>
      <c r="I3940">
        <f t="shared" si="184"/>
        <v>6240</v>
      </c>
      <c r="J3940">
        <f t="shared" si="185"/>
        <v>24960</v>
      </c>
    </row>
    <row r="3941" spans="1:10" x14ac:dyDescent="0.45">
      <c r="A3941" t="s">
        <v>2988</v>
      </c>
      <c r="B3941" s="1">
        <v>45928</v>
      </c>
      <c r="C3941" t="s">
        <v>4007</v>
      </c>
      <c r="D3941" t="s">
        <v>28</v>
      </c>
      <c r="E3941">
        <v>500</v>
      </c>
      <c r="F3941">
        <v>8</v>
      </c>
      <c r="G3941">
        <f t="shared" si="183"/>
        <v>4000</v>
      </c>
      <c r="H3941" t="s">
        <v>21</v>
      </c>
      <c r="I3941">
        <f t="shared" si="184"/>
        <v>600</v>
      </c>
      <c r="J3941">
        <f t="shared" si="185"/>
        <v>4800</v>
      </c>
    </row>
    <row r="3942" spans="1:10" x14ac:dyDescent="0.45">
      <c r="A3942" t="s">
        <v>3087</v>
      </c>
      <c r="B3942" s="1">
        <v>45928</v>
      </c>
      <c r="C3942" t="s">
        <v>4007</v>
      </c>
      <c r="D3942" t="s">
        <v>2773</v>
      </c>
      <c r="E3942">
        <v>3300</v>
      </c>
      <c r="F3942">
        <v>4</v>
      </c>
      <c r="G3942">
        <f t="shared" si="183"/>
        <v>13200</v>
      </c>
      <c r="H3942" t="s">
        <v>17</v>
      </c>
      <c r="I3942">
        <f t="shared" si="184"/>
        <v>3960</v>
      </c>
      <c r="J3942">
        <f t="shared" si="185"/>
        <v>15840</v>
      </c>
    </row>
    <row r="3943" spans="1:10" x14ac:dyDescent="0.45">
      <c r="A3943" t="s">
        <v>3434</v>
      </c>
      <c r="B3943" s="1">
        <v>45928</v>
      </c>
      <c r="C3943" t="s">
        <v>33</v>
      </c>
      <c r="D3943" t="s">
        <v>14</v>
      </c>
      <c r="E3943">
        <v>800</v>
      </c>
      <c r="F3943">
        <v>7</v>
      </c>
      <c r="G3943">
        <f t="shared" si="183"/>
        <v>5600</v>
      </c>
      <c r="H3943" t="s">
        <v>7</v>
      </c>
      <c r="I3943">
        <f t="shared" si="184"/>
        <v>960</v>
      </c>
      <c r="J3943">
        <f t="shared" si="185"/>
        <v>6720</v>
      </c>
    </row>
    <row r="3944" spans="1:10" x14ac:dyDescent="0.45">
      <c r="A3944" t="s">
        <v>2066</v>
      </c>
      <c r="B3944" s="1">
        <v>45929</v>
      </c>
      <c r="C3944" t="s">
        <v>9</v>
      </c>
      <c r="D3944" t="s">
        <v>25</v>
      </c>
      <c r="E3944">
        <v>5200</v>
      </c>
      <c r="F3944">
        <v>5</v>
      </c>
      <c r="G3944">
        <f t="shared" si="183"/>
        <v>26000</v>
      </c>
      <c r="H3944" t="s">
        <v>7</v>
      </c>
      <c r="I3944">
        <f t="shared" si="184"/>
        <v>6240</v>
      </c>
      <c r="J3944">
        <f t="shared" si="185"/>
        <v>31200</v>
      </c>
    </row>
    <row r="3945" spans="1:10" x14ac:dyDescent="0.45">
      <c r="A3945" t="s">
        <v>2067</v>
      </c>
      <c r="B3945" s="1">
        <v>45929</v>
      </c>
      <c r="C3945" t="s">
        <v>4007</v>
      </c>
      <c r="D3945" t="s">
        <v>5015</v>
      </c>
      <c r="E3945">
        <v>48000</v>
      </c>
      <c r="F3945">
        <v>8</v>
      </c>
      <c r="G3945">
        <f t="shared" si="183"/>
        <v>384000</v>
      </c>
      <c r="H3945" t="s">
        <v>7</v>
      </c>
      <c r="I3945">
        <f t="shared" si="184"/>
        <v>57600</v>
      </c>
      <c r="J3945">
        <f t="shared" si="185"/>
        <v>460800</v>
      </c>
    </row>
    <row r="3946" spans="1:10" x14ac:dyDescent="0.45">
      <c r="A3946" t="s">
        <v>2068</v>
      </c>
      <c r="B3946" s="1">
        <v>45929</v>
      </c>
      <c r="C3946" t="s">
        <v>4007</v>
      </c>
      <c r="D3946" t="s">
        <v>39</v>
      </c>
      <c r="E3946">
        <v>6000</v>
      </c>
      <c r="F3946">
        <v>6</v>
      </c>
      <c r="G3946">
        <f t="shared" si="183"/>
        <v>36000</v>
      </c>
      <c r="H3946" t="s">
        <v>17</v>
      </c>
      <c r="I3946">
        <f t="shared" si="184"/>
        <v>7200</v>
      </c>
      <c r="J3946">
        <f t="shared" si="185"/>
        <v>43200</v>
      </c>
    </row>
    <row r="3947" spans="1:10" x14ac:dyDescent="0.45">
      <c r="A3947" t="s">
        <v>2069</v>
      </c>
      <c r="B3947" s="1">
        <v>45929</v>
      </c>
      <c r="C3947" t="s">
        <v>9</v>
      </c>
      <c r="D3947" t="s">
        <v>25</v>
      </c>
      <c r="E3947">
        <v>5200</v>
      </c>
      <c r="F3947">
        <v>5</v>
      </c>
      <c r="G3947">
        <f t="shared" si="183"/>
        <v>26000</v>
      </c>
      <c r="H3947" t="s">
        <v>7</v>
      </c>
      <c r="I3947">
        <f t="shared" si="184"/>
        <v>6240</v>
      </c>
      <c r="J3947">
        <f t="shared" si="185"/>
        <v>31200</v>
      </c>
    </row>
    <row r="3948" spans="1:10" x14ac:dyDescent="0.45">
      <c r="A3948" t="s">
        <v>2070</v>
      </c>
      <c r="B3948" s="1">
        <v>45929</v>
      </c>
      <c r="C3948" t="s">
        <v>12</v>
      </c>
      <c r="D3948" t="s">
        <v>5023</v>
      </c>
      <c r="E3948">
        <v>1750</v>
      </c>
      <c r="F3948">
        <v>5</v>
      </c>
      <c r="G3948">
        <f t="shared" si="183"/>
        <v>8750</v>
      </c>
      <c r="H3948" t="s">
        <v>7</v>
      </c>
      <c r="I3948">
        <f t="shared" si="184"/>
        <v>2100</v>
      </c>
      <c r="J3948">
        <f t="shared" si="185"/>
        <v>10500</v>
      </c>
    </row>
    <row r="3949" spans="1:10" x14ac:dyDescent="0.45">
      <c r="A3949" t="s">
        <v>2071</v>
      </c>
      <c r="B3949" s="1">
        <v>45929</v>
      </c>
      <c r="C3949" t="s">
        <v>4007</v>
      </c>
      <c r="D3949" t="s">
        <v>5015</v>
      </c>
      <c r="E3949">
        <v>48000</v>
      </c>
      <c r="F3949">
        <v>4</v>
      </c>
      <c r="G3949">
        <f t="shared" si="183"/>
        <v>192000</v>
      </c>
      <c r="H3949" t="s">
        <v>17</v>
      </c>
      <c r="I3949">
        <f t="shared" si="184"/>
        <v>57600</v>
      </c>
      <c r="J3949">
        <f t="shared" si="185"/>
        <v>230400</v>
      </c>
    </row>
    <row r="3950" spans="1:10" x14ac:dyDescent="0.45">
      <c r="A3950" t="s">
        <v>2072</v>
      </c>
      <c r="B3950" s="1">
        <v>45929</v>
      </c>
      <c r="C3950" t="s">
        <v>9</v>
      </c>
      <c r="D3950" t="s">
        <v>10</v>
      </c>
      <c r="E3950">
        <v>400</v>
      </c>
      <c r="F3950">
        <v>4</v>
      </c>
      <c r="G3950">
        <f t="shared" si="183"/>
        <v>1600</v>
      </c>
      <c r="H3950" t="s">
        <v>7</v>
      </c>
      <c r="I3950">
        <f t="shared" si="184"/>
        <v>480</v>
      </c>
      <c r="J3950">
        <f t="shared" si="185"/>
        <v>1920</v>
      </c>
    </row>
    <row r="3951" spans="1:10" x14ac:dyDescent="0.45">
      <c r="A3951" t="s">
        <v>2073</v>
      </c>
      <c r="B3951" s="1">
        <v>45929</v>
      </c>
      <c r="C3951" t="s">
        <v>12</v>
      </c>
      <c r="D3951" t="s">
        <v>5022</v>
      </c>
      <c r="E3951">
        <v>2880</v>
      </c>
      <c r="F3951">
        <v>1</v>
      </c>
      <c r="G3951">
        <f t="shared" si="183"/>
        <v>2880</v>
      </c>
      <c r="H3951" t="s">
        <v>7</v>
      </c>
      <c r="I3951">
        <f t="shared" si="184"/>
        <v>3456</v>
      </c>
      <c r="J3951">
        <f t="shared" si="185"/>
        <v>3456</v>
      </c>
    </row>
    <row r="3952" spans="1:10" x14ac:dyDescent="0.45">
      <c r="A3952" t="s">
        <v>2897</v>
      </c>
      <c r="B3952" s="1">
        <v>45929</v>
      </c>
      <c r="C3952" t="s">
        <v>2772</v>
      </c>
      <c r="D3952" t="s">
        <v>2771</v>
      </c>
      <c r="E3952">
        <v>120</v>
      </c>
      <c r="F3952">
        <v>7</v>
      </c>
      <c r="G3952">
        <f t="shared" si="183"/>
        <v>840</v>
      </c>
      <c r="H3952" t="s">
        <v>7</v>
      </c>
      <c r="I3952">
        <f t="shared" si="184"/>
        <v>144</v>
      </c>
      <c r="J3952">
        <f t="shared" si="185"/>
        <v>1008</v>
      </c>
    </row>
    <row r="3953" spans="1:10" x14ac:dyDescent="0.45">
      <c r="A3953" t="s">
        <v>3247</v>
      </c>
      <c r="B3953" s="1">
        <v>45929</v>
      </c>
      <c r="C3953" t="s">
        <v>4007</v>
      </c>
      <c r="D3953" t="s">
        <v>2773</v>
      </c>
      <c r="E3953">
        <v>3300</v>
      </c>
      <c r="F3953">
        <v>5</v>
      </c>
      <c r="G3953">
        <f t="shared" si="183"/>
        <v>16500</v>
      </c>
      <c r="H3953" t="s">
        <v>21</v>
      </c>
      <c r="I3953">
        <f t="shared" si="184"/>
        <v>3960</v>
      </c>
      <c r="J3953">
        <f t="shared" si="185"/>
        <v>19800</v>
      </c>
    </row>
    <row r="3954" spans="1:10" x14ac:dyDescent="0.45">
      <c r="A3954" t="s">
        <v>3431</v>
      </c>
      <c r="B3954" s="1">
        <v>45929</v>
      </c>
      <c r="C3954" t="s">
        <v>4007</v>
      </c>
      <c r="D3954" t="s">
        <v>2770</v>
      </c>
      <c r="E3954">
        <v>600</v>
      </c>
      <c r="F3954">
        <v>10</v>
      </c>
      <c r="G3954">
        <f t="shared" si="183"/>
        <v>6000</v>
      </c>
      <c r="H3954" t="s">
        <v>17</v>
      </c>
      <c r="I3954">
        <f t="shared" si="184"/>
        <v>720</v>
      </c>
      <c r="J3954">
        <f t="shared" si="185"/>
        <v>7200</v>
      </c>
    </row>
    <row r="3955" spans="1:10" x14ac:dyDescent="0.45">
      <c r="A3955" t="s">
        <v>3493</v>
      </c>
      <c r="B3955" s="1">
        <v>45929</v>
      </c>
      <c r="C3955" t="s">
        <v>4007</v>
      </c>
      <c r="D3955" t="s">
        <v>2776</v>
      </c>
      <c r="E3955">
        <v>3600</v>
      </c>
      <c r="F3955">
        <v>7</v>
      </c>
      <c r="G3955">
        <f t="shared" si="183"/>
        <v>25200</v>
      </c>
      <c r="H3955" t="s">
        <v>21</v>
      </c>
      <c r="I3955">
        <f t="shared" si="184"/>
        <v>4320</v>
      </c>
      <c r="J3955">
        <f t="shared" si="185"/>
        <v>30240</v>
      </c>
    </row>
    <row r="3956" spans="1:10" x14ac:dyDescent="0.45">
      <c r="A3956" t="s">
        <v>2074</v>
      </c>
      <c r="B3956" s="1">
        <v>45930</v>
      </c>
      <c r="C3956" t="s">
        <v>33</v>
      </c>
      <c r="D3956" t="s">
        <v>42</v>
      </c>
      <c r="E3956">
        <v>6900</v>
      </c>
      <c r="F3956">
        <v>6</v>
      </c>
      <c r="G3956">
        <f t="shared" si="183"/>
        <v>41400</v>
      </c>
      <c r="H3956" t="s">
        <v>21</v>
      </c>
      <c r="I3956">
        <f t="shared" si="184"/>
        <v>8280</v>
      </c>
      <c r="J3956">
        <f t="shared" si="185"/>
        <v>49680</v>
      </c>
    </row>
    <row r="3957" spans="1:10" x14ac:dyDescent="0.45">
      <c r="A3957" t="s">
        <v>2075</v>
      </c>
      <c r="B3957" s="1">
        <v>45930</v>
      </c>
      <c r="C3957" t="s">
        <v>9</v>
      </c>
      <c r="D3957" t="s">
        <v>19</v>
      </c>
      <c r="E3957">
        <v>3000</v>
      </c>
      <c r="F3957">
        <v>7</v>
      </c>
      <c r="G3957">
        <f t="shared" si="183"/>
        <v>21000</v>
      </c>
      <c r="H3957" t="s">
        <v>7</v>
      </c>
      <c r="I3957">
        <f t="shared" si="184"/>
        <v>3600</v>
      </c>
      <c r="J3957">
        <f t="shared" si="185"/>
        <v>25200</v>
      </c>
    </row>
    <row r="3958" spans="1:10" x14ac:dyDescent="0.45">
      <c r="A3958" t="s">
        <v>2076</v>
      </c>
      <c r="B3958" s="1">
        <v>45930</v>
      </c>
      <c r="C3958" t="s">
        <v>12</v>
      </c>
      <c r="D3958" t="s">
        <v>5022</v>
      </c>
      <c r="E3958">
        <v>2880</v>
      </c>
      <c r="F3958">
        <v>6</v>
      </c>
      <c r="G3958">
        <f t="shared" si="183"/>
        <v>17280</v>
      </c>
      <c r="H3958" t="s">
        <v>7</v>
      </c>
      <c r="I3958">
        <f t="shared" si="184"/>
        <v>3456</v>
      </c>
      <c r="J3958">
        <f t="shared" si="185"/>
        <v>20736</v>
      </c>
    </row>
    <row r="3959" spans="1:10" x14ac:dyDescent="0.45">
      <c r="A3959" t="s">
        <v>2077</v>
      </c>
      <c r="B3959" s="1">
        <v>45930</v>
      </c>
      <c r="C3959" t="s">
        <v>12</v>
      </c>
      <c r="D3959" t="s">
        <v>5021</v>
      </c>
      <c r="E3959">
        <v>2880</v>
      </c>
      <c r="F3959">
        <v>5</v>
      </c>
      <c r="G3959">
        <f t="shared" si="183"/>
        <v>14400</v>
      </c>
      <c r="H3959" t="s">
        <v>21</v>
      </c>
      <c r="I3959">
        <f t="shared" si="184"/>
        <v>3456</v>
      </c>
      <c r="J3959">
        <f t="shared" si="185"/>
        <v>17280</v>
      </c>
    </row>
    <row r="3960" spans="1:10" x14ac:dyDescent="0.45">
      <c r="A3960" t="s">
        <v>2078</v>
      </c>
      <c r="B3960" s="1">
        <v>45930</v>
      </c>
      <c r="C3960" t="s">
        <v>4007</v>
      </c>
      <c r="D3960" t="s">
        <v>5015</v>
      </c>
      <c r="E3960">
        <v>48000</v>
      </c>
      <c r="F3960">
        <v>2</v>
      </c>
      <c r="G3960">
        <f t="shared" si="183"/>
        <v>96000</v>
      </c>
      <c r="H3960" t="s">
        <v>21</v>
      </c>
      <c r="I3960">
        <f t="shared" si="184"/>
        <v>57600</v>
      </c>
      <c r="J3960">
        <f t="shared" si="185"/>
        <v>115200</v>
      </c>
    </row>
    <row r="3961" spans="1:10" x14ac:dyDescent="0.45">
      <c r="A3961" t="s">
        <v>2853</v>
      </c>
      <c r="B3961" s="1">
        <v>45930</v>
      </c>
      <c r="C3961" t="s">
        <v>4007</v>
      </c>
      <c r="D3961" t="s">
        <v>2770</v>
      </c>
      <c r="E3961">
        <v>600</v>
      </c>
      <c r="F3961">
        <v>10</v>
      </c>
      <c r="G3961">
        <f t="shared" si="183"/>
        <v>6000</v>
      </c>
      <c r="H3961" t="s">
        <v>17</v>
      </c>
      <c r="I3961">
        <f t="shared" si="184"/>
        <v>720</v>
      </c>
      <c r="J3961">
        <f t="shared" si="185"/>
        <v>7200</v>
      </c>
    </row>
    <row r="3962" spans="1:10" x14ac:dyDescent="0.45">
      <c r="A3962" t="s">
        <v>3179</v>
      </c>
      <c r="B3962" s="1">
        <v>45930</v>
      </c>
      <c r="C3962" t="s">
        <v>2772</v>
      </c>
      <c r="D3962" t="s">
        <v>2771</v>
      </c>
      <c r="E3962">
        <v>120</v>
      </c>
      <c r="F3962">
        <v>3</v>
      </c>
      <c r="G3962">
        <f t="shared" si="183"/>
        <v>360</v>
      </c>
      <c r="H3962" t="s">
        <v>21</v>
      </c>
      <c r="I3962">
        <f t="shared" si="184"/>
        <v>144</v>
      </c>
      <c r="J3962">
        <f t="shared" si="185"/>
        <v>432</v>
      </c>
    </row>
    <row r="3963" spans="1:10" x14ac:dyDescent="0.45">
      <c r="A3963" t="s">
        <v>3327</v>
      </c>
      <c r="B3963" s="1">
        <v>45930</v>
      </c>
      <c r="C3963" t="s">
        <v>2772</v>
      </c>
      <c r="D3963" t="s">
        <v>2775</v>
      </c>
      <c r="E3963">
        <v>9100</v>
      </c>
      <c r="F3963">
        <v>9</v>
      </c>
      <c r="G3963">
        <f t="shared" si="183"/>
        <v>81900</v>
      </c>
      <c r="H3963" t="s">
        <v>7</v>
      </c>
      <c r="I3963">
        <f t="shared" si="184"/>
        <v>10920</v>
      </c>
      <c r="J3963">
        <f t="shared" si="185"/>
        <v>98280</v>
      </c>
    </row>
    <row r="3964" spans="1:10" x14ac:dyDescent="0.45">
      <c r="A3964" t="s">
        <v>3741</v>
      </c>
      <c r="B3964" s="1">
        <v>45930</v>
      </c>
      <c r="C3964" t="s">
        <v>33</v>
      </c>
      <c r="D3964" t="s">
        <v>14</v>
      </c>
      <c r="E3964">
        <v>800</v>
      </c>
      <c r="F3964">
        <v>6</v>
      </c>
      <c r="G3964">
        <f t="shared" si="183"/>
        <v>4800</v>
      </c>
      <c r="H3964" t="s">
        <v>21</v>
      </c>
      <c r="I3964">
        <f t="shared" si="184"/>
        <v>960</v>
      </c>
      <c r="J3964">
        <f t="shared" si="185"/>
        <v>5760</v>
      </c>
    </row>
    <row r="3965" spans="1:10" x14ac:dyDescent="0.45">
      <c r="A3965" t="s">
        <v>2079</v>
      </c>
      <c r="B3965" s="1">
        <v>45931</v>
      </c>
      <c r="C3965" t="s">
        <v>9</v>
      </c>
      <c r="D3965" t="s">
        <v>10</v>
      </c>
      <c r="E3965">
        <v>400</v>
      </c>
      <c r="F3965">
        <v>9</v>
      </c>
      <c r="G3965">
        <f t="shared" si="183"/>
        <v>3600</v>
      </c>
      <c r="H3965" t="s">
        <v>17</v>
      </c>
      <c r="I3965">
        <f t="shared" si="184"/>
        <v>480</v>
      </c>
      <c r="J3965">
        <f t="shared" si="185"/>
        <v>4320</v>
      </c>
    </row>
    <row r="3966" spans="1:10" x14ac:dyDescent="0.45">
      <c r="A3966" t="s">
        <v>2080</v>
      </c>
      <c r="B3966" s="1">
        <v>45931</v>
      </c>
      <c r="C3966" t="s">
        <v>9</v>
      </c>
      <c r="D3966" t="s">
        <v>25</v>
      </c>
      <c r="E3966">
        <v>5200</v>
      </c>
      <c r="F3966">
        <v>5</v>
      </c>
      <c r="G3966">
        <f t="shared" si="183"/>
        <v>26000</v>
      </c>
      <c r="H3966" t="s">
        <v>21</v>
      </c>
      <c r="I3966">
        <f t="shared" si="184"/>
        <v>6240</v>
      </c>
      <c r="J3966">
        <f t="shared" si="185"/>
        <v>31200</v>
      </c>
    </row>
    <row r="3967" spans="1:10" x14ac:dyDescent="0.45">
      <c r="A3967" t="s">
        <v>2081</v>
      </c>
      <c r="B3967" s="1">
        <v>45931</v>
      </c>
      <c r="C3967" t="s">
        <v>9</v>
      </c>
      <c r="D3967" t="s">
        <v>19</v>
      </c>
      <c r="E3967">
        <v>3000</v>
      </c>
      <c r="F3967">
        <v>3</v>
      </c>
      <c r="G3967">
        <f t="shared" si="183"/>
        <v>9000</v>
      </c>
      <c r="H3967" t="s">
        <v>21</v>
      </c>
      <c r="I3967">
        <f t="shared" si="184"/>
        <v>3600</v>
      </c>
      <c r="J3967">
        <f t="shared" si="185"/>
        <v>10800</v>
      </c>
    </row>
    <row r="3968" spans="1:10" x14ac:dyDescent="0.45">
      <c r="A3968" t="s">
        <v>2082</v>
      </c>
      <c r="B3968" s="1">
        <v>45931</v>
      </c>
      <c r="C3968" t="s">
        <v>4007</v>
      </c>
      <c r="D3968" t="s">
        <v>39</v>
      </c>
      <c r="E3968">
        <v>6000</v>
      </c>
      <c r="F3968">
        <v>3</v>
      </c>
      <c r="G3968">
        <f t="shared" si="183"/>
        <v>18000</v>
      </c>
      <c r="H3968" t="s">
        <v>21</v>
      </c>
      <c r="I3968">
        <f t="shared" si="184"/>
        <v>7200</v>
      </c>
      <c r="J3968">
        <f t="shared" si="185"/>
        <v>21600</v>
      </c>
    </row>
    <row r="3969" spans="1:10" x14ac:dyDescent="0.45">
      <c r="A3969" t="s">
        <v>2083</v>
      </c>
      <c r="B3969" s="1">
        <v>45931</v>
      </c>
      <c r="C3969" t="s">
        <v>12</v>
      </c>
      <c r="D3969" t="s">
        <v>5020</v>
      </c>
      <c r="E3969">
        <v>2880</v>
      </c>
      <c r="F3969">
        <v>7</v>
      </c>
      <c r="G3969">
        <f t="shared" si="183"/>
        <v>20160</v>
      </c>
      <c r="H3969" t="s">
        <v>7</v>
      </c>
      <c r="I3969">
        <f t="shared" si="184"/>
        <v>3456</v>
      </c>
      <c r="J3969">
        <f t="shared" si="185"/>
        <v>24192</v>
      </c>
    </row>
    <row r="3970" spans="1:10" x14ac:dyDescent="0.45">
      <c r="A3970" t="s">
        <v>2084</v>
      </c>
      <c r="B3970" s="1">
        <v>45931</v>
      </c>
      <c r="C3970" t="s">
        <v>4007</v>
      </c>
      <c r="D3970" t="s">
        <v>39</v>
      </c>
      <c r="E3970">
        <v>6000</v>
      </c>
      <c r="F3970">
        <v>7</v>
      </c>
      <c r="G3970">
        <f t="shared" ref="G3970:G4033" si="186">E3970*F3970</f>
        <v>42000</v>
      </c>
      <c r="H3970" t="s">
        <v>7</v>
      </c>
      <c r="I3970">
        <f t="shared" ref="I3970:I4033" si="187">E3970*1.2</f>
        <v>7200</v>
      </c>
      <c r="J3970">
        <f t="shared" ref="J3970:J4033" si="188">I3970*F3970</f>
        <v>50400</v>
      </c>
    </row>
    <row r="3971" spans="1:10" x14ac:dyDescent="0.45">
      <c r="A3971" t="s">
        <v>2085</v>
      </c>
      <c r="B3971" s="1">
        <v>45931</v>
      </c>
      <c r="C3971" t="s">
        <v>4007</v>
      </c>
      <c r="D3971" t="s">
        <v>5015</v>
      </c>
      <c r="E3971">
        <v>48000</v>
      </c>
      <c r="F3971">
        <v>6</v>
      </c>
      <c r="G3971">
        <f t="shared" si="186"/>
        <v>288000</v>
      </c>
      <c r="H3971" t="s">
        <v>17</v>
      </c>
      <c r="I3971">
        <f t="shared" si="187"/>
        <v>57600</v>
      </c>
      <c r="J3971">
        <f t="shared" si="188"/>
        <v>345600</v>
      </c>
    </row>
    <row r="3972" spans="1:10" x14ac:dyDescent="0.45">
      <c r="A3972" t="s">
        <v>2086</v>
      </c>
      <c r="B3972" s="1">
        <v>45931</v>
      </c>
      <c r="C3972" t="s">
        <v>33</v>
      </c>
      <c r="D3972" t="s">
        <v>42</v>
      </c>
      <c r="E3972">
        <v>6900</v>
      </c>
      <c r="F3972">
        <v>5</v>
      </c>
      <c r="G3972">
        <f t="shared" si="186"/>
        <v>34500</v>
      </c>
      <c r="H3972" t="s">
        <v>17</v>
      </c>
      <c r="I3972">
        <f t="shared" si="187"/>
        <v>8280</v>
      </c>
      <c r="J3972">
        <f t="shared" si="188"/>
        <v>41400</v>
      </c>
    </row>
    <row r="3973" spans="1:10" x14ac:dyDescent="0.45">
      <c r="A3973" t="s">
        <v>2864</v>
      </c>
      <c r="B3973" s="1">
        <v>45931</v>
      </c>
      <c r="C3973" t="s">
        <v>4007</v>
      </c>
      <c r="D3973" t="s">
        <v>2774</v>
      </c>
      <c r="E3973">
        <v>1900</v>
      </c>
      <c r="F3973">
        <v>2</v>
      </c>
      <c r="G3973">
        <f t="shared" si="186"/>
        <v>3800</v>
      </c>
      <c r="H3973" t="s">
        <v>21</v>
      </c>
      <c r="I3973">
        <f t="shared" si="187"/>
        <v>2280</v>
      </c>
      <c r="J3973">
        <f t="shared" si="188"/>
        <v>4560</v>
      </c>
    </row>
    <row r="3974" spans="1:10" x14ac:dyDescent="0.45">
      <c r="A3974" t="s">
        <v>2996</v>
      </c>
      <c r="B3974" s="1">
        <v>45931</v>
      </c>
      <c r="C3974" t="s">
        <v>4007</v>
      </c>
      <c r="D3974" t="s">
        <v>2776</v>
      </c>
      <c r="E3974">
        <v>3600</v>
      </c>
      <c r="F3974">
        <v>2</v>
      </c>
      <c r="G3974">
        <f t="shared" si="186"/>
        <v>7200</v>
      </c>
      <c r="H3974" t="s">
        <v>21</v>
      </c>
      <c r="I3974">
        <f t="shared" si="187"/>
        <v>4320</v>
      </c>
      <c r="J3974">
        <f t="shared" si="188"/>
        <v>8640</v>
      </c>
    </row>
    <row r="3975" spans="1:10" x14ac:dyDescent="0.45">
      <c r="A3975" t="s">
        <v>3021</v>
      </c>
      <c r="B3975" s="1">
        <v>45931</v>
      </c>
      <c r="C3975" t="s">
        <v>33</v>
      </c>
      <c r="D3975" t="s">
        <v>34</v>
      </c>
      <c r="E3975">
        <v>1700</v>
      </c>
      <c r="F3975">
        <v>5</v>
      </c>
      <c r="G3975">
        <f t="shared" si="186"/>
        <v>8500</v>
      </c>
      <c r="H3975" t="s">
        <v>7</v>
      </c>
      <c r="I3975">
        <f t="shared" si="187"/>
        <v>2040</v>
      </c>
      <c r="J3975">
        <f t="shared" si="188"/>
        <v>10200</v>
      </c>
    </row>
    <row r="3976" spans="1:10" x14ac:dyDescent="0.45">
      <c r="A3976" t="s">
        <v>3238</v>
      </c>
      <c r="B3976" s="1">
        <v>45931</v>
      </c>
      <c r="C3976" t="s">
        <v>33</v>
      </c>
      <c r="D3976" t="s">
        <v>14</v>
      </c>
      <c r="E3976">
        <v>800</v>
      </c>
      <c r="F3976">
        <v>10</v>
      </c>
      <c r="G3976">
        <f t="shared" si="186"/>
        <v>8000</v>
      </c>
      <c r="H3976" t="s">
        <v>17</v>
      </c>
      <c r="I3976">
        <f t="shared" si="187"/>
        <v>960</v>
      </c>
      <c r="J3976">
        <f t="shared" si="188"/>
        <v>9600</v>
      </c>
    </row>
    <row r="3977" spans="1:10" x14ac:dyDescent="0.45">
      <c r="A3977" t="s">
        <v>3323</v>
      </c>
      <c r="B3977" s="1">
        <v>45931</v>
      </c>
      <c r="C3977" t="s">
        <v>33</v>
      </c>
      <c r="D3977" t="s">
        <v>14</v>
      </c>
      <c r="E3977">
        <v>800</v>
      </c>
      <c r="F3977">
        <v>1</v>
      </c>
      <c r="G3977">
        <f t="shared" si="186"/>
        <v>800</v>
      </c>
      <c r="H3977" t="s">
        <v>21</v>
      </c>
      <c r="I3977">
        <f t="shared" si="187"/>
        <v>960</v>
      </c>
      <c r="J3977">
        <f t="shared" si="188"/>
        <v>960</v>
      </c>
    </row>
    <row r="3978" spans="1:10" x14ac:dyDescent="0.45">
      <c r="A3978" t="s">
        <v>3602</v>
      </c>
      <c r="B3978" s="1">
        <v>45931</v>
      </c>
      <c r="C3978" t="s">
        <v>2772</v>
      </c>
      <c r="D3978" t="s">
        <v>2775</v>
      </c>
      <c r="E3978">
        <v>9100</v>
      </c>
      <c r="F3978">
        <v>9</v>
      </c>
      <c r="G3978">
        <f t="shared" si="186"/>
        <v>81900</v>
      </c>
      <c r="H3978" t="s">
        <v>17</v>
      </c>
      <c r="I3978">
        <f t="shared" si="187"/>
        <v>10920</v>
      </c>
      <c r="J3978">
        <f t="shared" si="188"/>
        <v>98280</v>
      </c>
    </row>
    <row r="3979" spans="1:10" x14ac:dyDescent="0.45">
      <c r="A3979" t="s">
        <v>3921</v>
      </c>
      <c r="B3979" s="1">
        <v>45931</v>
      </c>
      <c r="C3979" t="s">
        <v>4007</v>
      </c>
      <c r="D3979" t="s">
        <v>5015</v>
      </c>
      <c r="E3979">
        <v>48000</v>
      </c>
      <c r="F3979">
        <v>2</v>
      </c>
      <c r="G3979">
        <f t="shared" si="186"/>
        <v>96000</v>
      </c>
      <c r="H3979" t="s">
        <v>7</v>
      </c>
      <c r="I3979">
        <f t="shared" si="187"/>
        <v>57600</v>
      </c>
      <c r="J3979">
        <f t="shared" si="188"/>
        <v>115200</v>
      </c>
    </row>
    <row r="3980" spans="1:10" x14ac:dyDescent="0.45">
      <c r="A3980" t="s">
        <v>3976</v>
      </c>
      <c r="B3980" s="1">
        <v>45931</v>
      </c>
      <c r="C3980" t="s">
        <v>2772</v>
      </c>
      <c r="D3980" t="s">
        <v>2771</v>
      </c>
      <c r="E3980">
        <v>120</v>
      </c>
      <c r="F3980">
        <v>3</v>
      </c>
      <c r="G3980">
        <f t="shared" si="186"/>
        <v>360</v>
      </c>
      <c r="H3980" t="s">
        <v>17</v>
      </c>
      <c r="I3980">
        <f t="shared" si="187"/>
        <v>144</v>
      </c>
      <c r="J3980">
        <f t="shared" si="188"/>
        <v>432</v>
      </c>
    </row>
    <row r="3981" spans="1:10" x14ac:dyDescent="0.45">
      <c r="A3981" t="s">
        <v>2087</v>
      </c>
      <c r="B3981" s="1">
        <v>45932</v>
      </c>
      <c r="C3981" t="s">
        <v>33</v>
      </c>
      <c r="D3981" t="s">
        <v>14</v>
      </c>
      <c r="E3981">
        <v>800</v>
      </c>
      <c r="F3981">
        <v>8</v>
      </c>
      <c r="G3981">
        <f t="shared" si="186"/>
        <v>6400</v>
      </c>
      <c r="H3981" t="s">
        <v>21</v>
      </c>
      <c r="I3981">
        <f t="shared" si="187"/>
        <v>960</v>
      </c>
      <c r="J3981">
        <f t="shared" si="188"/>
        <v>7680</v>
      </c>
    </row>
    <row r="3982" spans="1:10" x14ac:dyDescent="0.45">
      <c r="A3982" t="s">
        <v>2088</v>
      </c>
      <c r="B3982" s="1">
        <v>45932</v>
      </c>
      <c r="C3982" t="s">
        <v>33</v>
      </c>
      <c r="D3982" t="s">
        <v>34</v>
      </c>
      <c r="E3982">
        <v>1700</v>
      </c>
      <c r="F3982">
        <v>4</v>
      </c>
      <c r="G3982">
        <f t="shared" si="186"/>
        <v>6800</v>
      </c>
      <c r="H3982" t="s">
        <v>17</v>
      </c>
      <c r="I3982">
        <f t="shared" si="187"/>
        <v>2040</v>
      </c>
      <c r="J3982">
        <f t="shared" si="188"/>
        <v>8160</v>
      </c>
    </row>
    <row r="3983" spans="1:10" x14ac:dyDescent="0.45">
      <c r="A3983" t="s">
        <v>2089</v>
      </c>
      <c r="B3983" s="1">
        <v>45932</v>
      </c>
      <c r="C3983" t="s">
        <v>9</v>
      </c>
      <c r="D3983" t="s">
        <v>19</v>
      </c>
      <c r="E3983">
        <v>3000</v>
      </c>
      <c r="F3983">
        <v>3</v>
      </c>
      <c r="G3983">
        <f t="shared" si="186"/>
        <v>9000</v>
      </c>
      <c r="H3983" t="s">
        <v>17</v>
      </c>
      <c r="I3983">
        <f t="shared" si="187"/>
        <v>3600</v>
      </c>
      <c r="J3983">
        <f t="shared" si="188"/>
        <v>10800</v>
      </c>
    </row>
    <row r="3984" spans="1:10" x14ac:dyDescent="0.45">
      <c r="A3984" t="s">
        <v>2090</v>
      </c>
      <c r="B3984" s="1">
        <v>45932</v>
      </c>
      <c r="C3984" t="s">
        <v>33</v>
      </c>
      <c r="D3984" t="s">
        <v>14</v>
      </c>
      <c r="E3984">
        <v>800</v>
      </c>
      <c r="F3984">
        <v>6</v>
      </c>
      <c r="G3984">
        <f t="shared" si="186"/>
        <v>4800</v>
      </c>
      <c r="H3984" t="s">
        <v>17</v>
      </c>
      <c r="I3984">
        <f t="shared" si="187"/>
        <v>960</v>
      </c>
      <c r="J3984">
        <f t="shared" si="188"/>
        <v>5760</v>
      </c>
    </row>
    <row r="3985" spans="1:10" x14ac:dyDescent="0.45">
      <c r="A3985" t="s">
        <v>2091</v>
      </c>
      <c r="B3985" s="1">
        <v>45932</v>
      </c>
      <c r="C3985" t="s">
        <v>4007</v>
      </c>
      <c r="D3985" t="s">
        <v>28</v>
      </c>
      <c r="E3985">
        <v>500</v>
      </c>
      <c r="F3985">
        <v>9</v>
      </c>
      <c r="G3985">
        <f t="shared" si="186"/>
        <v>4500</v>
      </c>
      <c r="H3985" t="s">
        <v>21</v>
      </c>
      <c r="I3985">
        <f t="shared" si="187"/>
        <v>600</v>
      </c>
      <c r="J3985">
        <f t="shared" si="188"/>
        <v>5400</v>
      </c>
    </row>
    <row r="3986" spans="1:10" x14ac:dyDescent="0.45">
      <c r="A3986" t="s">
        <v>2815</v>
      </c>
      <c r="B3986" s="1">
        <v>45932</v>
      </c>
      <c r="C3986" t="s">
        <v>2772</v>
      </c>
      <c r="D3986" t="s">
        <v>2775</v>
      </c>
      <c r="E3986">
        <v>9100</v>
      </c>
      <c r="F3986">
        <v>9</v>
      </c>
      <c r="G3986">
        <f t="shared" si="186"/>
        <v>81900</v>
      </c>
      <c r="H3986" t="s">
        <v>17</v>
      </c>
      <c r="I3986">
        <f t="shared" si="187"/>
        <v>10920</v>
      </c>
      <c r="J3986">
        <f t="shared" si="188"/>
        <v>98280</v>
      </c>
    </row>
    <row r="3987" spans="1:10" x14ac:dyDescent="0.45">
      <c r="A3987" t="s">
        <v>2834</v>
      </c>
      <c r="B3987" s="1">
        <v>45932</v>
      </c>
      <c r="C3987" t="s">
        <v>4007</v>
      </c>
      <c r="D3987" t="s">
        <v>5015</v>
      </c>
      <c r="E3987">
        <v>48000</v>
      </c>
      <c r="F3987">
        <v>6</v>
      </c>
      <c r="G3987">
        <f t="shared" si="186"/>
        <v>288000</v>
      </c>
      <c r="H3987" t="s">
        <v>17</v>
      </c>
      <c r="I3987">
        <f t="shared" si="187"/>
        <v>57600</v>
      </c>
      <c r="J3987">
        <f t="shared" si="188"/>
        <v>345600</v>
      </c>
    </row>
    <row r="3988" spans="1:10" x14ac:dyDescent="0.45">
      <c r="A3988" t="s">
        <v>3111</v>
      </c>
      <c r="B3988" s="1">
        <v>45932</v>
      </c>
      <c r="C3988" t="s">
        <v>4007</v>
      </c>
      <c r="D3988" t="s">
        <v>2774</v>
      </c>
      <c r="E3988">
        <v>1900</v>
      </c>
      <c r="F3988">
        <v>1</v>
      </c>
      <c r="G3988">
        <f t="shared" si="186"/>
        <v>1900</v>
      </c>
      <c r="H3988" t="s">
        <v>17</v>
      </c>
      <c r="I3988">
        <f t="shared" si="187"/>
        <v>2280</v>
      </c>
      <c r="J3988">
        <f t="shared" si="188"/>
        <v>2280</v>
      </c>
    </row>
    <row r="3989" spans="1:10" x14ac:dyDescent="0.45">
      <c r="A3989" t="s">
        <v>2092</v>
      </c>
      <c r="B3989" s="1">
        <v>45933</v>
      </c>
      <c r="C3989" t="s">
        <v>33</v>
      </c>
      <c r="D3989" t="s">
        <v>16</v>
      </c>
      <c r="E3989">
        <v>1200</v>
      </c>
      <c r="F3989">
        <v>4</v>
      </c>
      <c r="G3989">
        <f t="shared" si="186"/>
        <v>4800</v>
      </c>
      <c r="H3989" t="s">
        <v>7</v>
      </c>
      <c r="I3989">
        <f t="shared" si="187"/>
        <v>1440</v>
      </c>
      <c r="J3989">
        <f t="shared" si="188"/>
        <v>5760</v>
      </c>
    </row>
    <row r="3990" spans="1:10" x14ac:dyDescent="0.45">
      <c r="A3990" t="s">
        <v>2093</v>
      </c>
      <c r="B3990" s="1">
        <v>45933</v>
      </c>
      <c r="C3990" t="s">
        <v>9</v>
      </c>
      <c r="D3990" t="s">
        <v>25</v>
      </c>
      <c r="E3990">
        <v>5200</v>
      </c>
      <c r="F3990">
        <v>5</v>
      </c>
      <c r="G3990">
        <f t="shared" si="186"/>
        <v>26000</v>
      </c>
      <c r="H3990" t="s">
        <v>7</v>
      </c>
      <c r="I3990">
        <f t="shared" si="187"/>
        <v>6240</v>
      </c>
      <c r="J3990">
        <f t="shared" si="188"/>
        <v>31200</v>
      </c>
    </row>
    <row r="3991" spans="1:10" x14ac:dyDescent="0.45">
      <c r="A3991" t="s">
        <v>2094</v>
      </c>
      <c r="B3991" s="1">
        <v>45933</v>
      </c>
      <c r="C3991" t="s">
        <v>4007</v>
      </c>
      <c r="D3991" t="s">
        <v>5015</v>
      </c>
      <c r="E3991">
        <v>48000</v>
      </c>
      <c r="F3991">
        <v>10</v>
      </c>
      <c r="G3991">
        <f t="shared" si="186"/>
        <v>480000</v>
      </c>
      <c r="H3991" t="s">
        <v>21</v>
      </c>
      <c r="I3991">
        <f t="shared" si="187"/>
        <v>57600</v>
      </c>
      <c r="J3991">
        <f t="shared" si="188"/>
        <v>576000</v>
      </c>
    </row>
    <row r="3992" spans="1:10" x14ac:dyDescent="0.45">
      <c r="A3992" t="s">
        <v>2095</v>
      </c>
      <c r="B3992" s="1">
        <v>45933</v>
      </c>
      <c r="C3992" t="s">
        <v>12</v>
      </c>
      <c r="D3992" t="s">
        <v>5023</v>
      </c>
      <c r="E3992">
        <v>1750</v>
      </c>
      <c r="F3992">
        <v>4</v>
      </c>
      <c r="G3992">
        <f t="shared" si="186"/>
        <v>7000</v>
      </c>
      <c r="H3992" t="s">
        <v>17</v>
      </c>
      <c r="I3992">
        <f t="shared" si="187"/>
        <v>2100</v>
      </c>
      <c r="J3992">
        <f t="shared" si="188"/>
        <v>8400</v>
      </c>
    </row>
    <row r="3993" spans="1:10" x14ac:dyDescent="0.45">
      <c r="A3993" t="s">
        <v>2096</v>
      </c>
      <c r="B3993" s="1">
        <v>45933</v>
      </c>
      <c r="C3993" t="s">
        <v>4007</v>
      </c>
      <c r="D3993" t="s">
        <v>39</v>
      </c>
      <c r="E3993">
        <v>6000</v>
      </c>
      <c r="F3993">
        <v>1</v>
      </c>
      <c r="G3993">
        <f t="shared" si="186"/>
        <v>6000</v>
      </c>
      <c r="H3993" t="s">
        <v>7</v>
      </c>
      <c r="I3993">
        <f t="shared" si="187"/>
        <v>7200</v>
      </c>
      <c r="J3993">
        <f t="shared" si="188"/>
        <v>7200</v>
      </c>
    </row>
    <row r="3994" spans="1:10" x14ac:dyDescent="0.45">
      <c r="A3994" t="s">
        <v>2097</v>
      </c>
      <c r="B3994" s="1">
        <v>45933</v>
      </c>
      <c r="C3994" t="s">
        <v>12</v>
      </c>
      <c r="D3994" t="s">
        <v>5020</v>
      </c>
      <c r="E3994">
        <v>2880</v>
      </c>
      <c r="F3994">
        <v>2</v>
      </c>
      <c r="G3994">
        <f t="shared" si="186"/>
        <v>5760</v>
      </c>
      <c r="H3994" t="s">
        <v>17</v>
      </c>
      <c r="I3994">
        <f t="shared" si="187"/>
        <v>3456</v>
      </c>
      <c r="J3994">
        <f t="shared" si="188"/>
        <v>6912</v>
      </c>
    </row>
    <row r="3995" spans="1:10" x14ac:dyDescent="0.45">
      <c r="A3995" t="s">
        <v>2098</v>
      </c>
      <c r="B3995" s="1">
        <v>45933</v>
      </c>
      <c r="C3995" t="s">
        <v>12</v>
      </c>
      <c r="D3995" t="s">
        <v>5022</v>
      </c>
      <c r="E3995">
        <v>2880</v>
      </c>
      <c r="F3995">
        <v>6</v>
      </c>
      <c r="G3995">
        <f t="shared" si="186"/>
        <v>17280</v>
      </c>
      <c r="H3995" t="s">
        <v>21</v>
      </c>
      <c r="I3995">
        <f t="shared" si="187"/>
        <v>3456</v>
      </c>
      <c r="J3995">
        <f t="shared" si="188"/>
        <v>20736</v>
      </c>
    </row>
    <row r="3996" spans="1:10" x14ac:dyDescent="0.45">
      <c r="A3996" t="s">
        <v>2099</v>
      </c>
      <c r="B3996" s="1">
        <v>45933</v>
      </c>
      <c r="C3996" t="s">
        <v>12</v>
      </c>
      <c r="D3996" t="s">
        <v>5021</v>
      </c>
      <c r="E3996">
        <v>2880</v>
      </c>
      <c r="F3996">
        <v>4</v>
      </c>
      <c r="G3996">
        <f t="shared" si="186"/>
        <v>11520</v>
      </c>
      <c r="H3996" t="s">
        <v>17</v>
      </c>
      <c r="I3996">
        <f t="shared" si="187"/>
        <v>3456</v>
      </c>
      <c r="J3996">
        <f t="shared" si="188"/>
        <v>13824</v>
      </c>
    </row>
    <row r="3997" spans="1:10" x14ac:dyDescent="0.45">
      <c r="A3997" t="s">
        <v>2100</v>
      </c>
      <c r="B3997" s="1">
        <v>45933</v>
      </c>
      <c r="C3997" t="s">
        <v>4007</v>
      </c>
      <c r="D3997" t="s">
        <v>39</v>
      </c>
      <c r="E3997">
        <v>6000</v>
      </c>
      <c r="F3997">
        <v>7</v>
      </c>
      <c r="G3997">
        <f t="shared" si="186"/>
        <v>42000</v>
      </c>
      <c r="H3997" t="s">
        <v>17</v>
      </c>
      <c r="I3997">
        <f t="shared" si="187"/>
        <v>7200</v>
      </c>
      <c r="J3997">
        <f t="shared" si="188"/>
        <v>50400</v>
      </c>
    </row>
    <row r="3998" spans="1:10" x14ac:dyDescent="0.45">
      <c r="A3998" t="s">
        <v>2850</v>
      </c>
      <c r="B3998" s="1">
        <v>45933</v>
      </c>
      <c r="C3998" t="s">
        <v>4007</v>
      </c>
      <c r="D3998" t="s">
        <v>5015</v>
      </c>
      <c r="E3998">
        <v>48000</v>
      </c>
      <c r="F3998">
        <v>8</v>
      </c>
      <c r="G3998">
        <f t="shared" si="186"/>
        <v>384000</v>
      </c>
      <c r="H3998" t="s">
        <v>7</v>
      </c>
      <c r="I3998">
        <f t="shared" si="187"/>
        <v>57600</v>
      </c>
      <c r="J3998">
        <f t="shared" si="188"/>
        <v>460800</v>
      </c>
    </row>
    <row r="3999" spans="1:10" x14ac:dyDescent="0.45">
      <c r="A3999" t="s">
        <v>3311</v>
      </c>
      <c r="B3999" s="1">
        <v>45933</v>
      </c>
      <c r="C3999" t="s">
        <v>2772</v>
      </c>
      <c r="D3999" t="s">
        <v>2771</v>
      </c>
      <c r="E3999">
        <v>120</v>
      </c>
      <c r="F3999">
        <v>5</v>
      </c>
      <c r="G3999">
        <f t="shared" si="186"/>
        <v>600</v>
      </c>
      <c r="H3999" t="s">
        <v>7</v>
      </c>
      <c r="I3999">
        <f t="shared" si="187"/>
        <v>144</v>
      </c>
      <c r="J3999">
        <f t="shared" si="188"/>
        <v>720</v>
      </c>
    </row>
    <row r="4000" spans="1:10" x14ac:dyDescent="0.45">
      <c r="A4000" t="s">
        <v>3461</v>
      </c>
      <c r="B4000" s="1">
        <v>45933</v>
      </c>
      <c r="C4000" t="s">
        <v>4007</v>
      </c>
      <c r="D4000" t="s">
        <v>2773</v>
      </c>
      <c r="E4000">
        <v>3300</v>
      </c>
      <c r="F4000">
        <v>4</v>
      </c>
      <c r="G4000">
        <f t="shared" si="186"/>
        <v>13200</v>
      </c>
      <c r="H4000" t="s">
        <v>17</v>
      </c>
      <c r="I4000">
        <f t="shared" si="187"/>
        <v>3960</v>
      </c>
      <c r="J4000">
        <f t="shared" si="188"/>
        <v>15840</v>
      </c>
    </row>
    <row r="4001" spans="1:10" x14ac:dyDescent="0.45">
      <c r="A4001" t="s">
        <v>3474</v>
      </c>
      <c r="B4001" s="1">
        <v>45933</v>
      </c>
      <c r="C4001" t="s">
        <v>33</v>
      </c>
      <c r="D4001" t="s">
        <v>34</v>
      </c>
      <c r="E4001">
        <v>1700</v>
      </c>
      <c r="F4001">
        <v>4</v>
      </c>
      <c r="G4001">
        <f t="shared" si="186"/>
        <v>6800</v>
      </c>
      <c r="H4001" t="s">
        <v>21</v>
      </c>
      <c r="I4001">
        <f t="shared" si="187"/>
        <v>2040</v>
      </c>
      <c r="J4001">
        <f t="shared" si="188"/>
        <v>8160</v>
      </c>
    </row>
    <row r="4002" spans="1:10" x14ac:dyDescent="0.45">
      <c r="A4002" t="s">
        <v>2101</v>
      </c>
      <c r="B4002" s="1">
        <v>45934</v>
      </c>
      <c r="C4002" t="s">
        <v>4007</v>
      </c>
      <c r="D4002" t="s">
        <v>39</v>
      </c>
      <c r="E4002">
        <v>6000</v>
      </c>
      <c r="F4002">
        <v>5</v>
      </c>
      <c r="G4002">
        <f t="shared" si="186"/>
        <v>30000</v>
      </c>
      <c r="H4002" t="s">
        <v>21</v>
      </c>
      <c r="I4002">
        <f t="shared" si="187"/>
        <v>7200</v>
      </c>
      <c r="J4002">
        <f t="shared" si="188"/>
        <v>36000</v>
      </c>
    </row>
    <row r="4003" spans="1:10" x14ac:dyDescent="0.45">
      <c r="A4003" t="s">
        <v>2102</v>
      </c>
      <c r="B4003" s="1">
        <v>45934</v>
      </c>
      <c r="C4003" t="s">
        <v>9</v>
      </c>
      <c r="D4003" t="s">
        <v>25</v>
      </c>
      <c r="E4003">
        <v>5200</v>
      </c>
      <c r="F4003">
        <v>3</v>
      </c>
      <c r="G4003">
        <f t="shared" si="186"/>
        <v>15600</v>
      </c>
      <c r="H4003" t="s">
        <v>7</v>
      </c>
      <c r="I4003">
        <f t="shared" si="187"/>
        <v>6240</v>
      </c>
      <c r="J4003">
        <f t="shared" si="188"/>
        <v>18720</v>
      </c>
    </row>
    <row r="4004" spans="1:10" x14ac:dyDescent="0.45">
      <c r="A4004" t="s">
        <v>2103</v>
      </c>
      <c r="B4004" s="1">
        <v>45934</v>
      </c>
      <c r="C4004" t="s">
        <v>12</v>
      </c>
      <c r="D4004" t="s">
        <v>5022</v>
      </c>
      <c r="E4004">
        <v>2880</v>
      </c>
      <c r="F4004">
        <v>9</v>
      </c>
      <c r="G4004">
        <f t="shared" si="186"/>
        <v>25920</v>
      </c>
      <c r="H4004" t="s">
        <v>21</v>
      </c>
      <c r="I4004">
        <f t="shared" si="187"/>
        <v>3456</v>
      </c>
      <c r="J4004">
        <f t="shared" si="188"/>
        <v>31104</v>
      </c>
    </row>
    <row r="4005" spans="1:10" x14ac:dyDescent="0.45">
      <c r="A4005" t="s">
        <v>2104</v>
      </c>
      <c r="B4005" s="1">
        <v>45934</v>
      </c>
      <c r="C4005" t="s">
        <v>33</v>
      </c>
      <c r="D4005" t="s">
        <v>16</v>
      </c>
      <c r="E4005">
        <v>1200</v>
      </c>
      <c r="F4005">
        <v>7</v>
      </c>
      <c r="G4005">
        <f t="shared" si="186"/>
        <v>8400</v>
      </c>
      <c r="H4005" t="s">
        <v>17</v>
      </c>
      <c r="I4005">
        <f t="shared" si="187"/>
        <v>1440</v>
      </c>
      <c r="J4005">
        <f t="shared" si="188"/>
        <v>10080</v>
      </c>
    </row>
    <row r="4006" spans="1:10" x14ac:dyDescent="0.45">
      <c r="A4006" t="s">
        <v>2105</v>
      </c>
      <c r="B4006" s="1">
        <v>45934</v>
      </c>
      <c r="C4006" t="s">
        <v>12</v>
      </c>
      <c r="D4006" t="s">
        <v>5023</v>
      </c>
      <c r="E4006">
        <v>1750</v>
      </c>
      <c r="F4006">
        <v>6</v>
      </c>
      <c r="G4006">
        <f t="shared" si="186"/>
        <v>10500</v>
      </c>
      <c r="H4006" t="s">
        <v>21</v>
      </c>
      <c r="I4006">
        <f t="shared" si="187"/>
        <v>2100</v>
      </c>
      <c r="J4006">
        <f t="shared" si="188"/>
        <v>12600</v>
      </c>
    </row>
    <row r="4007" spans="1:10" x14ac:dyDescent="0.45">
      <c r="A4007" t="s">
        <v>2106</v>
      </c>
      <c r="B4007" s="1">
        <v>45934</v>
      </c>
      <c r="C4007" t="s">
        <v>33</v>
      </c>
      <c r="D4007" t="s">
        <v>16</v>
      </c>
      <c r="E4007">
        <v>1200</v>
      </c>
      <c r="F4007">
        <v>4</v>
      </c>
      <c r="G4007">
        <f t="shared" si="186"/>
        <v>4800</v>
      </c>
      <c r="H4007" t="s">
        <v>17</v>
      </c>
      <c r="I4007">
        <f t="shared" si="187"/>
        <v>1440</v>
      </c>
      <c r="J4007">
        <f t="shared" si="188"/>
        <v>5760</v>
      </c>
    </row>
    <row r="4008" spans="1:10" x14ac:dyDescent="0.45">
      <c r="A4008" t="s">
        <v>2107</v>
      </c>
      <c r="B4008" s="1">
        <v>45934</v>
      </c>
      <c r="C4008" t="s">
        <v>9</v>
      </c>
      <c r="D4008" t="s">
        <v>25</v>
      </c>
      <c r="E4008">
        <v>5200</v>
      </c>
      <c r="F4008">
        <v>5</v>
      </c>
      <c r="G4008">
        <f t="shared" si="186"/>
        <v>26000</v>
      </c>
      <c r="H4008" t="s">
        <v>17</v>
      </c>
      <c r="I4008">
        <f t="shared" si="187"/>
        <v>6240</v>
      </c>
      <c r="J4008">
        <f t="shared" si="188"/>
        <v>31200</v>
      </c>
    </row>
    <row r="4009" spans="1:10" x14ac:dyDescent="0.45">
      <c r="A4009" t="s">
        <v>2108</v>
      </c>
      <c r="B4009" s="1">
        <v>45934</v>
      </c>
      <c r="C4009" t="s">
        <v>33</v>
      </c>
      <c r="D4009" t="s">
        <v>42</v>
      </c>
      <c r="E4009">
        <v>6900</v>
      </c>
      <c r="F4009">
        <v>3</v>
      </c>
      <c r="G4009">
        <f t="shared" si="186"/>
        <v>20700</v>
      </c>
      <c r="H4009" t="s">
        <v>17</v>
      </c>
      <c r="I4009">
        <f t="shared" si="187"/>
        <v>8280</v>
      </c>
      <c r="J4009">
        <f t="shared" si="188"/>
        <v>24840</v>
      </c>
    </row>
    <row r="4010" spans="1:10" x14ac:dyDescent="0.45">
      <c r="A4010" t="s">
        <v>2109</v>
      </c>
      <c r="B4010" s="1">
        <v>45934</v>
      </c>
      <c r="C4010" t="s">
        <v>12</v>
      </c>
      <c r="D4010" t="s">
        <v>5022</v>
      </c>
      <c r="E4010">
        <v>2880</v>
      </c>
      <c r="F4010">
        <v>9</v>
      </c>
      <c r="G4010">
        <f t="shared" si="186"/>
        <v>25920</v>
      </c>
      <c r="H4010" t="s">
        <v>21</v>
      </c>
      <c r="I4010">
        <f t="shared" si="187"/>
        <v>3456</v>
      </c>
      <c r="J4010">
        <f t="shared" si="188"/>
        <v>31104</v>
      </c>
    </row>
    <row r="4011" spans="1:10" x14ac:dyDescent="0.45">
      <c r="A4011" t="s">
        <v>2110</v>
      </c>
      <c r="B4011" s="1">
        <v>45934</v>
      </c>
      <c r="C4011" t="s">
        <v>4007</v>
      </c>
      <c r="D4011" t="s">
        <v>39</v>
      </c>
      <c r="E4011">
        <v>6000</v>
      </c>
      <c r="F4011">
        <v>9</v>
      </c>
      <c r="G4011">
        <f t="shared" si="186"/>
        <v>54000</v>
      </c>
      <c r="H4011" t="s">
        <v>21</v>
      </c>
      <c r="I4011">
        <f t="shared" si="187"/>
        <v>7200</v>
      </c>
      <c r="J4011">
        <f t="shared" si="188"/>
        <v>64800</v>
      </c>
    </row>
    <row r="4012" spans="1:10" x14ac:dyDescent="0.45">
      <c r="A4012" t="s">
        <v>3015</v>
      </c>
      <c r="B4012" s="1">
        <v>45934</v>
      </c>
      <c r="C4012" t="s">
        <v>2772</v>
      </c>
      <c r="D4012" t="s">
        <v>2771</v>
      </c>
      <c r="E4012">
        <v>120</v>
      </c>
      <c r="F4012">
        <v>3</v>
      </c>
      <c r="G4012">
        <f t="shared" si="186"/>
        <v>360</v>
      </c>
      <c r="H4012" t="s">
        <v>17</v>
      </c>
      <c r="I4012">
        <f t="shared" si="187"/>
        <v>144</v>
      </c>
      <c r="J4012">
        <f t="shared" si="188"/>
        <v>432</v>
      </c>
    </row>
    <row r="4013" spans="1:10" x14ac:dyDescent="0.45">
      <c r="A4013" t="s">
        <v>3520</v>
      </c>
      <c r="B4013" s="1">
        <v>45934</v>
      </c>
      <c r="C4013" t="s">
        <v>4007</v>
      </c>
      <c r="D4013" t="s">
        <v>28</v>
      </c>
      <c r="E4013">
        <v>500</v>
      </c>
      <c r="F4013">
        <v>10</v>
      </c>
      <c r="G4013">
        <f t="shared" si="186"/>
        <v>5000</v>
      </c>
      <c r="H4013" t="s">
        <v>21</v>
      </c>
      <c r="I4013">
        <f t="shared" si="187"/>
        <v>600</v>
      </c>
      <c r="J4013">
        <f t="shared" si="188"/>
        <v>6000</v>
      </c>
    </row>
    <row r="4014" spans="1:10" x14ac:dyDescent="0.45">
      <c r="A4014" t="s">
        <v>3712</v>
      </c>
      <c r="B4014" s="1">
        <v>45934</v>
      </c>
      <c r="C4014" t="s">
        <v>4007</v>
      </c>
      <c r="D4014" t="s">
        <v>2774</v>
      </c>
      <c r="E4014">
        <v>1900</v>
      </c>
      <c r="F4014">
        <v>2</v>
      </c>
      <c r="G4014">
        <f t="shared" si="186"/>
        <v>3800</v>
      </c>
      <c r="H4014" t="s">
        <v>7</v>
      </c>
      <c r="I4014">
        <f t="shared" si="187"/>
        <v>2280</v>
      </c>
      <c r="J4014">
        <f t="shared" si="188"/>
        <v>4560</v>
      </c>
    </row>
    <row r="4015" spans="1:10" x14ac:dyDescent="0.45">
      <c r="A4015" t="s">
        <v>2111</v>
      </c>
      <c r="B4015" s="1">
        <v>45935</v>
      </c>
      <c r="C4015" t="s">
        <v>33</v>
      </c>
      <c r="D4015" t="s">
        <v>16</v>
      </c>
      <c r="E4015">
        <v>1200</v>
      </c>
      <c r="F4015">
        <v>9</v>
      </c>
      <c r="G4015">
        <f t="shared" si="186"/>
        <v>10800</v>
      </c>
      <c r="H4015" t="s">
        <v>21</v>
      </c>
      <c r="I4015">
        <f t="shared" si="187"/>
        <v>1440</v>
      </c>
      <c r="J4015">
        <f t="shared" si="188"/>
        <v>12960</v>
      </c>
    </row>
    <row r="4016" spans="1:10" x14ac:dyDescent="0.45">
      <c r="A4016" t="s">
        <v>2112</v>
      </c>
      <c r="B4016" s="1">
        <v>45935</v>
      </c>
      <c r="C4016" t="s">
        <v>33</v>
      </c>
      <c r="D4016" t="s">
        <v>14</v>
      </c>
      <c r="E4016">
        <v>800</v>
      </c>
      <c r="F4016">
        <v>9</v>
      </c>
      <c r="G4016">
        <f t="shared" si="186"/>
        <v>7200</v>
      </c>
      <c r="H4016" t="s">
        <v>17</v>
      </c>
      <c r="I4016">
        <f t="shared" si="187"/>
        <v>960</v>
      </c>
      <c r="J4016">
        <f t="shared" si="188"/>
        <v>8640</v>
      </c>
    </row>
    <row r="4017" spans="1:10" x14ac:dyDescent="0.45">
      <c r="A4017" t="s">
        <v>2113</v>
      </c>
      <c r="B4017" s="1">
        <v>45935</v>
      </c>
      <c r="C4017" t="s">
        <v>33</v>
      </c>
      <c r="D4017" t="s">
        <v>34</v>
      </c>
      <c r="E4017">
        <v>1700</v>
      </c>
      <c r="F4017">
        <v>10</v>
      </c>
      <c r="G4017">
        <f t="shared" si="186"/>
        <v>17000</v>
      </c>
      <c r="H4017" t="s">
        <v>21</v>
      </c>
      <c r="I4017">
        <f t="shared" si="187"/>
        <v>2040</v>
      </c>
      <c r="J4017">
        <f t="shared" si="188"/>
        <v>20400</v>
      </c>
    </row>
    <row r="4018" spans="1:10" x14ac:dyDescent="0.45">
      <c r="A4018" t="s">
        <v>2114</v>
      </c>
      <c r="B4018" s="1">
        <v>45935</v>
      </c>
      <c r="C4018" t="s">
        <v>4007</v>
      </c>
      <c r="D4018" t="s">
        <v>4005</v>
      </c>
      <c r="E4018">
        <v>60000</v>
      </c>
      <c r="F4018">
        <v>4</v>
      </c>
      <c r="G4018">
        <f t="shared" si="186"/>
        <v>240000</v>
      </c>
      <c r="H4018" t="s">
        <v>21</v>
      </c>
      <c r="I4018">
        <f t="shared" si="187"/>
        <v>72000</v>
      </c>
      <c r="J4018">
        <f t="shared" si="188"/>
        <v>288000</v>
      </c>
    </row>
    <row r="4019" spans="1:10" x14ac:dyDescent="0.45">
      <c r="A4019" t="s">
        <v>2115</v>
      </c>
      <c r="B4019" s="1">
        <v>45935</v>
      </c>
      <c r="C4019" t="s">
        <v>33</v>
      </c>
      <c r="D4019" t="s">
        <v>34</v>
      </c>
      <c r="E4019">
        <v>1700</v>
      </c>
      <c r="F4019">
        <v>9</v>
      </c>
      <c r="G4019">
        <f t="shared" si="186"/>
        <v>15300</v>
      </c>
      <c r="H4019" t="s">
        <v>17</v>
      </c>
      <c r="I4019">
        <f t="shared" si="187"/>
        <v>2040</v>
      </c>
      <c r="J4019">
        <f t="shared" si="188"/>
        <v>18360</v>
      </c>
    </row>
    <row r="4020" spans="1:10" x14ac:dyDescent="0.45">
      <c r="A4020" t="s">
        <v>2116</v>
      </c>
      <c r="B4020" s="1">
        <v>45935</v>
      </c>
      <c r="C4020" t="s">
        <v>4007</v>
      </c>
      <c r="D4020" t="s">
        <v>5015</v>
      </c>
      <c r="E4020">
        <v>48000</v>
      </c>
      <c r="F4020">
        <v>4</v>
      </c>
      <c r="G4020">
        <f t="shared" si="186"/>
        <v>192000</v>
      </c>
      <c r="H4020" t="s">
        <v>21</v>
      </c>
      <c r="I4020">
        <f t="shared" si="187"/>
        <v>57600</v>
      </c>
      <c r="J4020">
        <f t="shared" si="188"/>
        <v>230400</v>
      </c>
    </row>
    <row r="4021" spans="1:10" x14ac:dyDescent="0.45">
      <c r="A4021" t="s">
        <v>2117</v>
      </c>
      <c r="B4021" s="1">
        <v>45935</v>
      </c>
      <c r="C4021" t="s">
        <v>12</v>
      </c>
      <c r="D4021" t="s">
        <v>5022</v>
      </c>
      <c r="E4021">
        <v>2880</v>
      </c>
      <c r="F4021">
        <v>3</v>
      </c>
      <c r="G4021">
        <f t="shared" si="186"/>
        <v>8640</v>
      </c>
      <c r="H4021" t="s">
        <v>17</v>
      </c>
      <c r="I4021">
        <f t="shared" si="187"/>
        <v>3456</v>
      </c>
      <c r="J4021">
        <f t="shared" si="188"/>
        <v>10368</v>
      </c>
    </row>
    <row r="4022" spans="1:10" x14ac:dyDescent="0.45">
      <c r="A4022" t="s">
        <v>2118</v>
      </c>
      <c r="B4022" s="1">
        <v>45935</v>
      </c>
      <c r="C4022" t="s">
        <v>33</v>
      </c>
      <c r="D4022" t="s">
        <v>42</v>
      </c>
      <c r="E4022">
        <v>6900</v>
      </c>
      <c r="F4022">
        <v>10</v>
      </c>
      <c r="G4022">
        <f t="shared" si="186"/>
        <v>69000</v>
      </c>
      <c r="H4022" t="s">
        <v>7</v>
      </c>
      <c r="I4022">
        <f t="shared" si="187"/>
        <v>8280</v>
      </c>
      <c r="J4022">
        <f t="shared" si="188"/>
        <v>82800</v>
      </c>
    </row>
    <row r="4023" spans="1:10" x14ac:dyDescent="0.45">
      <c r="A4023" t="s">
        <v>2119</v>
      </c>
      <c r="B4023" s="1">
        <v>45935</v>
      </c>
      <c r="C4023" t="s">
        <v>4007</v>
      </c>
      <c r="D4023" t="s">
        <v>5015</v>
      </c>
      <c r="E4023">
        <v>48000</v>
      </c>
      <c r="F4023">
        <v>6</v>
      </c>
      <c r="G4023">
        <f t="shared" si="186"/>
        <v>288000</v>
      </c>
      <c r="H4023" t="s">
        <v>17</v>
      </c>
      <c r="I4023">
        <f t="shared" si="187"/>
        <v>57600</v>
      </c>
      <c r="J4023">
        <f t="shared" si="188"/>
        <v>345600</v>
      </c>
    </row>
    <row r="4024" spans="1:10" x14ac:dyDescent="0.45">
      <c r="A4024" t="s">
        <v>2778</v>
      </c>
      <c r="B4024" s="1">
        <v>45935</v>
      </c>
      <c r="C4024" t="s">
        <v>2772</v>
      </c>
      <c r="D4024" t="s">
        <v>2771</v>
      </c>
      <c r="E4024">
        <v>120</v>
      </c>
      <c r="F4024">
        <v>8</v>
      </c>
      <c r="G4024">
        <f t="shared" si="186"/>
        <v>960</v>
      </c>
      <c r="H4024" t="s">
        <v>7</v>
      </c>
      <c r="I4024">
        <f t="shared" si="187"/>
        <v>144</v>
      </c>
      <c r="J4024">
        <f t="shared" si="188"/>
        <v>1152</v>
      </c>
    </row>
    <row r="4025" spans="1:10" x14ac:dyDescent="0.45">
      <c r="A4025" t="s">
        <v>2983</v>
      </c>
      <c r="B4025" s="1">
        <v>45935</v>
      </c>
      <c r="C4025" t="s">
        <v>4007</v>
      </c>
      <c r="D4025" t="s">
        <v>28</v>
      </c>
      <c r="E4025">
        <v>500</v>
      </c>
      <c r="F4025">
        <v>5</v>
      </c>
      <c r="G4025">
        <f t="shared" si="186"/>
        <v>2500</v>
      </c>
      <c r="H4025" t="s">
        <v>21</v>
      </c>
      <c r="I4025">
        <f t="shared" si="187"/>
        <v>600</v>
      </c>
      <c r="J4025">
        <f t="shared" si="188"/>
        <v>3000</v>
      </c>
    </row>
    <row r="4026" spans="1:10" x14ac:dyDescent="0.45">
      <c r="A4026" t="s">
        <v>3007</v>
      </c>
      <c r="B4026" s="1">
        <v>45935</v>
      </c>
      <c r="C4026" t="s">
        <v>2772</v>
      </c>
      <c r="D4026" t="s">
        <v>2771</v>
      </c>
      <c r="E4026">
        <v>120</v>
      </c>
      <c r="F4026">
        <v>4</v>
      </c>
      <c r="G4026">
        <f t="shared" si="186"/>
        <v>480</v>
      </c>
      <c r="H4026" t="s">
        <v>17</v>
      </c>
      <c r="I4026">
        <f t="shared" si="187"/>
        <v>144</v>
      </c>
      <c r="J4026">
        <f t="shared" si="188"/>
        <v>576</v>
      </c>
    </row>
    <row r="4027" spans="1:10" x14ac:dyDescent="0.45">
      <c r="A4027" t="s">
        <v>3228</v>
      </c>
      <c r="B4027" s="1">
        <v>45935</v>
      </c>
      <c r="C4027" t="s">
        <v>2772</v>
      </c>
      <c r="D4027" t="s">
        <v>2771</v>
      </c>
      <c r="E4027">
        <v>120</v>
      </c>
      <c r="F4027">
        <v>10</v>
      </c>
      <c r="G4027">
        <f t="shared" si="186"/>
        <v>1200</v>
      </c>
      <c r="H4027" t="s">
        <v>17</v>
      </c>
      <c r="I4027">
        <f t="shared" si="187"/>
        <v>144</v>
      </c>
      <c r="J4027">
        <f t="shared" si="188"/>
        <v>1440</v>
      </c>
    </row>
    <row r="4028" spans="1:10" x14ac:dyDescent="0.45">
      <c r="A4028" t="s">
        <v>3312</v>
      </c>
      <c r="B4028" s="1">
        <v>45935</v>
      </c>
      <c r="C4028" t="s">
        <v>2772</v>
      </c>
      <c r="D4028" t="s">
        <v>2775</v>
      </c>
      <c r="E4028">
        <v>9100</v>
      </c>
      <c r="F4028">
        <v>5</v>
      </c>
      <c r="G4028">
        <f t="shared" si="186"/>
        <v>45500</v>
      </c>
      <c r="H4028" t="s">
        <v>7</v>
      </c>
      <c r="I4028">
        <f t="shared" si="187"/>
        <v>10920</v>
      </c>
      <c r="J4028">
        <f t="shared" si="188"/>
        <v>54600</v>
      </c>
    </row>
    <row r="4029" spans="1:10" x14ac:dyDescent="0.45">
      <c r="A4029" t="s">
        <v>3454</v>
      </c>
      <c r="B4029" s="1">
        <v>45935</v>
      </c>
      <c r="C4029" t="s">
        <v>4007</v>
      </c>
      <c r="D4029" t="s">
        <v>2776</v>
      </c>
      <c r="E4029">
        <v>3600</v>
      </c>
      <c r="F4029">
        <v>8</v>
      </c>
      <c r="G4029">
        <f t="shared" si="186"/>
        <v>28800</v>
      </c>
      <c r="H4029" t="s">
        <v>17</v>
      </c>
      <c r="I4029">
        <f t="shared" si="187"/>
        <v>4320</v>
      </c>
      <c r="J4029">
        <f t="shared" si="188"/>
        <v>34560</v>
      </c>
    </row>
    <row r="4030" spans="1:10" x14ac:dyDescent="0.45">
      <c r="A4030" t="s">
        <v>3856</v>
      </c>
      <c r="B4030" s="1">
        <v>45935</v>
      </c>
      <c r="C4030" t="s">
        <v>4007</v>
      </c>
      <c r="D4030" t="s">
        <v>5015</v>
      </c>
      <c r="E4030">
        <v>48000</v>
      </c>
      <c r="F4030">
        <v>5</v>
      </c>
      <c r="G4030">
        <f t="shared" si="186"/>
        <v>240000</v>
      </c>
      <c r="H4030" t="s">
        <v>7</v>
      </c>
      <c r="I4030">
        <f t="shared" si="187"/>
        <v>57600</v>
      </c>
      <c r="J4030">
        <f t="shared" si="188"/>
        <v>288000</v>
      </c>
    </row>
    <row r="4031" spans="1:10" x14ac:dyDescent="0.45">
      <c r="A4031" t="s">
        <v>3872</v>
      </c>
      <c r="B4031" s="1">
        <v>45935</v>
      </c>
      <c r="C4031" t="s">
        <v>4007</v>
      </c>
      <c r="D4031" t="s">
        <v>2770</v>
      </c>
      <c r="E4031">
        <v>600</v>
      </c>
      <c r="F4031">
        <v>10</v>
      </c>
      <c r="G4031">
        <f t="shared" si="186"/>
        <v>6000</v>
      </c>
      <c r="H4031" t="s">
        <v>7</v>
      </c>
      <c r="I4031">
        <f t="shared" si="187"/>
        <v>720</v>
      </c>
      <c r="J4031">
        <f t="shared" si="188"/>
        <v>7200</v>
      </c>
    </row>
    <row r="4032" spans="1:10" x14ac:dyDescent="0.45">
      <c r="A4032" t="s">
        <v>2120</v>
      </c>
      <c r="B4032" s="1">
        <v>45936</v>
      </c>
      <c r="C4032" t="s">
        <v>9</v>
      </c>
      <c r="D4032" t="s">
        <v>10</v>
      </c>
      <c r="E4032">
        <v>400</v>
      </c>
      <c r="F4032">
        <v>7</v>
      </c>
      <c r="G4032">
        <f t="shared" si="186"/>
        <v>2800</v>
      </c>
      <c r="H4032" t="s">
        <v>21</v>
      </c>
      <c r="I4032">
        <f t="shared" si="187"/>
        <v>480</v>
      </c>
      <c r="J4032">
        <f t="shared" si="188"/>
        <v>3360</v>
      </c>
    </row>
    <row r="4033" spans="1:10" x14ac:dyDescent="0.45">
      <c r="A4033" t="s">
        <v>2121</v>
      </c>
      <c r="B4033" s="1">
        <v>45936</v>
      </c>
      <c r="C4033" t="s">
        <v>33</v>
      </c>
      <c r="D4033" t="s">
        <v>16</v>
      </c>
      <c r="E4033">
        <v>1200</v>
      </c>
      <c r="F4033">
        <v>7</v>
      </c>
      <c r="G4033">
        <f t="shared" si="186"/>
        <v>8400</v>
      </c>
      <c r="H4033" t="s">
        <v>21</v>
      </c>
      <c r="I4033">
        <f t="shared" si="187"/>
        <v>1440</v>
      </c>
      <c r="J4033">
        <f t="shared" si="188"/>
        <v>10080</v>
      </c>
    </row>
    <row r="4034" spans="1:10" x14ac:dyDescent="0.45">
      <c r="A4034" t="s">
        <v>2122</v>
      </c>
      <c r="B4034" s="1">
        <v>45936</v>
      </c>
      <c r="C4034" t="s">
        <v>9</v>
      </c>
      <c r="D4034" t="s">
        <v>25</v>
      </c>
      <c r="E4034">
        <v>5200</v>
      </c>
      <c r="F4034">
        <v>4</v>
      </c>
      <c r="G4034">
        <f t="shared" ref="G4034:G4097" si="189">E4034*F4034</f>
        <v>20800</v>
      </c>
      <c r="H4034" t="s">
        <v>21</v>
      </c>
      <c r="I4034">
        <f t="shared" ref="I4034:I4097" si="190">E4034*1.2</f>
        <v>6240</v>
      </c>
      <c r="J4034">
        <f t="shared" ref="J4034:J4097" si="191">I4034*F4034</f>
        <v>24960</v>
      </c>
    </row>
    <row r="4035" spans="1:10" x14ac:dyDescent="0.45">
      <c r="A4035" t="s">
        <v>2123</v>
      </c>
      <c r="B4035" s="1">
        <v>45936</v>
      </c>
      <c r="C4035" t="s">
        <v>33</v>
      </c>
      <c r="D4035" t="s">
        <v>42</v>
      </c>
      <c r="E4035">
        <v>6900</v>
      </c>
      <c r="F4035">
        <v>3</v>
      </c>
      <c r="G4035">
        <f t="shared" si="189"/>
        <v>20700</v>
      </c>
      <c r="H4035" t="s">
        <v>17</v>
      </c>
      <c r="I4035">
        <f t="shared" si="190"/>
        <v>8280</v>
      </c>
      <c r="J4035">
        <f t="shared" si="191"/>
        <v>24840</v>
      </c>
    </row>
    <row r="4036" spans="1:10" x14ac:dyDescent="0.45">
      <c r="A4036" t="s">
        <v>2124</v>
      </c>
      <c r="B4036" s="1">
        <v>45936</v>
      </c>
      <c r="C4036" t="s">
        <v>12</v>
      </c>
      <c r="D4036" t="s">
        <v>5022</v>
      </c>
      <c r="E4036">
        <v>2880</v>
      </c>
      <c r="F4036">
        <v>5</v>
      </c>
      <c r="G4036">
        <f t="shared" si="189"/>
        <v>14400</v>
      </c>
      <c r="H4036" t="s">
        <v>17</v>
      </c>
      <c r="I4036">
        <f t="shared" si="190"/>
        <v>3456</v>
      </c>
      <c r="J4036">
        <f t="shared" si="191"/>
        <v>17280</v>
      </c>
    </row>
    <row r="4037" spans="1:10" x14ac:dyDescent="0.45">
      <c r="A4037" t="s">
        <v>2125</v>
      </c>
      <c r="B4037" s="1">
        <v>45936</v>
      </c>
      <c r="C4037" t="s">
        <v>9</v>
      </c>
      <c r="D4037" t="s">
        <v>25</v>
      </c>
      <c r="E4037">
        <v>5200</v>
      </c>
      <c r="F4037">
        <v>1</v>
      </c>
      <c r="G4037">
        <f t="shared" si="189"/>
        <v>5200</v>
      </c>
      <c r="H4037" t="s">
        <v>7</v>
      </c>
      <c r="I4037">
        <f t="shared" si="190"/>
        <v>6240</v>
      </c>
      <c r="J4037">
        <f t="shared" si="191"/>
        <v>6240</v>
      </c>
    </row>
    <row r="4038" spans="1:10" x14ac:dyDescent="0.45">
      <c r="A4038" t="s">
        <v>2126</v>
      </c>
      <c r="B4038" s="1">
        <v>45936</v>
      </c>
      <c r="C4038" t="s">
        <v>33</v>
      </c>
      <c r="D4038" t="s">
        <v>14</v>
      </c>
      <c r="E4038">
        <v>800</v>
      </c>
      <c r="F4038">
        <v>7</v>
      </c>
      <c r="G4038">
        <f t="shared" si="189"/>
        <v>5600</v>
      </c>
      <c r="H4038" t="s">
        <v>7</v>
      </c>
      <c r="I4038">
        <f t="shared" si="190"/>
        <v>960</v>
      </c>
      <c r="J4038">
        <f t="shared" si="191"/>
        <v>6720</v>
      </c>
    </row>
    <row r="4039" spans="1:10" x14ac:dyDescent="0.45">
      <c r="A4039" t="s">
        <v>2127</v>
      </c>
      <c r="B4039" s="1">
        <v>45936</v>
      </c>
      <c r="C4039" t="s">
        <v>33</v>
      </c>
      <c r="D4039" t="s">
        <v>14</v>
      </c>
      <c r="E4039">
        <v>800</v>
      </c>
      <c r="F4039">
        <v>1</v>
      </c>
      <c r="G4039">
        <f t="shared" si="189"/>
        <v>800</v>
      </c>
      <c r="H4039" t="s">
        <v>21</v>
      </c>
      <c r="I4039">
        <f t="shared" si="190"/>
        <v>960</v>
      </c>
      <c r="J4039">
        <f t="shared" si="191"/>
        <v>960</v>
      </c>
    </row>
    <row r="4040" spans="1:10" x14ac:dyDescent="0.45">
      <c r="A4040" t="s">
        <v>2128</v>
      </c>
      <c r="B4040" s="1">
        <v>45936</v>
      </c>
      <c r="C4040" t="s">
        <v>12</v>
      </c>
      <c r="D4040" t="s">
        <v>5022</v>
      </c>
      <c r="E4040">
        <v>2880</v>
      </c>
      <c r="F4040">
        <v>2</v>
      </c>
      <c r="G4040">
        <f t="shared" si="189"/>
        <v>5760</v>
      </c>
      <c r="H4040" t="s">
        <v>7</v>
      </c>
      <c r="I4040">
        <f t="shared" si="190"/>
        <v>3456</v>
      </c>
      <c r="J4040">
        <f t="shared" si="191"/>
        <v>6912</v>
      </c>
    </row>
    <row r="4041" spans="1:10" x14ac:dyDescent="0.45">
      <c r="A4041" t="s">
        <v>3379</v>
      </c>
      <c r="B4041" s="1">
        <v>45936</v>
      </c>
      <c r="C4041" t="s">
        <v>2772</v>
      </c>
      <c r="D4041" t="s">
        <v>2775</v>
      </c>
      <c r="E4041">
        <v>9100</v>
      </c>
      <c r="F4041">
        <v>9</v>
      </c>
      <c r="G4041">
        <f t="shared" si="189"/>
        <v>81900</v>
      </c>
      <c r="H4041" t="s">
        <v>21</v>
      </c>
      <c r="I4041">
        <f t="shared" si="190"/>
        <v>10920</v>
      </c>
      <c r="J4041">
        <f t="shared" si="191"/>
        <v>98280</v>
      </c>
    </row>
    <row r="4042" spans="1:10" x14ac:dyDescent="0.45">
      <c r="A4042" t="s">
        <v>2129</v>
      </c>
      <c r="B4042" s="1">
        <v>45937</v>
      </c>
      <c r="C4042" t="s">
        <v>12</v>
      </c>
      <c r="D4042" t="s">
        <v>5023</v>
      </c>
      <c r="E4042">
        <v>1750</v>
      </c>
      <c r="F4042">
        <v>4</v>
      </c>
      <c r="G4042">
        <f t="shared" si="189"/>
        <v>7000</v>
      </c>
      <c r="H4042" t="s">
        <v>7</v>
      </c>
      <c r="I4042">
        <f t="shared" si="190"/>
        <v>2100</v>
      </c>
      <c r="J4042">
        <f t="shared" si="191"/>
        <v>8400</v>
      </c>
    </row>
    <row r="4043" spans="1:10" x14ac:dyDescent="0.45">
      <c r="A4043" t="s">
        <v>2130</v>
      </c>
      <c r="B4043" s="1">
        <v>45937</v>
      </c>
      <c r="C4043" t="s">
        <v>33</v>
      </c>
      <c r="D4043" t="s">
        <v>16</v>
      </c>
      <c r="E4043">
        <v>1200</v>
      </c>
      <c r="F4043">
        <v>9</v>
      </c>
      <c r="G4043">
        <f t="shared" si="189"/>
        <v>10800</v>
      </c>
      <c r="H4043" t="s">
        <v>21</v>
      </c>
      <c r="I4043">
        <f t="shared" si="190"/>
        <v>1440</v>
      </c>
      <c r="J4043">
        <f t="shared" si="191"/>
        <v>12960</v>
      </c>
    </row>
    <row r="4044" spans="1:10" x14ac:dyDescent="0.45">
      <c r="A4044" t="s">
        <v>2131</v>
      </c>
      <c r="B4044" s="1">
        <v>45937</v>
      </c>
      <c r="C4044" t="s">
        <v>9</v>
      </c>
      <c r="D4044" t="s">
        <v>19</v>
      </c>
      <c r="E4044">
        <v>3000</v>
      </c>
      <c r="F4044">
        <v>6</v>
      </c>
      <c r="G4044">
        <f t="shared" si="189"/>
        <v>18000</v>
      </c>
      <c r="H4044" t="s">
        <v>7</v>
      </c>
      <c r="I4044">
        <f t="shared" si="190"/>
        <v>3600</v>
      </c>
      <c r="J4044">
        <f t="shared" si="191"/>
        <v>21600</v>
      </c>
    </row>
    <row r="4045" spans="1:10" x14ac:dyDescent="0.45">
      <c r="A4045" t="s">
        <v>2132</v>
      </c>
      <c r="B4045" s="1">
        <v>45937</v>
      </c>
      <c r="C4045" t="s">
        <v>33</v>
      </c>
      <c r="D4045" t="s">
        <v>34</v>
      </c>
      <c r="E4045">
        <v>1700</v>
      </c>
      <c r="F4045">
        <v>9</v>
      </c>
      <c r="G4045">
        <f t="shared" si="189"/>
        <v>15300</v>
      </c>
      <c r="H4045" t="s">
        <v>7</v>
      </c>
      <c r="I4045">
        <f t="shared" si="190"/>
        <v>2040</v>
      </c>
      <c r="J4045">
        <f t="shared" si="191"/>
        <v>18360</v>
      </c>
    </row>
    <row r="4046" spans="1:10" x14ac:dyDescent="0.45">
      <c r="A4046" t="s">
        <v>2133</v>
      </c>
      <c r="B4046" s="1">
        <v>45937</v>
      </c>
      <c r="C4046" t="s">
        <v>4007</v>
      </c>
      <c r="D4046" t="s">
        <v>28</v>
      </c>
      <c r="E4046">
        <v>500</v>
      </c>
      <c r="F4046">
        <v>6</v>
      </c>
      <c r="G4046">
        <f t="shared" si="189"/>
        <v>3000</v>
      </c>
      <c r="H4046" t="s">
        <v>7</v>
      </c>
      <c r="I4046">
        <f t="shared" si="190"/>
        <v>600</v>
      </c>
      <c r="J4046">
        <f t="shared" si="191"/>
        <v>3600</v>
      </c>
    </row>
    <row r="4047" spans="1:10" x14ac:dyDescent="0.45">
      <c r="A4047" t="s">
        <v>2134</v>
      </c>
      <c r="B4047" s="1">
        <v>45937</v>
      </c>
      <c r="C4047" t="s">
        <v>4007</v>
      </c>
      <c r="D4047" t="s">
        <v>39</v>
      </c>
      <c r="E4047">
        <v>6000</v>
      </c>
      <c r="F4047">
        <v>3</v>
      </c>
      <c r="G4047">
        <f t="shared" si="189"/>
        <v>18000</v>
      </c>
      <c r="H4047" t="s">
        <v>7</v>
      </c>
      <c r="I4047">
        <f t="shared" si="190"/>
        <v>7200</v>
      </c>
      <c r="J4047">
        <f t="shared" si="191"/>
        <v>21600</v>
      </c>
    </row>
    <row r="4048" spans="1:10" x14ac:dyDescent="0.45">
      <c r="A4048" t="s">
        <v>2855</v>
      </c>
      <c r="B4048" s="1">
        <v>45937</v>
      </c>
      <c r="C4048" t="s">
        <v>4007</v>
      </c>
      <c r="D4048" t="s">
        <v>2774</v>
      </c>
      <c r="E4048">
        <v>1900</v>
      </c>
      <c r="F4048">
        <v>7</v>
      </c>
      <c r="G4048">
        <f t="shared" si="189"/>
        <v>13300</v>
      </c>
      <c r="H4048" t="s">
        <v>17</v>
      </c>
      <c r="I4048">
        <f t="shared" si="190"/>
        <v>2280</v>
      </c>
      <c r="J4048">
        <f t="shared" si="191"/>
        <v>15960</v>
      </c>
    </row>
    <row r="4049" spans="1:10" x14ac:dyDescent="0.45">
      <c r="A4049" t="s">
        <v>3183</v>
      </c>
      <c r="B4049" s="1">
        <v>45937</v>
      </c>
      <c r="C4049" t="s">
        <v>2772</v>
      </c>
      <c r="D4049" t="s">
        <v>2771</v>
      </c>
      <c r="E4049">
        <v>120</v>
      </c>
      <c r="F4049">
        <v>4</v>
      </c>
      <c r="G4049">
        <f t="shared" si="189"/>
        <v>480</v>
      </c>
      <c r="H4049" t="s">
        <v>7</v>
      </c>
      <c r="I4049">
        <f t="shared" si="190"/>
        <v>144</v>
      </c>
      <c r="J4049">
        <f t="shared" si="191"/>
        <v>576</v>
      </c>
    </row>
    <row r="4050" spans="1:10" x14ac:dyDescent="0.45">
      <c r="A4050" t="s">
        <v>3491</v>
      </c>
      <c r="B4050" s="1">
        <v>45937</v>
      </c>
      <c r="C4050" t="s">
        <v>4007</v>
      </c>
      <c r="D4050" t="s">
        <v>5015</v>
      </c>
      <c r="E4050">
        <v>48000</v>
      </c>
      <c r="F4050">
        <v>5</v>
      </c>
      <c r="G4050">
        <f t="shared" si="189"/>
        <v>240000</v>
      </c>
      <c r="H4050" t="s">
        <v>7</v>
      </c>
      <c r="I4050">
        <f t="shared" si="190"/>
        <v>57600</v>
      </c>
      <c r="J4050">
        <f t="shared" si="191"/>
        <v>288000</v>
      </c>
    </row>
    <row r="4051" spans="1:10" x14ac:dyDescent="0.45">
      <c r="A4051" t="s">
        <v>3908</v>
      </c>
      <c r="B4051" s="1">
        <v>45937</v>
      </c>
      <c r="C4051" t="s">
        <v>4007</v>
      </c>
      <c r="D4051" t="s">
        <v>5015</v>
      </c>
      <c r="E4051">
        <v>48000</v>
      </c>
      <c r="F4051">
        <v>5</v>
      </c>
      <c r="G4051">
        <f t="shared" si="189"/>
        <v>240000</v>
      </c>
      <c r="H4051" t="s">
        <v>7</v>
      </c>
      <c r="I4051">
        <f t="shared" si="190"/>
        <v>57600</v>
      </c>
      <c r="J4051">
        <f t="shared" si="191"/>
        <v>288000</v>
      </c>
    </row>
    <row r="4052" spans="1:10" x14ac:dyDescent="0.45">
      <c r="A4052" t="s">
        <v>2135</v>
      </c>
      <c r="B4052" s="1">
        <v>45938</v>
      </c>
      <c r="C4052" t="s">
        <v>4007</v>
      </c>
      <c r="D4052" t="s">
        <v>28</v>
      </c>
      <c r="E4052">
        <v>500</v>
      </c>
      <c r="F4052">
        <v>1</v>
      </c>
      <c r="G4052">
        <f t="shared" si="189"/>
        <v>500</v>
      </c>
      <c r="H4052" t="s">
        <v>17</v>
      </c>
      <c r="I4052">
        <f t="shared" si="190"/>
        <v>600</v>
      </c>
      <c r="J4052">
        <f t="shared" si="191"/>
        <v>600</v>
      </c>
    </row>
    <row r="4053" spans="1:10" x14ac:dyDescent="0.45">
      <c r="A4053" t="s">
        <v>2136</v>
      </c>
      <c r="B4053" s="1">
        <v>45938</v>
      </c>
      <c r="C4053" t="s">
        <v>12</v>
      </c>
      <c r="D4053" t="s">
        <v>5023</v>
      </c>
      <c r="E4053">
        <v>1750</v>
      </c>
      <c r="F4053">
        <v>5</v>
      </c>
      <c r="G4053">
        <f t="shared" si="189"/>
        <v>8750</v>
      </c>
      <c r="H4053" t="s">
        <v>17</v>
      </c>
      <c r="I4053">
        <f t="shared" si="190"/>
        <v>2100</v>
      </c>
      <c r="J4053">
        <f t="shared" si="191"/>
        <v>10500</v>
      </c>
    </row>
    <row r="4054" spans="1:10" x14ac:dyDescent="0.45">
      <c r="A4054" t="s">
        <v>2137</v>
      </c>
      <c r="B4054" s="1">
        <v>45938</v>
      </c>
      <c r="C4054" t="s">
        <v>4007</v>
      </c>
      <c r="D4054" t="s">
        <v>5015</v>
      </c>
      <c r="E4054">
        <v>48000</v>
      </c>
      <c r="F4054">
        <v>9</v>
      </c>
      <c r="G4054">
        <f t="shared" si="189"/>
        <v>432000</v>
      </c>
      <c r="H4054" t="s">
        <v>17</v>
      </c>
      <c r="I4054">
        <f t="shared" si="190"/>
        <v>57600</v>
      </c>
      <c r="J4054">
        <f t="shared" si="191"/>
        <v>518400</v>
      </c>
    </row>
    <row r="4055" spans="1:10" x14ac:dyDescent="0.45">
      <c r="A4055" t="s">
        <v>2138</v>
      </c>
      <c r="B4055" s="1">
        <v>45938</v>
      </c>
      <c r="C4055" t="s">
        <v>4007</v>
      </c>
      <c r="D4055" t="s">
        <v>28</v>
      </c>
      <c r="E4055">
        <v>500</v>
      </c>
      <c r="F4055">
        <v>3</v>
      </c>
      <c r="G4055">
        <f t="shared" si="189"/>
        <v>1500</v>
      </c>
      <c r="H4055" t="s">
        <v>17</v>
      </c>
      <c r="I4055">
        <f t="shared" si="190"/>
        <v>600</v>
      </c>
      <c r="J4055">
        <f t="shared" si="191"/>
        <v>1800</v>
      </c>
    </row>
    <row r="4056" spans="1:10" x14ac:dyDescent="0.45">
      <c r="A4056" t="s">
        <v>2139</v>
      </c>
      <c r="B4056" s="1">
        <v>45938</v>
      </c>
      <c r="C4056" t="s">
        <v>4007</v>
      </c>
      <c r="D4056" t="s">
        <v>39</v>
      </c>
      <c r="E4056">
        <v>6000</v>
      </c>
      <c r="F4056">
        <v>3</v>
      </c>
      <c r="G4056">
        <f t="shared" si="189"/>
        <v>18000</v>
      </c>
      <c r="H4056" t="s">
        <v>17</v>
      </c>
      <c r="I4056">
        <f t="shared" si="190"/>
        <v>7200</v>
      </c>
      <c r="J4056">
        <f t="shared" si="191"/>
        <v>21600</v>
      </c>
    </row>
    <row r="4057" spans="1:10" x14ac:dyDescent="0.45">
      <c r="A4057" t="s">
        <v>2140</v>
      </c>
      <c r="B4057" s="1">
        <v>45938</v>
      </c>
      <c r="C4057" t="s">
        <v>12</v>
      </c>
      <c r="D4057" t="s">
        <v>5023</v>
      </c>
      <c r="E4057">
        <v>1750</v>
      </c>
      <c r="F4057">
        <v>2</v>
      </c>
      <c r="G4057">
        <f t="shared" si="189"/>
        <v>3500</v>
      </c>
      <c r="H4057" t="s">
        <v>17</v>
      </c>
      <c r="I4057">
        <f t="shared" si="190"/>
        <v>2100</v>
      </c>
      <c r="J4057">
        <f t="shared" si="191"/>
        <v>4200</v>
      </c>
    </row>
    <row r="4058" spans="1:10" x14ac:dyDescent="0.45">
      <c r="A4058" t="s">
        <v>2141</v>
      </c>
      <c r="B4058" s="1">
        <v>45938</v>
      </c>
      <c r="C4058" t="s">
        <v>33</v>
      </c>
      <c r="D4058" t="s">
        <v>16</v>
      </c>
      <c r="E4058">
        <v>1200</v>
      </c>
      <c r="F4058">
        <v>7</v>
      </c>
      <c r="G4058">
        <f t="shared" si="189"/>
        <v>8400</v>
      </c>
      <c r="H4058" t="s">
        <v>7</v>
      </c>
      <c r="I4058">
        <f t="shared" si="190"/>
        <v>1440</v>
      </c>
      <c r="J4058">
        <f t="shared" si="191"/>
        <v>10080</v>
      </c>
    </row>
    <row r="4059" spans="1:10" x14ac:dyDescent="0.45">
      <c r="A4059" t="s">
        <v>2142</v>
      </c>
      <c r="B4059" s="1">
        <v>45938</v>
      </c>
      <c r="C4059" t="s">
        <v>9</v>
      </c>
      <c r="D4059" t="s">
        <v>10</v>
      </c>
      <c r="E4059">
        <v>400</v>
      </c>
      <c r="F4059">
        <v>4</v>
      </c>
      <c r="G4059">
        <f t="shared" si="189"/>
        <v>1600</v>
      </c>
      <c r="H4059" t="s">
        <v>7</v>
      </c>
      <c r="I4059">
        <f t="shared" si="190"/>
        <v>480</v>
      </c>
      <c r="J4059">
        <f t="shared" si="191"/>
        <v>1920</v>
      </c>
    </row>
    <row r="4060" spans="1:10" x14ac:dyDescent="0.45">
      <c r="A4060" t="s">
        <v>2143</v>
      </c>
      <c r="B4060" s="1">
        <v>45938</v>
      </c>
      <c r="C4060" t="s">
        <v>12</v>
      </c>
      <c r="D4060" t="s">
        <v>5022</v>
      </c>
      <c r="E4060">
        <v>2880</v>
      </c>
      <c r="F4060">
        <v>2</v>
      </c>
      <c r="G4060">
        <f t="shared" si="189"/>
        <v>5760</v>
      </c>
      <c r="H4060" t="s">
        <v>7</v>
      </c>
      <c r="I4060">
        <f t="shared" si="190"/>
        <v>3456</v>
      </c>
      <c r="J4060">
        <f t="shared" si="191"/>
        <v>6912</v>
      </c>
    </row>
    <row r="4061" spans="1:10" x14ac:dyDescent="0.45">
      <c r="A4061" t="s">
        <v>3030</v>
      </c>
      <c r="B4061" s="1">
        <v>45938</v>
      </c>
      <c r="C4061" t="s">
        <v>4007</v>
      </c>
      <c r="D4061" t="s">
        <v>28</v>
      </c>
      <c r="E4061">
        <v>500</v>
      </c>
      <c r="F4061">
        <v>4</v>
      </c>
      <c r="G4061">
        <f t="shared" si="189"/>
        <v>2000</v>
      </c>
      <c r="H4061" t="s">
        <v>21</v>
      </c>
      <c r="I4061">
        <f t="shared" si="190"/>
        <v>600</v>
      </c>
      <c r="J4061">
        <f t="shared" si="191"/>
        <v>2400</v>
      </c>
    </row>
    <row r="4062" spans="1:10" x14ac:dyDescent="0.45">
      <c r="A4062" t="s">
        <v>3809</v>
      </c>
      <c r="B4062" s="1">
        <v>45938</v>
      </c>
      <c r="C4062" t="s">
        <v>4007</v>
      </c>
      <c r="D4062" t="s">
        <v>28</v>
      </c>
      <c r="E4062">
        <v>500</v>
      </c>
      <c r="F4062">
        <v>9</v>
      </c>
      <c r="G4062">
        <f t="shared" si="189"/>
        <v>4500</v>
      </c>
      <c r="H4062" t="s">
        <v>17</v>
      </c>
      <c r="I4062">
        <f t="shared" si="190"/>
        <v>600</v>
      </c>
      <c r="J4062">
        <f t="shared" si="191"/>
        <v>5400</v>
      </c>
    </row>
    <row r="4063" spans="1:10" x14ac:dyDescent="0.45">
      <c r="A4063" t="s">
        <v>2144</v>
      </c>
      <c r="B4063" s="1">
        <v>45939</v>
      </c>
      <c r="C4063" t="s">
        <v>33</v>
      </c>
      <c r="D4063" t="s">
        <v>14</v>
      </c>
      <c r="E4063">
        <v>800</v>
      </c>
      <c r="F4063">
        <v>7</v>
      </c>
      <c r="G4063">
        <f t="shared" si="189"/>
        <v>5600</v>
      </c>
      <c r="H4063" t="s">
        <v>21</v>
      </c>
      <c r="I4063">
        <f t="shared" si="190"/>
        <v>960</v>
      </c>
      <c r="J4063">
        <f t="shared" si="191"/>
        <v>6720</v>
      </c>
    </row>
    <row r="4064" spans="1:10" x14ac:dyDescent="0.45">
      <c r="A4064" t="s">
        <v>2145</v>
      </c>
      <c r="B4064" s="1">
        <v>45939</v>
      </c>
      <c r="C4064" t="s">
        <v>33</v>
      </c>
      <c r="D4064" t="s">
        <v>14</v>
      </c>
      <c r="E4064">
        <v>800</v>
      </c>
      <c r="F4064">
        <v>3</v>
      </c>
      <c r="G4064">
        <f t="shared" si="189"/>
        <v>2400</v>
      </c>
      <c r="H4064" t="s">
        <v>21</v>
      </c>
      <c r="I4064">
        <f t="shared" si="190"/>
        <v>960</v>
      </c>
      <c r="J4064">
        <f t="shared" si="191"/>
        <v>2880</v>
      </c>
    </row>
    <row r="4065" spans="1:10" x14ac:dyDescent="0.45">
      <c r="A4065" t="s">
        <v>2146</v>
      </c>
      <c r="B4065" s="1">
        <v>45939</v>
      </c>
      <c r="C4065" t="s">
        <v>12</v>
      </c>
      <c r="D4065" t="s">
        <v>5021</v>
      </c>
      <c r="E4065">
        <v>2880</v>
      </c>
      <c r="F4065">
        <v>3</v>
      </c>
      <c r="G4065">
        <f t="shared" si="189"/>
        <v>8640</v>
      </c>
      <c r="H4065" t="s">
        <v>17</v>
      </c>
      <c r="I4065">
        <f t="shared" si="190"/>
        <v>3456</v>
      </c>
      <c r="J4065">
        <f t="shared" si="191"/>
        <v>10368</v>
      </c>
    </row>
    <row r="4066" spans="1:10" x14ac:dyDescent="0.45">
      <c r="A4066" t="s">
        <v>2147</v>
      </c>
      <c r="B4066" s="1">
        <v>45939</v>
      </c>
      <c r="C4066" t="s">
        <v>4007</v>
      </c>
      <c r="D4066" t="s">
        <v>28</v>
      </c>
      <c r="E4066">
        <v>500</v>
      </c>
      <c r="F4066">
        <v>6</v>
      </c>
      <c r="G4066">
        <f t="shared" si="189"/>
        <v>3000</v>
      </c>
      <c r="H4066" t="s">
        <v>7</v>
      </c>
      <c r="I4066">
        <f t="shared" si="190"/>
        <v>600</v>
      </c>
      <c r="J4066">
        <f t="shared" si="191"/>
        <v>3600</v>
      </c>
    </row>
    <row r="4067" spans="1:10" x14ac:dyDescent="0.45">
      <c r="A4067" t="s">
        <v>2148</v>
      </c>
      <c r="B4067" s="1">
        <v>45939</v>
      </c>
      <c r="C4067" t="s">
        <v>4007</v>
      </c>
      <c r="D4067" t="s">
        <v>5015</v>
      </c>
      <c r="E4067">
        <v>48000</v>
      </c>
      <c r="F4067">
        <v>9</v>
      </c>
      <c r="G4067">
        <f t="shared" si="189"/>
        <v>432000</v>
      </c>
      <c r="H4067" t="s">
        <v>21</v>
      </c>
      <c r="I4067">
        <f t="shared" si="190"/>
        <v>57600</v>
      </c>
      <c r="J4067">
        <f t="shared" si="191"/>
        <v>518400</v>
      </c>
    </row>
    <row r="4068" spans="1:10" x14ac:dyDescent="0.45">
      <c r="A4068" t="s">
        <v>3676</v>
      </c>
      <c r="B4068" s="1">
        <v>45939</v>
      </c>
      <c r="C4068" t="s">
        <v>4007</v>
      </c>
      <c r="D4068" t="s">
        <v>2770</v>
      </c>
      <c r="E4068">
        <v>600</v>
      </c>
      <c r="F4068">
        <v>4</v>
      </c>
      <c r="G4068">
        <f t="shared" si="189"/>
        <v>2400</v>
      </c>
      <c r="H4068" t="s">
        <v>7</v>
      </c>
      <c r="I4068">
        <f t="shared" si="190"/>
        <v>720</v>
      </c>
      <c r="J4068">
        <f t="shared" si="191"/>
        <v>2880</v>
      </c>
    </row>
    <row r="4069" spans="1:10" x14ac:dyDescent="0.45">
      <c r="A4069" t="s">
        <v>2149</v>
      </c>
      <c r="B4069" s="1">
        <v>45940</v>
      </c>
      <c r="C4069" t="s">
        <v>4007</v>
      </c>
      <c r="D4069" t="s">
        <v>39</v>
      </c>
      <c r="E4069">
        <v>6000</v>
      </c>
      <c r="F4069">
        <v>2</v>
      </c>
      <c r="G4069">
        <f t="shared" si="189"/>
        <v>12000</v>
      </c>
      <c r="H4069" t="s">
        <v>21</v>
      </c>
      <c r="I4069">
        <f t="shared" si="190"/>
        <v>7200</v>
      </c>
      <c r="J4069">
        <f t="shared" si="191"/>
        <v>14400</v>
      </c>
    </row>
    <row r="4070" spans="1:10" x14ac:dyDescent="0.45">
      <c r="A4070" t="s">
        <v>2150</v>
      </c>
      <c r="B4070" s="1">
        <v>45940</v>
      </c>
      <c r="C4070" t="s">
        <v>9</v>
      </c>
      <c r="D4070" t="s">
        <v>10</v>
      </c>
      <c r="E4070">
        <v>400</v>
      </c>
      <c r="F4070">
        <v>9</v>
      </c>
      <c r="G4070">
        <f t="shared" si="189"/>
        <v>3600</v>
      </c>
      <c r="H4070" t="s">
        <v>7</v>
      </c>
      <c r="I4070">
        <f t="shared" si="190"/>
        <v>480</v>
      </c>
      <c r="J4070">
        <f t="shared" si="191"/>
        <v>4320</v>
      </c>
    </row>
    <row r="4071" spans="1:10" x14ac:dyDescent="0.45">
      <c r="A4071" t="s">
        <v>2151</v>
      </c>
      <c r="B4071" s="1">
        <v>45940</v>
      </c>
      <c r="C4071" t="s">
        <v>33</v>
      </c>
      <c r="D4071" t="s">
        <v>42</v>
      </c>
      <c r="E4071">
        <v>6900</v>
      </c>
      <c r="F4071">
        <v>6</v>
      </c>
      <c r="G4071">
        <f t="shared" si="189"/>
        <v>41400</v>
      </c>
      <c r="H4071" t="s">
        <v>7</v>
      </c>
      <c r="I4071">
        <f t="shared" si="190"/>
        <v>8280</v>
      </c>
      <c r="J4071">
        <f t="shared" si="191"/>
        <v>49680</v>
      </c>
    </row>
    <row r="4072" spans="1:10" x14ac:dyDescent="0.45">
      <c r="A4072" t="s">
        <v>2152</v>
      </c>
      <c r="B4072" s="1">
        <v>45940</v>
      </c>
      <c r="C4072" t="s">
        <v>33</v>
      </c>
      <c r="D4072" t="s">
        <v>16</v>
      </c>
      <c r="E4072">
        <v>1200</v>
      </c>
      <c r="F4072">
        <v>2</v>
      </c>
      <c r="G4072">
        <f t="shared" si="189"/>
        <v>2400</v>
      </c>
      <c r="H4072" t="s">
        <v>7</v>
      </c>
      <c r="I4072">
        <f t="shared" si="190"/>
        <v>1440</v>
      </c>
      <c r="J4072">
        <f t="shared" si="191"/>
        <v>2880</v>
      </c>
    </row>
    <row r="4073" spans="1:10" x14ac:dyDescent="0.45">
      <c r="A4073" t="s">
        <v>2153</v>
      </c>
      <c r="B4073" s="1">
        <v>45940</v>
      </c>
      <c r="C4073" t="s">
        <v>4007</v>
      </c>
      <c r="D4073" t="s">
        <v>28</v>
      </c>
      <c r="E4073">
        <v>500</v>
      </c>
      <c r="F4073">
        <v>3</v>
      </c>
      <c r="G4073">
        <f t="shared" si="189"/>
        <v>1500</v>
      </c>
      <c r="H4073" t="s">
        <v>17</v>
      </c>
      <c r="I4073">
        <f t="shared" si="190"/>
        <v>600</v>
      </c>
      <c r="J4073">
        <f t="shared" si="191"/>
        <v>1800</v>
      </c>
    </row>
    <row r="4074" spans="1:10" x14ac:dyDescent="0.45">
      <c r="A4074" t="s">
        <v>2154</v>
      </c>
      <c r="B4074" s="1">
        <v>45940</v>
      </c>
      <c r="C4074" t="s">
        <v>9</v>
      </c>
      <c r="D4074" t="s">
        <v>10</v>
      </c>
      <c r="E4074">
        <v>400</v>
      </c>
      <c r="F4074">
        <v>9</v>
      </c>
      <c r="G4074">
        <f t="shared" si="189"/>
        <v>3600</v>
      </c>
      <c r="H4074" t="s">
        <v>7</v>
      </c>
      <c r="I4074">
        <f t="shared" si="190"/>
        <v>480</v>
      </c>
      <c r="J4074">
        <f t="shared" si="191"/>
        <v>4320</v>
      </c>
    </row>
    <row r="4075" spans="1:10" x14ac:dyDescent="0.45">
      <c r="A4075" t="s">
        <v>2155</v>
      </c>
      <c r="B4075" s="1">
        <v>45940</v>
      </c>
      <c r="C4075" t="s">
        <v>4007</v>
      </c>
      <c r="D4075" t="s">
        <v>39</v>
      </c>
      <c r="E4075">
        <v>6000</v>
      </c>
      <c r="F4075">
        <v>1</v>
      </c>
      <c r="G4075">
        <f t="shared" si="189"/>
        <v>6000</v>
      </c>
      <c r="H4075" t="s">
        <v>17</v>
      </c>
      <c r="I4075">
        <f t="shared" si="190"/>
        <v>7200</v>
      </c>
      <c r="J4075">
        <f t="shared" si="191"/>
        <v>7200</v>
      </c>
    </row>
    <row r="4076" spans="1:10" x14ac:dyDescent="0.45">
      <c r="A4076" t="s">
        <v>2953</v>
      </c>
      <c r="B4076" s="1">
        <v>45940</v>
      </c>
      <c r="C4076" t="s">
        <v>4007</v>
      </c>
      <c r="D4076" t="s">
        <v>2776</v>
      </c>
      <c r="E4076">
        <v>3600</v>
      </c>
      <c r="F4076">
        <v>10</v>
      </c>
      <c r="G4076">
        <f t="shared" si="189"/>
        <v>36000</v>
      </c>
      <c r="H4076" t="s">
        <v>7</v>
      </c>
      <c r="I4076">
        <f t="shared" si="190"/>
        <v>4320</v>
      </c>
      <c r="J4076">
        <f t="shared" si="191"/>
        <v>43200</v>
      </c>
    </row>
    <row r="4077" spans="1:10" x14ac:dyDescent="0.45">
      <c r="A4077" t="s">
        <v>3532</v>
      </c>
      <c r="B4077" s="1">
        <v>45940</v>
      </c>
      <c r="C4077" t="s">
        <v>33</v>
      </c>
      <c r="D4077" t="s">
        <v>14</v>
      </c>
      <c r="E4077">
        <v>800</v>
      </c>
      <c r="F4077">
        <v>3</v>
      </c>
      <c r="G4077">
        <f t="shared" si="189"/>
        <v>2400</v>
      </c>
      <c r="H4077" t="s">
        <v>7</v>
      </c>
      <c r="I4077">
        <f t="shared" si="190"/>
        <v>960</v>
      </c>
      <c r="J4077">
        <f t="shared" si="191"/>
        <v>2880</v>
      </c>
    </row>
    <row r="4078" spans="1:10" x14ac:dyDescent="0.45">
      <c r="A4078" t="s">
        <v>3690</v>
      </c>
      <c r="B4078" s="1">
        <v>45940</v>
      </c>
      <c r="C4078" t="s">
        <v>4007</v>
      </c>
      <c r="D4078" t="s">
        <v>2774</v>
      </c>
      <c r="E4078">
        <v>1900</v>
      </c>
      <c r="F4078">
        <v>8</v>
      </c>
      <c r="G4078">
        <f t="shared" si="189"/>
        <v>15200</v>
      </c>
      <c r="H4078" t="s">
        <v>21</v>
      </c>
      <c r="I4078">
        <f t="shared" si="190"/>
        <v>2280</v>
      </c>
      <c r="J4078">
        <f t="shared" si="191"/>
        <v>18240</v>
      </c>
    </row>
    <row r="4079" spans="1:10" x14ac:dyDescent="0.45">
      <c r="A4079" t="s">
        <v>3781</v>
      </c>
      <c r="B4079" s="1">
        <v>45940</v>
      </c>
      <c r="C4079" t="s">
        <v>33</v>
      </c>
      <c r="D4079" t="s">
        <v>34</v>
      </c>
      <c r="E4079">
        <v>1700</v>
      </c>
      <c r="F4079">
        <v>1</v>
      </c>
      <c r="G4079">
        <f t="shared" si="189"/>
        <v>1700</v>
      </c>
      <c r="H4079" t="s">
        <v>21</v>
      </c>
      <c r="I4079">
        <f t="shared" si="190"/>
        <v>2040</v>
      </c>
      <c r="J4079">
        <f t="shared" si="191"/>
        <v>2040</v>
      </c>
    </row>
    <row r="4080" spans="1:10" x14ac:dyDescent="0.45">
      <c r="A4080" t="s">
        <v>3881</v>
      </c>
      <c r="B4080" s="1">
        <v>45940</v>
      </c>
      <c r="C4080" t="s">
        <v>4007</v>
      </c>
      <c r="D4080" t="s">
        <v>2776</v>
      </c>
      <c r="E4080">
        <v>3600</v>
      </c>
      <c r="F4080">
        <v>5</v>
      </c>
      <c r="G4080">
        <f t="shared" si="189"/>
        <v>18000</v>
      </c>
      <c r="H4080" t="s">
        <v>7</v>
      </c>
      <c r="I4080">
        <f t="shared" si="190"/>
        <v>4320</v>
      </c>
      <c r="J4080">
        <f t="shared" si="191"/>
        <v>21600</v>
      </c>
    </row>
    <row r="4081" spans="1:10" x14ac:dyDescent="0.45">
      <c r="A4081" t="s">
        <v>2156</v>
      </c>
      <c r="B4081" s="1">
        <v>45941</v>
      </c>
      <c r="C4081" t="s">
        <v>4007</v>
      </c>
      <c r="D4081" t="s">
        <v>5015</v>
      </c>
      <c r="E4081">
        <v>48000</v>
      </c>
      <c r="F4081">
        <v>9</v>
      </c>
      <c r="G4081">
        <f t="shared" si="189"/>
        <v>432000</v>
      </c>
      <c r="H4081" t="s">
        <v>17</v>
      </c>
      <c r="I4081">
        <f t="shared" si="190"/>
        <v>57600</v>
      </c>
      <c r="J4081">
        <f t="shared" si="191"/>
        <v>518400</v>
      </c>
    </row>
    <row r="4082" spans="1:10" x14ac:dyDescent="0.45">
      <c r="A4082" t="s">
        <v>2157</v>
      </c>
      <c r="B4082" s="1">
        <v>45941</v>
      </c>
      <c r="C4082" t="s">
        <v>4007</v>
      </c>
      <c r="D4082" t="s">
        <v>5015</v>
      </c>
      <c r="E4082">
        <v>48000</v>
      </c>
      <c r="F4082">
        <v>3</v>
      </c>
      <c r="G4082">
        <f t="shared" si="189"/>
        <v>144000</v>
      </c>
      <c r="H4082" t="s">
        <v>21</v>
      </c>
      <c r="I4082">
        <f t="shared" si="190"/>
        <v>57600</v>
      </c>
      <c r="J4082">
        <f t="shared" si="191"/>
        <v>172800</v>
      </c>
    </row>
    <row r="4083" spans="1:10" x14ac:dyDescent="0.45">
      <c r="A4083" t="s">
        <v>2158</v>
      </c>
      <c r="B4083" s="1">
        <v>45941</v>
      </c>
      <c r="C4083" t="s">
        <v>4007</v>
      </c>
      <c r="D4083" t="s">
        <v>4005</v>
      </c>
      <c r="E4083">
        <v>60000</v>
      </c>
      <c r="F4083">
        <v>3</v>
      </c>
      <c r="G4083">
        <f t="shared" si="189"/>
        <v>180000</v>
      </c>
      <c r="H4083" t="s">
        <v>21</v>
      </c>
      <c r="I4083">
        <f t="shared" si="190"/>
        <v>72000</v>
      </c>
      <c r="J4083">
        <f t="shared" si="191"/>
        <v>216000</v>
      </c>
    </row>
    <row r="4084" spans="1:10" x14ac:dyDescent="0.45">
      <c r="A4084" t="s">
        <v>2159</v>
      </c>
      <c r="B4084" s="1">
        <v>45941</v>
      </c>
      <c r="C4084" t="s">
        <v>33</v>
      </c>
      <c r="D4084" t="s">
        <v>42</v>
      </c>
      <c r="E4084">
        <v>6900</v>
      </c>
      <c r="F4084">
        <v>8</v>
      </c>
      <c r="G4084">
        <f t="shared" si="189"/>
        <v>55200</v>
      </c>
      <c r="H4084" t="s">
        <v>17</v>
      </c>
      <c r="I4084">
        <f t="shared" si="190"/>
        <v>8280</v>
      </c>
      <c r="J4084">
        <f t="shared" si="191"/>
        <v>66240</v>
      </c>
    </row>
    <row r="4085" spans="1:10" x14ac:dyDescent="0.45">
      <c r="A4085" t="s">
        <v>2160</v>
      </c>
      <c r="B4085" s="1">
        <v>45941</v>
      </c>
      <c r="C4085" t="s">
        <v>33</v>
      </c>
      <c r="D4085" t="s">
        <v>14</v>
      </c>
      <c r="E4085">
        <v>800</v>
      </c>
      <c r="F4085">
        <v>10</v>
      </c>
      <c r="G4085">
        <f t="shared" si="189"/>
        <v>8000</v>
      </c>
      <c r="H4085" t="s">
        <v>17</v>
      </c>
      <c r="I4085">
        <f t="shared" si="190"/>
        <v>960</v>
      </c>
      <c r="J4085">
        <f t="shared" si="191"/>
        <v>9600</v>
      </c>
    </row>
    <row r="4086" spans="1:10" x14ac:dyDescent="0.45">
      <c r="A4086" t="s">
        <v>2161</v>
      </c>
      <c r="B4086" s="1">
        <v>45941</v>
      </c>
      <c r="C4086" t="s">
        <v>4007</v>
      </c>
      <c r="D4086" t="s">
        <v>39</v>
      </c>
      <c r="E4086">
        <v>6000</v>
      </c>
      <c r="F4086">
        <v>4</v>
      </c>
      <c r="G4086">
        <f t="shared" si="189"/>
        <v>24000</v>
      </c>
      <c r="H4086" t="s">
        <v>7</v>
      </c>
      <c r="I4086">
        <f t="shared" si="190"/>
        <v>7200</v>
      </c>
      <c r="J4086">
        <f t="shared" si="191"/>
        <v>28800</v>
      </c>
    </row>
    <row r="4087" spans="1:10" x14ac:dyDescent="0.45">
      <c r="A4087" t="s">
        <v>2162</v>
      </c>
      <c r="B4087" s="1">
        <v>45941</v>
      </c>
      <c r="C4087" t="s">
        <v>9</v>
      </c>
      <c r="D4087" t="s">
        <v>10</v>
      </c>
      <c r="E4087">
        <v>400</v>
      </c>
      <c r="F4087">
        <v>1</v>
      </c>
      <c r="G4087">
        <f t="shared" si="189"/>
        <v>400</v>
      </c>
      <c r="H4087" t="s">
        <v>17</v>
      </c>
      <c r="I4087">
        <f t="shared" si="190"/>
        <v>480</v>
      </c>
      <c r="J4087">
        <f t="shared" si="191"/>
        <v>480</v>
      </c>
    </row>
    <row r="4088" spans="1:10" x14ac:dyDescent="0.45">
      <c r="A4088" t="s">
        <v>2796</v>
      </c>
      <c r="B4088" s="1">
        <v>45941</v>
      </c>
      <c r="C4088" t="s">
        <v>4007</v>
      </c>
      <c r="D4088" t="s">
        <v>2776</v>
      </c>
      <c r="E4088">
        <v>3600</v>
      </c>
      <c r="F4088">
        <v>4</v>
      </c>
      <c r="G4088">
        <f t="shared" si="189"/>
        <v>14400</v>
      </c>
      <c r="H4088" t="s">
        <v>17</v>
      </c>
      <c r="I4088">
        <f t="shared" si="190"/>
        <v>4320</v>
      </c>
      <c r="J4088">
        <f t="shared" si="191"/>
        <v>17280</v>
      </c>
    </row>
    <row r="4089" spans="1:10" x14ac:dyDescent="0.45">
      <c r="A4089" t="s">
        <v>3199</v>
      </c>
      <c r="B4089" s="1">
        <v>45941</v>
      </c>
      <c r="C4089" t="s">
        <v>4007</v>
      </c>
      <c r="D4089" t="s">
        <v>2770</v>
      </c>
      <c r="E4089">
        <v>600</v>
      </c>
      <c r="F4089">
        <v>5</v>
      </c>
      <c r="G4089">
        <f t="shared" si="189"/>
        <v>3000</v>
      </c>
      <c r="H4089" t="s">
        <v>21</v>
      </c>
      <c r="I4089">
        <f t="shared" si="190"/>
        <v>720</v>
      </c>
      <c r="J4089">
        <f t="shared" si="191"/>
        <v>3600</v>
      </c>
    </row>
    <row r="4090" spans="1:10" x14ac:dyDescent="0.45">
      <c r="A4090" t="s">
        <v>3639</v>
      </c>
      <c r="B4090" s="1">
        <v>45941</v>
      </c>
      <c r="C4090" t="s">
        <v>4007</v>
      </c>
      <c r="D4090" t="s">
        <v>28</v>
      </c>
      <c r="E4090">
        <v>500</v>
      </c>
      <c r="F4090">
        <v>7</v>
      </c>
      <c r="G4090">
        <f t="shared" si="189"/>
        <v>3500</v>
      </c>
      <c r="H4090" t="s">
        <v>7</v>
      </c>
      <c r="I4090">
        <f t="shared" si="190"/>
        <v>600</v>
      </c>
      <c r="J4090">
        <f t="shared" si="191"/>
        <v>4200</v>
      </c>
    </row>
    <row r="4091" spans="1:10" x14ac:dyDescent="0.45">
      <c r="A4091" t="s">
        <v>2163</v>
      </c>
      <c r="B4091" s="1">
        <v>45942</v>
      </c>
      <c r="C4091" t="s">
        <v>12</v>
      </c>
      <c r="D4091" t="s">
        <v>5023</v>
      </c>
      <c r="E4091">
        <v>1750</v>
      </c>
      <c r="F4091">
        <v>4</v>
      </c>
      <c r="G4091">
        <f t="shared" si="189"/>
        <v>7000</v>
      </c>
      <c r="H4091" t="s">
        <v>17</v>
      </c>
      <c r="I4091">
        <f t="shared" si="190"/>
        <v>2100</v>
      </c>
      <c r="J4091">
        <f t="shared" si="191"/>
        <v>8400</v>
      </c>
    </row>
    <row r="4092" spans="1:10" x14ac:dyDescent="0.45">
      <c r="A4092" t="s">
        <v>2164</v>
      </c>
      <c r="B4092" s="1">
        <v>45942</v>
      </c>
      <c r="C4092" t="s">
        <v>4007</v>
      </c>
      <c r="D4092" t="s">
        <v>28</v>
      </c>
      <c r="E4092">
        <v>500</v>
      </c>
      <c r="F4092">
        <v>2</v>
      </c>
      <c r="G4092">
        <f t="shared" si="189"/>
        <v>1000</v>
      </c>
      <c r="H4092" t="s">
        <v>21</v>
      </c>
      <c r="I4092">
        <f t="shared" si="190"/>
        <v>600</v>
      </c>
      <c r="J4092">
        <f t="shared" si="191"/>
        <v>1200</v>
      </c>
    </row>
    <row r="4093" spans="1:10" x14ac:dyDescent="0.45">
      <c r="A4093" t="s">
        <v>2165</v>
      </c>
      <c r="B4093" s="1">
        <v>45942</v>
      </c>
      <c r="C4093" t="s">
        <v>33</v>
      </c>
      <c r="D4093" t="s">
        <v>16</v>
      </c>
      <c r="E4093">
        <v>1200</v>
      </c>
      <c r="F4093">
        <v>3</v>
      </c>
      <c r="G4093">
        <f t="shared" si="189"/>
        <v>3600</v>
      </c>
      <c r="H4093" t="s">
        <v>21</v>
      </c>
      <c r="I4093">
        <f t="shared" si="190"/>
        <v>1440</v>
      </c>
      <c r="J4093">
        <f t="shared" si="191"/>
        <v>4320</v>
      </c>
    </row>
    <row r="4094" spans="1:10" x14ac:dyDescent="0.45">
      <c r="A4094" t="s">
        <v>2166</v>
      </c>
      <c r="B4094" s="1">
        <v>45942</v>
      </c>
      <c r="C4094" t="s">
        <v>33</v>
      </c>
      <c r="D4094" t="s">
        <v>34</v>
      </c>
      <c r="E4094">
        <v>1700</v>
      </c>
      <c r="F4094">
        <v>7</v>
      </c>
      <c r="G4094">
        <f t="shared" si="189"/>
        <v>11900</v>
      </c>
      <c r="H4094" t="s">
        <v>21</v>
      </c>
      <c r="I4094">
        <f t="shared" si="190"/>
        <v>2040</v>
      </c>
      <c r="J4094">
        <f t="shared" si="191"/>
        <v>14280</v>
      </c>
    </row>
    <row r="4095" spans="1:10" x14ac:dyDescent="0.45">
      <c r="A4095" t="s">
        <v>2167</v>
      </c>
      <c r="B4095" s="1">
        <v>45942</v>
      </c>
      <c r="C4095" t="s">
        <v>4007</v>
      </c>
      <c r="D4095" t="s">
        <v>39</v>
      </c>
      <c r="E4095">
        <v>6000</v>
      </c>
      <c r="F4095">
        <v>9</v>
      </c>
      <c r="G4095">
        <f t="shared" si="189"/>
        <v>54000</v>
      </c>
      <c r="H4095" t="s">
        <v>7</v>
      </c>
      <c r="I4095">
        <f t="shared" si="190"/>
        <v>7200</v>
      </c>
      <c r="J4095">
        <f t="shared" si="191"/>
        <v>64800</v>
      </c>
    </row>
    <row r="4096" spans="1:10" x14ac:dyDescent="0.45">
      <c r="A4096" t="s">
        <v>2168</v>
      </c>
      <c r="B4096" s="1">
        <v>45942</v>
      </c>
      <c r="C4096" t="s">
        <v>4007</v>
      </c>
      <c r="D4096" t="s">
        <v>4005</v>
      </c>
      <c r="E4096">
        <v>60000</v>
      </c>
      <c r="F4096">
        <v>10</v>
      </c>
      <c r="G4096">
        <f t="shared" si="189"/>
        <v>600000</v>
      </c>
      <c r="H4096" t="s">
        <v>7</v>
      </c>
      <c r="I4096">
        <f t="shared" si="190"/>
        <v>72000</v>
      </c>
      <c r="J4096">
        <f t="shared" si="191"/>
        <v>720000</v>
      </c>
    </row>
    <row r="4097" spans="1:10" x14ac:dyDescent="0.45">
      <c r="A4097" t="s">
        <v>2169</v>
      </c>
      <c r="B4097" s="1">
        <v>45942</v>
      </c>
      <c r="C4097" t="s">
        <v>33</v>
      </c>
      <c r="D4097" t="s">
        <v>16</v>
      </c>
      <c r="E4097">
        <v>1200</v>
      </c>
      <c r="F4097">
        <v>5</v>
      </c>
      <c r="G4097">
        <f t="shared" si="189"/>
        <v>6000</v>
      </c>
      <c r="H4097" t="s">
        <v>7</v>
      </c>
      <c r="I4097">
        <f t="shared" si="190"/>
        <v>1440</v>
      </c>
      <c r="J4097">
        <f t="shared" si="191"/>
        <v>7200</v>
      </c>
    </row>
    <row r="4098" spans="1:10" x14ac:dyDescent="0.45">
      <c r="A4098" t="s">
        <v>2170</v>
      </c>
      <c r="B4098" s="1">
        <v>45942</v>
      </c>
      <c r="C4098" t="s">
        <v>4007</v>
      </c>
      <c r="D4098" t="s">
        <v>28</v>
      </c>
      <c r="E4098">
        <v>500</v>
      </c>
      <c r="F4098">
        <v>3</v>
      </c>
      <c r="G4098">
        <f t="shared" ref="G4098:G4161" si="192">E4098*F4098</f>
        <v>1500</v>
      </c>
      <c r="H4098" t="s">
        <v>21</v>
      </c>
      <c r="I4098">
        <f t="shared" ref="I4098:I4161" si="193">E4098*1.2</f>
        <v>600</v>
      </c>
      <c r="J4098">
        <f t="shared" ref="J4098:J4161" si="194">I4098*F4098</f>
        <v>1800</v>
      </c>
    </row>
    <row r="4099" spans="1:10" x14ac:dyDescent="0.45">
      <c r="A4099" t="s">
        <v>2171</v>
      </c>
      <c r="B4099" s="1">
        <v>45942</v>
      </c>
      <c r="C4099" t="s">
        <v>33</v>
      </c>
      <c r="D4099" t="s">
        <v>34</v>
      </c>
      <c r="E4099">
        <v>1700</v>
      </c>
      <c r="F4099">
        <v>9</v>
      </c>
      <c r="G4099">
        <f t="shared" si="192"/>
        <v>15300</v>
      </c>
      <c r="H4099" t="s">
        <v>21</v>
      </c>
      <c r="I4099">
        <f t="shared" si="193"/>
        <v>2040</v>
      </c>
      <c r="J4099">
        <f t="shared" si="194"/>
        <v>18360</v>
      </c>
    </row>
    <row r="4100" spans="1:10" x14ac:dyDescent="0.45">
      <c r="A4100" t="s">
        <v>3202</v>
      </c>
      <c r="B4100" s="1">
        <v>45942</v>
      </c>
      <c r="C4100" t="s">
        <v>4007</v>
      </c>
      <c r="D4100" t="s">
        <v>2774</v>
      </c>
      <c r="E4100">
        <v>1900</v>
      </c>
      <c r="F4100">
        <v>2</v>
      </c>
      <c r="G4100">
        <f t="shared" si="192"/>
        <v>3800</v>
      </c>
      <c r="H4100" t="s">
        <v>17</v>
      </c>
      <c r="I4100">
        <f t="shared" si="193"/>
        <v>2280</v>
      </c>
      <c r="J4100">
        <f t="shared" si="194"/>
        <v>4560</v>
      </c>
    </row>
    <row r="4101" spans="1:10" x14ac:dyDescent="0.45">
      <c r="A4101" t="s">
        <v>3527</v>
      </c>
      <c r="B4101" s="1">
        <v>45942</v>
      </c>
      <c r="C4101" t="s">
        <v>4007</v>
      </c>
      <c r="D4101" t="s">
        <v>28</v>
      </c>
      <c r="E4101">
        <v>500</v>
      </c>
      <c r="F4101">
        <v>4</v>
      </c>
      <c r="G4101">
        <f t="shared" si="192"/>
        <v>2000</v>
      </c>
      <c r="H4101" t="s">
        <v>17</v>
      </c>
      <c r="I4101">
        <f t="shared" si="193"/>
        <v>600</v>
      </c>
      <c r="J4101">
        <f t="shared" si="194"/>
        <v>2400</v>
      </c>
    </row>
    <row r="4102" spans="1:10" x14ac:dyDescent="0.45">
      <c r="A4102" t="s">
        <v>3782</v>
      </c>
      <c r="B4102" s="1">
        <v>45942</v>
      </c>
      <c r="C4102" t="s">
        <v>4007</v>
      </c>
      <c r="D4102" t="s">
        <v>2773</v>
      </c>
      <c r="E4102">
        <v>3300</v>
      </c>
      <c r="F4102">
        <v>5</v>
      </c>
      <c r="G4102">
        <f t="shared" si="192"/>
        <v>16500</v>
      </c>
      <c r="H4102" t="s">
        <v>7</v>
      </c>
      <c r="I4102">
        <f t="shared" si="193"/>
        <v>3960</v>
      </c>
      <c r="J4102">
        <f t="shared" si="194"/>
        <v>19800</v>
      </c>
    </row>
    <row r="4103" spans="1:10" x14ac:dyDescent="0.45">
      <c r="A4103" t="s">
        <v>2172</v>
      </c>
      <c r="B4103" s="1">
        <v>45943</v>
      </c>
      <c r="C4103" t="s">
        <v>9</v>
      </c>
      <c r="D4103" t="s">
        <v>25</v>
      </c>
      <c r="E4103">
        <v>5200</v>
      </c>
      <c r="F4103">
        <v>10</v>
      </c>
      <c r="G4103">
        <f t="shared" si="192"/>
        <v>52000</v>
      </c>
      <c r="H4103" t="s">
        <v>21</v>
      </c>
      <c r="I4103">
        <f t="shared" si="193"/>
        <v>6240</v>
      </c>
      <c r="J4103">
        <f t="shared" si="194"/>
        <v>62400</v>
      </c>
    </row>
    <row r="4104" spans="1:10" x14ac:dyDescent="0.45">
      <c r="A4104" t="s">
        <v>2173</v>
      </c>
      <c r="B4104" s="1">
        <v>45943</v>
      </c>
      <c r="C4104" t="s">
        <v>9</v>
      </c>
      <c r="D4104" t="s">
        <v>19</v>
      </c>
      <c r="E4104">
        <v>3000</v>
      </c>
      <c r="F4104">
        <v>3</v>
      </c>
      <c r="G4104">
        <f t="shared" si="192"/>
        <v>9000</v>
      </c>
      <c r="H4104" t="s">
        <v>17</v>
      </c>
      <c r="I4104">
        <f t="shared" si="193"/>
        <v>3600</v>
      </c>
      <c r="J4104">
        <f t="shared" si="194"/>
        <v>10800</v>
      </c>
    </row>
    <row r="4105" spans="1:10" x14ac:dyDescent="0.45">
      <c r="A4105" t="s">
        <v>2174</v>
      </c>
      <c r="B4105" s="1">
        <v>45943</v>
      </c>
      <c r="C4105" t="s">
        <v>4007</v>
      </c>
      <c r="D4105" t="s">
        <v>39</v>
      </c>
      <c r="E4105">
        <v>6000</v>
      </c>
      <c r="F4105">
        <v>6</v>
      </c>
      <c r="G4105">
        <f t="shared" si="192"/>
        <v>36000</v>
      </c>
      <c r="H4105" t="s">
        <v>17</v>
      </c>
      <c r="I4105">
        <f t="shared" si="193"/>
        <v>7200</v>
      </c>
      <c r="J4105">
        <f t="shared" si="194"/>
        <v>43200</v>
      </c>
    </row>
    <row r="4106" spans="1:10" x14ac:dyDescent="0.45">
      <c r="A4106" t="s">
        <v>2175</v>
      </c>
      <c r="B4106" s="1">
        <v>45943</v>
      </c>
      <c r="C4106" t="s">
        <v>12</v>
      </c>
      <c r="D4106" t="s">
        <v>5020</v>
      </c>
      <c r="E4106">
        <v>2880</v>
      </c>
      <c r="F4106">
        <v>10</v>
      </c>
      <c r="G4106">
        <f t="shared" si="192"/>
        <v>28800</v>
      </c>
      <c r="H4106" t="s">
        <v>21</v>
      </c>
      <c r="I4106">
        <f t="shared" si="193"/>
        <v>3456</v>
      </c>
      <c r="J4106">
        <f t="shared" si="194"/>
        <v>34560</v>
      </c>
    </row>
    <row r="4107" spans="1:10" x14ac:dyDescent="0.45">
      <c r="A4107" t="s">
        <v>2176</v>
      </c>
      <c r="B4107" s="1">
        <v>45943</v>
      </c>
      <c r="C4107" t="s">
        <v>9</v>
      </c>
      <c r="D4107" t="s">
        <v>10</v>
      </c>
      <c r="E4107">
        <v>400</v>
      </c>
      <c r="F4107">
        <v>6</v>
      </c>
      <c r="G4107">
        <f t="shared" si="192"/>
        <v>2400</v>
      </c>
      <c r="H4107" t="s">
        <v>7</v>
      </c>
      <c r="I4107">
        <f t="shared" si="193"/>
        <v>480</v>
      </c>
      <c r="J4107">
        <f t="shared" si="194"/>
        <v>2880</v>
      </c>
    </row>
    <row r="4108" spans="1:10" x14ac:dyDescent="0.45">
      <c r="A4108" t="s">
        <v>2177</v>
      </c>
      <c r="B4108" s="1">
        <v>45943</v>
      </c>
      <c r="C4108" t="s">
        <v>12</v>
      </c>
      <c r="D4108" t="s">
        <v>5021</v>
      </c>
      <c r="E4108">
        <v>2880</v>
      </c>
      <c r="F4108">
        <v>4</v>
      </c>
      <c r="G4108">
        <f t="shared" si="192"/>
        <v>11520</v>
      </c>
      <c r="H4108" t="s">
        <v>17</v>
      </c>
      <c r="I4108">
        <f t="shared" si="193"/>
        <v>3456</v>
      </c>
      <c r="J4108">
        <f t="shared" si="194"/>
        <v>13824</v>
      </c>
    </row>
    <row r="4109" spans="1:10" x14ac:dyDescent="0.45">
      <c r="A4109" t="s">
        <v>2178</v>
      </c>
      <c r="B4109" s="1">
        <v>45943</v>
      </c>
      <c r="C4109" t="s">
        <v>12</v>
      </c>
      <c r="D4109" t="s">
        <v>5022</v>
      </c>
      <c r="E4109">
        <v>2880</v>
      </c>
      <c r="F4109">
        <v>1</v>
      </c>
      <c r="G4109">
        <f t="shared" si="192"/>
        <v>2880</v>
      </c>
      <c r="H4109" t="s">
        <v>17</v>
      </c>
      <c r="I4109">
        <f t="shared" si="193"/>
        <v>3456</v>
      </c>
      <c r="J4109">
        <f t="shared" si="194"/>
        <v>3456</v>
      </c>
    </row>
    <row r="4110" spans="1:10" x14ac:dyDescent="0.45">
      <c r="A4110" t="s">
        <v>2179</v>
      </c>
      <c r="B4110" s="1">
        <v>45943</v>
      </c>
      <c r="C4110" t="s">
        <v>9</v>
      </c>
      <c r="D4110" t="s">
        <v>10</v>
      </c>
      <c r="E4110">
        <v>400</v>
      </c>
      <c r="F4110">
        <v>9</v>
      </c>
      <c r="G4110">
        <f t="shared" si="192"/>
        <v>3600</v>
      </c>
      <c r="H4110" t="s">
        <v>7</v>
      </c>
      <c r="I4110">
        <f t="shared" si="193"/>
        <v>480</v>
      </c>
      <c r="J4110">
        <f t="shared" si="194"/>
        <v>4320</v>
      </c>
    </row>
    <row r="4111" spans="1:10" x14ac:dyDescent="0.45">
      <c r="A4111" t="s">
        <v>3222</v>
      </c>
      <c r="B4111" s="1">
        <v>45943</v>
      </c>
      <c r="C4111" t="s">
        <v>2772</v>
      </c>
      <c r="D4111" t="s">
        <v>2775</v>
      </c>
      <c r="E4111">
        <v>9100</v>
      </c>
      <c r="F4111">
        <v>10</v>
      </c>
      <c r="G4111">
        <f t="shared" si="192"/>
        <v>91000</v>
      </c>
      <c r="H4111" t="s">
        <v>7</v>
      </c>
      <c r="I4111">
        <f t="shared" si="193"/>
        <v>10920</v>
      </c>
      <c r="J4111">
        <f t="shared" si="194"/>
        <v>109200</v>
      </c>
    </row>
    <row r="4112" spans="1:10" x14ac:dyDescent="0.45">
      <c r="A4112" t="s">
        <v>3460</v>
      </c>
      <c r="B4112" s="1">
        <v>45943</v>
      </c>
      <c r="C4112" t="s">
        <v>33</v>
      </c>
      <c r="D4112" t="s">
        <v>14</v>
      </c>
      <c r="E4112">
        <v>800</v>
      </c>
      <c r="F4112">
        <v>6</v>
      </c>
      <c r="G4112">
        <f t="shared" si="192"/>
        <v>4800</v>
      </c>
      <c r="H4112" t="s">
        <v>21</v>
      </c>
      <c r="I4112">
        <f t="shared" si="193"/>
        <v>960</v>
      </c>
      <c r="J4112">
        <f t="shared" si="194"/>
        <v>5760</v>
      </c>
    </row>
    <row r="4113" spans="1:10" x14ac:dyDescent="0.45">
      <c r="A4113" t="s">
        <v>3515</v>
      </c>
      <c r="B4113" s="1">
        <v>45943</v>
      </c>
      <c r="C4113" t="s">
        <v>4007</v>
      </c>
      <c r="D4113" t="s">
        <v>5015</v>
      </c>
      <c r="E4113">
        <v>48000</v>
      </c>
      <c r="F4113">
        <v>8</v>
      </c>
      <c r="G4113">
        <f t="shared" si="192"/>
        <v>384000</v>
      </c>
      <c r="H4113" t="s">
        <v>7</v>
      </c>
      <c r="I4113">
        <f t="shared" si="193"/>
        <v>57600</v>
      </c>
      <c r="J4113">
        <f t="shared" si="194"/>
        <v>460800</v>
      </c>
    </row>
    <row r="4114" spans="1:10" x14ac:dyDescent="0.45">
      <c r="A4114" t="s">
        <v>3658</v>
      </c>
      <c r="B4114" s="1">
        <v>45943</v>
      </c>
      <c r="C4114" t="s">
        <v>33</v>
      </c>
      <c r="D4114" t="s">
        <v>34</v>
      </c>
      <c r="E4114">
        <v>1700</v>
      </c>
      <c r="F4114">
        <v>2</v>
      </c>
      <c r="G4114">
        <f t="shared" si="192"/>
        <v>3400</v>
      </c>
      <c r="H4114" t="s">
        <v>17</v>
      </c>
      <c r="I4114">
        <f t="shared" si="193"/>
        <v>2040</v>
      </c>
      <c r="J4114">
        <f t="shared" si="194"/>
        <v>4080</v>
      </c>
    </row>
    <row r="4115" spans="1:10" x14ac:dyDescent="0.45">
      <c r="A4115" t="s">
        <v>3941</v>
      </c>
      <c r="B4115" s="1">
        <v>45943</v>
      </c>
      <c r="C4115" t="s">
        <v>4007</v>
      </c>
      <c r="D4115" t="s">
        <v>5015</v>
      </c>
      <c r="E4115">
        <v>48000</v>
      </c>
      <c r="F4115">
        <v>4</v>
      </c>
      <c r="G4115">
        <f t="shared" si="192"/>
        <v>192000</v>
      </c>
      <c r="H4115" t="s">
        <v>21</v>
      </c>
      <c r="I4115">
        <f t="shared" si="193"/>
        <v>57600</v>
      </c>
      <c r="J4115">
        <f t="shared" si="194"/>
        <v>230400</v>
      </c>
    </row>
    <row r="4116" spans="1:10" x14ac:dyDescent="0.45">
      <c r="A4116" t="s">
        <v>2180</v>
      </c>
      <c r="B4116" s="1">
        <v>45944</v>
      </c>
      <c r="C4116" t="s">
        <v>12</v>
      </c>
      <c r="D4116" t="s">
        <v>5022</v>
      </c>
      <c r="E4116">
        <v>2880</v>
      </c>
      <c r="F4116">
        <v>5</v>
      </c>
      <c r="G4116">
        <f t="shared" si="192"/>
        <v>14400</v>
      </c>
      <c r="H4116" t="s">
        <v>21</v>
      </c>
      <c r="I4116">
        <f t="shared" si="193"/>
        <v>3456</v>
      </c>
      <c r="J4116">
        <f t="shared" si="194"/>
        <v>17280</v>
      </c>
    </row>
    <row r="4117" spans="1:10" x14ac:dyDescent="0.45">
      <c r="A4117" t="s">
        <v>2181</v>
      </c>
      <c r="B4117" s="1">
        <v>45944</v>
      </c>
      <c r="C4117" t="s">
        <v>9</v>
      </c>
      <c r="D4117" t="s">
        <v>19</v>
      </c>
      <c r="E4117">
        <v>3000</v>
      </c>
      <c r="F4117">
        <v>4</v>
      </c>
      <c r="G4117">
        <f t="shared" si="192"/>
        <v>12000</v>
      </c>
      <c r="H4117" t="s">
        <v>21</v>
      </c>
      <c r="I4117">
        <f t="shared" si="193"/>
        <v>3600</v>
      </c>
      <c r="J4117">
        <f t="shared" si="194"/>
        <v>14400</v>
      </c>
    </row>
    <row r="4118" spans="1:10" x14ac:dyDescent="0.45">
      <c r="A4118" t="s">
        <v>2182</v>
      </c>
      <c r="B4118" s="1">
        <v>45944</v>
      </c>
      <c r="C4118" t="s">
        <v>33</v>
      </c>
      <c r="D4118" t="s">
        <v>42</v>
      </c>
      <c r="E4118">
        <v>6900</v>
      </c>
      <c r="F4118">
        <v>2</v>
      </c>
      <c r="G4118">
        <f t="shared" si="192"/>
        <v>13800</v>
      </c>
      <c r="H4118" t="s">
        <v>7</v>
      </c>
      <c r="I4118">
        <f t="shared" si="193"/>
        <v>8280</v>
      </c>
      <c r="J4118">
        <f t="shared" si="194"/>
        <v>16560</v>
      </c>
    </row>
    <row r="4119" spans="1:10" x14ac:dyDescent="0.45">
      <c r="A4119" t="s">
        <v>2183</v>
      </c>
      <c r="B4119" s="1">
        <v>45944</v>
      </c>
      <c r="C4119" t="s">
        <v>4007</v>
      </c>
      <c r="D4119" t="s">
        <v>4005</v>
      </c>
      <c r="E4119">
        <v>60000</v>
      </c>
      <c r="F4119">
        <v>8</v>
      </c>
      <c r="G4119">
        <f t="shared" si="192"/>
        <v>480000</v>
      </c>
      <c r="H4119" t="s">
        <v>21</v>
      </c>
      <c r="I4119">
        <f t="shared" si="193"/>
        <v>72000</v>
      </c>
      <c r="J4119">
        <f t="shared" si="194"/>
        <v>576000</v>
      </c>
    </row>
    <row r="4120" spans="1:10" x14ac:dyDescent="0.45">
      <c r="A4120" t="s">
        <v>2184</v>
      </c>
      <c r="B4120" s="1">
        <v>45944</v>
      </c>
      <c r="C4120" t="s">
        <v>4007</v>
      </c>
      <c r="D4120" t="s">
        <v>5015</v>
      </c>
      <c r="E4120">
        <v>48000</v>
      </c>
      <c r="F4120">
        <v>3</v>
      </c>
      <c r="G4120">
        <f t="shared" si="192"/>
        <v>144000</v>
      </c>
      <c r="H4120" t="s">
        <v>21</v>
      </c>
      <c r="I4120">
        <f t="shared" si="193"/>
        <v>57600</v>
      </c>
      <c r="J4120">
        <f t="shared" si="194"/>
        <v>172800</v>
      </c>
    </row>
    <row r="4121" spans="1:10" x14ac:dyDescent="0.45">
      <c r="A4121" t="s">
        <v>3046</v>
      </c>
      <c r="B4121" s="1">
        <v>45944</v>
      </c>
      <c r="C4121" t="s">
        <v>4007</v>
      </c>
      <c r="D4121" t="s">
        <v>2770</v>
      </c>
      <c r="E4121">
        <v>600</v>
      </c>
      <c r="F4121">
        <v>3</v>
      </c>
      <c r="G4121">
        <f t="shared" si="192"/>
        <v>1800</v>
      </c>
      <c r="H4121" t="s">
        <v>17</v>
      </c>
      <c r="I4121">
        <f t="shared" si="193"/>
        <v>720</v>
      </c>
      <c r="J4121">
        <f t="shared" si="194"/>
        <v>2160</v>
      </c>
    </row>
    <row r="4122" spans="1:10" x14ac:dyDescent="0.45">
      <c r="A4122" t="s">
        <v>3541</v>
      </c>
      <c r="B4122" s="1">
        <v>45944</v>
      </c>
      <c r="C4122" t="s">
        <v>4007</v>
      </c>
      <c r="D4122" t="s">
        <v>28</v>
      </c>
      <c r="E4122">
        <v>500</v>
      </c>
      <c r="F4122">
        <v>1</v>
      </c>
      <c r="G4122">
        <f t="shared" si="192"/>
        <v>500</v>
      </c>
      <c r="H4122" t="s">
        <v>21</v>
      </c>
      <c r="I4122">
        <f t="shared" si="193"/>
        <v>600</v>
      </c>
      <c r="J4122">
        <f t="shared" si="194"/>
        <v>600</v>
      </c>
    </row>
    <row r="4123" spans="1:10" x14ac:dyDescent="0.45">
      <c r="A4123" t="s">
        <v>3638</v>
      </c>
      <c r="B4123" s="1">
        <v>45944</v>
      </c>
      <c r="C4123" t="s">
        <v>33</v>
      </c>
      <c r="D4123" t="s">
        <v>14</v>
      </c>
      <c r="E4123">
        <v>800</v>
      </c>
      <c r="F4123">
        <v>10</v>
      </c>
      <c r="G4123">
        <f t="shared" si="192"/>
        <v>8000</v>
      </c>
      <c r="H4123" t="s">
        <v>21</v>
      </c>
      <c r="I4123">
        <f t="shared" si="193"/>
        <v>960</v>
      </c>
      <c r="J4123">
        <f t="shared" si="194"/>
        <v>9600</v>
      </c>
    </row>
    <row r="4124" spans="1:10" x14ac:dyDescent="0.45">
      <c r="A4124" t="s">
        <v>2185</v>
      </c>
      <c r="B4124" s="1">
        <v>45945</v>
      </c>
      <c r="C4124" t="s">
        <v>33</v>
      </c>
      <c r="D4124" t="s">
        <v>16</v>
      </c>
      <c r="E4124">
        <v>1200</v>
      </c>
      <c r="F4124">
        <v>4</v>
      </c>
      <c r="G4124">
        <f t="shared" si="192"/>
        <v>4800</v>
      </c>
      <c r="H4124" t="s">
        <v>7</v>
      </c>
      <c r="I4124">
        <f t="shared" si="193"/>
        <v>1440</v>
      </c>
      <c r="J4124">
        <f t="shared" si="194"/>
        <v>5760</v>
      </c>
    </row>
    <row r="4125" spans="1:10" x14ac:dyDescent="0.45">
      <c r="A4125" t="s">
        <v>2186</v>
      </c>
      <c r="B4125" s="1">
        <v>45945</v>
      </c>
      <c r="C4125" t="s">
        <v>33</v>
      </c>
      <c r="D4125" t="s">
        <v>34</v>
      </c>
      <c r="E4125">
        <v>1700</v>
      </c>
      <c r="F4125">
        <v>6</v>
      </c>
      <c r="G4125">
        <f t="shared" si="192"/>
        <v>10200</v>
      </c>
      <c r="H4125" t="s">
        <v>21</v>
      </c>
      <c r="I4125">
        <f t="shared" si="193"/>
        <v>2040</v>
      </c>
      <c r="J4125">
        <f t="shared" si="194"/>
        <v>12240</v>
      </c>
    </row>
    <row r="4126" spans="1:10" x14ac:dyDescent="0.45">
      <c r="A4126" t="s">
        <v>2187</v>
      </c>
      <c r="B4126" s="1">
        <v>45945</v>
      </c>
      <c r="C4126" t="s">
        <v>12</v>
      </c>
      <c r="D4126" t="s">
        <v>5022</v>
      </c>
      <c r="E4126">
        <v>2880</v>
      </c>
      <c r="F4126">
        <v>10</v>
      </c>
      <c r="G4126">
        <f t="shared" si="192"/>
        <v>28800</v>
      </c>
      <c r="H4126" t="s">
        <v>21</v>
      </c>
      <c r="I4126">
        <f t="shared" si="193"/>
        <v>3456</v>
      </c>
      <c r="J4126">
        <f t="shared" si="194"/>
        <v>34560</v>
      </c>
    </row>
    <row r="4127" spans="1:10" x14ac:dyDescent="0.45">
      <c r="A4127" t="s">
        <v>2188</v>
      </c>
      <c r="B4127" s="1">
        <v>45945</v>
      </c>
      <c r="C4127" t="s">
        <v>12</v>
      </c>
      <c r="D4127" t="s">
        <v>5023</v>
      </c>
      <c r="E4127">
        <v>1750</v>
      </c>
      <c r="F4127">
        <v>7</v>
      </c>
      <c r="G4127">
        <f t="shared" si="192"/>
        <v>12250</v>
      </c>
      <c r="H4127" t="s">
        <v>21</v>
      </c>
      <c r="I4127">
        <f t="shared" si="193"/>
        <v>2100</v>
      </c>
      <c r="J4127">
        <f t="shared" si="194"/>
        <v>14700</v>
      </c>
    </row>
    <row r="4128" spans="1:10" x14ac:dyDescent="0.45">
      <c r="A4128" t="s">
        <v>2189</v>
      </c>
      <c r="B4128" s="1">
        <v>45945</v>
      </c>
      <c r="C4128" t="s">
        <v>33</v>
      </c>
      <c r="D4128" t="s">
        <v>42</v>
      </c>
      <c r="E4128">
        <v>6900</v>
      </c>
      <c r="F4128">
        <v>3</v>
      </c>
      <c r="G4128">
        <f t="shared" si="192"/>
        <v>20700</v>
      </c>
      <c r="H4128" t="s">
        <v>17</v>
      </c>
      <c r="I4128">
        <f t="shared" si="193"/>
        <v>8280</v>
      </c>
      <c r="J4128">
        <f t="shared" si="194"/>
        <v>24840</v>
      </c>
    </row>
    <row r="4129" spans="1:10" x14ac:dyDescent="0.45">
      <c r="A4129" t="s">
        <v>2190</v>
      </c>
      <c r="B4129" s="1">
        <v>45945</v>
      </c>
      <c r="C4129" t="s">
        <v>33</v>
      </c>
      <c r="D4129" t="s">
        <v>14</v>
      </c>
      <c r="E4129">
        <v>800</v>
      </c>
      <c r="F4129">
        <v>9</v>
      </c>
      <c r="G4129">
        <f t="shared" si="192"/>
        <v>7200</v>
      </c>
      <c r="H4129" t="s">
        <v>7</v>
      </c>
      <c r="I4129">
        <f t="shared" si="193"/>
        <v>960</v>
      </c>
      <c r="J4129">
        <f t="shared" si="194"/>
        <v>8640</v>
      </c>
    </row>
    <row r="4130" spans="1:10" x14ac:dyDescent="0.45">
      <c r="A4130" t="s">
        <v>2873</v>
      </c>
      <c r="B4130" s="1">
        <v>45945</v>
      </c>
      <c r="C4130" t="s">
        <v>2772</v>
      </c>
      <c r="D4130" t="s">
        <v>2771</v>
      </c>
      <c r="E4130">
        <v>120</v>
      </c>
      <c r="F4130">
        <v>4</v>
      </c>
      <c r="G4130">
        <f t="shared" si="192"/>
        <v>480</v>
      </c>
      <c r="H4130" t="s">
        <v>17</v>
      </c>
      <c r="I4130">
        <f t="shared" si="193"/>
        <v>144</v>
      </c>
      <c r="J4130">
        <f t="shared" si="194"/>
        <v>576</v>
      </c>
    </row>
    <row r="4131" spans="1:10" x14ac:dyDescent="0.45">
      <c r="A4131" t="s">
        <v>3035</v>
      </c>
      <c r="B4131" s="1">
        <v>45945</v>
      </c>
      <c r="C4131" t="s">
        <v>4007</v>
      </c>
      <c r="D4131" t="s">
        <v>5015</v>
      </c>
      <c r="E4131">
        <v>48000</v>
      </c>
      <c r="F4131">
        <v>2</v>
      </c>
      <c r="G4131">
        <f t="shared" si="192"/>
        <v>96000</v>
      </c>
      <c r="H4131" t="s">
        <v>7</v>
      </c>
      <c r="I4131">
        <f t="shared" si="193"/>
        <v>57600</v>
      </c>
      <c r="J4131">
        <f t="shared" si="194"/>
        <v>115200</v>
      </c>
    </row>
    <row r="4132" spans="1:10" x14ac:dyDescent="0.45">
      <c r="A4132" t="s">
        <v>2191</v>
      </c>
      <c r="B4132" s="1">
        <v>45946</v>
      </c>
      <c r="C4132" t="s">
        <v>12</v>
      </c>
      <c r="D4132" t="s">
        <v>5022</v>
      </c>
      <c r="E4132">
        <v>2880</v>
      </c>
      <c r="F4132">
        <v>7</v>
      </c>
      <c r="G4132">
        <f t="shared" si="192"/>
        <v>20160</v>
      </c>
      <c r="H4132" t="s">
        <v>17</v>
      </c>
      <c r="I4132">
        <f t="shared" si="193"/>
        <v>3456</v>
      </c>
      <c r="J4132">
        <f t="shared" si="194"/>
        <v>24192</v>
      </c>
    </row>
    <row r="4133" spans="1:10" x14ac:dyDescent="0.45">
      <c r="A4133" t="s">
        <v>2192</v>
      </c>
      <c r="B4133" s="1">
        <v>45946</v>
      </c>
      <c r="C4133" t="s">
        <v>33</v>
      </c>
      <c r="D4133" t="s">
        <v>42</v>
      </c>
      <c r="E4133">
        <v>6900</v>
      </c>
      <c r="F4133">
        <v>4</v>
      </c>
      <c r="G4133">
        <f t="shared" si="192"/>
        <v>27600</v>
      </c>
      <c r="H4133" t="s">
        <v>17</v>
      </c>
      <c r="I4133">
        <f t="shared" si="193"/>
        <v>8280</v>
      </c>
      <c r="J4133">
        <f t="shared" si="194"/>
        <v>33120</v>
      </c>
    </row>
    <row r="4134" spans="1:10" x14ac:dyDescent="0.45">
      <c r="A4134" t="s">
        <v>2193</v>
      </c>
      <c r="B4134" s="1">
        <v>45946</v>
      </c>
      <c r="C4134" t="s">
        <v>9</v>
      </c>
      <c r="D4134" t="s">
        <v>25</v>
      </c>
      <c r="E4134">
        <v>5200</v>
      </c>
      <c r="F4134">
        <v>5</v>
      </c>
      <c r="G4134">
        <f t="shared" si="192"/>
        <v>26000</v>
      </c>
      <c r="H4134" t="s">
        <v>17</v>
      </c>
      <c r="I4134">
        <f t="shared" si="193"/>
        <v>6240</v>
      </c>
      <c r="J4134">
        <f t="shared" si="194"/>
        <v>31200</v>
      </c>
    </row>
    <row r="4135" spans="1:10" x14ac:dyDescent="0.45">
      <c r="A4135" t="s">
        <v>2194</v>
      </c>
      <c r="B4135" s="1">
        <v>45946</v>
      </c>
      <c r="C4135" t="s">
        <v>4007</v>
      </c>
      <c r="D4135" t="s">
        <v>28</v>
      </c>
      <c r="E4135">
        <v>500</v>
      </c>
      <c r="F4135">
        <v>7</v>
      </c>
      <c r="G4135">
        <f t="shared" si="192"/>
        <v>3500</v>
      </c>
      <c r="H4135" t="s">
        <v>17</v>
      </c>
      <c r="I4135">
        <f t="shared" si="193"/>
        <v>600</v>
      </c>
      <c r="J4135">
        <f t="shared" si="194"/>
        <v>4200</v>
      </c>
    </row>
    <row r="4136" spans="1:10" x14ac:dyDescent="0.45">
      <c r="A4136" t="s">
        <v>2195</v>
      </c>
      <c r="B4136" s="1">
        <v>45946</v>
      </c>
      <c r="C4136" t="s">
        <v>12</v>
      </c>
      <c r="D4136" t="s">
        <v>5022</v>
      </c>
      <c r="E4136">
        <v>2880</v>
      </c>
      <c r="F4136">
        <v>10</v>
      </c>
      <c r="G4136">
        <f t="shared" si="192"/>
        <v>28800</v>
      </c>
      <c r="H4136" t="s">
        <v>17</v>
      </c>
      <c r="I4136">
        <f t="shared" si="193"/>
        <v>3456</v>
      </c>
      <c r="J4136">
        <f t="shared" si="194"/>
        <v>34560</v>
      </c>
    </row>
    <row r="4137" spans="1:10" x14ac:dyDescent="0.45">
      <c r="A4137" t="s">
        <v>2196</v>
      </c>
      <c r="B4137" s="1">
        <v>45946</v>
      </c>
      <c r="C4137" t="s">
        <v>9</v>
      </c>
      <c r="D4137" t="s">
        <v>19</v>
      </c>
      <c r="E4137">
        <v>3000</v>
      </c>
      <c r="F4137">
        <v>7</v>
      </c>
      <c r="G4137">
        <f t="shared" si="192"/>
        <v>21000</v>
      </c>
      <c r="H4137" t="s">
        <v>21</v>
      </c>
      <c r="I4137">
        <f t="shared" si="193"/>
        <v>3600</v>
      </c>
      <c r="J4137">
        <f t="shared" si="194"/>
        <v>25200</v>
      </c>
    </row>
    <row r="4138" spans="1:10" x14ac:dyDescent="0.45">
      <c r="A4138" t="s">
        <v>2197</v>
      </c>
      <c r="B4138" s="1">
        <v>45946</v>
      </c>
      <c r="C4138" t="s">
        <v>4007</v>
      </c>
      <c r="D4138" t="s">
        <v>4005</v>
      </c>
      <c r="E4138">
        <v>60000</v>
      </c>
      <c r="F4138">
        <v>5</v>
      </c>
      <c r="G4138">
        <f t="shared" si="192"/>
        <v>300000</v>
      </c>
      <c r="H4138" t="s">
        <v>7</v>
      </c>
      <c r="I4138">
        <f t="shared" si="193"/>
        <v>72000</v>
      </c>
      <c r="J4138">
        <f t="shared" si="194"/>
        <v>360000</v>
      </c>
    </row>
    <row r="4139" spans="1:10" x14ac:dyDescent="0.45">
      <c r="A4139" t="s">
        <v>2198</v>
      </c>
      <c r="B4139" s="1">
        <v>45946</v>
      </c>
      <c r="C4139" t="s">
        <v>12</v>
      </c>
      <c r="D4139" t="s">
        <v>5022</v>
      </c>
      <c r="E4139">
        <v>2880</v>
      </c>
      <c r="F4139">
        <v>5</v>
      </c>
      <c r="G4139">
        <f t="shared" si="192"/>
        <v>14400</v>
      </c>
      <c r="H4139" t="s">
        <v>21</v>
      </c>
      <c r="I4139">
        <f t="shared" si="193"/>
        <v>3456</v>
      </c>
      <c r="J4139">
        <f t="shared" si="194"/>
        <v>17280</v>
      </c>
    </row>
    <row r="4140" spans="1:10" x14ac:dyDescent="0.45">
      <c r="A4140" t="s">
        <v>2199</v>
      </c>
      <c r="B4140" s="1">
        <v>45946</v>
      </c>
      <c r="C4140" t="s">
        <v>9</v>
      </c>
      <c r="D4140" t="s">
        <v>25</v>
      </c>
      <c r="E4140">
        <v>5200</v>
      </c>
      <c r="F4140">
        <v>2</v>
      </c>
      <c r="G4140">
        <f t="shared" si="192"/>
        <v>10400</v>
      </c>
      <c r="H4140" t="s">
        <v>21</v>
      </c>
      <c r="I4140">
        <f t="shared" si="193"/>
        <v>6240</v>
      </c>
      <c r="J4140">
        <f t="shared" si="194"/>
        <v>12480</v>
      </c>
    </row>
    <row r="4141" spans="1:10" x14ac:dyDescent="0.45">
      <c r="A4141" t="s">
        <v>2200</v>
      </c>
      <c r="B4141" s="1">
        <v>45946</v>
      </c>
      <c r="C4141" t="s">
        <v>9</v>
      </c>
      <c r="D4141" t="s">
        <v>25</v>
      </c>
      <c r="E4141">
        <v>5200</v>
      </c>
      <c r="F4141">
        <v>6</v>
      </c>
      <c r="G4141">
        <f t="shared" si="192"/>
        <v>31200</v>
      </c>
      <c r="H4141" t="s">
        <v>21</v>
      </c>
      <c r="I4141">
        <f t="shared" si="193"/>
        <v>6240</v>
      </c>
      <c r="J4141">
        <f t="shared" si="194"/>
        <v>37440</v>
      </c>
    </row>
    <row r="4142" spans="1:10" x14ac:dyDescent="0.45">
      <c r="A4142" t="s">
        <v>3594</v>
      </c>
      <c r="B4142" s="1">
        <v>45946</v>
      </c>
      <c r="C4142" t="s">
        <v>4007</v>
      </c>
      <c r="D4142" t="s">
        <v>5015</v>
      </c>
      <c r="E4142">
        <v>48000</v>
      </c>
      <c r="F4142">
        <v>8</v>
      </c>
      <c r="G4142">
        <f t="shared" si="192"/>
        <v>384000</v>
      </c>
      <c r="H4142" t="s">
        <v>21</v>
      </c>
      <c r="I4142">
        <f t="shared" si="193"/>
        <v>57600</v>
      </c>
      <c r="J4142">
        <f t="shared" si="194"/>
        <v>460800</v>
      </c>
    </row>
    <row r="4143" spans="1:10" x14ac:dyDescent="0.45">
      <c r="A4143" t="s">
        <v>3628</v>
      </c>
      <c r="B4143" s="1">
        <v>45946</v>
      </c>
      <c r="C4143" t="s">
        <v>2772</v>
      </c>
      <c r="D4143" t="s">
        <v>2775</v>
      </c>
      <c r="E4143">
        <v>9100</v>
      </c>
      <c r="F4143">
        <v>1</v>
      </c>
      <c r="G4143">
        <f t="shared" si="192"/>
        <v>9100</v>
      </c>
      <c r="H4143" t="s">
        <v>17</v>
      </c>
      <c r="I4143">
        <f t="shared" si="193"/>
        <v>10920</v>
      </c>
      <c r="J4143">
        <f t="shared" si="194"/>
        <v>10920</v>
      </c>
    </row>
    <row r="4144" spans="1:10" x14ac:dyDescent="0.45">
      <c r="A4144" t="s">
        <v>2201</v>
      </c>
      <c r="B4144" s="1">
        <v>45947</v>
      </c>
      <c r="C4144" t="s">
        <v>4007</v>
      </c>
      <c r="D4144" t="s">
        <v>39</v>
      </c>
      <c r="E4144">
        <v>6000</v>
      </c>
      <c r="F4144">
        <v>8</v>
      </c>
      <c r="G4144">
        <f t="shared" si="192"/>
        <v>48000</v>
      </c>
      <c r="H4144" t="s">
        <v>7</v>
      </c>
      <c r="I4144">
        <f t="shared" si="193"/>
        <v>7200</v>
      </c>
      <c r="J4144">
        <f t="shared" si="194"/>
        <v>57600</v>
      </c>
    </row>
    <row r="4145" spans="1:10" x14ac:dyDescent="0.45">
      <c r="A4145" t="s">
        <v>2202</v>
      </c>
      <c r="B4145" s="1">
        <v>45947</v>
      </c>
      <c r="C4145" t="s">
        <v>4007</v>
      </c>
      <c r="D4145" t="s">
        <v>39</v>
      </c>
      <c r="E4145">
        <v>6000</v>
      </c>
      <c r="F4145">
        <v>5</v>
      </c>
      <c r="G4145">
        <f t="shared" si="192"/>
        <v>30000</v>
      </c>
      <c r="H4145" t="s">
        <v>7</v>
      </c>
      <c r="I4145">
        <f t="shared" si="193"/>
        <v>7200</v>
      </c>
      <c r="J4145">
        <f t="shared" si="194"/>
        <v>36000</v>
      </c>
    </row>
    <row r="4146" spans="1:10" x14ac:dyDescent="0.45">
      <c r="A4146" t="s">
        <v>2203</v>
      </c>
      <c r="B4146" s="1">
        <v>45947</v>
      </c>
      <c r="C4146" t="s">
        <v>4007</v>
      </c>
      <c r="D4146" t="s">
        <v>4005</v>
      </c>
      <c r="E4146">
        <v>60000</v>
      </c>
      <c r="F4146">
        <v>9</v>
      </c>
      <c r="G4146">
        <f t="shared" si="192"/>
        <v>540000</v>
      </c>
      <c r="H4146" t="s">
        <v>21</v>
      </c>
      <c r="I4146">
        <f t="shared" si="193"/>
        <v>72000</v>
      </c>
      <c r="J4146">
        <f t="shared" si="194"/>
        <v>648000</v>
      </c>
    </row>
    <row r="4147" spans="1:10" x14ac:dyDescent="0.45">
      <c r="A4147" t="s">
        <v>2204</v>
      </c>
      <c r="B4147" s="1">
        <v>45947</v>
      </c>
      <c r="C4147" t="s">
        <v>4007</v>
      </c>
      <c r="D4147" t="s">
        <v>28</v>
      </c>
      <c r="E4147">
        <v>500</v>
      </c>
      <c r="F4147">
        <v>2</v>
      </c>
      <c r="G4147">
        <f t="shared" si="192"/>
        <v>1000</v>
      </c>
      <c r="H4147" t="s">
        <v>21</v>
      </c>
      <c r="I4147">
        <f t="shared" si="193"/>
        <v>600</v>
      </c>
      <c r="J4147">
        <f t="shared" si="194"/>
        <v>1200</v>
      </c>
    </row>
    <row r="4148" spans="1:10" x14ac:dyDescent="0.45">
      <c r="A4148" t="s">
        <v>2205</v>
      </c>
      <c r="B4148" s="1">
        <v>45947</v>
      </c>
      <c r="C4148" t="s">
        <v>12</v>
      </c>
      <c r="D4148" t="s">
        <v>5022</v>
      </c>
      <c r="E4148">
        <v>2880</v>
      </c>
      <c r="F4148">
        <v>9</v>
      </c>
      <c r="G4148">
        <f t="shared" si="192"/>
        <v>25920</v>
      </c>
      <c r="H4148" t="s">
        <v>17</v>
      </c>
      <c r="I4148">
        <f t="shared" si="193"/>
        <v>3456</v>
      </c>
      <c r="J4148">
        <f t="shared" si="194"/>
        <v>31104</v>
      </c>
    </row>
    <row r="4149" spans="1:10" x14ac:dyDescent="0.45">
      <c r="A4149" t="s">
        <v>2849</v>
      </c>
      <c r="B4149" s="1">
        <v>45947</v>
      </c>
      <c r="C4149" t="s">
        <v>4007</v>
      </c>
      <c r="D4149" t="s">
        <v>5015</v>
      </c>
      <c r="E4149">
        <v>48000</v>
      </c>
      <c r="F4149">
        <v>2</v>
      </c>
      <c r="G4149">
        <f t="shared" si="192"/>
        <v>96000</v>
      </c>
      <c r="H4149" t="s">
        <v>7</v>
      </c>
      <c r="I4149">
        <f t="shared" si="193"/>
        <v>57600</v>
      </c>
      <c r="J4149">
        <f t="shared" si="194"/>
        <v>115200</v>
      </c>
    </row>
    <row r="4150" spans="1:10" x14ac:dyDescent="0.45">
      <c r="A4150" t="s">
        <v>3631</v>
      </c>
      <c r="B4150" s="1">
        <v>45947</v>
      </c>
      <c r="C4150" t="s">
        <v>4007</v>
      </c>
      <c r="D4150" t="s">
        <v>2773</v>
      </c>
      <c r="E4150">
        <v>3300</v>
      </c>
      <c r="F4150">
        <v>5</v>
      </c>
      <c r="G4150">
        <f t="shared" si="192"/>
        <v>16500</v>
      </c>
      <c r="H4150" t="s">
        <v>21</v>
      </c>
      <c r="I4150">
        <f t="shared" si="193"/>
        <v>3960</v>
      </c>
      <c r="J4150">
        <f t="shared" si="194"/>
        <v>19800</v>
      </c>
    </row>
    <row r="4151" spans="1:10" x14ac:dyDescent="0.45">
      <c r="A4151" t="s">
        <v>3659</v>
      </c>
      <c r="B4151" s="1">
        <v>45947</v>
      </c>
      <c r="C4151" t="s">
        <v>4007</v>
      </c>
      <c r="D4151" t="s">
        <v>28</v>
      </c>
      <c r="E4151">
        <v>500</v>
      </c>
      <c r="F4151">
        <v>2</v>
      </c>
      <c r="G4151">
        <f t="shared" si="192"/>
        <v>1000</v>
      </c>
      <c r="H4151" t="s">
        <v>7</v>
      </c>
      <c r="I4151">
        <f t="shared" si="193"/>
        <v>600</v>
      </c>
      <c r="J4151">
        <f t="shared" si="194"/>
        <v>1200</v>
      </c>
    </row>
    <row r="4152" spans="1:10" x14ac:dyDescent="0.45">
      <c r="A4152" t="s">
        <v>2206</v>
      </c>
      <c r="B4152" s="1">
        <v>45948</v>
      </c>
      <c r="C4152" t="s">
        <v>33</v>
      </c>
      <c r="D4152" t="s">
        <v>16</v>
      </c>
      <c r="E4152">
        <v>1200</v>
      </c>
      <c r="F4152">
        <v>3</v>
      </c>
      <c r="G4152">
        <f t="shared" si="192"/>
        <v>3600</v>
      </c>
      <c r="H4152" t="s">
        <v>17</v>
      </c>
      <c r="I4152">
        <f t="shared" si="193"/>
        <v>1440</v>
      </c>
      <c r="J4152">
        <f t="shared" si="194"/>
        <v>4320</v>
      </c>
    </row>
    <row r="4153" spans="1:10" x14ac:dyDescent="0.45">
      <c r="A4153" t="s">
        <v>2207</v>
      </c>
      <c r="B4153" s="1">
        <v>45948</v>
      </c>
      <c r="C4153" t="s">
        <v>12</v>
      </c>
      <c r="D4153" t="s">
        <v>5023</v>
      </c>
      <c r="E4153">
        <v>1750</v>
      </c>
      <c r="F4153">
        <v>9</v>
      </c>
      <c r="G4153">
        <f t="shared" si="192"/>
        <v>15750</v>
      </c>
      <c r="H4153" t="s">
        <v>21</v>
      </c>
      <c r="I4153">
        <f t="shared" si="193"/>
        <v>2100</v>
      </c>
      <c r="J4153">
        <f t="shared" si="194"/>
        <v>18900</v>
      </c>
    </row>
    <row r="4154" spans="1:10" x14ac:dyDescent="0.45">
      <c r="A4154" t="s">
        <v>2208</v>
      </c>
      <c r="B4154" s="1">
        <v>45948</v>
      </c>
      <c r="C4154" t="s">
        <v>4007</v>
      </c>
      <c r="D4154" t="s">
        <v>4005</v>
      </c>
      <c r="E4154">
        <v>60000</v>
      </c>
      <c r="F4154">
        <v>10</v>
      </c>
      <c r="G4154">
        <f t="shared" si="192"/>
        <v>600000</v>
      </c>
      <c r="H4154" t="s">
        <v>17</v>
      </c>
      <c r="I4154">
        <f t="shared" si="193"/>
        <v>72000</v>
      </c>
      <c r="J4154">
        <f t="shared" si="194"/>
        <v>720000</v>
      </c>
    </row>
    <row r="4155" spans="1:10" x14ac:dyDescent="0.45">
      <c r="A4155" t="s">
        <v>2209</v>
      </c>
      <c r="B4155" s="1">
        <v>45948</v>
      </c>
      <c r="C4155" t="s">
        <v>4007</v>
      </c>
      <c r="D4155" t="s">
        <v>5015</v>
      </c>
      <c r="E4155">
        <v>48000</v>
      </c>
      <c r="F4155">
        <v>8</v>
      </c>
      <c r="G4155">
        <f t="shared" si="192"/>
        <v>384000</v>
      </c>
      <c r="H4155" t="s">
        <v>21</v>
      </c>
      <c r="I4155">
        <f t="shared" si="193"/>
        <v>57600</v>
      </c>
      <c r="J4155">
        <f t="shared" si="194"/>
        <v>460800</v>
      </c>
    </row>
    <row r="4156" spans="1:10" x14ac:dyDescent="0.45">
      <c r="A4156" t="s">
        <v>2210</v>
      </c>
      <c r="B4156" s="1">
        <v>45948</v>
      </c>
      <c r="C4156" t="s">
        <v>4007</v>
      </c>
      <c r="D4156" t="s">
        <v>5015</v>
      </c>
      <c r="E4156">
        <v>48000</v>
      </c>
      <c r="F4156">
        <v>4</v>
      </c>
      <c r="G4156">
        <f t="shared" si="192"/>
        <v>192000</v>
      </c>
      <c r="H4156" t="s">
        <v>17</v>
      </c>
      <c r="I4156">
        <f t="shared" si="193"/>
        <v>57600</v>
      </c>
      <c r="J4156">
        <f t="shared" si="194"/>
        <v>230400</v>
      </c>
    </row>
    <row r="4157" spans="1:10" x14ac:dyDescent="0.45">
      <c r="A4157" t="s">
        <v>2211</v>
      </c>
      <c r="B4157" s="1">
        <v>45948</v>
      </c>
      <c r="C4157" t="s">
        <v>12</v>
      </c>
      <c r="D4157" t="s">
        <v>5021</v>
      </c>
      <c r="E4157">
        <v>2880</v>
      </c>
      <c r="F4157">
        <v>7</v>
      </c>
      <c r="G4157">
        <f t="shared" si="192"/>
        <v>20160</v>
      </c>
      <c r="H4157" t="s">
        <v>17</v>
      </c>
      <c r="I4157">
        <f t="shared" si="193"/>
        <v>3456</v>
      </c>
      <c r="J4157">
        <f t="shared" si="194"/>
        <v>24192</v>
      </c>
    </row>
    <row r="4158" spans="1:10" x14ac:dyDescent="0.45">
      <c r="A4158" t="s">
        <v>2212</v>
      </c>
      <c r="B4158" s="1">
        <v>45948</v>
      </c>
      <c r="C4158" t="s">
        <v>33</v>
      </c>
      <c r="D4158" t="s">
        <v>16</v>
      </c>
      <c r="E4158">
        <v>1200</v>
      </c>
      <c r="F4158">
        <v>3</v>
      </c>
      <c r="G4158">
        <f t="shared" si="192"/>
        <v>3600</v>
      </c>
      <c r="H4158" t="s">
        <v>17</v>
      </c>
      <c r="I4158">
        <f t="shared" si="193"/>
        <v>1440</v>
      </c>
      <c r="J4158">
        <f t="shared" si="194"/>
        <v>4320</v>
      </c>
    </row>
    <row r="4159" spans="1:10" x14ac:dyDescent="0.45">
      <c r="A4159" t="s">
        <v>2213</v>
      </c>
      <c r="B4159" s="1">
        <v>45948</v>
      </c>
      <c r="C4159" t="s">
        <v>4007</v>
      </c>
      <c r="D4159" t="s">
        <v>5015</v>
      </c>
      <c r="E4159">
        <v>48000</v>
      </c>
      <c r="F4159">
        <v>8</v>
      </c>
      <c r="G4159">
        <f t="shared" si="192"/>
        <v>384000</v>
      </c>
      <c r="H4159" t="s">
        <v>17</v>
      </c>
      <c r="I4159">
        <f t="shared" si="193"/>
        <v>57600</v>
      </c>
      <c r="J4159">
        <f t="shared" si="194"/>
        <v>460800</v>
      </c>
    </row>
    <row r="4160" spans="1:10" x14ac:dyDescent="0.45">
      <c r="A4160" t="s">
        <v>2214</v>
      </c>
      <c r="B4160" s="1">
        <v>45948</v>
      </c>
      <c r="C4160" t="s">
        <v>33</v>
      </c>
      <c r="D4160" t="s">
        <v>14</v>
      </c>
      <c r="E4160">
        <v>800</v>
      </c>
      <c r="F4160">
        <v>5</v>
      </c>
      <c r="G4160">
        <f t="shared" si="192"/>
        <v>4000</v>
      </c>
      <c r="H4160" t="s">
        <v>17</v>
      </c>
      <c r="I4160">
        <f t="shared" si="193"/>
        <v>960</v>
      </c>
      <c r="J4160">
        <f t="shared" si="194"/>
        <v>4800</v>
      </c>
    </row>
    <row r="4161" spans="1:10" x14ac:dyDescent="0.45">
      <c r="A4161" t="s">
        <v>2215</v>
      </c>
      <c r="B4161" s="1">
        <v>45948</v>
      </c>
      <c r="C4161" t="s">
        <v>33</v>
      </c>
      <c r="D4161" t="s">
        <v>14</v>
      </c>
      <c r="E4161">
        <v>800</v>
      </c>
      <c r="F4161">
        <v>9</v>
      </c>
      <c r="G4161">
        <f t="shared" si="192"/>
        <v>7200</v>
      </c>
      <c r="H4161" t="s">
        <v>7</v>
      </c>
      <c r="I4161">
        <f t="shared" si="193"/>
        <v>960</v>
      </c>
      <c r="J4161">
        <f t="shared" si="194"/>
        <v>8640</v>
      </c>
    </row>
    <row r="4162" spans="1:10" x14ac:dyDescent="0.45">
      <c r="A4162" t="s">
        <v>3023</v>
      </c>
      <c r="B4162" s="1">
        <v>45948</v>
      </c>
      <c r="C4162" t="s">
        <v>4007</v>
      </c>
      <c r="D4162" t="s">
        <v>28</v>
      </c>
      <c r="E4162">
        <v>500</v>
      </c>
      <c r="F4162">
        <v>7</v>
      </c>
      <c r="G4162">
        <f t="shared" ref="G4162:G4225" si="195">E4162*F4162</f>
        <v>3500</v>
      </c>
      <c r="H4162" t="s">
        <v>21</v>
      </c>
      <c r="I4162">
        <f t="shared" ref="I4162:I4225" si="196">E4162*1.2</f>
        <v>600</v>
      </c>
      <c r="J4162">
        <f t="shared" ref="J4162:J4225" si="197">I4162*F4162</f>
        <v>4200</v>
      </c>
    </row>
    <row r="4163" spans="1:10" x14ac:dyDescent="0.45">
      <c r="A4163" t="s">
        <v>3066</v>
      </c>
      <c r="B4163" s="1">
        <v>45948</v>
      </c>
      <c r="C4163" t="s">
        <v>4007</v>
      </c>
      <c r="D4163" t="s">
        <v>2773</v>
      </c>
      <c r="E4163">
        <v>3300</v>
      </c>
      <c r="F4163">
        <v>7</v>
      </c>
      <c r="G4163">
        <f t="shared" si="195"/>
        <v>23100</v>
      </c>
      <c r="H4163" t="s">
        <v>7</v>
      </c>
      <c r="I4163">
        <f t="shared" si="196"/>
        <v>3960</v>
      </c>
      <c r="J4163">
        <f t="shared" si="197"/>
        <v>27720</v>
      </c>
    </row>
    <row r="4164" spans="1:10" x14ac:dyDescent="0.45">
      <c r="A4164" t="s">
        <v>3227</v>
      </c>
      <c r="B4164" s="1">
        <v>45948</v>
      </c>
      <c r="C4164" t="s">
        <v>4007</v>
      </c>
      <c r="D4164" t="s">
        <v>2776</v>
      </c>
      <c r="E4164">
        <v>3600</v>
      </c>
      <c r="F4164">
        <v>6</v>
      </c>
      <c r="G4164">
        <f t="shared" si="195"/>
        <v>21600</v>
      </c>
      <c r="H4164" t="s">
        <v>7</v>
      </c>
      <c r="I4164">
        <f t="shared" si="196"/>
        <v>4320</v>
      </c>
      <c r="J4164">
        <f t="shared" si="197"/>
        <v>25920</v>
      </c>
    </row>
    <row r="4165" spans="1:10" x14ac:dyDescent="0.45">
      <c r="A4165" t="s">
        <v>3581</v>
      </c>
      <c r="B4165" s="1">
        <v>45948</v>
      </c>
      <c r="C4165" t="s">
        <v>4007</v>
      </c>
      <c r="D4165" t="s">
        <v>5015</v>
      </c>
      <c r="E4165">
        <v>48000</v>
      </c>
      <c r="F4165">
        <v>7</v>
      </c>
      <c r="G4165">
        <f t="shared" si="195"/>
        <v>336000</v>
      </c>
      <c r="H4165" t="s">
        <v>17</v>
      </c>
      <c r="I4165">
        <f t="shared" si="196"/>
        <v>57600</v>
      </c>
      <c r="J4165">
        <f t="shared" si="197"/>
        <v>403200</v>
      </c>
    </row>
    <row r="4166" spans="1:10" x14ac:dyDescent="0.45">
      <c r="A4166" t="s">
        <v>3583</v>
      </c>
      <c r="B4166" s="1">
        <v>45948</v>
      </c>
      <c r="C4166" t="s">
        <v>4007</v>
      </c>
      <c r="D4166" t="s">
        <v>5015</v>
      </c>
      <c r="E4166">
        <v>48000</v>
      </c>
      <c r="F4166">
        <v>7</v>
      </c>
      <c r="G4166">
        <f t="shared" si="195"/>
        <v>336000</v>
      </c>
      <c r="H4166" t="s">
        <v>7</v>
      </c>
      <c r="I4166">
        <f t="shared" si="196"/>
        <v>57600</v>
      </c>
      <c r="J4166">
        <f t="shared" si="197"/>
        <v>403200</v>
      </c>
    </row>
    <row r="4167" spans="1:10" x14ac:dyDescent="0.45">
      <c r="A4167" t="s">
        <v>3689</v>
      </c>
      <c r="B4167" s="1">
        <v>45948</v>
      </c>
      <c r="C4167" t="s">
        <v>2772</v>
      </c>
      <c r="D4167" t="s">
        <v>2775</v>
      </c>
      <c r="E4167">
        <v>9100</v>
      </c>
      <c r="F4167">
        <v>10</v>
      </c>
      <c r="G4167">
        <f t="shared" si="195"/>
        <v>91000</v>
      </c>
      <c r="H4167" t="s">
        <v>17</v>
      </c>
      <c r="I4167">
        <f t="shared" si="196"/>
        <v>10920</v>
      </c>
      <c r="J4167">
        <f t="shared" si="197"/>
        <v>109200</v>
      </c>
    </row>
    <row r="4168" spans="1:10" x14ac:dyDescent="0.45">
      <c r="A4168" t="s">
        <v>3769</v>
      </c>
      <c r="B4168" s="1">
        <v>45948</v>
      </c>
      <c r="C4168" t="s">
        <v>33</v>
      </c>
      <c r="D4168" t="s">
        <v>14</v>
      </c>
      <c r="E4168">
        <v>800</v>
      </c>
      <c r="F4168">
        <v>5</v>
      </c>
      <c r="G4168">
        <f t="shared" si="195"/>
        <v>4000</v>
      </c>
      <c r="H4168" t="s">
        <v>21</v>
      </c>
      <c r="I4168">
        <f t="shared" si="196"/>
        <v>960</v>
      </c>
      <c r="J4168">
        <f t="shared" si="197"/>
        <v>4800</v>
      </c>
    </row>
    <row r="4169" spans="1:10" x14ac:dyDescent="0.45">
      <c r="A4169" t="s">
        <v>2216</v>
      </c>
      <c r="B4169" s="1">
        <v>45949</v>
      </c>
      <c r="C4169" t="s">
        <v>9</v>
      </c>
      <c r="D4169" t="s">
        <v>25</v>
      </c>
      <c r="E4169">
        <v>5200</v>
      </c>
      <c r="F4169">
        <v>2</v>
      </c>
      <c r="G4169">
        <f t="shared" si="195"/>
        <v>10400</v>
      </c>
      <c r="H4169" t="s">
        <v>21</v>
      </c>
      <c r="I4169">
        <f t="shared" si="196"/>
        <v>6240</v>
      </c>
      <c r="J4169">
        <f t="shared" si="197"/>
        <v>12480</v>
      </c>
    </row>
    <row r="4170" spans="1:10" x14ac:dyDescent="0.45">
      <c r="A4170" t="s">
        <v>2217</v>
      </c>
      <c r="B4170" s="1">
        <v>45949</v>
      </c>
      <c r="C4170" t="s">
        <v>33</v>
      </c>
      <c r="D4170" t="s">
        <v>42</v>
      </c>
      <c r="E4170">
        <v>6900</v>
      </c>
      <c r="F4170">
        <v>1</v>
      </c>
      <c r="G4170">
        <f t="shared" si="195"/>
        <v>6900</v>
      </c>
      <c r="H4170" t="s">
        <v>17</v>
      </c>
      <c r="I4170">
        <f t="shared" si="196"/>
        <v>8280</v>
      </c>
      <c r="J4170">
        <f t="shared" si="197"/>
        <v>8280</v>
      </c>
    </row>
    <row r="4171" spans="1:10" x14ac:dyDescent="0.45">
      <c r="A4171" t="s">
        <v>2218</v>
      </c>
      <c r="B4171" s="1">
        <v>45949</v>
      </c>
      <c r="C4171" t="s">
        <v>4007</v>
      </c>
      <c r="D4171" t="s">
        <v>5015</v>
      </c>
      <c r="E4171">
        <v>48000</v>
      </c>
      <c r="F4171">
        <v>6</v>
      </c>
      <c r="G4171">
        <f t="shared" si="195"/>
        <v>288000</v>
      </c>
      <c r="H4171" t="s">
        <v>21</v>
      </c>
      <c r="I4171">
        <f t="shared" si="196"/>
        <v>57600</v>
      </c>
      <c r="J4171">
        <f t="shared" si="197"/>
        <v>345600</v>
      </c>
    </row>
    <row r="4172" spans="1:10" x14ac:dyDescent="0.45">
      <c r="A4172" t="s">
        <v>2219</v>
      </c>
      <c r="B4172" s="1">
        <v>45949</v>
      </c>
      <c r="C4172" t="s">
        <v>4007</v>
      </c>
      <c r="D4172" t="s">
        <v>39</v>
      </c>
      <c r="E4172">
        <v>6000</v>
      </c>
      <c r="F4172">
        <v>9</v>
      </c>
      <c r="G4172">
        <f t="shared" si="195"/>
        <v>54000</v>
      </c>
      <c r="H4172" t="s">
        <v>17</v>
      </c>
      <c r="I4172">
        <f t="shared" si="196"/>
        <v>7200</v>
      </c>
      <c r="J4172">
        <f t="shared" si="197"/>
        <v>64800</v>
      </c>
    </row>
    <row r="4173" spans="1:10" x14ac:dyDescent="0.45">
      <c r="A4173" t="s">
        <v>2220</v>
      </c>
      <c r="B4173" s="1">
        <v>45949</v>
      </c>
      <c r="C4173" t="s">
        <v>9</v>
      </c>
      <c r="D4173" t="s">
        <v>19</v>
      </c>
      <c r="E4173">
        <v>3000</v>
      </c>
      <c r="F4173">
        <v>3</v>
      </c>
      <c r="G4173">
        <f t="shared" si="195"/>
        <v>9000</v>
      </c>
      <c r="H4173" t="s">
        <v>7</v>
      </c>
      <c r="I4173">
        <f t="shared" si="196"/>
        <v>3600</v>
      </c>
      <c r="J4173">
        <f t="shared" si="197"/>
        <v>10800</v>
      </c>
    </row>
    <row r="4174" spans="1:10" x14ac:dyDescent="0.45">
      <c r="A4174" t="s">
        <v>3259</v>
      </c>
      <c r="B4174" s="1">
        <v>45949</v>
      </c>
      <c r="C4174" t="s">
        <v>4007</v>
      </c>
      <c r="D4174" t="s">
        <v>2773</v>
      </c>
      <c r="E4174">
        <v>3300</v>
      </c>
      <c r="F4174">
        <v>3</v>
      </c>
      <c r="G4174">
        <f t="shared" si="195"/>
        <v>9900</v>
      </c>
      <c r="H4174" t="s">
        <v>21</v>
      </c>
      <c r="I4174">
        <f t="shared" si="196"/>
        <v>3960</v>
      </c>
      <c r="J4174">
        <f t="shared" si="197"/>
        <v>11880</v>
      </c>
    </row>
    <row r="4175" spans="1:10" x14ac:dyDescent="0.45">
      <c r="A4175" t="s">
        <v>3496</v>
      </c>
      <c r="B4175" s="1">
        <v>45949</v>
      </c>
      <c r="C4175" t="s">
        <v>2772</v>
      </c>
      <c r="D4175" t="s">
        <v>2775</v>
      </c>
      <c r="E4175">
        <v>9100</v>
      </c>
      <c r="F4175">
        <v>8</v>
      </c>
      <c r="G4175">
        <f t="shared" si="195"/>
        <v>72800</v>
      </c>
      <c r="H4175" t="s">
        <v>7</v>
      </c>
      <c r="I4175">
        <f t="shared" si="196"/>
        <v>10920</v>
      </c>
      <c r="J4175">
        <f t="shared" si="197"/>
        <v>87360</v>
      </c>
    </row>
    <row r="4176" spans="1:10" x14ac:dyDescent="0.45">
      <c r="A4176" t="s">
        <v>3684</v>
      </c>
      <c r="B4176" s="1">
        <v>45949</v>
      </c>
      <c r="C4176" t="s">
        <v>33</v>
      </c>
      <c r="D4176" t="s">
        <v>34</v>
      </c>
      <c r="E4176">
        <v>1700</v>
      </c>
      <c r="F4176">
        <v>8</v>
      </c>
      <c r="G4176">
        <f t="shared" si="195"/>
        <v>13600</v>
      </c>
      <c r="H4176" t="s">
        <v>21</v>
      </c>
      <c r="I4176">
        <f t="shared" si="196"/>
        <v>2040</v>
      </c>
      <c r="J4176">
        <f t="shared" si="197"/>
        <v>16320</v>
      </c>
    </row>
    <row r="4177" spans="1:10" x14ac:dyDescent="0.45">
      <c r="A4177" t="s">
        <v>2221</v>
      </c>
      <c r="B4177" s="1">
        <v>45950</v>
      </c>
      <c r="C4177" t="s">
        <v>9</v>
      </c>
      <c r="D4177" t="s">
        <v>19</v>
      </c>
      <c r="E4177">
        <v>3000</v>
      </c>
      <c r="F4177">
        <v>6</v>
      </c>
      <c r="G4177">
        <f t="shared" si="195"/>
        <v>18000</v>
      </c>
      <c r="H4177" t="s">
        <v>21</v>
      </c>
      <c r="I4177">
        <f t="shared" si="196"/>
        <v>3600</v>
      </c>
      <c r="J4177">
        <f t="shared" si="197"/>
        <v>21600</v>
      </c>
    </row>
    <row r="4178" spans="1:10" x14ac:dyDescent="0.45">
      <c r="A4178" t="s">
        <v>2222</v>
      </c>
      <c r="B4178" s="1">
        <v>45950</v>
      </c>
      <c r="C4178" t="s">
        <v>12</v>
      </c>
      <c r="D4178" t="s">
        <v>5021</v>
      </c>
      <c r="E4178">
        <v>2880</v>
      </c>
      <c r="F4178">
        <v>4</v>
      </c>
      <c r="G4178">
        <f t="shared" si="195"/>
        <v>11520</v>
      </c>
      <c r="H4178" t="s">
        <v>7</v>
      </c>
      <c r="I4178">
        <f t="shared" si="196"/>
        <v>3456</v>
      </c>
      <c r="J4178">
        <f t="shared" si="197"/>
        <v>13824</v>
      </c>
    </row>
    <row r="4179" spans="1:10" x14ac:dyDescent="0.45">
      <c r="A4179" t="s">
        <v>2223</v>
      </c>
      <c r="B4179" s="1">
        <v>45950</v>
      </c>
      <c r="C4179" t="s">
        <v>33</v>
      </c>
      <c r="D4179" t="s">
        <v>16</v>
      </c>
      <c r="E4179">
        <v>1200</v>
      </c>
      <c r="F4179">
        <v>2</v>
      </c>
      <c r="G4179">
        <f t="shared" si="195"/>
        <v>2400</v>
      </c>
      <c r="H4179" t="s">
        <v>7</v>
      </c>
      <c r="I4179">
        <f t="shared" si="196"/>
        <v>1440</v>
      </c>
      <c r="J4179">
        <f t="shared" si="197"/>
        <v>2880</v>
      </c>
    </row>
    <row r="4180" spans="1:10" x14ac:dyDescent="0.45">
      <c r="A4180" t="s">
        <v>2224</v>
      </c>
      <c r="B4180" s="1">
        <v>45950</v>
      </c>
      <c r="C4180" t="s">
        <v>9</v>
      </c>
      <c r="D4180" t="s">
        <v>10</v>
      </c>
      <c r="E4180">
        <v>400</v>
      </c>
      <c r="F4180">
        <v>10</v>
      </c>
      <c r="G4180">
        <f t="shared" si="195"/>
        <v>4000</v>
      </c>
      <c r="H4180" t="s">
        <v>7</v>
      </c>
      <c r="I4180">
        <f t="shared" si="196"/>
        <v>480</v>
      </c>
      <c r="J4180">
        <f t="shared" si="197"/>
        <v>4800</v>
      </c>
    </row>
    <row r="4181" spans="1:10" x14ac:dyDescent="0.45">
      <c r="A4181" t="s">
        <v>2225</v>
      </c>
      <c r="B4181" s="1">
        <v>45950</v>
      </c>
      <c r="C4181" t="s">
        <v>12</v>
      </c>
      <c r="D4181" t="s">
        <v>5023</v>
      </c>
      <c r="E4181">
        <v>1750</v>
      </c>
      <c r="F4181">
        <v>2</v>
      </c>
      <c r="G4181">
        <f t="shared" si="195"/>
        <v>3500</v>
      </c>
      <c r="H4181" t="s">
        <v>21</v>
      </c>
      <c r="I4181">
        <f t="shared" si="196"/>
        <v>2100</v>
      </c>
      <c r="J4181">
        <f t="shared" si="197"/>
        <v>4200</v>
      </c>
    </row>
    <row r="4182" spans="1:10" x14ac:dyDescent="0.45">
      <c r="A4182" t="s">
        <v>2226</v>
      </c>
      <c r="B4182" s="1">
        <v>45950</v>
      </c>
      <c r="C4182" t="s">
        <v>4007</v>
      </c>
      <c r="D4182" t="s">
        <v>39</v>
      </c>
      <c r="E4182">
        <v>6000</v>
      </c>
      <c r="F4182">
        <v>10</v>
      </c>
      <c r="G4182">
        <f t="shared" si="195"/>
        <v>60000</v>
      </c>
      <c r="H4182" t="s">
        <v>17</v>
      </c>
      <c r="I4182">
        <f t="shared" si="196"/>
        <v>7200</v>
      </c>
      <c r="J4182">
        <f t="shared" si="197"/>
        <v>72000</v>
      </c>
    </row>
    <row r="4183" spans="1:10" x14ac:dyDescent="0.45">
      <c r="A4183" t="s">
        <v>2227</v>
      </c>
      <c r="B4183" s="1">
        <v>45950</v>
      </c>
      <c r="C4183" t="s">
        <v>4007</v>
      </c>
      <c r="D4183" t="s">
        <v>5015</v>
      </c>
      <c r="E4183">
        <v>48000</v>
      </c>
      <c r="F4183">
        <v>9</v>
      </c>
      <c r="G4183">
        <f t="shared" si="195"/>
        <v>432000</v>
      </c>
      <c r="H4183" t="s">
        <v>7</v>
      </c>
      <c r="I4183">
        <f t="shared" si="196"/>
        <v>57600</v>
      </c>
      <c r="J4183">
        <f t="shared" si="197"/>
        <v>518400</v>
      </c>
    </row>
    <row r="4184" spans="1:10" x14ac:dyDescent="0.45">
      <c r="A4184" t="s">
        <v>2228</v>
      </c>
      <c r="B4184" s="1">
        <v>45950</v>
      </c>
      <c r="C4184" t="s">
        <v>33</v>
      </c>
      <c r="D4184" t="s">
        <v>34</v>
      </c>
      <c r="E4184">
        <v>1700</v>
      </c>
      <c r="F4184">
        <v>1</v>
      </c>
      <c r="G4184">
        <f t="shared" si="195"/>
        <v>1700</v>
      </c>
      <c r="H4184" t="s">
        <v>17</v>
      </c>
      <c r="I4184">
        <f t="shared" si="196"/>
        <v>2040</v>
      </c>
      <c r="J4184">
        <f t="shared" si="197"/>
        <v>2040</v>
      </c>
    </row>
    <row r="4185" spans="1:10" x14ac:dyDescent="0.45">
      <c r="A4185" t="s">
        <v>2229</v>
      </c>
      <c r="B4185" s="1">
        <v>45950</v>
      </c>
      <c r="C4185" t="s">
        <v>9</v>
      </c>
      <c r="D4185" t="s">
        <v>19</v>
      </c>
      <c r="E4185">
        <v>3000</v>
      </c>
      <c r="F4185">
        <v>7</v>
      </c>
      <c r="G4185">
        <f t="shared" si="195"/>
        <v>21000</v>
      </c>
      <c r="H4185" t="s">
        <v>21</v>
      </c>
      <c r="I4185">
        <f t="shared" si="196"/>
        <v>3600</v>
      </c>
      <c r="J4185">
        <f t="shared" si="197"/>
        <v>25200</v>
      </c>
    </row>
    <row r="4186" spans="1:10" x14ac:dyDescent="0.45">
      <c r="A4186" t="s">
        <v>3099</v>
      </c>
      <c r="B4186" s="1">
        <v>45950</v>
      </c>
      <c r="C4186" t="s">
        <v>4007</v>
      </c>
      <c r="D4186" t="s">
        <v>2776</v>
      </c>
      <c r="E4186">
        <v>3600</v>
      </c>
      <c r="F4186">
        <v>3</v>
      </c>
      <c r="G4186">
        <f t="shared" si="195"/>
        <v>10800</v>
      </c>
      <c r="H4186" t="s">
        <v>21</v>
      </c>
      <c r="I4186">
        <f t="shared" si="196"/>
        <v>4320</v>
      </c>
      <c r="J4186">
        <f t="shared" si="197"/>
        <v>12960</v>
      </c>
    </row>
    <row r="4187" spans="1:10" x14ac:dyDescent="0.45">
      <c r="A4187" t="s">
        <v>3101</v>
      </c>
      <c r="B4187" s="1">
        <v>45950</v>
      </c>
      <c r="C4187" t="s">
        <v>4007</v>
      </c>
      <c r="D4187" t="s">
        <v>5015</v>
      </c>
      <c r="E4187">
        <v>48000</v>
      </c>
      <c r="F4187">
        <v>2</v>
      </c>
      <c r="G4187">
        <f t="shared" si="195"/>
        <v>96000</v>
      </c>
      <c r="H4187" t="s">
        <v>7</v>
      </c>
      <c r="I4187">
        <f t="shared" si="196"/>
        <v>57600</v>
      </c>
      <c r="J4187">
        <f t="shared" si="197"/>
        <v>115200</v>
      </c>
    </row>
    <row r="4188" spans="1:10" x14ac:dyDescent="0.45">
      <c r="A4188" t="s">
        <v>3171</v>
      </c>
      <c r="B4188" s="1">
        <v>45950</v>
      </c>
      <c r="C4188" t="s">
        <v>4007</v>
      </c>
      <c r="D4188" t="s">
        <v>2776</v>
      </c>
      <c r="E4188">
        <v>3600</v>
      </c>
      <c r="F4188">
        <v>10</v>
      </c>
      <c r="G4188">
        <f t="shared" si="195"/>
        <v>36000</v>
      </c>
      <c r="H4188" t="s">
        <v>17</v>
      </c>
      <c r="I4188">
        <f t="shared" si="196"/>
        <v>4320</v>
      </c>
      <c r="J4188">
        <f t="shared" si="197"/>
        <v>43200</v>
      </c>
    </row>
    <row r="4189" spans="1:10" x14ac:dyDescent="0.45">
      <c r="A4189" t="s">
        <v>3373</v>
      </c>
      <c r="B4189" s="1">
        <v>45950</v>
      </c>
      <c r="C4189" t="s">
        <v>33</v>
      </c>
      <c r="D4189" t="s">
        <v>34</v>
      </c>
      <c r="E4189">
        <v>1700</v>
      </c>
      <c r="F4189">
        <v>9</v>
      </c>
      <c r="G4189">
        <f t="shared" si="195"/>
        <v>15300</v>
      </c>
      <c r="H4189" t="s">
        <v>7</v>
      </c>
      <c r="I4189">
        <f t="shared" si="196"/>
        <v>2040</v>
      </c>
      <c r="J4189">
        <f t="shared" si="197"/>
        <v>18360</v>
      </c>
    </row>
    <row r="4190" spans="1:10" x14ac:dyDescent="0.45">
      <c r="A4190" t="s">
        <v>3619</v>
      </c>
      <c r="B4190" s="1">
        <v>45950</v>
      </c>
      <c r="C4190" t="s">
        <v>4007</v>
      </c>
      <c r="D4190" t="s">
        <v>2774</v>
      </c>
      <c r="E4190">
        <v>1900</v>
      </c>
      <c r="F4190">
        <v>4</v>
      </c>
      <c r="G4190">
        <f t="shared" si="195"/>
        <v>7600</v>
      </c>
      <c r="H4190" t="s">
        <v>7</v>
      </c>
      <c r="I4190">
        <f t="shared" si="196"/>
        <v>2280</v>
      </c>
      <c r="J4190">
        <f t="shared" si="197"/>
        <v>9120</v>
      </c>
    </row>
    <row r="4191" spans="1:10" x14ac:dyDescent="0.45">
      <c r="A4191" t="s">
        <v>2230</v>
      </c>
      <c r="B4191" s="1">
        <v>45951</v>
      </c>
      <c r="C4191" t="s">
        <v>4007</v>
      </c>
      <c r="D4191" t="s">
        <v>39</v>
      </c>
      <c r="E4191">
        <v>6000</v>
      </c>
      <c r="F4191">
        <v>9</v>
      </c>
      <c r="G4191">
        <f t="shared" si="195"/>
        <v>54000</v>
      </c>
      <c r="H4191" t="s">
        <v>21</v>
      </c>
      <c r="I4191">
        <f t="shared" si="196"/>
        <v>7200</v>
      </c>
      <c r="J4191">
        <f t="shared" si="197"/>
        <v>64800</v>
      </c>
    </row>
    <row r="4192" spans="1:10" x14ac:dyDescent="0.45">
      <c r="A4192" t="s">
        <v>2231</v>
      </c>
      <c r="B4192" s="1">
        <v>45951</v>
      </c>
      <c r="C4192" t="s">
        <v>12</v>
      </c>
      <c r="D4192" t="s">
        <v>5022</v>
      </c>
      <c r="E4192">
        <v>2880</v>
      </c>
      <c r="F4192">
        <v>3</v>
      </c>
      <c r="G4192">
        <f t="shared" si="195"/>
        <v>8640</v>
      </c>
      <c r="H4192" t="s">
        <v>21</v>
      </c>
      <c r="I4192">
        <f t="shared" si="196"/>
        <v>3456</v>
      </c>
      <c r="J4192">
        <f t="shared" si="197"/>
        <v>10368</v>
      </c>
    </row>
    <row r="4193" spans="1:10" x14ac:dyDescent="0.45">
      <c r="A4193" t="s">
        <v>2232</v>
      </c>
      <c r="B4193" s="1">
        <v>45951</v>
      </c>
      <c r="C4193" t="s">
        <v>33</v>
      </c>
      <c r="D4193" t="s">
        <v>34</v>
      </c>
      <c r="E4193">
        <v>1700</v>
      </c>
      <c r="F4193">
        <v>10</v>
      </c>
      <c r="G4193">
        <f t="shared" si="195"/>
        <v>17000</v>
      </c>
      <c r="H4193" t="s">
        <v>21</v>
      </c>
      <c r="I4193">
        <f t="shared" si="196"/>
        <v>2040</v>
      </c>
      <c r="J4193">
        <f t="shared" si="197"/>
        <v>20400</v>
      </c>
    </row>
    <row r="4194" spans="1:10" x14ac:dyDescent="0.45">
      <c r="A4194" t="s">
        <v>2233</v>
      </c>
      <c r="B4194" s="1">
        <v>45951</v>
      </c>
      <c r="C4194" t="s">
        <v>33</v>
      </c>
      <c r="D4194" t="s">
        <v>16</v>
      </c>
      <c r="E4194">
        <v>1200</v>
      </c>
      <c r="F4194">
        <v>4</v>
      </c>
      <c r="G4194">
        <f t="shared" si="195"/>
        <v>4800</v>
      </c>
      <c r="H4194" t="s">
        <v>7</v>
      </c>
      <c r="I4194">
        <f t="shared" si="196"/>
        <v>1440</v>
      </c>
      <c r="J4194">
        <f t="shared" si="197"/>
        <v>5760</v>
      </c>
    </row>
    <row r="4195" spans="1:10" x14ac:dyDescent="0.45">
      <c r="A4195" t="s">
        <v>2234</v>
      </c>
      <c r="B4195" s="1">
        <v>45951</v>
      </c>
      <c r="C4195" t="s">
        <v>9</v>
      </c>
      <c r="D4195" t="s">
        <v>19</v>
      </c>
      <c r="E4195">
        <v>3000</v>
      </c>
      <c r="F4195">
        <v>2</v>
      </c>
      <c r="G4195">
        <f t="shared" si="195"/>
        <v>6000</v>
      </c>
      <c r="H4195" t="s">
        <v>17</v>
      </c>
      <c r="I4195">
        <f t="shared" si="196"/>
        <v>3600</v>
      </c>
      <c r="J4195">
        <f t="shared" si="197"/>
        <v>7200</v>
      </c>
    </row>
    <row r="4196" spans="1:10" x14ac:dyDescent="0.45">
      <c r="A4196" t="s">
        <v>2235</v>
      </c>
      <c r="B4196" s="1">
        <v>45951</v>
      </c>
      <c r="C4196" t="s">
        <v>4007</v>
      </c>
      <c r="D4196" t="s">
        <v>4005</v>
      </c>
      <c r="E4196">
        <v>60000</v>
      </c>
      <c r="F4196">
        <v>3</v>
      </c>
      <c r="G4196">
        <f t="shared" si="195"/>
        <v>180000</v>
      </c>
      <c r="H4196" t="s">
        <v>7</v>
      </c>
      <c r="I4196">
        <f t="shared" si="196"/>
        <v>72000</v>
      </c>
      <c r="J4196">
        <f t="shared" si="197"/>
        <v>216000</v>
      </c>
    </row>
    <row r="4197" spans="1:10" x14ac:dyDescent="0.45">
      <c r="A4197" t="s">
        <v>2236</v>
      </c>
      <c r="B4197" s="1">
        <v>45951</v>
      </c>
      <c r="C4197" t="s">
        <v>9</v>
      </c>
      <c r="D4197" t="s">
        <v>25</v>
      </c>
      <c r="E4197">
        <v>5200</v>
      </c>
      <c r="F4197">
        <v>1</v>
      </c>
      <c r="G4197">
        <f t="shared" si="195"/>
        <v>5200</v>
      </c>
      <c r="H4197" t="s">
        <v>17</v>
      </c>
      <c r="I4197">
        <f t="shared" si="196"/>
        <v>6240</v>
      </c>
      <c r="J4197">
        <f t="shared" si="197"/>
        <v>6240</v>
      </c>
    </row>
    <row r="4198" spans="1:10" x14ac:dyDescent="0.45">
      <c r="A4198" t="s">
        <v>2798</v>
      </c>
      <c r="B4198" s="1">
        <v>45951</v>
      </c>
      <c r="C4198" t="s">
        <v>2772</v>
      </c>
      <c r="D4198" t="s">
        <v>2771</v>
      </c>
      <c r="E4198">
        <v>120</v>
      </c>
      <c r="F4198">
        <v>3</v>
      </c>
      <c r="G4198">
        <f t="shared" si="195"/>
        <v>360</v>
      </c>
      <c r="H4198" t="s">
        <v>7</v>
      </c>
      <c r="I4198">
        <f t="shared" si="196"/>
        <v>144</v>
      </c>
      <c r="J4198">
        <f t="shared" si="197"/>
        <v>432</v>
      </c>
    </row>
    <row r="4199" spans="1:10" x14ac:dyDescent="0.45">
      <c r="A4199" t="s">
        <v>2842</v>
      </c>
      <c r="B4199" s="1">
        <v>45951</v>
      </c>
      <c r="C4199" t="s">
        <v>2772</v>
      </c>
      <c r="D4199" t="s">
        <v>2771</v>
      </c>
      <c r="E4199">
        <v>120</v>
      </c>
      <c r="F4199">
        <v>7</v>
      </c>
      <c r="G4199">
        <f t="shared" si="195"/>
        <v>840</v>
      </c>
      <c r="H4199" t="s">
        <v>17</v>
      </c>
      <c r="I4199">
        <f t="shared" si="196"/>
        <v>144</v>
      </c>
      <c r="J4199">
        <f t="shared" si="197"/>
        <v>1008</v>
      </c>
    </row>
    <row r="4200" spans="1:10" x14ac:dyDescent="0.45">
      <c r="A4200" t="s">
        <v>2998</v>
      </c>
      <c r="B4200" s="1">
        <v>45951</v>
      </c>
      <c r="C4200" t="s">
        <v>33</v>
      </c>
      <c r="D4200" t="s">
        <v>34</v>
      </c>
      <c r="E4200">
        <v>1700</v>
      </c>
      <c r="F4200">
        <v>6</v>
      </c>
      <c r="G4200">
        <f t="shared" si="195"/>
        <v>10200</v>
      </c>
      <c r="H4200" t="s">
        <v>21</v>
      </c>
      <c r="I4200">
        <f t="shared" si="196"/>
        <v>2040</v>
      </c>
      <c r="J4200">
        <f t="shared" si="197"/>
        <v>12240</v>
      </c>
    </row>
    <row r="4201" spans="1:10" x14ac:dyDescent="0.45">
      <c r="A4201" t="s">
        <v>3811</v>
      </c>
      <c r="B4201" s="1">
        <v>45951</v>
      </c>
      <c r="C4201" t="s">
        <v>33</v>
      </c>
      <c r="D4201" t="s">
        <v>34</v>
      </c>
      <c r="E4201">
        <v>1700</v>
      </c>
      <c r="F4201">
        <v>7</v>
      </c>
      <c r="G4201">
        <f t="shared" si="195"/>
        <v>11900</v>
      </c>
      <c r="H4201" t="s">
        <v>21</v>
      </c>
      <c r="I4201">
        <f t="shared" si="196"/>
        <v>2040</v>
      </c>
      <c r="J4201">
        <f t="shared" si="197"/>
        <v>14280</v>
      </c>
    </row>
    <row r="4202" spans="1:10" x14ac:dyDescent="0.45">
      <c r="A4202" t="s">
        <v>2237</v>
      </c>
      <c r="B4202" s="1">
        <v>45952</v>
      </c>
      <c r="C4202" t="s">
        <v>33</v>
      </c>
      <c r="D4202" t="s">
        <v>14</v>
      </c>
      <c r="E4202">
        <v>800</v>
      </c>
      <c r="F4202">
        <v>7</v>
      </c>
      <c r="G4202">
        <f t="shared" si="195"/>
        <v>5600</v>
      </c>
      <c r="H4202" t="s">
        <v>17</v>
      </c>
      <c r="I4202">
        <f t="shared" si="196"/>
        <v>960</v>
      </c>
      <c r="J4202">
        <f t="shared" si="197"/>
        <v>6720</v>
      </c>
    </row>
    <row r="4203" spans="1:10" x14ac:dyDescent="0.45">
      <c r="A4203" t="s">
        <v>2238</v>
      </c>
      <c r="B4203" s="1">
        <v>45952</v>
      </c>
      <c r="C4203" t="s">
        <v>33</v>
      </c>
      <c r="D4203" t="s">
        <v>34</v>
      </c>
      <c r="E4203">
        <v>1700</v>
      </c>
      <c r="F4203">
        <v>8</v>
      </c>
      <c r="G4203">
        <f t="shared" si="195"/>
        <v>13600</v>
      </c>
      <c r="H4203" t="s">
        <v>21</v>
      </c>
      <c r="I4203">
        <f t="shared" si="196"/>
        <v>2040</v>
      </c>
      <c r="J4203">
        <f t="shared" si="197"/>
        <v>16320</v>
      </c>
    </row>
    <row r="4204" spans="1:10" x14ac:dyDescent="0.45">
      <c r="A4204" t="s">
        <v>2239</v>
      </c>
      <c r="B4204" s="1">
        <v>45952</v>
      </c>
      <c r="C4204" t="s">
        <v>12</v>
      </c>
      <c r="D4204" t="s">
        <v>5023</v>
      </c>
      <c r="E4204">
        <v>1750</v>
      </c>
      <c r="F4204">
        <v>2</v>
      </c>
      <c r="G4204">
        <f t="shared" si="195"/>
        <v>3500</v>
      </c>
      <c r="H4204" t="s">
        <v>7</v>
      </c>
      <c r="I4204">
        <f t="shared" si="196"/>
        <v>2100</v>
      </c>
      <c r="J4204">
        <f t="shared" si="197"/>
        <v>4200</v>
      </c>
    </row>
    <row r="4205" spans="1:10" x14ac:dyDescent="0.45">
      <c r="A4205" t="s">
        <v>2240</v>
      </c>
      <c r="B4205" s="1">
        <v>45952</v>
      </c>
      <c r="C4205" t="s">
        <v>12</v>
      </c>
      <c r="D4205" t="s">
        <v>5021</v>
      </c>
      <c r="E4205">
        <v>2880</v>
      </c>
      <c r="F4205">
        <v>1</v>
      </c>
      <c r="G4205">
        <f t="shared" si="195"/>
        <v>2880</v>
      </c>
      <c r="H4205" t="s">
        <v>7</v>
      </c>
      <c r="I4205">
        <f t="shared" si="196"/>
        <v>3456</v>
      </c>
      <c r="J4205">
        <f t="shared" si="197"/>
        <v>3456</v>
      </c>
    </row>
    <row r="4206" spans="1:10" x14ac:dyDescent="0.45">
      <c r="A4206" t="s">
        <v>2241</v>
      </c>
      <c r="B4206" s="1">
        <v>45952</v>
      </c>
      <c r="C4206" t="s">
        <v>4007</v>
      </c>
      <c r="D4206" t="s">
        <v>4005</v>
      </c>
      <c r="E4206">
        <v>60000</v>
      </c>
      <c r="F4206">
        <v>6</v>
      </c>
      <c r="G4206">
        <f t="shared" si="195"/>
        <v>360000</v>
      </c>
      <c r="H4206" t="s">
        <v>17</v>
      </c>
      <c r="I4206">
        <f t="shared" si="196"/>
        <v>72000</v>
      </c>
      <c r="J4206">
        <f t="shared" si="197"/>
        <v>432000</v>
      </c>
    </row>
    <row r="4207" spans="1:10" x14ac:dyDescent="0.45">
      <c r="A4207" t="s">
        <v>2242</v>
      </c>
      <c r="B4207" s="1">
        <v>45952</v>
      </c>
      <c r="C4207" t="s">
        <v>4007</v>
      </c>
      <c r="D4207" t="s">
        <v>5015</v>
      </c>
      <c r="E4207">
        <v>48000</v>
      </c>
      <c r="F4207">
        <v>5</v>
      </c>
      <c r="G4207">
        <f t="shared" si="195"/>
        <v>240000</v>
      </c>
      <c r="H4207" t="s">
        <v>21</v>
      </c>
      <c r="I4207">
        <f t="shared" si="196"/>
        <v>57600</v>
      </c>
      <c r="J4207">
        <f t="shared" si="197"/>
        <v>288000</v>
      </c>
    </row>
    <row r="4208" spans="1:10" x14ac:dyDescent="0.45">
      <c r="A4208" t="s">
        <v>2243</v>
      </c>
      <c r="B4208" s="1">
        <v>45952</v>
      </c>
      <c r="C4208" t="s">
        <v>4007</v>
      </c>
      <c r="D4208" t="s">
        <v>39</v>
      </c>
      <c r="E4208">
        <v>6000</v>
      </c>
      <c r="F4208">
        <v>4</v>
      </c>
      <c r="G4208">
        <f t="shared" si="195"/>
        <v>24000</v>
      </c>
      <c r="H4208" t="s">
        <v>7</v>
      </c>
      <c r="I4208">
        <f t="shared" si="196"/>
        <v>7200</v>
      </c>
      <c r="J4208">
        <f t="shared" si="197"/>
        <v>28800</v>
      </c>
    </row>
    <row r="4209" spans="1:10" x14ac:dyDescent="0.45">
      <c r="A4209" t="s">
        <v>2244</v>
      </c>
      <c r="B4209" s="1">
        <v>45952</v>
      </c>
      <c r="C4209" t="s">
        <v>33</v>
      </c>
      <c r="D4209" t="s">
        <v>34</v>
      </c>
      <c r="E4209">
        <v>1700</v>
      </c>
      <c r="F4209">
        <v>8</v>
      </c>
      <c r="G4209">
        <f t="shared" si="195"/>
        <v>13600</v>
      </c>
      <c r="H4209" t="s">
        <v>7</v>
      </c>
      <c r="I4209">
        <f t="shared" si="196"/>
        <v>2040</v>
      </c>
      <c r="J4209">
        <f t="shared" si="197"/>
        <v>16320</v>
      </c>
    </row>
    <row r="4210" spans="1:10" x14ac:dyDescent="0.45">
      <c r="A4210" t="s">
        <v>2812</v>
      </c>
      <c r="B4210" s="1">
        <v>45952</v>
      </c>
      <c r="C4210" t="s">
        <v>4007</v>
      </c>
      <c r="D4210" t="s">
        <v>5015</v>
      </c>
      <c r="E4210">
        <v>48000</v>
      </c>
      <c r="F4210">
        <v>3</v>
      </c>
      <c r="G4210">
        <f t="shared" si="195"/>
        <v>144000</v>
      </c>
      <c r="H4210" t="s">
        <v>21</v>
      </c>
      <c r="I4210">
        <f t="shared" si="196"/>
        <v>57600</v>
      </c>
      <c r="J4210">
        <f t="shared" si="197"/>
        <v>172800</v>
      </c>
    </row>
    <row r="4211" spans="1:10" x14ac:dyDescent="0.45">
      <c r="A4211" t="s">
        <v>2898</v>
      </c>
      <c r="B4211" s="1">
        <v>45952</v>
      </c>
      <c r="C4211" t="s">
        <v>4007</v>
      </c>
      <c r="D4211" t="s">
        <v>28</v>
      </c>
      <c r="E4211">
        <v>500</v>
      </c>
      <c r="F4211">
        <v>2</v>
      </c>
      <c r="G4211">
        <f t="shared" si="195"/>
        <v>1000</v>
      </c>
      <c r="H4211" t="s">
        <v>7</v>
      </c>
      <c r="I4211">
        <f t="shared" si="196"/>
        <v>600</v>
      </c>
      <c r="J4211">
        <f t="shared" si="197"/>
        <v>1200</v>
      </c>
    </row>
    <row r="4212" spans="1:10" x14ac:dyDescent="0.45">
      <c r="A4212" t="s">
        <v>2967</v>
      </c>
      <c r="B4212" s="1">
        <v>45952</v>
      </c>
      <c r="C4212" t="s">
        <v>4007</v>
      </c>
      <c r="D4212" t="s">
        <v>2770</v>
      </c>
      <c r="E4212">
        <v>600</v>
      </c>
      <c r="F4212">
        <v>10</v>
      </c>
      <c r="G4212">
        <f t="shared" si="195"/>
        <v>6000</v>
      </c>
      <c r="H4212" t="s">
        <v>17</v>
      </c>
      <c r="I4212">
        <f t="shared" si="196"/>
        <v>720</v>
      </c>
      <c r="J4212">
        <f t="shared" si="197"/>
        <v>7200</v>
      </c>
    </row>
    <row r="4213" spans="1:10" x14ac:dyDescent="0.45">
      <c r="A4213" t="s">
        <v>3540</v>
      </c>
      <c r="B4213" s="1">
        <v>45952</v>
      </c>
      <c r="C4213" t="s">
        <v>2772</v>
      </c>
      <c r="D4213" t="s">
        <v>2775</v>
      </c>
      <c r="E4213">
        <v>9100</v>
      </c>
      <c r="F4213">
        <v>5</v>
      </c>
      <c r="G4213">
        <f t="shared" si="195"/>
        <v>45500</v>
      </c>
      <c r="H4213" t="s">
        <v>17</v>
      </c>
      <c r="I4213">
        <f t="shared" si="196"/>
        <v>10920</v>
      </c>
      <c r="J4213">
        <f t="shared" si="197"/>
        <v>54600</v>
      </c>
    </row>
    <row r="4214" spans="1:10" x14ac:dyDescent="0.45">
      <c r="A4214" t="s">
        <v>2245</v>
      </c>
      <c r="B4214" s="1">
        <v>45953</v>
      </c>
      <c r="C4214" t="s">
        <v>4007</v>
      </c>
      <c r="D4214" t="s">
        <v>4005</v>
      </c>
      <c r="E4214">
        <v>60000</v>
      </c>
      <c r="F4214">
        <v>8</v>
      </c>
      <c r="G4214">
        <f t="shared" si="195"/>
        <v>480000</v>
      </c>
      <c r="H4214" t="s">
        <v>7</v>
      </c>
      <c r="I4214">
        <f t="shared" si="196"/>
        <v>72000</v>
      </c>
      <c r="J4214">
        <f t="shared" si="197"/>
        <v>576000</v>
      </c>
    </row>
    <row r="4215" spans="1:10" x14ac:dyDescent="0.45">
      <c r="A4215" t="s">
        <v>2246</v>
      </c>
      <c r="B4215" s="1">
        <v>45953</v>
      </c>
      <c r="C4215" t="s">
        <v>9</v>
      </c>
      <c r="D4215" t="s">
        <v>25</v>
      </c>
      <c r="E4215">
        <v>5200</v>
      </c>
      <c r="F4215">
        <v>9</v>
      </c>
      <c r="G4215">
        <f t="shared" si="195"/>
        <v>46800</v>
      </c>
      <c r="H4215" t="s">
        <v>17</v>
      </c>
      <c r="I4215">
        <f t="shared" si="196"/>
        <v>6240</v>
      </c>
      <c r="J4215">
        <f t="shared" si="197"/>
        <v>56160</v>
      </c>
    </row>
    <row r="4216" spans="1:10" x14ac:dyDescent="0.45">
      <c r="A4216" t="s">
        <v>2247</v>
      </c>
      <c r="B4216" s="1">
        <v>45953</v>
      </c>
      <c r="C4216" t="s">
        <v>12</v>
      </c>
      <c r="D4216" t="s">
        <v>5021</v>
      </c>
      <c r="E4216">
        <v>2880</v>
      </c>
      <c r="F4216">
        <v>2</v>
      </c>
      <c r="G4216">
        <f t="shared" si="195"/>
        <v>5760</v>
      </c>
      <c r="H4216" t="s">
        <v>7</v>
      </c>
      <c r="I4216">
        <f t="shared" si="196"/>
        <v>3456</v>
      </c>
      <c r="J4216">
        <f t="shared" si="197"/>
        <v>6912</v>
      </c>
    </row>
    <row r="4217" spans="1:10" x14ac:dyDescent="0.45">
      <c r="A4217" t="s">
        <v>2248</v>
      </c>
      <c r="B4217" s="1">
        <v>45953</v>
      </c>
      <c r="C4217" t="s">
        <v>4007</v>
      </c>
      <c r="D4217" t="s">
        <v>4005</v>
      </c>
      <c r="E4217">
        <v>60000</v>
      </c>
      <c r="F4217">
        <v>6</v>
      </c>
      <c r="G4217">
        <f t="shared" si="195"/>
        <v>360000</v>
      </c>
      <c r="H4217" t="s">
        <v>21</v>
      </c>
      <c r="I4217">
        <f t="shared" si="196"/>
        <v>72000</v>
      </c>
      <c r="J4217">
        <f t="shared" si="197"/>
        <v>432000</v>
      </c>
    </row>
    <row r="4218" spans="1:10" x14ac:dyDescent="0.45">
      <c r="A4218" t="s">
        <v>2249</v>
      </c>
      <c r="B4218" s="1">
        <v>45953</v>
      </c>
      <c r="C4218" t="s">
        <v>9</v>
      </c>
      <c r="D4218" t="s">
        <v>19</v>
      </c>
      <c r="E4218">
        <v>3000</v>
      </c>
      <c r="F4218">
        <v>8</v>
      </c>
      <c r="G4218">
        <f t="shared" si="195"/>
        <v>24000</v>
      </c>
      <c r="H4218" t="s">
        <v>7</v>
      </c>
      <c r="I4218">
        <f t="shared" si="196"/>
        <v>3600</v>
      </c>
      <c r="J4218">
        <f t="shared" si="197"/>
        <v>28800</v>
      </c>
    </row>
    <row r="4219" spans="1:10" x14ac:dyDescent="0.45">
      <c r="A4219" t="s">
        <v>2250</v>
      </c>
      <c r="B4219" s="1">
        <v>45953</v>
      </c>
      <c r="C4219" t="s">
        <v>33</v>
      </c>
      <c r="D4219" t="s">
        <v>34</v>
      </c>
      <c r="E4219">
        <v>1700</v>
      </c>
      <c r="F4219">
        <v>10</v>
      </c>
      <c r="G4219">
        <f t="shared" si="195"/>
        <v>17000</v>
      </c>
      <c r="H4219" t="s">
        <v>21</v>
      </c>
      <c r="I4219">
        <f t="shared" si="196"/>
        <v>2040</v>
      </c>
      <c r="J4219">
        <f t="shared" si="197"/>
        <v>20400</v>
      </c>
    </row>
    <row r="4220" spans="1:10" x14ac:dyDescent="0.45">
      <c r="A4220" t="s">
        <v>2251</v>
      </c>
      <c r="B4220" s="1">
        <v>45953</v>
      </c>
      <c r="C4220" t="s">
        <v>12</v>
      </c>
      <c r="D4220" t="s">
        <v>5023</v>
      </c>
      <c r="E4220">
        <v>1750</v>
      </c>
      <c r="F4220">
        <v>2</v>
      </c>
      <c r="G4220">
        <f t="shared" si="195"/>
        <v>3500</v>
      </c>
      <c r="H4220" t="s">
        <v>21</v>
      </c>
      <c r="I4220">
        <f t="shared" si="196"/>
        <v>2100</v>
      </c>
      <c r="J4220">
        <f t="shared" si="197"/>
        <v>4200</v>
      </c>
    </row>
    <row r="4221" spans="1:10" x14ac:dyDescent="0.45">
      <c r="A4221" t="s">
        <v>2252</v>
      </c>
      <c r="B4221" s="1">
        <v>45953</v>
      </c>
      <c r="C4221" t="s">
        <v>4007</v>
      </c>
      <c r="D4221" t="s">
        <v>4005</v>
      </c>
      <c r="E4221">
        <v>60000</v>
      </c>
      <c r="F4221">
        <v>5</v>
      </c>
      <c r="G4221">
        <f t="shared" si="195"/>
        <v>300000</v>
      </c>
      <c r="H4221" t="s">
        <v>17</v>
      </c>
      <c r="I4221">
        <f t="shared" si="196"/>
        <v>72000</v>
      </c>
      <c r="J4221">
        <f t="shared" si="197"/>
        <v>360000</v>
      </c>
    </row>
    <row r="4222" spans="1:10" x14ac:dyDescent="0.45">
      <c r="A4222" t="s">
        <v>3051</v>
      </c>
      <c r="B4222" s="1">
        <v>45953</v>
      </c>
      <c r="C4222" t="s">
        <v>4007</v>
      </c>
      <c r="D4222" t="s">
        <v>2773</v>
      </c>
      <c r="E4222">
        <v>3300</v>
      </c>
      <c r="F4222">
        <v>5</v>
      </c>
      <c r="G4222">
        <f t="shared" si="195"/>
        <v>16500</v>
      </c>
      <c r="H4222" t="s">
        <v>21</v>
      </c>
      <c r="I4222">
        <f t="shared" si="196"/>
        <v>3960</v>
      </c>
      <c r="J4222">
        <f t="shared" si="197"/>
        <v>19800</v>
      </c>
    </row>
    <row r="4223" spans="1:10" x14ac:dyDescent="0.45">
      <c r="A4223" t="s">
        <v>3551</v>
      </c>
      <c r="B4223" s="1">
        <v>45953</v>
      </c>
      <c r="C4223" t="s">
        <v>4007</v>
      </c>
      <c r="D4223" t="s">
        <v>2776</v>
      </c>
      <c r="E4223">
        <v>3600</v>
      </c>
      <c r="F4223">
        <v>4</v>
      </c>
      <c r="G4223">
        <f t="shared" si="195"/>
        <v>14400</v>
      </c>
      <c r="H4223" t="s">
        <v>7</v>
      </c>
      <c r="I4223">
        <f t="shared" si="196"/>
        <v>4320</v>
      </c>
      <c r="J4223">
        <f t="shared" si="197"/>
        <v>17280</v>
      </c>
    </row>
    <row r="4224" spans="1:10" x14ac:dyDescent="0.45">
      <c r="A4224" t="s">
        <v>3972</v>
      </c>
      <c r="B4224" s="1">
        <v>45953</v>
      </c>
      <c r="C4224" t="s">
        <v>4007</v>
      </c>
      <c r="D4224" t="s">
        <v>2773</v>
      </c>
      <c r="E4224">
        <v>3300</v>
      </c>
      <c r="F4224">
        <v>9</v>
      </c>
      <c r="G4224">
        <f t="shared" si="195"/>
        <v>29700</v>
      </c>
      <c r="H4224" t="s">
        <v>7</v>
      </c>
      <c r="I4224">
        <f t="shared" si="196"/>
        <v>3960</v>
      </c>
      <c r="J4224">
        <f t="shared" si="197"/>
        <v>35640</v>
      </c>
    </row>
    <row r="4225" spans="1:10" x14ac:dyDescent="0.45">
      <c r="A4225" t="s">
        <v>2253</v>
      </c>
      <c r="B4225" s="1">
        <v>45954</v>
      </c>
      <c r="C4225" t="s">
        <v>12</v>
      </c>
      <c r="D4225" t="s">
        <v>5023</v>
      </c>
      <c r="E4225">
        <v>1750</v>
      </c>
      <c r="F4225">
        <v>5</v>
      </c>
      <c r="G4225">
        <f t="shared" si="195"/>
        <v>8750</v>
      </c>
      <c r="H4225" t="s">
        <v>17</v>
      </c>
      <c r="I4225">
        <f t="shared" si="196"/>
        <v>2100</v>
      </c>
      <c r="J4225">
        <f t="shared" si="197"/>
        <v>10500</v>
      </c>
    </row>
    <row r="4226" spans="1:10" x14ac:dyDescent="0.45">
      <c r="A4226" t="s">
        <v>2254</v>
      </c>
      <c r="B4226" s="1">
        <v>45954</v>
      </c>
      <c r="C4226" t="s">
        <v>33</v>
      </c>
      <c r="D4226" t="s">
        <v>42</v>
      </c>
      <c r="E4226">
        <v>6900</v>
      </c>
      <c r="F4226">
        <v>3</v>
      </c>
      <c r="G4226">
        <f t="shared" ref="G4226:G4289" si="198">E4226*F4226</f>
        <v>20700</v>
      </c>
      <c r="H4226" t="s">
        <v>17</v>
      </c>
      <c r="I4226">
        <f t="shared" ref="I4226:I4289" si="199">E4226*1.2</f>
        <v>8280</v>
      </c>
      <c r="J4226">
        <f t="shared" ref="J4226:J4289" si="200">I4226*F4226</f>
        <v>24840</v>
      </c>
    </row>
    <row r="4227" spans="1:10" x14ac:dyDescent="0.45">
      <c r="A4227" t="s">
        <v>2255</v>
      </c>
      <c r="B4227" s="1">
        <v>45954</v>
      </c>
      <c r="C4227" t="s">
        <v>4007</v>
      </c>
      <c r="D4227" t="s">
        <v>39</v>
      </c>
      <c r="E4227">
        <v>6000</v>
      </c>
      <c r="F4227">
        <v>6</v>
      </c>
      <c r="G4227">
        <f t="shared" si="198"/>
        <v>36000</v>
      </c>
      <c r="H4227" t="s">
        <v>21</v>
      </c>
      <c r="I4227">
        <f t="shared" si="199"/>
        <v>7200</v>
      </c>
      <c r="J4227">
        <f t="shared" si="200"/>
        <v>43200</v>
      </c>
    </row>
    <row r="4228" spans="1:10" x14ac:dyDescent="0.45">
      <c r="A4228" t="s">
        <v>2256</v>
      </c>
      <c r="B4228" s="1">
        <v>45954</v>
      </c>
      <c r="C4228" t="s">
        <v>9</v>
      </c>
      <c r="D4228" t="s">
        <v>25</v>
      </c>
      <c r="E4228">
        <v>5200</v>
      </c>
      <c r="F4228">
        <v>4</v>
      </c>
      <c r="G4228">
        <f t="shared" si="198"/>
        <v>20800</v>
      </c>
      <c r="H4228" t="s">
        <v>17</v>
      </c>
      <c r="I4228">
        <f t="shared" si="199"/>
        <v>6240</v>
      </c>
      <c r="J4228">
        <f t="shared" si="200"/>
        <v>24960</v>
      </c>
    </row>
    <row r="4229" spans="1:10" x14ac:dyDescent="0.45">
      <c r="A4229" t="s">
        <v>2257</v>
      </c>
      <c r="B4229" s="1">
        <v>45954</v>
      </c>
      <c r="C4229" t="s">
        <v>9</v>
      </c>
      <c r="D4229" t="s">
        <v>25</v>
      </c>
      <c r="E4229">
        <v>5200</v>
      </c>
      <c r="F4229">
        <v>2</v>
      </c>
      <c r="G4229">
        <f t="shared" si="198"/>
        <v>10400</v>
      </c>
      <c r="H4229" t="s">
        <v>17</v>
      </c>
      <c r="I4229">
        <f t="shared" si="199"/>
        <v>6240</v>
      </c>
      <c r="J4229">
        <f t="shared" si="200"/>
        <v>12480</v>
      </c>
    </row>
    <row r="4230" spans="1:10" x14ac:dyDescent="0.45">
      <c r="A4230" t="s">
        <v>2810</v>
      </c>
      <c r="B4230" s="1">
        <v>45954</v>
      </c>
      <c r="C4230" t="s">
        <v>4007</v>
      </c>
      <c r="D4230" t="s">
        <v>2773</v>
      </c>
      <c r="E4230">
        <v>3300</v>
      </c>
      <c r="F4230">
        <v>7</v>
      </c>
      <c r="G4230">
        <f t="shared" si="198"/>
        <v>23100</v>
      </c>
      <c r="H4230" t="s">
        <v>7</v>
      </c>
      <c r="I4230">
        <f t="shared" si="199"/>
        <v>3960</v>
      </c>
      <c r="J4230">
        <f t="shared" si="200"/>
        <v>27720</v>
      </c>
    </row>
    <row r="4231" spans="1:10" x14ac:dyDescent="0.45">
      <c r="A4231" t="s">
        <v>3170</v>
      </c>
      <c r="B4231" s="1">
        <v>45954</v>
      </c>
      <c r="C4231" t="s">
        <v>4007</v>
      </c>
      <c r="D4231" t="s">
        <v>28</v>
      </c>
      <c r="E4231">
        <v>500</v>
      </c>
      <c r="F4231">
        <v>3</v>
      </c>
      <c r="G4231">
        <f t="shared" si="198"/>
        <v>1500</v>
      </c>
      <c r="H4231" t="s">
        <v>17</v>
      </c>
      <c r="I4231">
        <f t="shared" si="199"/>
        <v>600</v>
      </c>
      <c r="J4231">
        <f t="shared" si="200"/>
        <v>1800</v>
      </c>
    </row>
    <row r="4232" spans="1:10" x14ac:dyDescent="0.45">
      <c r="A4232" t="s">
        <v>3578</v>
      </c>
      <c r="B4232" s="1">
        <v>45954</v>
      </c>
      <c r="C4232" t="s">
        <v>2772</v>
      </c>
      <c r="D4232" t="s">
        <v>2775</v>
      </c>
      <c r="E4232">
        <v>9100</v>
      </c>
      <c r="F4232">
        <v>9</v>
      </c>
      <c r="G4232">
        <f t="shared" si="198"/>
        <v>81900</v>
      </c>
      <c r="H4232" t="s">
        <v>21</v>
      </c>
      <c r="I4232">
        <f t="shared" si="199"/>
        <v>10920</v>
      </c>
      <c r="J4232">
        <f t="shared" si="200"/>
        <v>98280</v>
      </c>
    </row>
    <row r="4233" spans="1:10" x14ac:dyDescent="0.45">
      <c r="A4233" t="s">
        <v>3913</v>
      </c>
      <c r="B4233" s="1">
        <v>45954</v>
      </c>
      <c r="C4233" t="s">
        <v>2772</v>
      </c>
      <c r="D4233" t="s">
        <v>2775</v>
      </c>
      <c r="E4233">
        <v>9100</v>
      </c>
      <c r="F4233">
        <v>8</v>
      </c>
      <c r="G4233">
        <f t="shared" si="198"/>
        <v>72800</v>
      </c>
      <c r="H4233" t="s">
        <v>21</v>
      </c>
      <c r="I4233">
        <f t="shared" si="199"/>
        <v>10920</v>
      </c>
      <c r="J4233">
        <f t="shared" si="200"/>
        <v>87360</v>
      </c>
    </row>
    <row r="4234" spans="1:10" x14ac:dyDescent="0.45">
      <c r="A4234" t="s">
        <v>2258</v>
      </c>
      <c r="B4234" s="1">
        <v>45955</v>
      </c>
      <c r="C4234" t="s">
        <v>4007</v>
      </c>
      <c r="D4234" t="s">
        <v>39</v>
      </c>
      <c r="E4234">
        <v>6000</v>
      </c>
      <c r="F4234">
        <v>5</v>
      </c>
      <c r="G4234">
        <f t="shared" si="198"/>
        <v>30000</v>
      </c>
      <c r="H4234" t="s">
        <v>21</v>
      </c>
      <c r="I4234">
        <f t="shared" si="199"/>
        <v>7200</v>
      </c>
      <c r="J4234">
        <f t="shared" si="200"/>
        <v>36000</v>
      </c>
    </row>
    <row r="4235" spans="1:10" x14ac:dyDescent="0.45">
      <c r="A4235" t="s">
        <v>2259</v>
      </c>
      <c r="B4235" s="1">
        <v>45955</v>
      </c>
      <c r="C4235" t="s">
        <v>4007</v>
      </c>
      <c r="D4235" t="s">
        <v>28</v>
      </c>
      <c r="E4235">
        <v>500</v>
      </c>
      <c r="F4235">
        <v>3</v>
      </c>
      <c r="G4235">
        <f t="shared" si="198"/>
        <v>1500</v>
      </c>
      <c r="H4235" t="s">
        <v>7</v>
      </c>
      <c r="I4235">
        <f t="shared" si="199"/>
        <v>600</v>
      </c>
      <c r="J4235">
        <f t="shared" si="200"/>
        <v>1800</v>
      </c>
    </row>
    <row r="4236" spans="1:10" x14ac:dyDescent="0.45">
      <c r="A4236" t="s">
        <v>2260</v>
      </c>
      <c r="B4236" s="1">
        <v>45955</v>
      </c>
      <c r="C4236" t="s">
        <v>33</v>
      </c>
      <c r="D4236" t="s">
        <v>42</v>
      </c>
      <c r="E4236">
        <v>6900</v>
      </c>
      <c r="F4236">
        <v>9</v>
      </c>
      <c r="G4236">
        <f t="shared" si="198"/>
        <v>62100</v>
      </c>
      <c r="H4236" t="s">
        <v>17</v>
      </c>
      <c r="I4236">
        <f t="shared" si="199"/>
        <v>8280</v>
      </c>
      <c r="J4236">
        <f t="shared" si="200"/>
        <v>74520</v>
      </c>
    </row>
    <row r="4237" spans="1:10" x14ac:dyDescent="0.45">
      <c r="A4237" t="s">
        <v>2261</v>
      </c>
      <c r="B4237" s="1">
        <v>45955</v>
      </c>
      <c r="C4237" t="s">
        <v>4007</v>
      </c>
      <c r="D4237" t="s">
        <v>5015</v>
      </c>
      <c r="E4237">
        <v>48000</v>
      </c>
      <c r="F4237">
        <v>4</v>
      </c>
      <c r="G4237">
        <f t="shared" si="198"/>
        <v>192000</v>
      </c>
      <c r="H4237" t="s">
        <v>7</v>
      </c>
      <c r="I4237">
        <f t="shared" si="199"/>
        <v>57600</v>
      </c>
      <c r="J4237">
        <f t="shared" si="200"/>
        <v>230400</v>
      </c>
    </row>
    <row r="4238" spans="1:10" x14ac:dyDescent="0.45">
      <c r="A4238" t="s">
        <v>2262</v>
      </c>
      <c r="B4238" s="1">
        <v>45955</v>
      </c>
      <c r="C4238" t="s">
        <v>4007</v>
      </c>
      <c r="D4238" t="s">
        <v>4005</v>
      </c>
      <c r="E4238">
        <v>60000</v>
      </c>
      <c r="F4238">
        <v>4</v>
      </c>
      <c r="G4238">
        <f t="shared" si="198"/>
        <v>240000</v>
      </c>
      <c r="H4238" t="s">
        <v>17</v>
      </c>
      <c r="I4238">
        <f t="shared" si="199"/>
        <v>72000</v>
      </c>
      <c r="J4238">
        <f t="shared" si="200"/>
        <v>288000</v>
      </c>
    </row>
    <row r="4239" spans="1:10" x14ac:dyDescent="0.45">
      <c r="A4239" t="s">
        <v>2263</v>
      </c>
      <c r="B4239" s="1">
        <v>45955</v>
      </c>
      <c r="C4239" t="s">
        <v>33</v>
      </c>
      <c r="D4239" t="s">
        <v>34</v>
      </c>
      <c r="E4239">
        <v>1700</v>
      </c>
      <c r="F4239">
        <v>6</v>
      </c>
      <c r="G4239">
        <f t="shared" si="198"/>
        <v>10200</v>
      </c>
      <c r="H4239" t="s">
        <v>7</v>
      </c>
      <c r="I4239">
        <f t="shared" si="199"/>
        <v>2040</v>
      </c>
      <c r="J4239">
        <f t="shared" si="200"/>
        <v>12240</v>
      </c>
    </row>
    <row r="4240" spans="1:10" x14ac:dyDescent="0.45">
      <c r="A4240" t="s">
        <v>2264</v>
      </c>
      <c r="B4240" s="1">
        <v>45955</v>
      </c>
      <c r="C4240" t="s">
        <v>12</v>
      </c>
      <c r="D4240" t="s">
        <v>5021</v>
      </c>
      <c r="E4240">
        <v>2880</v>
      </c>
      <c r="F4240">
        <v>1</v>
      </c>
      <c r="G4240">
        <f t="shared" si="198"/>
        <v>2880</v>
      </c>
      <c r="H4240" t="s">
        <v>7</v>
      </c>
      <c r="I4240">
        <f t="shared" si="199"/>
        <v>3456</v>
      </c>
      <c r="J4240">
        <f t="shared" si="200"/>
        <v>3456</v>
      </c>
    </row>
    <row r="4241" spans="1:10" x14ac:dyDescent="0.45">
      <c r="A4241" t="s">
        <v>2940</v>
      </c>
      <c r="B4241" s="1">
        <v>45955</v>
      </c>
      <c r="C4241" t="s">
        <v>4007</v>
      </c>
      <c r="D4241" t="s">
        <v>2770</v>
      </c>
      <c r="E4241">
        <v>600</v>
      </c>
      <c r="F4241">
        <v>2</v>
      </c>
      <c r="G4241">
        <f t="shared" si="198"/>
        <v>1200</v>
      </c>
      <c r="H4241" t="s">
        <v>7</v>
      </c>
      <c r="I4241">
        <f t="shared" si="199"/>
        <v>720</v>
      </c>
      <c r="J4241">
        <f t="shared" si="200"/>
        <v>1440</v>
      </c>
    </row>
    <row r="4242" spans="1:10" x14ac:dyDescent="0.45">
      <c r="A4242" t="s">
        <v>3573</v>
      </c>
      <c r="B4242" s="1">
        <v>45955</v>
      </c>
      <c r="C4242" t="s">
        <v>33</v>
      </c>
      <c r="D4242" t="s">
        <v>34</v>
      </c>
      <c r="E4242">
        <v>1700</v>
      </c>
      <c r="F4242">
        <v>7</v>
      </c>
      <c r="G4242">
        <f t="shared" si="198"/>
        <v>11900</v>
      </c>
      <c r="H4242" t="s">
        <v>7</v>
      </c>
      <c r="I4242">
        <f t="shared" si="199"/>
        <v>2040</v>
      </c>
      <c r="J4242">
        <f t="shared" si="200"/>
        <v>14280</v>
      </c>
    </row>
    <row r="4243" spans="1:10" x14ac:dyDescent="0.45">
      <c r="A4243" t="s">
        <v>2265</v>
      </c>
      <c r="B4243" s="1">
        <v>45956</v>
      </c>
      <c r="C4243" t="s">
        <v>12</v>
      </c>
      <c r="D4243" t="s">
        <v>5020</v>
      </c>
      <c r="E4243">
        <v>2880</v>
      </c>
      <c r="F4243">
        <v>8</v>
      </c>
      <c r="G4243">
        <f t="shared" si="198"/>
        <v>23040</v>
      </c>
      <c r="H4243" t="s">
        <v>7</v>
      </c>
      <c r="I4243">
        <f t="shared" si="199"/>
        <v>3456</v>
      </c>
      <c r="J4243">
        <f t="shared" si="200"/>
        <v>27648</v>
      </c>
    </row>
    <row r="4244" spans="1:10" x14ac:dyDescent="0.45">
      <c r="A4244" t="s">
        <v>2266</v>
      </c>
      <c r="B4244" s="1">
        <v>45956</v>
      </c>
      <c r="C4244" t="s">
        <v>33</v>
      </c>
      <c r="D4244" t="s">
        <v>42</v>
      </c>
      <c r="E4244">
        <v>6900</v>
      </c>
      <c r="F4244">
        <v>2</v>
      </c>
      <c r="G4244">
        <f t="shared" si="198"/>
        <v>13800</v>
      </c>
      <c r="H4244" t="s">
        <v>21</v>
      </c>
      <c r="I4244">
        <f t="shared" si="199"/>
        <v>8280</v>
      </c>
      <c r="J4244">
        <f t="shared" si="200"/>
        <v>16560</v>
      </c>
    </row>
    <row r="4245" spans="1:10" x14ac:dyDescent="0.45">
      <c r="A4245" t="s">
        <v>2267</v>
      </c>
      <c r="B4245" s="1">
        <v>45956</v>
      </c>
      <c r="C4245" t="s">
        <v>33</v>
      </c>
      <c r="D4245" t="s">
        <v>42</v>
      </c>
      <c r="E4245">
        <v>6900</v>
      </c>
      <c r="F4245">
        <v>6</v>
      </c>
      <c r="G4245">
        <f t="shared" si="198"/>
        <v>41400</v>
      </c>
      <c r="H4245" t="s">
        <v>21</v>
      </c>
      <c r="I4245">
        <f t="shared" si="199"/>
        <v>8280</v>
      </c>
      <c r="J4245">
        <f t="shared" si="200"/>
        <v>49680</v>
      </c>
    </row>
    <row r="4246" spans="1:10" x14ac:dyDescent="0.45">
      <c r="A4246" t="s">
        <v>2268</v>
      </c>
      <c r="B4246" s="1">
        <v>45956</v>
      </c>
      <c r="C4246" t="s">
        <v>9</v>
      </c>
      <c r="D4246" t="s">
        <v>10</v>
      </c>
      <c r="E4246">
        <v>400</v>
      </c>
      <c r="F4246">
        <v>7</v>
      </c>
      <c r="G4246">
        <f t="shared" si="198"/>
        <v>2800</v>
      </c>
      <c r="H4246" t="s">
        <v>17</v>
      </c>
      <c r="I4246">
        <f t="shared" si="199"/>
        <v>480</v>
      </c>
      <c r="J4246">
        <f t="shared" si="200"/>
        <v>3360</v>
      </c>
    </row>
    <row r="4247" spans="1:10" x14ac:dyDescent="0.45">
      <c r="A4247" t="s">
        <v>2269</v>
      </c>
      <c r="B4247" s="1">
        <v>45956</v>
      </c>
      <c r="C4247" t="s">
        <v>9</v>
      </c>
      <c r="D4247" t="s">
        <v>10</v>
      </c>
      <c r="E4247">
        <v>400</v>
      </c>
      <c r="F4247">
        <v>1</v>
      </c>
      <c r="G4247">
        <f t="shared" si="198"/>
        <v>400</v>
      </c>
      <c r="H4247" t="s">
        <v>21</v>
      </c>
      <c r="I4247">
        <f t="shared" si="199"/>
        <v>480</v>
      </c>
      <c r="J4247">
        <f t="shared" si="200"/>
        <v>480</v>
      </c>
    </row>
    <row r="4248" spans="1:10" x14ac:dyDescent="0.45">
      <c r="A4248" t="s">
        <v>2822</v>
      </c>
      <c r="B4248" s="1">
        <v>45956</v>
      </c>
      <c r="C4248" t="s">
        <v>4007</v>
      </c>
      <c r="D4248" t="s">
        <v>2770</v>
      </c>
      <c r="E4248">
        <v>600</v>
      </c>
      <c r="F4248">
        <v>1</v>
      </c>
      <c r="G4248">
        <f t="shared" si="198"/>
        <v>600</v>
      </c>
      <c r="H4248" t="s">
        <v>21</v>
      </c>
      <c r="I4248">
        <f t="shared" si="199"/>
        <v>720</v>
      </c>
      <c r="J4248">
        <f t="shared" si="200"/>
        <v>720</v>
      </c>
    </row>
    <row r="4249" spans="1:10" x14ac:dyDescent="0.45">
      <c r="A4249" t="s">
        <v>2875</v>
      </c>
      <c r="B4249" s="1">
        <v>45956</v>
      </c>
      <c r="C4249" t="s">
        <v>33</v>
      </c>
      <c r="D4249" t="s">
        <v>34</v>
      </c>
      <c r="E4249">
        <v>1700</v>
      </c>
      <c r="F4249">
        <v>1</v>
      </c>
      <c r="G4249">
        <f t="shared" si="198"/>
        <v>1700</v>
      </c>
      <c r="H4249" t="s">
        <v>21</v>
      </c>
      <c r="I4249">
        <f t="shared" si="199"/>
        <v>2040</v>
      </c>
      <c r="J4249">
        <f t="shared" si="200"/>
        <v>2040</v>
      </c>
    </row>
    <row r="4250" spans="1:10" x14ac:dyDescent="0.45">
      <c r="A4250" t="s">
        <v>3422</v>
      </c>
      <c r="B4250" s="1">
        <v>45956</v>
      </c>
      <c r="C4250" t="s">
        <v>4007</v>
      </c>
      <c r="D4250" t="s">
        <v>2776</v>
      </c>
      <c r="E4250">
        <v>3600</v>
      </c>
      <c r="F4250">
        <v>1</v>
      </c>
      <c r="G4250">
        <f t="shared" si="198"/>
        <v>3600</v>
      </c>
      <c r="H4250" t="s">
        <v>21</v>
      </c>
      <c r="I4250">
        <f t="shared" si="199"/>
        <v>4320</v>
      </c>
      <c r="J4250">
        <f t="shared" si="200"/>
        <v>4320</v>
      </c>
    </row>
    <row r="4251" spans="1:10" x14ac:dyDescent="0.45">
      <c r="A4251" t="s">
        <v>2270</v>
      </c>
      <c r="B4251" s="1">
        <v>45957</v>
      </c>
      <c r="C4251" t="s">
        <v>12</v>
      </c>
      <c r="D4251" t="s">
        <v>5021</v>
      </c>
      <c r="E4251">
        <v>2880</v>
      </c>
      <c r="F4251">
        <v>4</v>
      </c>
      <c r="G4251">
        <f t="shared" si="198"/>
        <v>11520</v>
      </c>
      <c r="H4251" t="s">
        <v>21</v>
      </c>
      <c r="I4251">
        <f t="shared" si="199"/>
        <v>3456</v>
      </c>
      <c r="J4251">
        <f t="shared" si="200"/>
        <v>13824</v>
      </c>
    </row>
    <row r="4252" spans="1:10" x14ac:dyDescent="0.45">
      <c r="A4252" t="s">
        <v>2271</v>
      </c>
      <c r="B4252" s="1">
        <v>45957</v>
      </c>
      <c r="C4252" t="s">
        <v>4007</v>
      </c>
      <c r="D4252" t="s">
        <v>39</v>
      </c>
      <c r="E4252">
        <v>6000</v>
      </c>
      <c r="F4252">
        <v>1</v>
      </c>
      <c r="G4252">
        <f t="shared" si="198"/>
        <v>6000</v>
      </c>
      <c r="H4252" t="s">
        <v>7</v>
      </c>
      <c r="I4252">
        <f t="shared" si="199"/>
        <v>7200</v>
      </c>
      <c r="J4252">
        <f t="shared" si="200"/>
        <v>7200</v>
      </c>
    </row>
    <row r="4253" spans="1:10" x14ac:dyDescent="0.45">
      <c r="A4253" t="s">
        <v>2272</v>
      </c>
      <c r="B4253" s="1">
        <v>45957</v>
      </c>
      <c r="C4253" t="s">
        <v>9</v>
      </c>
      <c r="D4253" t="s">
        <v>19</v>
      </c>
      <c r="E4253">
        <v>3000</v>
      </c>
      <c r="F4253">
        <v>4</v>
      </c>
      <c r="G4253">
        <f t="shared" si="198"/>
        <v>12000</v>
      </c>
      <c r="H4253" t="s">
        <v>17</v>
      </c>
      <c r="I4253">
        <f t="shared" si="199"/>
        <v>3600</v>
      </c>
      <c r="J4253">
        <f t="shared" si="200"/>
        <v>14400</v>
      </c>
    </row>
    <row r="4254" spans="1:10" x14ac:dyDescent="0.45">
      <c r="A4254" t="s">
        <v>2273</v>
      </c>
      <c r="B4254" s="1">
        <v>45957</v>
      </c>
      <c r="C4254" t="s">
        <v>4007</v>
      </c>
      <c r="D4254" t="s">
        <v>39</v>
      </c>
      <c r="E4254">
        <v>6000</v>
      </c>
      <c r="F4254">
        <v>7</v>
      </c>
      <c r="G4254">
        <f t="shared" si="198"/>
        <v>42000</v>
      </c>
      <c r="H4254" t="s">
        <v>7</v>
      </c>
      <c r="I4254">
        <f t="shared" si="199"/>
        <v>7200</v>
      </c>
      <c r="J4254">
        <f t="shared" si="200"/>
        <v>50400</v>
      </c>
    </row>
    <row r="4255" spans="1:10" x14ac:dyDescent="0.45">
      <c r="A4255" t="s">
        <v>2274</v>
      </c>
      <c r="B4255" s="1">
        <v>45957</v>
      </c>
      <c r="C4255" t="s">
        <v>4007</v>
      </c>
      <c r="D4255" t="s">
        <v>4005</v>
      </c>
      <c r="E4255">
        <v>60000</v>
      </c>
      <c r="F4255">
        <v>6</v>
      </c>
      <c r="G4255">
        <f t="shared" si="198"/>
        <v>360000</v>
      </c>
      <c r="H4255" t="s">
        <v>7</v>
      </c>
      <c r="I4255">
        <f t="shared" si="199"/>
        <v>72000</v>
      </c>
      <c r="J4255">
        <f t="shared" si="200"/>
        <v>432000</v>
      </c>
    </row>
    <row r="4256" spans="1:10" x14ac:dyDescent="0.45">
      <c r="A4256" t="s">
        <v>2275</v>
      </c>
      <c r="B4256" s="1">
        <v>45957</v>
      </c>
      <c r="C4256" t="s">
        <v>12</v>
      </c>
      <c r="D4256" t="s">
        <v>5020</v>
      </c>
      <c r="E4256">
        <v>2880</v>
      </c>
      <c r="F4256">
        <v>4</v>
      </c>
      <c r="G4256">
        <f t="shared" si="198"/>
        <v>11520</v>
      </c>
      <c r="H4256" t="s">
        <v>21</v>
      </c>
      <c r="I4256">
        <f t="shared" si="199"/>
        <v>3456</v>
      </c>
      <c r="J4256">
        <f t="shared" si="200"/>
        <v>13824</v>
      </c>
    </row>
    <row r="4257" spans="1:10" x14ac:dyDescent="0.45">
      <c r="A4257" t="s">
        <v>2276</v>
      </c>
      <c r="B4257" s="1">
        <v>45957</v>
      </c>
      <c r="C4257" t="s">
        <v>4007</v>
      </c>
      <c r="D4257" t="s">
        <v>28</v>
      </c>
      <c r="E4257">
        <v>500</v>
      </c>
      <c r="F4257">
        <v>7</v>
      </c>
      <c r="G4257">
        <f t="shared" si="198"/>
        <v>3500</v>
      </c>
      <c r="H4257" t="s">
        <v>17</v>
      </c>
      <c r="I4257">
        <f t="shared" si="199"/>
        <v>600</v>
      </c>
      <c r="J4257">
        <f t="shared" si="200"/>
        <v>4200</v>
      </c>
    </row>
    <row r="4258" spans="1:10" x14ac:dyDescent="0.45">
      <c r="A4258" t="s">
        <v>3350</v>
      </c>
      <c r="B4258" s="1">
        <v>45957</v>
      </c>
      <c r="C4258" t="s">
        <v>4007</v>
      </c>
      <c r="D4258" t="s">
        <v>28</v>
      </c>
      <c r="E4258">
        <v>500</v>
      </c>
      <c r="F4258">
        <v>8</v>
      </c>
      <c r="G4258">
        <f t="shared" si="198"/>
        <v>4000</v>
      </c>
      <c r="H4258" t="s">
        <v>7</v>
      </c>
      <c r="I4258">
        <f t="shared" si="199"/>
        <v>600</v>
      </c>
      <c r="J4258">
        <f t="shared" si="200"/>
        <v>4800</v>
      </c>
    </row>
    <row r="4259" spans="1:10" x14ac:dyDescent="0.45">
      <c r="A4259" t="s">
        <v>3390</v>
      </c>
      <c r="B4259" s="1">
        <v>45957</v>
      </c>
      <c r="C4259" t="s">
        <v>4007</v>
      </c>
      <c r="D4259" t="s">
        <v>2773</v>
      </c>
      <c r="E4259">
        <v>3300</v>
      </c>
      <c r="F4259">
        <v>6</v>
      </c>
      <c r="G4259">
        <f t="shared" si="198"/>
        <v>19800</v>
      </c>
      <c r="H4259" t="s">
        <v>21</v>
      </c>
      <c r="I4259">
        <f t="shared" si="199"/>
        <v>3960</v>
      </c>
      <c r="J4259">
        <f t="shared" si="200"/>
        <v>23760</v>
      </c>
    </row>
    <row r="4260" spans="1:10" x14ac:dyDescent="0.45">
      <c r="A4260" t="s">
        <v>3469</v>
      </c>
      <c r="B4260" s="1">
        <v>45957</v>
      </c>
      <c r="C4260" t="s">
        <v>4007</v>
      </c>
      <c r="D4260" t="s">
        <v>5015</v>
      </c>
      <c r="E4260">
        <v>48000</v>
      </c>
      <c r="F4260">
        <v>9</v>
      </c>
      <c r="G4260">
        <f t="shared" si="198"/>
        <v>432000</v>
      </c>
      <c r="H4260" t="s">
        <v>17</v>
      </c>
      <c r="I4260">
        <f t="shared" si="199"/>
        <v>57600</v>
      </c>
      <c r="J4260">
        <f t="shared" si="200"/>
        <v>518400</v>
      </c>
    </row>
    <row r="4261" spans="1:10" x14ac:dyDescent="0.45">
      <c r="A4261" t="s">
        <v>3721</v>
      </c>
      <c r="B4261" s="1">
        <v>45957</v>
      </c>
      <c r="C4261" t="s">
        <v>2772</v>
      </c>
      <c r="D4261" t="s">
        <v>2771</v>
      </c>
      <c r="E4261">
        <v>120</v>
      </c>
      <c r="F4261">
        <v>10</v>
      </c>
      <c r="G4261">
        <f t="shared" si="198"/>
        <v>1200</v>
      </c>
      <c r="H4261" t="s">
        <v>7</v>
      </c>
      <c r="I4261">
        <f t="shared" si="199"/>
        <v>144</v>
      </c>
      <c r="J4261">
        <f t="shared" si="200"/>
        <v>1440</v>
      </c>
    </row>
    <row r="4262" spans="1:10" x14ac:dyDescent="0.45">
      <c r="A4262" t="s">
        <v>3760</v>
      </c>
      <c r="B4262" s="1">
        <v>45957</v>
      </c>
      <c r="C4262" t="s">
        <v>4007</v>
      </c>
      <c r="D4262" t="s">
        <v>2774</v>
      </c>
      <c r="E4262">
        <v>1900</v>
      </c>
      <c r="F4262">
        <v>7</v>
      </c>
      <c r="G4262">
        <f t="shared" si="198"/>
        <v>13300</v>
      </c>
      <c r="H4262" t="s">
        <v>7</v>
      </c>
      <c r="I4262">
        <f t="shared" si="199"/>
        <v>2280</v>
      </c>
      <c r="J4262">
        <f t="shared" si="200"/>
        <v>15960</v>
      </c>
    </row>
    <row r="4263" spans="1:10" x14ac:dyDescent="0.45">
      <c r="A4263" t="s">
        <v>2277</v>
      </c>
      <c r="B4263" s="1">
        <v>45958</v>
      </c>
      <c r="C4263" t="s">
        <v>33</v>
      </c>
      <c r="D4263" t="s">
        <v>34</v>
      </c>
      <c r="E4263">
        <v>1700</v>
      </c>
      <c r="F4263">
        <v>10</v>
      </c>
      <c r="G4263">
        <f t="shared" si="198"/>
        <v>17000</v>
      </c>
      <c r="H4263" t="s">
        <v>17</v>
      </c>
      <c r="I4263">
        <f t="shared" si="199"/>
        <v>2040</v>
      </c>
      <c r="J4263">
        <f t="shared" si="200"/>
        <v>20400</v>
      </c>
    </row>
    <row r="4264" spans="1:10" x14ac:dyDescent="0.45">
      <c r="A4264" t="s">
        <v>2278</v>
      </c>
      <c r="B4264" s="1">
        <v>45958</v>
      </c>
      <c r="C4264" t="s">
        <v>4007</v>
      </c>
      <c r="D4264" t="s">
        <v>28</v>
      </c>
      <c r="E4264">
        <v>500</v>
      </c>
      <c r="F4264">
        <v>2</v>
      </c>
      <c r="G4264">
        <f t="shared" si="198"/>
        <v>1000</v>
      </c>
      <c r="H4264" t="s">
        <v>17</v>
      </c>
      <c r="I4264">
        <f t="shared" si="199"/>
        <v>600</v>
      </c>
      <c r="J4264">
        <f t="shared" si="200"/>
        <v>1200</v>
      </c>
    </row>
    <row r="4265" spans="1:10" x14ac:dyDescent="0.45">
      <c r="A4265" t="s">
        <v>2279</v>
      </c>
      <c r="B4265" s="1">
        <v>45958</v>
      </c>
      <c r="C4265" t="s">
        <v>9</v>
      </c>
      <c r="D4265" t="s">
        <v>10</v>
      </c>
      <c r="E4265">
        <v>400</v>
      </c>
      <c r="F4265">
        <v>9</v>
      </c>
      <c r="G4265">
        <f t="shared" si="198"/>
        <v>3600</v>
      </c>
      <c r="H4265" t="s">
        <v>21</v>
      </c>
      <c r="I4265">
        <f t="shared" si="199"/>
        <v>480</v>
      </c>
      <c r="J4265">
        <f t="shared" si="200"/>
        <v>4320</v>
      </c>
    </row>
    <row r="4266" spans="1:10" x14ac:dyDescent="0.45">
      <c r="A4266" t="s">
        <v>2280</v>
      </c>
      <c r="B4266" s="1">
        <v>45958</v>
      </c>
      <c r="C4266" t="s">
        <v>33</v>
      </c>
      <c r="D4266" t="s">
        <v>34</v>
      </c>
      <c r="E4266">
        <v>1700</v>
      </c>
      <c r="F4266">
        <v>3</v>
      </c>
      <c r="G4266">
        <f t="shared" si="198"/>
        <v>5100</v>
      </c>
      <c r="H4266" t="s">
        <v>17</v>
      </c>
      <c r="I4266">
        <f t="shared" si="199"/>
        <v>2040</v>
      </c>
      <c r="J4266">
        <f t="shared" si="200"/>
        <v>6120</v>
      </c>
    </row>
    <row r="4267" spans="1:10" x14ac:dyDescent="0.45">
      <c r="A4267" t="s">
        <v>2281</v>
      </c>
      <c r="B4267" s="1">
        <v>45958</v>
      </c>
      <c r="C4267" t="s">
        <v>9</v>
      </c>
      <c r="D4267" t="s">
        <v>10</v>
      </c>
      <c r="E4267">
        <v>400</v>
      </c>
      <c r="F4267">
        <v>3</v>
      </c>
      <c r="G4267">
        <f t="shared" si="198"/>
        <v>1200</v>
      </c>
      <c r="H4267" t="s">
        <v>21</v>
      </c>
      <c r="I4267">
        <f t="shared" si="199"/>
        <v>480</v>
      </c>
      <c r="J4267">
        <f t="shared" si="200"/>
        <v>1440</v>
      </c>
    </row>
    <row r="4268" spans="1:10" x14ac:dyDescent="0.45">
      <c r="A4268" t="s">
        <v>2282</v>
      </c>
      <c r="B4268" s="1">
        <v>45958</v>
      </c>
      <c r="C4268" t="s">
        <v>12</v>
      </c>
      <c r="D4268" t="s">
        <v>5020</v>
      </c>
      <c r="E4268">
        <v>2880</v>
      </c>
      <c r="F4268">
        <v>7</v>
      </c>
      <c r="G4268">
        <f t="shared" si="198"/>
        <v>20160</v>
      </c>
      <c r="H4268" t="s">
        <v>17</v>
      </c>
      <c r="I4268">
        <f t="shared" si="199"/>
        <v>3456</v>
      </c>
      <c r="J4268">
        <f t="shared" si="200"/>
        <v>24192</v>
      </c>
    </row>
    <row r="4269" spans="1:10" x14ac:dyDescent="0.45">
      <c r="A4269" t="s">
        <v>3796</v>
      </c>
      <c r="B4269" s="1">
        <v>45958</v>
      </c>
      <c r="C4269" t="s">
        <v>4007</v>
      </c>
      <c r="D4269" t="s">
        <v>2773</v>
      </c>
      <c r="E4269">
        <v>3300</v>
      </c>
      <c r="F4269">
        <v>8</v>
      </c>
      <c r="G4269">
        <f t="shared" si="198"/>
        <v>26400</v>
      </c>
      <c r="H4269" t="s">
        <v>17</v>
      </c>
      <c r="I4269">
        <f t="shared" si="199"/>
        <v>3960</v>
      </c>
      <c r="J4269">
        <f t="shared" si="200"/>
        <v>31680</v>
      </c>
    </row>
    <row r="4270" spans="1:10" x14ac:dyDescent="0.45">
      <c r="A4270" t="s">
        <v>2283</v>
      </c>
      <c r="B4270" s="1">
        <v>45959</v>
      </c>
      <c r="C4270" t="s">
        <v>12</v>
      </c>
      <c r="D4270" t="s">
        <v>5020</v>
      </c>
      <c r="E4270">
        <v>2880</v>
      </c>
      <c r="F4270">
        <v>7</v>
      </c>
      <c r="G4270">
        <f t="shared" si="198"/>
        <v>20160</v>
      </c>
      <c r="H4270" t="s">
        <v>17</v>
      </c>
      <c r="I4270">
        <f t="shared" si="199"/>
        <v>3456</v>
      </c>
      <c r="J4270">
        <f t="shared" si="200"/>
        <v>24192</v>
      </c>
    </row>
    <row r="4271" spans="1:10" x14ac:dyDescent="0.45">
      <c r="A4271" t="s">
        <v>2284</v>
      </c>
      <c r="B4271" s="1">
        <v>45959</v>
      </c>
      <c r="C4271" t="s">
        <v>4007</v>
      </c>
      <c r="D4271" t="s">
        <v>39</v>
      </c>
      <c r="E4271">
        <v>6000</v>
      </c>
      <c r="F4271">
        <v>9</v>
      </c>
      <c r="G4271">
        <f t="shared" si="198"/>
        <v>54000</v>
      </c>
      <c r="H4271" t="s">
        <v>7</v>
      </c>
      <c r="I4271">
        <f t="shared" si="199"/>
        <v>7200</v>
      </c>
      <c r="J4271">
        <f t="shared" si="200"/>
        <v>64800</v>
      </c>
    </row>
    <row r="4272" spans="1:10" x14ac:dyDescent="0.45">
      <c r="A4272" t="s">
        <v>2285</v>
      </c>
      <c r="B4272" s="1">
        <v>45959</v>
      </c>
      <c r="C4272" t="s">
        <v>12</v>
      </c>
      <c r="D4272" t="s">
        <v>5022</v>
      </c>
      <c r="E4272">
        <v>2880</v>
      </c>
      <c r="F4272">
        <v>4</v>
      </c>
      <c r="G4272">
        <f t="shared" si="198"/>
        <v>11520</v>
      </c>
      <c r="H4272" t="s">
        <v>7</v>
      </c>
      <c r="I4272">
        <f t="shared" si="199"/>
        <v>3456</v>
      </c>
      <c r="J4272">
        <f t="shared" si="200"/>
        <v>13824</v>
      </c>
    </row>
    <row r="4273" spans="1:10" x14ac:dyDescent="0.45">
      <c r="A4273" t="s">
        <v>2286</v>
      </c>
      <c r="B4273" s="1">
        <v>45959</v>
      </c>
      <c r="C4273" t="s">
        <v>12</v>
      </c>
      <c r="D4273" t="s">
        <v>5020</v>
      </c>
      <c r="E4273">
        <v>2880</v>
      </c>
      <c r="F4273">
        <v>5</v>
      </c>
      <c r="G4273">
        <f t="shared" si="198"/>
        <v>14400</v>
      </c>
      <c r="H4273" t="s">
        <v>17</v>
      </c>
      <c r="I4273">
        <f t="shared" si="199"/>
        <v>3456</v>
      </c>
      <c r="J4273">
        <f t="shared" si="200"/>
        <v>17280</v>
      </c>
    </row>
    <row r="4274" spans="1:10" x14ac:dyDescent="0.45">
      <c r="A4274" t="s">
        <v>2287</v>
      </c>
      <c r="B4274" s="1">
        <v>45959</v>
      </c>
      <c r="C4274" t="s">
        <v>33</v>
      </c>
      <c r="D4274" t="s">
        <v>16</v>
      </c>
      <c r="E4274">
        <v>1200</v>
      </c>
      <c r="F4274">
        <v>7</v>
      </c>
      <c r="G4274">
        <f t="shared" si="198"/>
        <v>8400</v>
      </c>
      <c r="H4274" t="s">
        <v>17</v>
      </c>
      <c r="I4274">
        <f t="shared" si="199"/>
        <v>1440</v>
      </c>
      <c r="J4274">
        <f t="shared" si="200"/>
        <v>10080</v>
      </c>
    </row>
    <row r="4275" spans="1:10" x14ac:dyDescent="0.45">
      <c r="A4275" t="s">
        <v>2288</v>
      </c>
      <c r="B4275" s="1">
        <v>45959</v>
      </c>
      <c r="C4275" t="s">
        <v>33</v>
      </c>
      <c r="D4275" t="s">
        <v>42</v>
      </c>
      <c r="E4275">
        <v>6900</v>
      </c>
      <c r="F4275">
        <v>3</v>
      </c>
      <c r="G4275">
        <f t="shared" si="198"/>
        <v>20700</v>
      </c>
      <c r="H4275" t="s">
        <v>7</v>
      </c>
      <c r="I4275">
        <f t="shared" si="199"/>
        <v>8280</v>
      </c>
      <c r="J4275">
        <f t="shared" si="200"/>
        <v>24840</v>
      </c>
    </row>
    <row r="4276" spans="1:10" x14ac:dyDescent="0.45">
      <c r="A4276" t="s">
        <v>2289</v>
      </c>
      <c r="B4276" s="1">
        <v>45959</v>
      </c>
      <c r="C4276" t="s">
        <v>9</v>
      </c>
      <c r="D4276" t="s">
        <v>25</v>
      </c>
      <c r="E4276">
        <v>5200</v>
      </c>
      <c r="F4276">
        <v>3</v>
      </c>
      <c r="G4276">
        <f t="shared" si="198"/>
        <v>15600</v>
      </c>
      <c r="H4276" t="s">
        <v>21</v>
      </c>
      <c r="I4276">
        <f t="shared" si="199"/>
        <v>6240</v>
      </c>
      <c r="J4276">
        <f t="shared" si="200"/>
        <v>18720</v>
      </c>
    </row>
    <row r="4277" spans="1:10" x14ac:dyDescent="0.45">
      <c r="A4277" t="s">
        <v>2290</v>
      </c>
      <c r="B4277" s="1">
        <v>45959</v>
      </c>
      <c r="C4277" t="s">
        <v>33</v>
      </c>
      <c r="D4277" t="s">
        <v>16</v>
      </c>
      <c r="E4277">
        <v>1200</v>
      </c>
      <c r="F4277">
        <v>1</v>
      </c>
      <c r="G4277">
        <f t="shared" si="198"/>
        <v>1200</v>
      </c>
      <c r="H4277" t="s">
        <v>21</v>
      </c>
      <c r="I4277">
        <f t="shared" si="199"/>
        <v>1440</v>
      </c>
      <c r="J4277">
        <f t="shared" si="200"/>
        <v>1440</v>
      </c>
    </row>
    <row r="4278" spans="1:10" x14ac:dyDescent="0.45">
      <c r="A4278" t="s">
        <v>2291</v>
      </c>
      <c r="B4278" s="1">
        <v>45959</v>
      </c>
      <c r="C4278" t="s">
        <v>12</v>
      </c>
      <c r="D4278" t="s">
        <v>5022</v>
      </c>
      <c r="E4278">
        <v>2880</v>
      </c>
      <c r="F4278">
        <v>9</v>
      </c>
      <c r="G4278">
        <f t="shared" si="198"/>
        <v>25920</v>
      </c>
      <c r="H4278" t="s">
        <v>17</v>
      </c>
      <c r="I4278">
        <f t="shared" si="199"/>
        <v>3456</v>
      </c>
      <c r="J4278">
        <f t="shared" si="200"/>
        <v>31104</v>
      </c>
    </row>
    <row r="4279" spans="1:10" x14ac:dyDescent="0.45">
      <c r="A4279" t="s">
        <v>3100</v>
      </c>
      <c r="B4279" s="1">
        <v>45959</v>
      </c>
      <c r="C4279" t="s">
        <v>4007</v>
      </c>
      <c r="D4279" t="s">
        <v>28</v>
      </c>
      <c r="E4279">
        <v>500</v>
      </c>
      <c r="F4279">
        <v>5</v>
      </c>
      <c r="G4279">
        <f t="shared" si="198"/>
        <v>2500</v>
      </c>
      <c r="H4279" t="s">
        <v>17</v>
      </c>
      <c r="I4279">
        <f t="shared" si="199"/>
        <v>600</v>
      </c>
      <c r="J4279">
        <f t="shared" si="200"/>
        <v>3000</v>
      </c>
    </row>
    <row r="4280" spans="1:10" x14ac:dyDescent="0.45">
      <c r="A4280" t="s">
        <v>3133</v>
      </c>
      <c r="B4280" s="1">
        <v>45959</v>
      </c>
      <c r="C4280" t="s">
        <v>4007</v>
      </c>
      <c r="D4280" t="s">
        <v>2770</v>
      </c>
      <c r="E4280">
        <v>600</v>
      </c>
      <c r="F4280">
        <v>9</v>
      </c>
      <c r="G4280">
        <f t="shared" si="198"/>
        <v>5400</v>
      </c>
      <c r="H4280" t="s">
        <v>17</v>
      </c>
      <c r="I4280">
        <f t="shared" si="199"/>
        <v>720</v>
      </c>
      <c r="J4280">
        <f t="shared" si="200"/>
        <v>6480</v>
      </c>
    </row>
    <row r="4281" spans="1:10" x14ac:dyDescent="0.45">
      <c r="A4281" t="s">
        <v>3245</v>
      </c>
      <c r="B4281" s="1">
        <v>45959</v>
      </c>
      <c r="C4281" t="s">
        <v>33</v>
      </c>
      <c r="D4281" t="s">
        <v>34</v>
      </c>
      <c r="E4281">
        <v>1700</v>
      </c>
      <c r="F4281">
        <v>9</v>
      </c>
      <c r="G4281">
        <f t="shared" si="198"/>
        <v>15300</v>
      </c>
      <c r="H4281" t="s">
        <v>21</v>
      </c>
      <c r="I4281">
        <f t="shared" si="199"/>
        <v>2040</v>
      </c>
      <c r="J4281">
        <f t="shared" si="200"/>
        <v>18360</v>
      </c>
    </row>
    <row r="4282" spans="1:10" x14ac:dyDescent="0.45">
      <c r="A4282" t="s">
        <v>3357</v>
      </c>
      <c r="B4282" s="1">
        <v>45959</v>
      </c>
      <c r="C4282" t="s">
        <v>4007</v>
      </c>
      <c r="D4282" t="s">
        <v>28</v>
      </c>
      <c r="E4282">
        <v>500</v>
      </c>
      <c r="F4282">
        <v>2</v>
      </c>
      <c r="G4282">
        <f t="shared" si="198"/>
        <v>1000</v>
      </c>
      <c r="H4282" t="s">
        <v>7</v>
      </c>
      <c r="I4282">
        <f t="shared" si="199"/>
        <v>600</v>
      </c>
      <c r="J4282">
        <f t="shared" si="200"/>
        <v>1200</v>
      </c>
    </row>
    <row r="4283" spans="1:10" x14ac:dyDescent="0.45">
      <c r="A4283" t="s">
        <v>3392</v>
      </c>
      <c r="B4283" s="1">
        <v>45959</v>
      </c>
      <c r="C4283" t="s">
        <v>33</v>
      </c>
      <c r="D4283" t="s">
        <v>14</v>
      </c>
      <c r="E4283">
        <v>800</v>
      </c>
      <c r="F4283">
        <v>4</v>
      </c>
      <c r="G4283">
        <f t="shared" si="198"/>
        <v>3200</v>
      </c>
      <c r="H4283" t="s">
        <v>17</v>
      </c>
      <c r="I4283">
        <f t="shared" si="199"/>
        <v>960</v>
      </c>
      <c r="J4283">
        <f t="shared" si="200"/>
        <v>3840</v>
      </c>
    </row>
    <row r="4284" spans="1:10" x14ac:dyDescent="0.45">
      <c r="A4284" t="s">
        <v>3546</v>
      </c>
      <c r="B4284" s="1">
        <v>45959</v>
      </c>
      <c r="C4284" t="s">
        <v>33</v>
      </c>
      <c r="D4284" t="s">
        <v>34</v>
      </c>
      <c r="E4284">
        <v>1700</v>
      </c>
      <c r="F4284">
        <v>6</v>
      </c>
      <c r="G4284">
        <f t="shared" si="198"/>
        <v>10200</v>
      </c>
      <c r="H4284" t="s">
        <v>7</v>
      </c>
      <c r="I4284">
        <f t="shared" si="199"/>
        <v>2040</v>
      </c>
      <c r="J4284">
        <f t="shared" si="200"/>
        <v>12240</v>
      </c>
    </row>
    <row r="4285" spans="1:10" x14ac:dyDescent="0.45">
      <c r="A4285" t="s">
        <v>3724</v>
      </c>
      <c r="B4285" s="1">
        <v>45959</v>
      </c>
      <c r="C4285" t="s">
        <v>2772</v>
      </c>
      <c r="D4285" t="s">
        <v>2771</v>
      </c>
      <c r="E4285">
        <v>120</v>
      </c>
      <c r="F4285">
        <v>9</v>
      </c>
      <c r="G4285">
        <f t="shared" si="198"/>
        <v>1080</v>
      </c>
      <c r="H4285" t="s">
        <v>21</v>
      </c>
      <c r="I4285">
        <f t="shared" si="199"/>
        <v>144</v>
      </c>
      <c r="J4285">
        <f t="shared" si="200"/>
        <v>1296</v>
      </c>
    </row>
    <row r="4286" spans="1:10" x14ac:dyDescent="0.45">
      <c r="A4286" t="s">
        <v>3819</v>
      </c>
      <c r="B4286" s="1">
        <v>45959</v>
      </c>
      <c r="C4286" t="s">
        <v>4007</v>
      </c>
      <c r="D4286" t="s">
        <v>2773</v>
      </c>
      <c r="E4286">
        <v>3300</v>
      </c>
      <c r="F4286">
        <v>1</v>
      </c>
      <c r="G4286">
        <f t="shared" si="198"/>
        <v>3300</v>
      </c>
      <c r="H4286" t="s">
        <v>21</v>
      </c>
      <c r="I4286">
        <f t="shared" si="199"/>
        <v>3960</v>
      </c>
      <c r="J4286">
        <f t="shared" si="200"/>
        <v>3960</v>
      </c>
    </row>
    <row r="4287" spans="1:10" x14ac:dyDescent="0.45">
      <c r="A4287" t="s">
        <v>2292</v>
      </c>
      <c r="B4287" s="1">
        <v>45960</v>
      </c>
      <c r="C4287" t="s">
        <v>33</v>
      </c>
      <c r="D4287" t="s">
        <v>42</v>
      </c>
      <c r="E4287">
        <v>6900</v>
      </c>
      <c r="F4287">
        <v>7</v>
      </c>
      <c r="G4287">
        <f t="shared" si="198"/>
        <v>48300</v>
      </c>
      <c r="H4287" t="s">
        <v>21</v>
      </c>
      <c r="I4287">
        <f t="shared" si="199"/>
        <v>8280</v>
      </c>
      <c r="J4287">
        <f t="shared" si="200"/>
        <v>57960</v>
      </c>
    </row>
    <row r="4288" spans="1:10" x14ac:dyDescent="0.45">
      <c r="A4288" t="s">
        <v>2293</v>
      </c>
      <c r="B4288" s="1">
        <v>45960</v>
      </c>
      <c r="C4288" t="s">
        <v>9</v>
      </c>
      <c r="D4288" t="s">
        <v>25</v>
      </c>
      <c r="E4288">
        <v>5200</v>
      </c>
      <c r="F4288">
        <v>7</v>
      </c>
      <c r="G4288">
        <f t="shared" si="198"/>
        <v>36400</v>
      </c>
      <c r="H4288" t="s">
        <v>21</v>
      </c>
      <c r="I4288">
        <f t="shared" si="199"/>
        <v>6240</v>
      </c>
      <c r="J4288">
        <f t="shared" si="200"/>
        <v>43680</v>
      </c>
    </row>
    <row r="4289" spans="1:10" x14ac:dyDescent="0.45">
      <c r="A4289" t="s">
        <v>2294</v>
      </c>
      <c r="B4289" s="1">
        <v>45960</v>
      </c>
      <c r="C4289" t="s">
        <v>4007</v>
      </c>
      <c r="D4289" t="s">
        <v>28</v>
      </c>
      <c r="E4289">
        <v>500</v>
      </c>
      <c r="F4289">
        <v>1</v>
      </c>
      <c r="G4289">
        <f t="shared" si="198"/>
        <v>500</v>
      </c>
      <c r="H4289" t="s">
        <v>17</v>
      </c>
      <c r="I4289">
        <f t="shared" si="199"/>
        <v>600</v>
      </c>
      <c r="J4289">
        <f t="shared" si="200"/>
        <v>600</v>
      </c>
    </row>
    <row r="4290" spans="1:10" x14ac:dyDescent="0.45">
      <c r="A4290" t="s">
        <v>2295</v>
      </c>
      <c r="B4290" s="1">
        <v>45960</v>
      </c>
      <c r="C4290" t="s">
        <v>33</v>
      </c>
      <c r="D4290" t="s">
        <v>34</v>
      </c>
      <c r="E4290">
        <v>1700</v>
      </c>
      <c r="F4290">
        <v>6</v>
      </c>
      <c r="G4290">
        <f t="shared" ref="G4290:G4353" si="201">E4290*F4290</f>
        <v>10200</v>
      </c>
      <c r="H4290" t="s">
        <v>17</v>
      </c>
      <c r="I4290">
        <f t="shared" ref="I4290:I4353" si="202">E4290*1.2</f>
        <v>2040</v>
      </c>
      <c r="J4290">
        <f t="shared" ref="J4290:J4353" si="203">I4290*F4290</f>
        <v>12240</v>
      </c>
    </row>
    <row r="4291" spans="1:10" x14ac:dyDescent="0.45">
      <c r="A4291" t="s">
        <v>2296</v>
      </c>
      <c r="B4291" s="1">
        <v>45960</v>
      </c>
      <c r="C4291" t="s">
        <v>12</v>
      </c>
      <c r="D4291" t="s">
        <v>5022</v>
      </c>
      <c r="E4291">
        <v>2880</v>
      </c>
      <c r="F4291">
        <v>5</v>
      </c>
      <c r="G4291">
        <f t="shared" si="201"/>
        <v>14400</v>
      </c>
      <c r="H4291" t="s">
        <v>17</v>
      </c>
      <c r="I4291">
        <f t="shared" si="202"/>
        <v>3456</v>
      </c>
      <c r="J4291">
        <f t="shared" si="203"/>
        <v>17280</v>
      </c>
    </row>
    <row r="4292" spans="1:10" x14ac:dyDescent="0.45">
      <c r="A4292" t="s">
        <v>2297</v>
      </c>
      <c r="B4292" s="1">
        <v>45960</v>
      </c>
      <c r="C4292" t="s">
        <v>33</v>
      </c>
      <c r="D4292" t="s">
        <v>16</v>
      </c>
      <c r="E4292">
        <v>1200</v>
      </c>
      <c r="F4292">
        <v>9</v>
      </c>
      <c r="G4292">
        <f t="shared" si="201"/>
        <v>10800</v>
      </c>
      <c r="H4292" t="s">
        <v>7</v>
      </c>
      <c r="I4292">
        <f t="shared" si="202"/>
        <v>1440</v>
      </c>
      <c r="J4292">
        <f t="shared" si="203"/>
        <v>12960</v>
      </c>
    </row>
    <row r="4293" spans="1:10" x14ac:dyDescent="0.45">
      <c r="A4293" t="s">
        <v>2298</v>
      </c>
      <c r="B4293" s="1">
        <v>45960</v>
      </c>
      <c r="C4293" t="s">
        <v>4007</v>
      </c>
      <c r="D4293" t="s">
        <v>28</v>
      </c>
      <c r="E4293">
        <v>500</v>
      </c>
      <c r="F4293">
        <v>2</v>
      </c>
      <c r="G4293">
        <f t="shared" si="201"/>
        <v>1000</v>
      </c>
      <c r="H4293" t="s">
        <v>17</v>
      </c>
      <c r="I4293">
        <f t="shared" si="202"/>
        <v>600</v>
      </c>
      <c r="J4293">
        <f t="shared" si="203"/>
        <v>1200</v>
      </c>
    </row>
    <row r="4294" spans="1:10" x14ac:dyDescent="0.45">
      <c r="A4294" t="s">
        <v>3235</v>
      </c>
      <c r="B4294" s="1">
        <v>45960</v>
      </c>
      <c r="C4294" t="s">
        <v>4007</v>
      </c>
      <c r="D4294" t="s">
        <v>2774</v>
      </c>
      <c r="E4294">
        <v>1900</v>
      </c>
      <c r="F4294">
        <v>3</v>
      </c>
      <c r="G4294">
        <f t="shared" si="201"/>
        <v>5700</v>
      </c>
      <c r="H4294" t="s">
        <v>17</v>
      </c>
      <c r="I4294">
        <f t="shared" si="202"/>
        <v>2280</v>
      </c>
      <c r="J4294">
        <f t="shared" si="203"/>
        <v>6840</v>
      </c>
    </row>
    <row r="4295" spans="1:10" x14ac:dyDescent="0.45">
      <c r="A4295" t="s">
        <v>3309</v>
      </c>
      <c r="B4295" s="1">
        <v>45960</v>
      </c>
      <c r="C4295" t="s">
        <v>2772</v>
      </c>
      <c r="D4295" t="s">
        <v>2771</v>
      </c>
      <c r="E4295">
        <v>120</v>
      </c>
      <c r="F4295">
        <v>2</v>
      </c>
      <c r="G4295">
        <f t="shared" si="201"/>
        <v>240</v>
      </c>
      <c r="H4295" t="s">
        <v>17</v>
      </c>
      <c r="I4295">
        <f t="shared" si="202"/>
        <v>144</v>
      </c>
      <c r="J4295">
        <f t="shared" si="203"/>
        <v>288</v>
      </c>
    </row>
    <row r="4296" spans="1:10" x14ac:dyDescent="0.45">
      <c r="A4296" t="s">
        <v>3354</v>
      </c>
      <c r="B4296" s="1">
        <v>45960</v>
      </c>
      <c r="C4296" t="s">
        <v>33</v>
      </c>
      <c r="D4296" t="s">
        <v>34</v>
      </c>
      <c r="E4296">
        <v>1700</v>
      </c>
      <c r="F4296">
        <v>2</v>
      </c>
      <c r="G4296">
        <f t="shared" si="201"/>
        <v>3400</v>
      </c>
      <c r="H4296" t="s">
        <v>17</v>
      </c>
      <c r="I4296">
        <f t="shared" si="202"/>
        <v>2040</v>
      </c>
      <c r="J4296">
        <f t="shared" si="203"/>
        <v>4080</v>
      </c>
    </row>
    <row r="4297" spans="1:10" x14ac:dyDescent="0.45">
      <c r="A4297" t="s">
        <v>3851</v>
      </c>
      <c r="B4297" s="1">
        <v>45960</v>
      </c>
      <c r="C4297" t="s">
        <v>4007</v>
      </c>
      <c r="D4297" t="s">
        <v>2770</v>
      </c>
      <c r="E4297">
        <v>600</v>
      </c>
      <c r="F4297">
        <v>10</v>
      </c>
      <c r="G4297">
        <f t="shared" si="201"/>
        <v>6000</v>
      </c>
      <c r="H4297" t="s">
        <v>21</v>
      </c>
      <c r="I4297">
        <f t="shared" si="202"/>
        <v>720</v>
      </c>
      <c r="J4297">
        <f t="shared" si="203"/>
        <v>7200</v>
      </c>
    </row>
    <row r="4298" spans="1:10" x14ac:dyDescent="0.45">
      <c r="A4298" t="s">
        <v>3865</v>
      </c>
      <c r="B4298" s="1">
        <v>45960</v>
      </c>
      <c r="C4298" t="s">
        <v>2772</v>
      </c>
      <c r="D4298" t="s">
        <v>2771</v>
      </c>
      <c r="E4298">
        <v>120</v>
      </c>
      <c r="F4298">
        <v>2</v>
      </c>
      <c r="G4298">
        <f t="shared" si="201"/>
        <v>240</v>
      </c>
      <c r="H4298" t="s">
        <v>7</v>
      </c>
      <c r="I4298">
        <f t="shared" si="202"/>
        <v>144</v>
      </c>
      <c r="J4298">
        <f t="shared" si="203"/>
        <v>288</v>
      </c>
    </row>
    <row r="4299" spans="1:10" x14ac:dyDescent="0.45">
      <c r="A4299" t="s">
        <v>2299</v>
      </c>
      <c r="B4299" s="1">
        <v>45961</v>
      </c>
      <c r="C4299" t="s">
        <v>33</v>
      </c>
      <c r="D4299" t="s">
        <v>34</v>
      </c>
      <c r="E4299">
        <v>1700</v>
      </c>
      <c r="F4299">
        <v>9</v>
      </c>
      <c r="G4299">
        <f t="shared" si="201"/>
        <v>15300</v>
      </c>
      <c r="H4299" t="s">
        <v>17</v>
      </c>
      <c r="I4299">
        <f t="shared" si="202"/>
        <v>2040</v>
      </c>
      <c r="J4299">
        <f t="shared" si="203"/>
        <v>18360</v>
      </c>
    </row>
    <row r="4300" spans="1:10" x14ac:dyDescent="0.45">
      <c r="A4300" t="s">
        <v>2300</v>
      </c>
      <c r="B4300" s="1">
        <v>45961</v>
      </c>
      <c r="C4300" t="s">
        <v>4007</v>
      </c>
      <c r="D4300" t="s">
        <v>28</v>
      </c>
      <c r="E4300">
        <v>500</v>
      </c>
      <c r="F4300">
        <v>3</v>
      </c>
      <c r="G4300">
        <f t="shared" si="201"/>
        <v>1500</v>
      </c>
      <c r="H4300" t="s">
        <v>7</v>
      </c>
      <c r="I4300">
        <f t="shared" si="202"/>
        <v>600</v>
      </c>
      <c r="J4300">
        <f t="shared" si="203"/>
        <v>1800</v>
      </c>
    </row>
    <row r="4301" spans="1:10" x14ac:dyDescent="0.45">
      <c r="A4301" t="s">
        <v>2301</v>
      </c>
      <c r="B4301" s="1">
        <v>45961</v>
      </c>
      <c r="C4301" t="s">
        <v>4007</v>
      </c>
      <c r="D4301" t="s">
        <v>5015</v>
      </c>
      <c r="E4301">
        <v>48000</v>
      </c>
      <c r="F4301">
        <v>6</v>
      </c>
      <c r="G4301">
        <f t="shared" si="201"/>
        <v>288000</v>
      </c>
      <c r="H4301" t="s">
        <v>17</v>
      </c>
      <c r="I4301">
        <f t="shared" si="202"/>
        <v>57600</v>
      </c>
      <c r="J4301">
        <f t="shared" si="203"/>
        <v>345600</v>
      </c>
    </row>
    <row r="4302" spans="1:10" x14ac:dyDescent="0.45">
      <c r="A4302" t="s">
        <v>2302</v>
      </c>
      <c r="B4302" s="1">
        <v>45961</v>
      </c>
      <c r="C4302" t="s">
        <v>9</v>
      </c>
      <c r="D4302" t="s">
        <v>19</v>
      </c>
      <c r="E4302">
        <v>3000</v>
      </c>
      <c r="F4302">
        <v>10</v>
      </c>
      <c r="G4302">
        <f t="shared" si="201"/>
        <v>30000</v>
      </c>
      <c r="H4302" t="s">
        <v>7</v>
      </c>
      <c r="I4302">
        <f t="shared" si="202"/>
        <v>3600</v>
      </c>
      <c r="J4302">
        <f t="shared" si="203"/>
        <v>36000</v>
      </c>
    </row>
    <row r="4303" spans="1:10" x14ac:dyDescent="0.45">
      <c r="A4303" t="s">
        <v>2303</v>
      </c>
      <c r="B4303" s="1">
        <v>45961</v>
      </c>
      <c r="C4303" t="s">
        <v>4007</v>
      </c>
      <c r="D4303" t="s">
        <v>39</v>
      </c>
      <c r="E4303">
        <v>6000</v>
      </c>
      <c r="F4303">
        <v>3</v>
      </c>
      <c r="G4303">
        <f t="shared" si="201"/>
        <v>18000</v>
      </c>
      <c r="H4303" t="s">
        <v>17</v>
      </c>
      <c r="I4303">
        <f t="shared" si="202"/>
        <v>7200</v>
      </c>
      <c r="J4303">
        <f t="shared" si="203"/>
        <v>21600</v>
      </c>
    </row>
    <row r="4304" spans="1:10" x14ac:dyDescent="0.45">
      <c r="A4304" t="s">
        <v>2304</v>
      </c>
      <c r="B4304" s="1">
        <v>45961</v>
      </c>
      <c r="C4304" t="s">
        <v>4007</v>
      </c>
      <c r="D4304" t="s">
        <v>4005</v>
      </c>
      <c r="E4304">
        <v>60000</v>
      </c>
      <c r="F4304">
        <v>3</v>
      </c>
      <c r="G4304">
        <f t="shared" si="201"/>
        <v>180000</v>
      </c>
      <c r="H4304" t="s">
        <v>17</v>
      </c>
      <c r="I4304">
        <f t="shared" si="202"/>
        <v>72000</v>
      </c>
      <c r="J4304">
        <f t="shared" si="203"/>
        <v>216000</v>
      </c>
    </row>
    <row r="4305" spans="1:10" x14ac:dyDescent="0.45">
      <c r="A4305" t="s">
        <v>2305</v>
      </c>
      <c r="B4305" s="1">
        <v>45961</v>
      </c>
      <c r="C4305" t="s">
        <v>4007</v>
      </c>
      <c r="D4305" t="s">
        <v>4005</v>
      </c>
      <c r="E4305">
        <v>60000</v>
      </c>
      <c r="F4305">
        <v>6</v>
      </c>
      <c r="G4305">
        <f t="shared" si="201"/>
        <v>360000</v>
      </c>
      <c r="H4305" t="s">
        <v>21</v>
      </c>
      <c r="I4305">
        <f t="shared" si="202"/>
        <v>72000</v>
      </c>
      <c r="J4305">
        <f t="shared" si="203"/>
        <v>432000</v>
      </c>
    </row>
    <row r="4306" spans="1:10" x14ac:dyDescent="0.45">
      <c r="A4306" t="s">
        <v>3384</v>
      </c>
      <c r="B4306" s="1">
        <v>45961</v>
      </c>
      <c r="C4306" t="s">
        <v>2772</v>
      </c>
      <c r="D4306" t="s">
        <v>2775</v>
      </c>
      <c r="E4306">
        <v>9100</v>
      </c>
      <c r="F4306">
        <v>9</v>
      </c>
      <c r="G4306">
        <f t="shared" si="201"/>
        <v>81900</v>
      </c>
      <c r="H4306" t="s">
        <v>21</v>
      </c>
      <c r="I4306">
        <f t="shared" si="202"/>
        <v>10920</v>
      </c>
      <c r="J4306">
        <f t="shared" si="203"/>
        <v>98280</v>
      </c>
    </row>
    <row r="4307" spans="1:10" x14ac:dyDescent="0.45">
      <c r="A4307" t="s">
        <v>3844</v>
      </c>
      <c r="B4307" s="1">
        <v>45961</v>
      </c>
      <c r="C4307" t="s">
        <v>4007</v>
      </c>
      <c r="D4307" t="s">
        <v>2774</v>
      </c>
      <c r="E4307">
        <v>1900</v>
      </c>
      <c r="F4307">
        <v>3</v>
      </c>
      <c r="G4307">
        <f t="shared" si="201"/>
        <v>5700</v>
      </c>
      <c r="H4307" t="s">
        <v>17</v>
      </c>
      <c r="I4307">
        <f t="shared" si="202"/>
        <v>2280</v>
      </c>
      <c r="J4307">
        <f t="shared" si="203"/>
        <v>6840</v>
      </c>
    </row>
    <row r="4308" spans="1:10" x14ac:dyDescent="0.45">
      <c r="A4308" t="s">
        <v>3896</v>
      </c>
      <c r="B4308" s="1">
        <v>45961</v>
      </c>
      <c r="C4308" t="s">
        <v>4007</v>
      </c>
      <c r="D4308" t="s">
        <v>5015</v>
      </c>
      <c r="E4308">
        <v>48000</v>
      </c>
      <c r="F4308">
        <v>2</v>
      </c>
      <c r="G4308">
        <f t="shared" si="201"/>
        <v>96000</v>
      </c>
      <c r="H4308" t="s">
        <v>7</v>
      </c>
      <c r="I4308">
        <f t="shared" si="202"/>
        <v>57600</v>
      </c>
      <c r="J4308">
        <f t="shared" si="203"/>
        <v>115200</v>
      </c>
    </row>
    <row r="4309" spans="1:10" x14ac:dyDescent="0.45">
      <c r="A4309" t="s">
        <v>2306</v>
      </c>
      <c r="B4309" s="1">
        <v>45962</v>
      </c>
      <c r="C4309" t="s">
        <v>4007</v>
      </c>
      <c r="D4309" t="s">
        <v>5015</v>
      </c>
      <c r="E4309">
        <v>48000</v>
      </c>
      <c r="F4309">
        <v>8</v>
      </c>
      <c r="G4309">
        <f t="shared" si="201"/>
        <v>384000</v>
      </c>
      <c r="H4309" t="s">
        <v>21</v>
      </c>
      <c r="I4309">
        <f t="shared" si="202"/>
        <v>57600</v>
      </c>
      <c r="J4309">
        <f t="shared" si="203"/>
        <v>460800</v>
      </c>
    </row>
    <row r="4310" spans="1:10" x14ac:dyDescent="0.45">
      <c r="A4310" t="s">
        <v>2307</v>
      </c>
      <c r="B4310" s="1">
        <v>45962</v>
      </c>
      <c r="C4310" t="s">
        <v>33</v>
      </c>
      <c r="D4310" t="s">
        <v>16</v>
      </c>
      <c r="E4310">
        <v>1200</v>
      </c>
      <c r="F4310">
        <v>4</v>
      </c>
      <c r="G4310">
        <f t="shared" si="201"/>
        <v>4800</v>
      </c>
      <c r="H4310" t="s">
        <v>17</v>
      </c>
      <c r="I4310">
        <f t="shared" si="202"/>
        <v>1440</v>
      </c>
      <c r="J4310">
        <f t="shared" si="203"/>
        <v>5760</v>
      </c>
    </row>
    <row r="4311" spans="1:10" x14ac:dyDescent="0.45">
      <c r="A4311" t="s">
        <v>2308</v>
      </c>
      <c r="B4311" s="1">
        <v>45962</v>
      </c>
      <c r="C4311" t="s">
        <v>12</v>
      </c>
      <c r="D4311" t="s">
        <v>5020</v>
      </c>
      <c r="E4311">
        <v>2880</v>
      </c>
      <c r="F4311">
        <v>4</v>
      </c>
      <c r="G4311">
        <f t="shared" si="201"/>
        <v>11520</v>
      </c>
      <c r="H4311" t="s">
        <v>21</v>
      </c>
      <c r="I4311">
        <f t="shared" si="202"/>
        <v>3456</v>
      </c>
      <c r="J4311">
        <f t="shared" si="203"/>
        <v>13824</v>
      </c>
    </row>
    <row r="4312" spans="1:10" x14ac:dyDescent="0.45">
      <c r="A4312" t="s">
        <v>2309</v>
      </c>
      <c r="B4312" s="1">
        <v>45962</v>
      </c>
      <c r="C4312" t="s">
        <v>4007</v>
      </c>
      <c r="D4312" t="s">
        <v>4005</v>
      </c>
      <c r="E4312">
        <v>60000</v>
      </c>
      <c r="F4312">
        <v>3</v>
      </c>
      <c r="G4312">
        <f t="shared" si="201"/>
        <v>180000</v>
      </c>
      <c r="H4312" t="s">
        <v>7</v>
      </c>
      <c r="I4312">
        <f t="shared" si="202"/>
        <v>72000</v>
      </c>
      <c r="J4312">
        <f t="shared" si="203"/>
        <v>216000</v>
      </c>
    </row>
    <row r="4313" spans="1:10" x14ac:dyDescent="0.45">
      <c r="A4313" t="s">
        <v>2310</v>
      </c>
      <c r="B4313" s="1">
        <v>45962</v>
      </c>
      <c r="C4313" t="s">
        <v>4007</v>
      </c>
      <c r="D4313" t="s">
        <v>39</v>
      </c>
      <c r="E4313">
        <v>6000</v>
      </c>
      <c r="F4313">
        <v>6</v>
      </c>
      <c r="G4313">
        <f t="shared" si="201"/>
        <v>36000</v>
      </c>
      <c r="H4313" t="s">
        <v>7</v>
      </c>
      <c r="I4313">
        <f t="shared" si="202"/>
        <v>7200</v>
      </c>
      <c r="J4313">
        <f t="shared" si="203"/>
        <v>43200</v>
      </c>
    </row>
    <row r="4314" spans="1:10" x14ac:dyDescent="0.45">
      <c r="A4314" t="s">
        <v>2932</v>
      </c>
      <c r="B4314" s="1">
        <v>45962</v>
      </c>
      <c r="C4314" t="s">
        <v>4007</v>
      </c>
      <c r="D4314" t="s">
        <v>28</v>
      </c>
      <c r="E4314">
        <v>500</v>
      </c>
      <c r="F4314">
        <v>6</v>
      </c>
      <c r="G4314">
        <f t="shared" si="201"/>
        <v>3000</v>
      </c>
      <c r="H4314" t="s">
        <v>17</v>
      </c>
      <c r="I4314">
        <f t="shared" si="202"/>
        <v>600</v>
      </c>
      <c r="J4314">
        <f t="shared" si="203"/>
        <v>3600</v>
      </c>
    </row>
    <row r="4315" spans="1:10" x14ac:dyDescent="0.45">
      <c r="A4315" t="s">
        <v>3031</v>
      </c>
      <c r="B4315" s="1">
        <v>45962</v>
      </c>
      <c r="C4315" t="s">
        <v>4007</v>
      </c>
      <c r="D4315" t="s">
        <v>2774</v>
      </c>
      <c r="E4315">
        <v>1900</v>
      </c>
      <c r="F4315">
        <v>10</v>
      </c>
      <c r="G4315">
        <f t="shared" si="201"/>
        <v>19000</v>
      </c>
      <c r="H4315" t="s">
        <v>17</v>
      </c>
      <c r="I4315">
        <f t="shared" si="202"/>
        <v>2280</v>
      </c>
      <c r="J4315">
        <f t="shared" si="203"/>
        <v>22800</v>
      </c>
    </row>
    <row r="4316" spans="1:10" x14ac:dyDescent="0.45">
      <c r="A4316" t="s">
        <v>3243</v>
      </c>
      <c r="B4316" s="1">
        <v>45962</v>
      </c>
      <c r="C4316" t="s">
        <v>4007</v>
      </c>
      <c r="D4316" t="s">
        <v>5015</v>
      </c>
      <c r="E4316">
        <v>48000</v>
      </c>
      <c r="F4316">
        <v>4</v>
      </c>
      <c r="G4316">
        <f t="shared" si="201"/>
        <v>192000</v>
      </c>
      <c r="H4316" t="s">
        <v>21</v>
      </c>
      <c r="I4316">
        <f t="shared" si="202"/>
        <v>57600</v>
      </c>
      <c r="J4316">
        <f t="shared" si="203"/>
        <v>230400</v>
      </c>
    </row>
    <row r="4317" spans="1:10" x14ac:dyDescent="0.45">
      <c r="A4317" t="s">
        <v>3701</v>
      </c>
      <c r="B4317" s="1">
        <v>45962</v>
      </c>
      <c r="C4317" t="s">
        <v>2772</v>
      </c>
      <c r="D4317" t="s">
        <v>2775</v>
      </c>
      <c r="E4317">
        <v>9100</v>
      </c>
      <c r="F4317">
        <v>5</v>
      </c>
      <c r="G4317">
        <f t="shared" si="201"/>
        <v>45500</v>
      </c>
      <c r="H4317" t="s">
        <v>21</v>
      </c>
      <c r="I4317">
        <f t="shared" si="202"/>
        <v>10920</v>
      </c>
      <c r="J4317">
        <f t="shared" si="203"/>
        <v>54600</v>
      </c>
    </row>
    <row r="4318" spans="1:10" x14ac:dyDescent="0.45">
      <c r="A4318" t="s">
        <v>2311</v>
      </c>
      <c r="B4318" s="1">
        <v>45963</v>
      </c>
      <c r="C4318" t="s">
        <v>33</v>
      </c>
      <c r="D4318" t="s">
        <v>42</v>
      </c>
      <c r="E4318">
        <v>6900</v>
      </c>
      <c r="F4318">
        <v>10</v>
      </c>
      <c r="G4318">
        <f t="shared" si="201"/>
        <v>69000</v>
      </c>
      <c r="H4318" t="s">
        <v>7</v>
      </c>
      <c r="I4318">
        <f t="shared" si="202"/>
        <v>8280</v>
      </c>
      <c r="J4318">
        <f t="shared" si="203"/>
        <v>82800</v>
      </c>
    </row>
    <row r="4319" spans="1:10" x14ac:dyDescent="0.45">
      <c r="A4319" t="s">
        <v>2312</v>
      </c>
      <c r="B4319" s="1">
        <v>45963</v>
      </c>
      <c r="C4319" t="s">
        <v>9</v>
      </c>
      <c r="D4319" t="s">
        <v>25</v>
      </c>
      <c r="E4319">
        <v>5200</v>
      </c>
      <c r="F4319">
        <v>9</v>
      </c>
      <c r="G4319">
        <f t="shared" si="201"/>
        <v>46800</v>
      </c>
      <c r="H4319" t="s">
        <v>7</v>
      </c>
      <c r="I4319">
        <f t="shared" si="202"/>
        <v>6240</v>
      </c>
      <c r="J4319">
        <f t="shared" si="203"/>
        <v>56160</v>
      </c>
    </row>
    <row r="4320" spans="1:10" x14ac:dyDescent="0.45">
      <c r="A4320" t="s">
        <v>2313</v>
      </c>
      <c r="B4320" s="1">
        <v>45963</v>
      </c>
      <c r="C4320" t="s">
        <v>9</v>
      </c>
      <c r="D4320" t="s">
        <v>19</v>
      </c>
      <c r="E4320">
        <v>3000</v>
      </c>
      <c r="F4320">
        <v>10</v>
      </c>
      <c r="G4320">
        <f t="shared" si="201"/>
        <v>30000</v>
      </c>
      <c r="H4320" t="s">
        <v>21</v>
      </c>
      <c r="I4320">
        <f t="shared" si="202"/>
        <v>3600</v>
      </c>
      <c r="J4320">
        <f t="shared" si="203"/>
        <v>36000</v>
      </c>
    </row>
    <row r="4321" spans="1:10" x14ac:dyDescent="0.45">
      <c r="A4321" t="s">
        <v>2314</v>
      </c>
      <c r="B4321" s="1">
        <v>45963</v>
      </c>
      <c r="C4321" t="s">
        <v>33</v>
      </c>
      <c r="D4321" t="s">
        <v>16</v>
      </c>
      <c r="E4321">
        <v>1200</v>
      </c>
      <c r="F4321">
        <v>7</v>
      </c>
      <c r="G4321">
        <f t="shared" si="201"/>
        <v>8400</v>
      </c>
      <c r="H4321" t="s">
        <v>17</v>
      </c>
      <c r="I4321">
        <f t="shared" si="202"/>
        <v>1440</v>
      </c>
      <c r="J4321">
        <f t="shared" si="203"/>
        <v>10080</v>
      </c>
    </row>
    <row r="4322" spans="1:10" x14ac:dyDescent="0.45">
      <c r="A4322" t="s">
        <v>2315</v>
      </c>
      <c r="B4322" s="1">
        <v>45963</v>
      </c>
      <c r="C4322" t="s">
        <v>12</v>
      </c>
      <c r="D4322" t="s">
        <v>5021</v>
      </c>
      <c r="E4322">
        <v>2880</v>
      </c>
      <c r="F4322">
        <v>6</v>
      </c>
      <c r="G4322">
        <f t="shared" si="201"/>
        <v>17280</v>
      </c>
      <c r="H4322" t="s">
        <v>21</v>
      </c>
      <c r="I4322">
        <f t="shared" si="202"/>
        <v>3456</v>
      </c>
      <c r="J4322">
        <f t="shared" si="203"/>
        <v>20736</v>
      </c>
    </row>
    <row r="4323" spans="1:10" x14ac:dyDescent="0.45">
      <c r="A4323" t="s">
        <v>2316</v>
      </c>
      <c r="B4323" s="1">
        <v>45963</v>
      </c>
      <c r="C4323" t="s">
        <v>4007</v>
      </c>
      <c r="D4323" t="s">
        <v>28</v>
      </c>
      <c r="E4323">
        <v>500</v>
      </c>
      <c r="F4323">
        <v>4</v>
      </c>
      <c r="G4323">
        <f t="shared" si="201"/>
        <v>2000</v>
      </c>
      <c r="H4323" t="s">
        <v>17</v>
      </c>
      <c r="I4323">
        <f t="shared" si="202"/>
        <v>600</v>
      </c>
      <c r="J4323">
        <f t="shared" si="203"/>
        <v>2400</v>
      </c>
    </row>
    <row r="4324" spans="1:10" x14ac:dyDescent="0.45">
      <c r="A4324" t="s">
        <v>2317</v>
      </c>
      <c r="B4324" s="1">
        <v>45963</v>
      </c>
      <c r="C4324" t="s">
        <v>12</v>
      </c>
      <c r="D4324" t="s">
        <v>5023</v>
      </c>
      <c r="E4324">
        <v>1750</v>
      </c>
      <c r="F4324">
        <v>5</v>
      </c>
      <c r="G4324">
        <f t="shared" si="201"/>
        <v>8750</v>
      </c>
      <c r="H4324" t="s">
        <v>7</v>
      </c>
      <c r="I4324">
        <f t="shared" si="202"/>
        <v>2100</v>
      </c>
      <c r="J4324">
        <f t="shared" si="203"/>
        <v>10500</v>
      </c>
    </row>
    <row r="4325" spans="1:10" x14ac:dyDescent="0.45">
      <c r="A4325" t="s">
        <v>2318</v>
      </c>
      <c r="B4325" s="1">
        <v>45963</v>
      </c>
      <c r="C4325" t="s">
        <v>12</v>
      </c>
      <c r="D4325" t="s">
        <v>5022</v>
      </c>
      <c r="E4325">
        <v>2880</v>
      </c>
      <c r="F4325">
        <v>9</v>
      </c>
      <c r="G4325">
        <f t="shared" si="201"/>
        <v>25920</v>
      </c>
      <c r="H4325" t="s">
        <v>17</v>
      </c>
      <c r="I4325">
        <f t="shared" si="202"/>
        <v>3456</v>
      </c>
      <c r="J4325">
        <f t="shared" si="203"/>
        <v>31104</v>
      </c>
    </row>
    <row r="4326" spans="1:10" x14ac:dyDescent="0.45">
      <c r="A4326" t="s">
        <v>2319</v>
      </c>
      <c r="B4326" s="1">
        <v>45963</v>
      </c>
      <c r="C4326" t="s">
        <v>9</v>
      </c>
      <c r="D4326" t="s">
        <v>10</v>
      </c>
      <c r="E4326">
        <v>400</v>
      </c>
      <c r="F4326">
        <v>7</v>
      </c>
      <c r="G4326">
        <f t="shared" si="201"/>
        <v>2800</v>
      </c>
      <c r="H4326" t="s">
        <v>17</v>
      </c>
      <c r="I4326">
        <f t="shared" si="202"/>
        <v>480</v>
      </c>
      <c r="J4326">
        <f t="shared" si="203"/>
        <v>3360</v>
      </c>
    </row>
    <row r="4327" spans="1:10" x14ac:dyDescent="0.45">
      <c r="A4327" t="s">
        <v>2320</v>
      </c>
      <c r="B4327" s="1">
        <v>45963</v>
      </c>
      <c r="C4327" t="s">
        <v>9</v>
      </c>
      <c r="D4327" t="s">
        <v>25</v>
      </c>
      <c r="E4327">
        <v>5200</v>
      </c>
      <c r="F4327">
        <v>1</v>
      </c>
      <c r="G4327">
        <f t="shared" si="201"/>
        <v>5200</v>
      </c>
      <c r="H4327" t="s">
        <v>17</v>
      </c>
      <c r="I4327">
        <f t="shared" si="202"/>
        <v>6240</v>
      </c>
      <c r="J4327">
        <f t="shared" si="203"/>
        <v>6240</v>
      </c>
    </row>
    <row r="4328" spans="1:10" x14ac:dyDescent="0.45">
      <c r="A4328" t="s">
        <v>2787</v>
      </c>
      <c r="B4328" s="1">
        <v>45963</v>
      </c>
      <c r="C4328" t="s">
        <v>4007</v>
      </c>
      <c r="D4328" t="s">
        <v>5015</v>
      </c>
      <c r="E4328">
        <v>48000</v>
      </c>
      <c r="F4328">
        <v>8</v>
      </c>
      <c r="G4328">
        <f t="shared" si="201"/>
        <v>384000</v>
      </c>
      <c r="H4328" t="s">
        <v>17</v>
      </c>
      <c r="I4328">
        <f t="shared" si="202"/>
        <v>57600</v>
      </c>
      <c r="J4328">
        <f t="shared" si="203"/>
        <v>460800</v>
      </c>
    </row>
    <row r="4329" spans="1:10" x14ac:dyDescent="0.45">
      <c r="A4329" t="s">
        <v>2840</v>
      </c>
      <c r="B4329" s="1">
        <v>45963</v>
      </c>
      <c r="C4329" t="s">
        <v>4007</v>
      </c>
      <c r="D4329" t="s">
        <v>2770</v>
      </c>
      <c r="E4329">
        <v>600</v>
      </c>
      <c r="F4329">
        <v>5</v>
      </c>
      <c r="G4329">
        <f t="shared" si="201"/>
        <v>3000</v>
      </c>
      <c r="H4329" t="s">
        <v>21</v>
      </c>
      <c r="I4329">
        <f t="shared" si="202"/>
        <v>720</v>
      </c>
      <c r="J4329">
        <f t="shared" si="203"/>
        <v>3600</v>
      </c>
    </row>
    <row r="4330" spans="1:10" x14ac:dyDescent="0.45">
      <c r="A4330" t="s">
        <v>3524</v>
      </c>
      <c r="B4330" s="1">
        <v>45963</v>
      </c>
      <c r="C4330" t="s">
        <v>4007</v>
      </c>
      <c r="D4330" t="s">
        <v>2774</v>
      </c>
      <c r="E4330">
        <v>1900</v>
      </c>
      <c r="F4330">
        <v>5</v>
      </c>
      <c r="G4330">
        <f t="shared" si="201"/>
        <v>9500</v>
      </c>
      <c r="H4330" t="s">
        <v>7</v>
      </c>
      <c r="I4330">
        <f t="shared" si="202"/>
        <v>2280</v>
      </c>
      <c r="J4330">
        <f t="shared" si="203"/>
        <v>11400</v>
      </c>
    </row>
    <row r="4331" spans="1:10" x14ac:dyDescent="0.45">
      <c r="A4331" t="s">
        <v>3808</v>
      </c>
      <c r="B4331" s="1">
        <v>45963</v>
      </c>
      <c r="C4331" t="s">
        <v>33</v>
      </c>
      <c r="D4331" t="s">
        <v>14</v>
      </c>
      <c r="E4331">
        <v>800</v>
      </c>
      <c r="F4331">
        <v>9</v>
      </c>
      <c r="G4331">
        <f t="shared" si="201"/>
        <v>7200</v>
      </c>
      <c r="H4331" t="s">
        <v>7</v>
      </c>
      <c r="I4331">
        <f t="shared" si="202"/>
        <v>960</v>
      </c>
      <c r="J4331">
        <f t="shared" si="203"/>
        <v>8640</v>
      </c>
    </row>
    <row r="4332" spans="1:10" x14ac:dyDescent="0.45">
      <c r="A4332" t="s">
        <v>2321</v>
      </c>
      <c r="B4332" s="1">
        <v>45964</v>
      </c>
      <c r="C4332" t="s">
        <v>33</v>
      </c>
      <c r="D4332" t="s">
        <v>16</v>
      </c>
      <c r="E4332">
        <v>1200</v>
      </c>
      <c r="F4332">
        <v>7</v>
      </c>
      <c r="G4332">
        <f t="shared" si="201"/>
        <v>8400</v>
      </c>
      <c r="H4332" t="s">
        <v>17</v>
      </c>
      <c r="I4332">
        <f t="shared" si="202"/>
        <v>1440</v>
      </c>
      <c r="J4332">
        <f t="shared" si="203"/>
        <v>10080</v>
      </c>
    </row>
    <row r="4333" spans="1:10" x14ac:dyDescent="0.45">
      <c r="A4333" t="s">
        <v>2322</v>
      </c>
      <c r="B4333" s="1">
        <v>45964</v>
      </c>
      <c r="C4333" t="s">
        <v>33</v>
      </c>
      <c r="D4333" t="s">
        <v>14</v>
      </c>
      <c r="E4333">
        <v>800</v>
      </c>
      <c r="F4333">
        <v>4</v>
      </c>
      <c r="G4333">
        <f t="shared" si="201"/>
        <v>3200</v>
      </c>
      <c r="H4333" t="s">
        <v>21</v>
      </c>
      <c r="I4333">
        <f t="shared" si="202"/>
        <v>960</v>
      </c>
      <c r="J4333">
        <f t="shared" si="203"/>
        <v>3840</v>
      </c>
    </row>
    <row r="4334" spans="1:10" x14ac:dyDescent="0.45">
      <c r="A4334" t="s">
        <v>2323</v>
      </c>
      <c r="B4334" s="1">
        <v>45964</v>
      </c>
      <c r="C4334" t="s">
        <v>33</v>
      </c>
      <c r="D4334" t="s">
        <v>16</v>
      </c>
      <c r="E4334">
        <v>1200</v>
      </c>
      <c r="F4334">
        <v>10</v>
      </c>
      <c r="G4334">
        <f t="shared" si="201"/>
        <v>12000</v>
      </c>
      <c r="H4334" t="s">
        <v>17</v>
      </c>
      <c r="I4334">
        <f t="shared" si="202"/>
        <v>1440</v>
      </c>
      <c r="J4334">
        <f t="shared" si="203"/>
        <v>14400</v>
      </c>
    </row>
    <row r="4335" spans="1:10" x14ac:dyDescent="0.45">
      <c r="A4335" t="s">
        <v>2324</v>
      </c>
      <c r="B4335" s="1">
        <v>45964</v>
      </c>
      <c r="C4335" t="s">
        <v>4007</v>
      </c>
      <c r="D4335" t="s">
        <v>4005</v>
      </c>
      <c r="E4335">
        <v>60000</v>
      </c>
      <c r="F4335">
        <v>8</v>
      </c>
      <c r="G4335">
        <f t="shared" si="201"/>
        <v>480000</v>
      </c>
      <c r="H4335" t="s">
        <v>17</v>
      </c>
      <c r="I4335">
        <f t="shared" si="202"/>
        <v>72000</v>
      </c>
      <c r="J4335">
        <f t="shared" si="203"/>
        <v>576000</v>
      </c>
    </row>
    <row r="4336" spans="1:10" x14ac:dyDescent="0.45">
      <c r="A4336" t="s">
        <v>2325</v>
      </c>
      <c r="B4336" s="1">
        <v>45964</v>
      </c>
      <c r="C4336" t="s">
        <v>9</v>
      </c>
      <c r="D4336" t="s">
        <v>10</v>
      </c>
      <c r="E4336">
        <v>400</v>
      </c>
      <c r="F4336">
        <v>8</v>
      </c>
      <c r="G4336">
        <f t="shared" si="201"/>
        <v>3200</v>
      </c>
      <c r="H4336" t="s">
        <v>7</v>
      </c>
      <c r="I4336">
        <f t="shared" si="202"/>
        <v>480</v>
      </c>
      <c r="J4336">
        <f t="shared" si="203"/>
        <v>3840</v>
      </c>
    </row>
    <row r="4337" spans="1:10" x14ac:dyDescent="0.45">
      <c r="A4337" t="s">
        <v>2326</v>
      </c>
      <c r="B4337" s="1">
        <v>45964</v>
      </c>
      <c r="C4337" t="s">
        <v>4007</v>
      </c>
      <c r="D4337" t="s">
        <v>4005</v>
      </c>
      <c r="E4337">
        <v>60000</v>
      </c>
      <c r="F4337">
        <v>10</v>
      </c>
      <c r="G4337">
        <f t="shared" si="201"/>
        <v>600000</v>
      </c>
      <c r="H4337" t="s">
        <v>21</v>
      </c>
      <c r="I4337">
        <f t="shared" si="202"/>
        <v>72000</v>
      </c>
      <c r="J4337">
        <f t="shared" si="203"/>
        <v>720000</v>
      </c>
    </row>
    <row r="4338" spans="1:10" x14ac:dyDescent="0.45">
      <c r="A4338" t="s">
        <v>2327</v>
      </c>
      <c r="B4338" s="1">
        <v>45964</v>
      </c>
      <c r="C4338" t="s">
        <v>4007</v>
      </c>
      <c r="D4338" t="s">
        <v>28</v>
      </c>
      <c r="E4338">
        <v>500</v>
      </c>
      <c r="F4338">
        <v>10</v>
      </c>
      <c r="G4338">
        <f t="shared" si="201"/>
        <v>5000</v>
      </c>
      <c r="H4338" t="s">
        <v>7</v>
      </c>
      <c r="I4338">
        <f t="shared" si="202"/>
        <v>600</v>
      </c>
      <c r="J4338">
        <f t="shared" si="203"/>
        <v>6000</v>
      </c>
    </row>
    <row r="4339" spans="1:10" x14ac:dyDescent="0.45">
      <c r="A4339" t="s">
        <v>2328</v>
      </c>
      <c r="B4339" s="1">
        <v>45964</v>
      </c>
      <c r="C4339" t="s">
        <v>12</v>
      </c>
      <c r="D4339" t="s">
        <v>5022</v>
      </c>
      <c r="E4339">
        <v>2880</v>
      </c>
      <c r="F4339">
        <v>3</v>
      </c>
      <c r="G4339">
        <f t="shared" si="201"/>
        <v>8640</v>
      </c>
      <c r="H4339" t="s">
        <v>7</v>
      </c>
      <c r="I4339">
        <f t="shared" si="202"/>
        <v>3456</v>
      </c>
      <c r="J4339">
        <f t="shared" si="203"/>
        <v>10368</v>
      </c>
    </row>
    <row r="4340" spans="1:10" x14ac:dyDescent="0.45">
      <c r="A4340" t="s">
        <v>3121</v>
      </c>
      <c r="B4340" s="1">
        <v>45964</v>
      </c>
      <c r="C4340" t="s">
        <v>4007</v>
      </c>
      <c r="D4340" t="s">
        <v>2770</v>
      </c>
      <c r="E4340">
        <v>600</v>
      </c>
      <c r="F4340">
        <v>3</v>
      </c>
      <c r="G4340">
        <f t="shared" si="201"/>
        <v>1800</v>
      </c>
      <c r="H4340" t="s">
        <v>7</v>
      </c>
      <c r="I4340">
        <f t="shared" si="202"/>
        <v>720</v>
      </c>
      <c r="J4340">
        <f t="shared" si="203"/>
        <v>2160</v>
      </c>
    </row>
    <row r="4341" spans="1:10" x14ac:dyDescent="0.45">
      <c r="A4341" t="s">
        <v>3660</v>
      </c>
      <c r="B4341" s="1">
        <v>45964</v>
      </c>
      <c r="C4341" t="s">
        <v>33</v>
      </c>
      <c r="D4341" t="s">
        <v>14</v>
      </c>
      <c r="E4341">
        <v>800</v>
      </c>
      <c r="F4341">
        <v>6</v>
      </c>
      <c r="G4341">
        <f t="shared" si="201"/>
        <v>4800</v>
      </c>
      <c r="H4341" t="s">
        <v>17</v>
      </c>
      <c r="I4341">
        <f t="shared" si="202"/>
        <v>960</v>
      </c>
      <c r="J4341">
        <f t="shared" si="203"/>
        <v>5760</v>
      </c>
    </row>
    <row r="4342" spans="1:10" x14ac:dyDescent="0.45">
      <c r="A4342" t="s">
        <v>2329</v>
      </c>
      <c r="B4342" s="1">
        <v>45965</v>
      </c>
      <c r="C4342" t="s">
        <v>4007</v>
      </c>
      <c r="D4342" t="s">
        <v>28</v>
      </c>
      <c r="E4342">
        <v>500</v>
      </c>
      <c r="F4342">
        <v>9</v>
      </c>
      <c r="G4342">
        <f t="shared" si="201"/>
        <v>4500</v>
      </c>
      <c r="H4342" t="s">
        <v>7</v>
      </c>
      <c r="I4342">
        <f t="shared" si="202"/>
        <v>600</v>
      </c>
      <c r="J4342">
        <f t="shared" si="203"/>
        <v>5400</v>
      </c>
    </row>
    <row r="4343" spans="1:10" x14ac:dyDescent="0.45">
      <c r="A4343" t="s">
        <v>2330</v>
      </c>
      <c r="B4343" s="1">
        <v>45965</v>
      </c>
      <c r="C4343" t="s">
        <v>4007</v>
      </c>
      <c r="D4343" t="s">
        <v>28</v>
      </c>
      <c r="E4343">
        <v>500</v>
      </c>
      <c r="F4343">
        <v>2</v>
      </c>
      <c r="G4343">
        <f t="shared" si="201"/>
        <v>1000</v>
      </c>
      <c r="H4343" t="s">
        <v>17</v>
      </c>
      <c r="I4343">
        <f t="shared" si="202"/>
        <v>600</v>
      </c>
      <c r="J4343">
        <f t="shared" si="203"/>
        <v>1200</v>
      </c>
    </row>
    <row r="4344" spans="1:10" x14ac:dyDescent="0.45">
      <c r="A4344" t="s">
        <v>2331</v>
      </c>
      <c r="B4344" s="1">
        <v>45965</v>
      </c>
      <c r="C4344" t="s">
        <v>9</v>
      </c>
      <c r="D4344" t="s">
        <v>25</v>
      </c>
      <c r="E4344">
        <v>5200</v>
      </c>
      <c r="F4344">
        <v>1</v>
      </c>
      <c r="G4344">
        <f t="shared" si="201"/>
        <v>5200</v>
      </c>
      <c r="H4344" t="s">
        <v>21</v>
      </c>
      <c r="I4344">
        <f t="shared" si="202"/>
        <v>6240</v>
      </c>
      <c r="J4344">
        <f t="shared" si="203"/>
        <v>6240</v>
      </c>
    </row>
    <row r="4345" spans="1:10" x14ac:dyDescent="0.45">
      <c r="A4345" t="s">
        <v>2332</v>
      </c>
      <c r="B4345" s="1">
        <v>45965</v>
      </c>
      <c r="C4345" t="s">
        <v>4007</v>
      </c>
      <c r="D4345" t="s">
        <v>28</v>
      </c>
      <c r="E4345">
        <v>500</v>
      </c>
      <c r="F4345">
        <v>5</v>
      </c>
      <c r="G4345">
        <f t="shared" si="201"/>
        <v>2500</v>
      </c>
      <c r="H4345" t="s">
        <v>7</v>
      </c>
      <c r="I4345">
        <f t="shared" si="202"/>
        <v>600</v>
      </c>
      <c r="J4345">
        <f t="shared" si="203"/>
        <v>3000</v>
      </c>
    </row>
    <row r="4346" spans="1:10" x14ac:dyDescent="0.45">
      <c r="A4346" t="s">
        <v>2333</v>
      </c>
      <c r="B4346" s="1">
        <v>45965</v>
      </c>
      <c r="C4346" t="s">
        <v>9</v>
      </c>
      <c r="D4346" t="s">
        <v>19</v>
      </c>
      <c r="E4346">
        <v>3000</v>
      </c>
      <c r="F4346">
        <v>1</v>
      </c>
      <c r="G4346">
        <f t="shared" si="201"/>
        <v>3000</v>
      </c>
      <c r="H4346" t="s">
        <v>7</v>
      </c>
      <c r="I4346">
        <f t="shared" si="202"/>
        <v>3600</v>
      </c>
      <c r="J4346">
        <f t="shared" si="203"/>
        <v>3600</v>
      </c>
    </row>
    <row r="4347" spans="1:10" x14ac:dyDescent="0.45">
      <c r="A4347" t="s">
        <v>2334</v>
      </c>
      <c r="B4347" s="1">
        <v>45965</v>
      </c>
      <c r="C4347" t="s">
        <v>9</v>
      </c>
      <c r="D4347" t="s">
        <v>25</v>
      </c>
      <c r="E4347">
        <v>5200</v>
      </c>
      <c r="F4347">
        <v>8</v>
      </c>
      <c r="G4347">
        <f t="shared" si="201"/>
        <v>41600</v>
      </c>
      <c r="H4347" t="s">
        <v>7</v>
      </c>
      <c r="I4347">
        <f t="shared" si="202"/>
        <v>6240</v>
      </c>
      <c r="J4347">
        <f t="shared" si="203"/>
        <v>49920</v>
      </c>
    </row>
    <row r="4348" spans="1:10" x14ac:dyDescent="0.45">
      <c r="A4348" t="s">
        <v>2335</v>
      </c>
      <c r="B4348" s="1">
        <v>45965</v>
      </c>
      <c r="C4348" t="s">
        <v>33</v>
      </c>
      <c r="D4348" t="s">
        <v>16</v>
      </c>
      <c r="E4348">
        <v>1200</v>
      </c>
      <c r="F4348">
        <v>4</v>
      </c>
      <c r="G4348">
        <f t="shared" si="201"/>
        <v>4800</v>
      </c>
      <c r="H4348" t="s">
        <v>17</v>
      </c>
      <c r="I4348">
        <f t="shared" si="202"/>
        <v>1440</v>
      </c>
      <c r="J4348">
        <f t="shared" si="203"/>
        <v>5760</v>
      </c>
    </row>
    <row r="4349" spans="1:10" x14ac:dyDescent="0.45">
      <c r="A4349" t="s">
        <v>2336</v>
      </c>
      <c r="B4349" s="1">
        <v>45965</v>
      </c>
      <c r="C4349" t="s">
        <v>4007</v>
      </c>
      <c r="D4349" t="s">
        <v>5015</v>
      </c>
      <c r="E4349">
        <v>48000</v>
      </c>
      <c r="F4349">
        <v>7</v>
      </c>
      <c r="G4349">
        <f t="shared" si="201"/>
        <v>336000</v>
      </c>
      <c r="H4349" t="s">
        <v>7</v>
      </c>
      <c r="I4349">
        <f t="shared" si="202"/>
        <v>57600</v>
      </c>
      <c r="J4349">
        <f t="shared" si="203"/>
        <v>403200</v>
      </c>
    </row>
    <row r="4350" spans="1:10" x14ac:dyDescent="0.45">
      <c r="A4350" t="s">
        <v>2337</v>
      </c>
      <c r="B4350" s="1">
        <v>45965</v>
      </c>
      <c r="C4350" t="s">
        <v>9</v>
      </c>
      <c r="D4350" t="s">
        <v>25</v>
      </c>
      <c r="E4350">
        <v>5200</v>
      </c>
      <c r="F4350">
        <v>5</v>
      </c>
      <c r="G4350">
        <f t="shared" si="201"/>
        <v>26000</v>
      </c>
      <c r="H4350" t="s">
        <v>7</v>
      </c>
      <c r="I4350">
        <f t="shared" si="202"/>
        <v>6240</v>
      </c>
      <c r="J4350">
        <f t="shared" si="203"/>
        <v>31200</v>
      </c>
    </row>
    <row r="4351" spans="1:10" x14ac:dyDescent="0.45">
      <c r="A4351" t="s">
        <v>2338</v>
      </c>
      <c r="B4351" s="1">
        <v>45965</v>
      </c>
      <c r="C4351" t="s">
        <v>33</v>
      </c>
      <c r="D4351" t="s">
        <v>14</v>
      </c>
      <c r="E4351">
        <v>800</v>
      </c>
      <c r="F4351">
        <v>2</v>
      </c>
      <c r="G4351">
        <f t="shared" si="201"/>
        <v>1600</v>
      </c>
      <c r="H4351" t="s">
        <v>17</v>
      </c>
      <c r="I4351">
        <f t="shared" si="202"/>
        <v>960</v>
      </c>
      <c r="J4351">
        <f t="shared" si="203"/>
        <v>1920</v>
      </c>
    </row>
    <row r="4352" spans="1:10" x14ac:dyDescent="0.45">
      <c r="A4352" t="s">
        <v>2339</v>
      </c>
      <c r="B4352" s="1">
        <v>45966</v>
      </c>
      <c r="C4352" t="s">
        <v>33</v>
      </c>
      <c r="D4352" t="s">
        <v>42</v>
      </c>
      <c r="E4352">
        <v>6900</v>
      </c>
      <c r="F4352">
        <v>9</v>
      </c>
      <c r="G4352">
        <f t="shared" si="201"/>
        <v>62100</v>
      </c>
      <c r="H4352" t="s">
        <v>17</v>
      </c>
      <c r="I4352">
        <f t="shared" si="202"/>
        <v>8280</v>
      </c>
      <c r="J4352">
        <f t="shared" si="203"/>
        <v>74520</v>
      </c>
    </row>
    <row r="4353" spans="1:10" x14ac:dyDescent="0.45">
      <c r="A4353" t="s">
        <v>2340</v>
      </c>
      <c r="B4353" s="1">
        <v>45966</v>
      </c>
      <c r="C4353" t="s">
        <v>9</v>
      </c>
      <c r="D4353" t="s">
        <v>25</v>
      </c>
      <c r="E4353">
        <v>5200</v>
      </c>
      <c r="F4353">
        <v>7</v>
      </c>
      <c r="G4353">
        <f t="shared" si="201"/>
        <v>36400</v>
      </c>
      <c r="H4353" t="s">
        <v>17</v>
      </c>
      <c r="I4353">
        <f t="shared" si="202"/>
        <v>6240</v>
      </c>
      <c r="J4353">
        <f t="shared" si="203"/>
        <v>43680</v>
      </c>
    </row>
    <row r="4354" spans="1:10" x14ac:dyDescent="0.45">
      <c r="A4354" t="s">
        <v>2341</v>
      </c>
      <c r="B4354" s="1">
        <v>45966</v>
      </c>
      <c r="C4354" t="s">
        <v>4007</v>
      </c>
      <c r="D4354" t="s">
        <v>39</v>
      </c>
      <c r="E4354">
        <v>6000</v>
      </c>
      <c r="F4354">
        <v>2</v>
      </c>
      <c r="G4354">
        <f t="shared" ref="G4354:G4417" si="204">E4354*F4354</f>
        <v>12000</v>
      </c>
      <c r="H4354" t="s">
        <v>21</v>
      </c>
      <c r="I4354">
        <f t="shared" ref="I4354:I4417" si="205">E4354*1.2</f>
        <v>7200</v>
      </c>
      <c r="J4354">
        <f t="shared" ref="J4354:J4417" si="206">I4354*F4354</f>
        <v>14400</v>
      </c>
    </row>
    <row r="4355" spans="1:10" x14ac:dyDescent="0.45">
      <c r="A4355" t="s">
        <v>2342</v>
      </c>
      <c r="B4355" s="1">
        <v>45966</v>
      </c>
      <c r="C4355" t="s">
        <v>4007</v>
      </c>
      <c r="D4355" t="s">
        <v>4005</v>
      </c>
      <c r="E4355">
        <v>60000</v>
      </c>
      <c r="F4355">
        <v>3</v>
      </c>
      <c r="G4355">
        <f t="shared" si="204"/>
        <v>180000</v>
      </c>
      <c r="H4355" t="s">
        <v>21</v>
      </c>
      <c r="I4355">
        <f t="shared" si="205"/>
        <v>72000</v>
      </c>
      <c r="J4355">
        <f t="shared" si="206"/>
        <v>216000</v>
      </c>
    </row>
    <row r="4356" spans="1:10" x14ac:dyDescent="0.45">
      <c r="A4356" t="s">
        <v>2343</v>
      </c>
      <c r="B4356" s="1">
        <v>45966</v>
      </c>
      <c r="C4356" t="s">
        <v>9</v>
      </c>
      <c r="D4356" t="s">
        <v>19</v>
      </c>
      <c r="E4356">
        <v>3000</v>
      </c>
      <c r="F4356">
        <v>1</v>
      </c>
      <c r="G4356">
        <f t="shared" si="204"/>
        <v>3000</v>
      </c>
      <c r="H4356" t="s">
        <v>21</v>
      </c>
      <c r="I4356">
        <f t="shared" si="205"/>
        <v>3600</v>
      </c>
      <c r="J4356">
        <f t="shared" si="206"/>
        <v>3600</v>
      </c>
    </row>
    <row r="4357" spans="1:10" x14ac:dyDescent="0.45">
      <c r="A4357" t="s">
        <v>2344</v>
      </c>
      <c r="B4357" s="1">
        <v>45966</v>
      </c>
      <c r="C4357" t="s">
        <v>33</v>
      </c>
      <c r="D4357" t="s">
        <v>14</v>
      </c>
      <c r="E4357">
        <v>800</v>
      </c>
      <c r="F4357">
        <v>3</v>
      </c>
      <c r="G4357">
        <f t="shared" si="204"/>
        <v>2400</v>
      </c>
      <c r="H4357" t="s">
        <v>7</v>
      </c>
      <c r="I4357">
        <f t="shared" si="205"/>
        <v>960</v>
      </c>
      <c r="J4357">
        <f t="shared" si="206"/>
        <v>2880</v>
      </c>
    </row>
    <row r="4358" spans="1:10" x14ac:dyDescent="0.45">
      <c r="A4358" t="s">
        <v>2345</v>
      </c>
      <c r="B4358" s="1">
        <v>45966</v>
      </c>
      <c r="C4358" t="s">
        <v>12</v>
      </c>
      <c r="D4358" t="s">
        <v>5022</v>
      </c>
      <c r="E4358">
        <v>2880</v>
      </c>
      <c r="F4358">
        <v>9</v>
      </c>
      <c r="G4358">
        <f t="shared" si="204"/>
        <v>25920</v>
      </c>
      <c r="H4358" t="s">
        <v>17</v>
      </c>
      <c r="I4358">
        <f t="shared" si="205"/>
        <v>3456</v>
      </c>
      <c r="J4358">
        <f t="shared" si="206"/>
        <v>31104</v>
      </c>
    </row>
    <row r="4359" spans="1:10" x14ac:dyDescent="0.45">
      <c r="A4359" t="s">
        <v>2346</v>
      </c>
      <c r="B4359" s="1">
        <v>45966</v>
      </c>
      <c r="C4359" t="s">
        <v>9</v>
      </c>
      <c r="D4359" t="s">
        <v>19</v>
      </c>
      <c r="E4359">
        <v>3000</v>
      </c>
      <c r="F4359">
        <v>7</v>
      </c>
      <c r="G4359">
        <f t="shared" si="204"/>
        <v>21000</v>
      </c>
      <c r="H4359" t="s">
        <v>7</v>
      </c>
      <c r="I4359">
        <f t="shared" si="205"/>
        <v>3600</v>
      </c>
      <c r="J4359">
        <f t="shared" si="206"/>
        <v>25200</v>
      </c>
    </row>
    <row r="4360" spans="1:10" x14ac:dyDescent="0.45">
      <c r="A4360" t="s">
        <v>2877</v>
      </c>
      <c r="B4360" s="1">
        <v>45966</v>
      </c>
      <c r="C4360" t="s">
        <v>4007</v>
      </c>
      <c r="D4360" t="s">
        <v>28</v>
      </c>
      <c r="E4360">
        <v>500</v>
      </c>
      <c r="F4360">
        <v>6</v>
      </c>
      <c r="G4360">
        <f t="shared" si="204"/>
        <v>3000</v>
      </c>
      <c r="H4360" t="s">
        <v>17</v>
      </c>
      <c r="I4360">
        <f t="shared" si="205"/>
        <v>600</v>
      </c>
      <c r="J4360">
        <f t="shared" si="206"/>
        <v>3600</v>
      </c>
    </row>
    <row r="4361" spans="1:10" x14ac:dyDescent="0.45">
      <c r="A4361" t="s">
        <v>2989</v>
      </c>
      <c r="B4361" s="1">
        <v>45966</v>
      </c>
      <c r="C4361" t="s">
        <v>4007</v>
      </c>
      <c r="D4361" t="s">
        <v>28</v>
      </c>
      <c r="E4361">
        <v>500</v>
      </c>
      <c r="F4361">
        <v>4</v>
      </c>
      <c r="G4361">
        <f t="shared" si="204"/>
        <v>2000</v>
      </c>
      <c r="H4361" t="s">
        <v>21</v>
      </c>
      <c r="I4361">
        <f t="shared" si="205"/>
        <v>600</v>
      </c>
      <c r="J4361">
        <f t="shared" si="206"/>
        <v>2400</v>
      </c>
    </row>
    <row r="4362" spans="1:10" x14ac:dyDescent="0.45">
      <c r="A4362" t="s">
        <v>3334</v>
      </c>
      <c r="B4362" s="1">
        <v>45966</v>
      </c>
      <c r="C4362" t="s">
        <v>4007</v>
      </c>
      <c r="D4362" t="s">
        <v>2774</v>
      </c>
      <c r="E4362">
        <v>1900</v>
      </c>
      <c r="F4362">
        <v>9</v>
      </c>
      <c r="G4362">
        <f t="shared" si="204"/>
        <v>17100</v>
      </c>
      <c r="H4362" t="s">
        <v>21</v>
      </c>
      <c r="I4362">
        <f t="shared" si="205"/>
        <v>2280</v>
      </c>
      <c r="J4362">
        <f t="shared" si="206"/>
        <v>20520</v>
      </c>
    </row>
    <row r="4363" spans="1:10" x14ac:dyDescent="0.45">
      <c r="A4363" t="s">
        <v>3487</v>
      </c>
      <c r="B4363" s="1">
        <v>45966</v>
      </c>
      <c r="C4363" t="s">
        <v>2772</v>
      </c>
      <c r="D4363" t="s">
        <v>2771</v>
      </c>
      <c r="E4363">
        <v>120</v>
      </c>
      <c r="F4363">
        <v>3</v>
      </c>
      <c r="G4363">
        <f t="shared" si="204"/>
        <v>360</v>
      </c>
      <c r="H4363" t="s">
        <v>17</v>
      </c>
      <c r="I4363">
        <f t="shared" si="205"/>
        <v>144</v>
      </c>
      <c r="J4363">
        <f t="shared" si="206"/>
        <v>432</v>
      </c>
    </row>
    <row r="4364" spans="1:10" x14ac:dyDescent="0.45">
      <c r="A4364" t="s">
        <v>3899</v>
      </c>
      <c r="B4364" s="1">
        <v>45966</v>
      </c>
      <c r="C4364" t="s">
        <v>2772</v>
      </c>
      <c r="D4364" t="s">
        <v>2771</v>
      </c>
      <c r="E4364">
        <v>120</v>
      </c>
      <c r="F4364">
        <v>4</v>
      </c>
      <c r="G4364">
        <f t="shared" si="204"/>
        <v>480</v>
      </c>
      <c r="H4364" t="s">
        <v>7</v>
      </c>
      <c r="I4364">
        <f t="shared" si="205"/>
        <v>144</v>
      </c>
      <c r="J4364">
        <f t="shared" si="206"/>
        <v>576</v>
      </c>
    </row>
    <row r="4365" spans="1:10" x14ac:dyDescent="0.45">
      <c r="A4365" t="s">
        <v>2347</v>
      </c>
      <c r="B4365" s="1">
        <v>45967</v>
      </c>
      <c r="C4365" t="s">
        <v>4007</v>
      </c>
      <c r="D4365" t="s">
        <v>28</v>
      </c>
      <c r="E4365">
        <v>500</v>
      </c>
      <c r="F4365">
        <v>7</v>
      </c>
      <c r="G4365">
        <f t="shared" si="204"/>
        <v>3500</v>
      </c>
      <c r="H4365" t="s">
        <v>21</v>
      </c>
      <c r="I4365">
        <f t="shared" si="205"/>
        <v>600</v>
      </c>
      <c r="J4365">
        <f t="shared" si="206"/>
        <v>4200</v>
      </c>
    </row>
    <row r="4366" spans="1:10" x14ac:dyDescent="0.45">
      <c r="A4366" t="s">
        <v>2348</v>
      </c>
      <c r="B4366" s="1">
        <v>45967</v>
      </c>
      <c r="C4366" t="s">
        <v>4007</v>
      </c>
      <c r="D4366" t="s">
        <v>4005</v>
      </c>
      <c r="E4366">
        <v>60000</v>
      </c>
      <c r="F4366">
        <v>4</v>
      </c>
      <c r="G4366">
        <f t="shared" si="204"/>
        <v>240000</v>
      </c>
      <c r="H4366" t="s">
        <v>7</v>
      </c>
      <c r="I4366">
        <f t="shared" si="205"/>
        <v>72000</v>
      </c>
      <c r="J4366">
        <f t="shared" si="206"/>
        <v>288000</v>
      </c>
    </row>
    <row r="4367" spans="1:10" x14ac:dyDescent="0.45">
      <c r="A4367" t="s">
        <v>2349</v>
      </c>
      <c r="B4367" s="1">
        <v>45967</v>
      </c>
      <c r="C4367" t="s">
        <v>4007</v>
      </c>
      <c r="D4367" t="s">
        <v>5015</v>
      </c>
      <c r="E4367">
        <v>48000</v>
      </c>
      <c r="F4367">
        <v>1</v>
      </c>
      <c r="G4367">
        <f t="shared" si="204"/>
        <v>48000</v>
      </c>
      <c r="H4367" t="s">
        <v>21</v>
      </c>
      <c r="I4367">
        <f t="shared" si="205"/>
        <v>57600</v>
      </c>
      <c r="J4367">
        <f t="shared" si="206"/>
        <v>57600</v>
      </c>
    </row>
    <row r="4368" spans="1:10" x14ac:dyDescent="0.45">
      <c r="A4368" t="s">
        <v>2350</v>
      </c>
      <c r="B4368" s="1">
        <v>45967</v>
      </c>
      <c r="C4368" t="s">
        <v>12</v>
      </c>
      <c r="D4368" t="s">
        <v>5020</v>
      </c>
      <c r="E4368">
        <v>2880</v>
      </c>
      <c r="F4368">
        <v>6</v>
      </c>
      <c r="G4368">
        <f t="shared" si="204"/>
        <v>17280</v>
      </c>
      <c r="H4368" t="s">
        <v>7</v>
      </c>
      <c r="I4368">
        <f t="shared" si="205"/>
        <v>3456</v>
      </c>
      <c r="J4368">
        <f t="shared" si="206"/>
        <v>20736</v>
      </c>
    </row>
    <row r="4369" spans="1:10" x14ac:dyDescent="0.45">
      <c r="A4369" t="s">
        <v>2351</v>
      </c>
      <c r="B4369" s="1">
        <v>45967</v>
      </c>
      <c r="C4369" t="s">
        <v>9</v>
      </c>
      <c r="D4369" t="s">
        <v>10</v>
      </c>
      <c r="E4369">
        <v>400</v>
      </c>
      <c r="F4369">
        <v>6</v>
      </c>
      <c r="G4369">
        <f t="shared" si="204"/>
        <v>2400</v>
      </c>
      <c r="H4369" t="s">
        <v>17</v>
      </c>
      <c r="I4369">
        <f t="shared" si="205"/>
        <v>480</v>
      </c>
      <c r="J4369">
        <f t="shared" si="206"/>
        <v>2880</v>
      </c>
    </row>
    <row r="4370" spans="1:10" x14ac:dyDescent="0.45">
      <c r="A4370" t="s">
        <v>3555</v>
      </c>
      <c r="B4370" s="1">
        <v>45967</v>
      </c>
      <c r="C4370" t="s">
        <v>2772</v>
      </c>
      <c r="D4370" t="s">
        <v>2775</v>
      </c>
      <c r="E4370">
        <v>9100</v>
      </c>
      <c r="F4370">
        <v>10</v>
      </c>
      <c r="G4370">
        <f t="shared" si="204"/>
        <v>91000</v>
      </c>
      <c r="H4370" t="s">
        <v>17</v>
      </c>
      <c r="I4370">
        <f t="shared" si="205"/>
        <v>10920</v>
      </c>
      <c r="J4370">
        <f t="shared" si="206"/>
        <v>109200</v>
      </c>
    </row>
    <row r="4371" spans="1:10" x14ac:dyDescent="0.45">
      <c r="A4371" t="s">
        <v>3930</v>
      </c>
      <c r="B4371" s="1">
        <v>45967</v>
      </c>
      <c r="C4371" t="s">
        <v>4007</v>
      </c>
      <c r="D4371" t="s">
        <v>2774</v>
      </c>
      <c r="E4371">
        <v>1900</v>
      </c>
      <c r="F4371">
        <v>7</v>
      </c>
      <c r="G4371">
        <f t="shared" si="204"/>
        <v>13300</v>
      </c>
      <c r="H4371" t="s">
        <v>17</v>
      </c>
      <c r="I4371">
        <f t="shared" si="205"/>
        <v>2280</v>
      </c>
      <c r="J4371">
        <f t="shared" si="206"/>
        <v>15960</v>
      </c>
    </row>
    <row r="4372" spans="1:10" x14ac:dyDescent="0.45">
      <c r="A4372" t="s">
        <v>2352</v>
      </c>
      <c r="B4372" s="1">
        <v>45968</v>
      </c>
      <c r="C4372" t="s">
        <v>33</v>
      </c>
      <c r="D4372" t="s">
        <v>14</v>
      </c>
      <c r="E4372">
        <v>800</v>
      </c>
      <c r="F4372">
        <v>8</v>
      </c>
      <c r="G4372">
        <f t="shared" si="204"/>
        <v>6400</v>
      </c>
      <c r="H4372" t="s">
        <v>21</v>
      </c>
      <c r="I4372">
        <f t="shared" si="205"/>
        <v>960</v>
      </c>
      <c r="J4372">
        <f t="shared" si="206"/>
        <v>7680</v>
      </c>
    </row>
    <row r="4373" spans="1:10" x14ac:dyDescent="0.45">
      <c r="A4373" t="s">
        <v>2353</v>
      </c>
      <c r="B4373" s="1">
        <v>45968</v>
      </c>
      <c r="C4373" t="s">
        <v>9</v>
      </c>
      <c r="D4373" t="s">
        <v>10</v>
      </c>
      <c r="E4373">
        <v>400</v>
      </c>
      <c r="F4373">
        <v>5</v>
      </c>
      <c r="G4373">
        <f t="shared" si="204"/>
        <v>2000</v>
      </c>
      <c r="H4373" t="s">
        <v>17</v>
      </c>
      <c r="I4373">
        <f t="shared" si="205"/>
        <v>480</v>
      </c>
      <c r="J4373">
        <f t="shared" si="206"/>
        <v>2400</v>
      </c>
    </row>
    <row r="4374" spans="1:10" x14ac:dyDescent="0.45">
      <c r="A4374" t="s">
        <v>2354</v>
      </c>
      <c r="B4374" s="1">
        <v>45968</v>
      </c>
      <c r="C4374" t="s">
        <v>12</v>
      </c>
      <c r="D4374" t="s">
        <v>5021</v>
      </c>
      <c r="E4374">
        <v>2880</v>
      </c>
      <c r="F4374">
        <v>6</v>
      </c>
      <c r="G4374">
        <f t="shared" si="204"/>
        <v>17280</v>
      </c>
      <c r="H4374" t="s">
        <v>21</v>
      </c>
      <c r="I4374">
        <f t="shared" si="205"/>
        <v>3456</v>
      </c>
      <c r="J4374">
        <f t="shared" si="206"/>
        <v>20736</v>
      </c>
    </row>
    <row r="4375" spans="1:10" x14ac:dyDescent="0.45">
      <c r="A4375" t="s">
        <v>2355</v>
      </c>
      <c r="B4375" s="1">
        <v>45968</v>
      </c>
      <c r="C4375" t="s">
        <v>33</v>
      </c>
      <c r="D4375" t="s">
        <v>16</v>
      </c>
      <c r="E4375">
        <v>1200</v>
      </c>
      <c r="F4375">
        <v>5</v>
      </c>
      <c r="G4375">
        <f t="shared" si="204"/>
        <v>6000</v>
      </c>
      <c r="H4375" t="s">
        <v>7</v>
      </c>
      <c r="I4375">
        <f t="shared" si="205"/>
        <v>1440</v>
      </c>
      <c r="J4375">
        <f t="shared" si="206"/>
        <v>7200</v>
      </c>
    </row>
    <row r="4376" spans="1:10" x14ac:dyDescent="0.45">
      <c r="A4376" t="s">
        <v>2356</v>
      </c>
      <c r="B4376" s="1">
        <v>45968</v>
      </c>
      <c r="C4376" t="s">
        <v>33</v>
      </c>
      <c r="D4376" t="s">
        <v>34</v>
      </c>
      <c r="E4376">
        <v>1700</v>
      </c>
      <c r="F4376">
        <v>10</v>
      </c>
      <c r="G4376">
        <f t="shared" si="204"/>
        <v>17000</v>
      </c>
      <c r="H4376" t="s">
        <v>21</v>
      </c>
      <c r="I4376">
        <f t="shared" si="205"/>
        <v>2040</v>
      </c>
      <c r="J4376">
        <f t="shared" si="206"/>
        <v>20400</v>
      </c>
    </row>
    <row r="4377" spans="1:10" x14ac:dyDescent="0.45">
      <c r="A4377" t="s">
        <v>2357</v>
      </c>
      <c r="B4377" s="1">
        <v>45968</v>
      </c>
      <c r="C4377" t="s">
        <v>12</v>
      </c>
      <c r="D4377" t="s">
        <v>5022</v>
      </c>
      <c r="E4377">
        <v>2880</v>
      </c>
      <c r="F4377">
        <v>9</v>
      </c>
      <c r="G4377">
        <f t="shared" si="204"/>
        <v>25920</v>
      </c>
      <c r="H4377" t="s">
        <v>21</v>
      </c>
      <c r="I4377">
        <f t="shared" si="205"/>
        <v>3456</v>
      </c>
      <c r="J4377">
        <f t="shared" si="206"/>
        <v>31104</v>
      </c>
    </row>
    <row r="4378" spans="1:10" x14ac:dyDescent="0.45">
      <c r="A4378" t="s">
        <v>2358</v>
      </c>
      <c r="B4378" s="1">
        <v>45968</v>
      </c>
      <c r="C4378" t="s">
        <v>33</v>
      </c>
      <c r="D4378" t="s">
        <v>42</v>
      </c>
      <c r="E4378">
        <v>6900</v>
      </c>
      <c r="F4378">
        <v>1</v>
      </c>
      <c r="G4378">
        <f t="shared" si="204"/>
        <v>6900</v>
      </c>
      <c r="H4378" t="s">
        <v>17</v>
      </c>
      <c r="I4378">
        <f t="shared" si="205"/>
        <v>8280</v>
      </c>
      <c r="J4378">
        <f t="shared" si="206"/>
        <v>8280</v>
      </c>
    </row>
    <row r="4379" spans="1:10" x14ac:dyDescent="0.45">
      <c r="A4379" t="s">
        <v>2858</v>
      </c>
      <c r="B4379" s="1">
        <v>45968</v>
      </c>
      <c r="C4379" t="s">
        <v>33</v>
      </c>
      <c r="D4379" t="s">
        <v>34</v>
      </c>
      <c r="E4379">
        <v>1700</v>
      </c>
      <c r="F4379">
        <v>1</v>
      </c>
      <c r="G4379">
        <f t="shared" si="204"/>
        <v>1700</v>
      </c>
      <c r="H4379" t="s">
        <v>21</v>
      </c>
      <c r="I4379">
        <f t="shared" si="205"/>
        <v>2040</v>
      </c>
      <c r="J4379">
        <f t="shared" si="206"/>
        <v>2040</v>
      </c>
    </row>
    <row r="4380" spans="1:10" x14ac:dyDescent="0.45">
      <c r="A4380" t="s">
        <v>2859</v>
      </c>
      <c r="B4380" s="1">
        <v>45968</v>
      </c>
      <c r="C4380" t="s">
        <v>33</v>
      </c>
      <c r="D4380" t="s">
        <v>34</v>
      </c>
      <c r="E4380">
        <v>1700</v>
      </c>
      <c r="F4380">
        <v>2</v>
      </c>
      <c r="G4380">
        <f t="shared" si="204"/>
        <v>3400</v>
      </c>
      <c r="H4380" t="s">
        <v>17</v>
      </c>
      <c r="I4380">
        <f t="shared" si="205"/>
        <v>2040</v>
      </c>
      <c r="J4380">
        <f t="shared" si="206"/>
        <v>4080</v>
      </c>
    </row>
    <row r="4381" spans="1:10" x14ac:dyDescent="0.45">
      <c r="A4381" t="s">
        <v>2860</v>
      </c>
      <c r="B4381" s="1">
        <v>45968</v>
      </c>
      <c r="C4381" t="s">
        <v>33</v>
      </c>
      <c r="D4381" t="s">
        <v>14</v>
      </c>
      <c r="E4381">
        <v>800</v>
      </c>
      <c r="F4381">
        <v>7</v>
      </c>
      <c r="G4381">
        <f t="shared" si="204"/>
        <v>5600</v>
      </c>
      <c r="H4381" t="s">
        <v>7</v>
      </c>
      <c r="I4381">
        <f t="shared" si="205"/>
        <v>960</v>
      </c>
      <c r="J4381">
        <f t="shared" si="206"/>
        <v>6720</v>
      </c>
    </row>
    <row r="4382" spans="1:10" x14ac:dyDescent="0.45">
      <c r="A4382" t="s">
        <v>3080</v>
      </c>
      <c r="B4382" s="1">
        <v>45968</v>
      </c>
      <c r="C4382" t="s">
        <v>4007</v>
      </c>
      <c r="D4382" t="s">
        <v>2773</v>
      </c>
      <c r="E4382">
        <v>3300</v>
      </c>
      <c r="F4382">
        <v>4</v>
      </c>
      <c r="G4382">
        <f t="shared" si="204"/>
        <v>13200</v>
      </c>
      <c r="H4382" t="s">
        <v>21</v>
      </c>
      <c r="I4382">
        <f t="shared" si="205"/>
        <v>3960</v>
      </c>
      <c r="J4382">
        <f t="shared" si="206"/>
        <v>15840</v>
      </c>
    </row>
    <row r="4383" spans="1:10" x14ac:dyDescent="0.45">
      <c r="A4383" t="s">
        <v>3145</v>
      </c>
      <c r="B4383" s="1">
        <v>45968</v>
      </c>
      <c r="C4383" t="s">
        <v>33</v>
      </c>
      <c r="D4383" t="s">
        <v>34</v>
      </c>
      <c r="E4383">
        <v>1700</v>
      </c>
      <c r="F4383">
        <v>6</v>
      </c>
      <c r="G4383">
        <f t="shared" si="204"/>
        <v>10200</v>
      </c>
      <c r="H4383" t="s">
        <v>21</v>
      </c>
      <c r="I4383">
        <f t="shared" si="205"/>
        <v>2040</v>
      </c>
      <c r="J4383">
        <f t="shared" si="206"/>
        <v>12240</v>
      </c>
    </row>
    <row r="4384" spans="1:10" x14ac:dyDescent="0.45">
      <c r="A4384" t="s">
        <v>3262</v>
      </c>
      <c r="B4384" s="1">
        <v>45968</v>
      </c>
      <c r="C4384" t="s">
        <v>33</v>
      </c>
      <c r="D4384" t="s">
        <v>34</v>
      </c>
      <c r="E4384">
        <v>1700</v>
      </c>
      <c r="F4384">
        <v>10</v>
      </c>
      <c r="G4384">
        <f t="shared" si="204"/>
        <v>17000</v>
      </c>
      <c r="H4384" t="s">
        <v>21</v>
      </c>
      <c r="I4384">
        <f t="shared" si="205"/>
        <v>2040</v>
      </c>
      <c r="J4384">
        <f t="shared" si="206"/>
        <v>20400</v>
      </c>
    </row>
    <row r="4385" spans="1:10" x14ac:dyDescent="0.45">
      <c r="A4385" t="s">
        <v>2359</v>
      </c>
      <c r="B4385" s="1">
        <v>45969</v>
      </c>
      <c r="C4385" t="s">
        <v>12</v>
      </c>
      <c r="D4385" t="s">
        <v>5023</v>
      </c>
      <c r="E4385">
        <v>1750</v>
      </c>
      <c r="F4385">
        <v>8</v>
      </c>
      <c r="G4385">
        <f t="shared" si="204"/>
        <v>14000</v>
      </c>
      <c r="H4385" t="s">
        <v>17</v>
      </c>
      <c r="I4385">
        <f t="shared" si="205"/>
        <v>2100</v>
      </c>
      <c r="J4385">
        <f t="shared" si="206"/>
        <v>16800</v>
      </c>
    </row>
    <row r="4386" spans="1:10" x14ac:dyDescent="0.45">
      <c r="A4386" t="s">
        <v>2360</v>
      </c>
      <c r="B4386" s="1">
        <v>45969</v>
      </c>
      <c r="C4386" t="s">
        <v>33</v>
      </c>
      <c r="D4386" t="s">
        <v>14</v>
      </c>
      <c r="E4386">
        <v>800</v>
      </c>
      <c r="F4386">
        <v>6</v>
      </c>
      <c r="G4386">
        <f t="shared" si="204"/>
        <v>4800</v>
      </c>
      <c r="H4386" t="s">
        <v>17</v>
      </c>
      <c r="I4386">
        <f t="shared" si="205"/>
        <v>960</v>
      </c>
      <c r="J4386">
        <f t="shared" si="206"/>
        <v>5760</v>
      </c>
    </row>
    <row r="4387" spans="1:10" x14ac:dyDescent="0.45">
      <c r="A4387" t="s">
        <v>2361</v>
      </c>
      <c r="B4387" s="1">
        <v>45969</v>
      </c>
      <c r="C4387" t="s">
        <v>9</v>
      </c>
      <c r="D4387" t="s">
        <v>10</v>
      </c>
      <c r="E4387">
        <v>400</v>
      </c>
      <c r="F4387">
        <v>7</v>
      </c>
      <c r="G4387">
        <f t="shared" si="204"/>
        <v>2800</v>
      </c>
      <c r="H4387" t="s">
        <v>17</v>
      </c>
      <c r="I4387">
        <f t="shared" si="205"/>
        <v>480</v>
      </c>
      <c r="J4387">
        <f t="shared" si="206"/>
        <v>3360</v>
      </c>
    </row>
    <row r="4388" spans="1:10" x14ac:dyDescent="0.45">
      <c r="A4388" t="s">
        <v>2362</v>
      </c>
      <c r="B4388" s="1">
        <v>45969</v>
      </c>
      <c r="C4388" t="s">
        <v>33</v>
      </c>
      <c r="D4388" t="s">
        <v>14</v>
      </c>
      <c r="E4388">
        <v>800</v>
      </c>
      <c r="F4388">
        <v>2</v>
      </c>
      <c r="G4388">
        <f t="shared" si="204"/>
        <v>1600</v>
      </c>
      <c r="H4388" t="s">
        <v>17</v>
      </c>
      <c r="I4388">
        <f t="shared" si="205"/>
        <v>960</v>
      </c>
      <c r="J4388">
        <f t="shared" si="206"/>
        <v>1920</v>
      </c>
    </row>
    <row r="4389" spans="1:10" x14ac:dyDescent="0.45">
      <c r="A4389" t="s">
        <v>2363</v>
      </c>
      <c r="B4389" s="1">
        <v>45969</v>
      </c>
      <c r="C4389" t="s">
        <v>12</v>
      </c>
      <c r="D4389" t="s">
        <v>5022</v>
      </c>
      <c r="E4389">
        <v>2880</v>
      </c>
      <c r="F4389">
        <v>10</v>
      </c>
      <c r="G4389">
        <f t="shared" si="204"/>
        <v>28800</v>
      </c>
      <c r="H4389" t="s">
        <v>7</v>
      </c>
      <c r="I4389">
        <f t="shared" si="205"/>
        <v>3456</v>
      </c>
      <c r="J4389">
        <f t="shared" si="206"/>
        <v>34560</v>
      </c>
    </row>
    <row r="4390" spans="1:10" x14ac:dyDescent="0.45">
      <c r="A4390" t="s">
        <v>2364</v>
      </c>
      <c r="B4390" s="1">
        <v>45969</v>
      </c>
      <c r="C4390" t="s">
        <v>33</v>
      </c>
      <c r="D4390" t="s">
        <v>34</v>
      </c>
      <c r="E4390">
        <v>1700</v>
      </c>
      <c r="F4390">
        <v>6</v>
      </c>
      <c r="G4390">
        <f t="shared" si="204"/>
        <v>10200</v>
      </c>
      <c r="H4390" t="s">
        <v>21</v>
      </c>
      <c r="I4390">
        <f t="shared" si="205"/>
        <v>2040</v>
      </c>
      <c r="J4390">
        <f t="shared" si="206"/>
        <v>12240</v>
      </c>
    </row>
    <row r="4391" spans="1:10" x14ac:dyDescent="0.45">
      <c r="A4391" t="s">
        <v>2365</v>
      </c>
      <c r="B4391" s="1">
        <v>45969</v>
      </c>
      <c r="C4391" t="s">
        <v>4007</v>
      </c>
      <c r="D4391" t="s">
        <v>4005</v>
      </c>
      <c r="E4391">
        <v>60000</v>
      </c>
      <c r="F4391">
        <v>1</v>
      </c>
      <c r="G4391">
        <f t="shared" si="204"/>
        <v>60000</v>
      </c>
      <c r="H4391" t="s">
        <v>21</v>
      </c>
      <c r="I4391">
        <f t="shared" si="205"/>
        <v>72000</v>
      </c>
      <c r="J4391">
        <f t="shared" si="206"/>
        <v>72000</v>
      </c>
    </row>
    <row r="4392" spans="1:10" x14ac:dyDescent="0.45">
      <c r="A4392" t="s">
        <v>2366</v>
      </c>
      <c r="B4392" s="1">
        <v>45969</v>
      </c>
      <c r="C4392" t="s">
        <v>4007</v>
      </c>
      <c r="D4392" t="s">
        <v>4005</v>
      </c>
      <c r="E4392">
        <v>60000</v>
      </c>
      <c r="F4392">
        <v>1</v>
      </c>
      <c r="G4392">
        <f t="shared" si="204"/>
        <v>60000</v>
      </c>
      <c r="H4392" t="s">
        <v>17</v>
      </c>
      <c r="I4392">
        <f t="shared" si="205"/>
        <v>72000</v>
      </c>
      <c r="J4392">
        <f t="shared" si="206"/>
        <v>72000</v>
      </c>
    </row>
    <row r="4393" spans="1:10" x14ac:dyDescent="0.45">
      <c r="A4393" t="s">
        <v>2367</v>
      </c>
      <c r="B4393" s="1">
        <v>45969</v>
      </c>
      <c r="C4393" t="s">
        <v>4007</v>
      </c>
      <c r="D4393" t="s">
        <v>5015</v>
      </c>
      <c r="E4393">
        <v>48000</v>
      </c>
      <c r="F4393">
        <v>4</v>
      </c>
      <c r="G4393">
        <f t="shared" si="204"/>
        <v>192000</v>
      </c>
      <c r="H4393" t="s">
        <v>17</v>
      </c>
      <c r="I4393">
        <f t="shared" si="205"/>
        <v>57600</v>
      </c>
      <c r="J4393">
        <f t="shared" si="206"/>
        <v>230400</v>
      </c>
    </row>
    <row r="4394" spans="1:10" x14ac:dyDescent="0.45">
      <c r="A4394" t="s">
        <v>2368</v>
      </c>
      <c r="B4394" s="1">
        <v>45969</v>
      </c>
      <c r="C4394" t="s">
        <v>12</v>
      </c>
      <c r="D4394" t="s">
        <v>5020</v>
      </c>
      <c r="E4394">
        <v>2880</v>
      </c>
      <c r="F4394">
        <v>3</v>
      </c>
      <c r="G4394">
        <f t="shared" si="204"/>
        <v>8640</v>
      </c>
      <c r="H4394" t="s">
        <v>17</v>
      </c>
      <c r="I4394">
        <f t="shared" si="205"/>
        <v>3456</v>
      </c>
      <c r="J4394">
        <f t="shared" si="206"/>
        <v>10368</v>
      </c>
    </row>
    <row r="4395" spans="1:10" x14ac:dyDescent="0.45">
      <c r="A4395" t="s">
        <v>3010</v>
      </c>
      <c r="B4395" s="1">
        <v>45969</v>
      </c>
      <c r="C4395" t="s">
        <v>33</v>
      </c>
      <c r="D4395" t="s">
        <v>14</v>
      </c>
      <c r="E4395">
        <v>800</v>
      </c>
      <c r="F4395">
        <v>3</v>
      </c>
      <c r="G4395">
        <f t="shared" si="204"/>
        <v>2400</v>
      </c>
      <c r="H4395" t="s">
        <v>21</v>
      </c>
      <c r="I4395">
        <f t="shared" si="205"/>
        <v>960</v>
      </c>
      <c r="J4395">
        <f t="shared" si="206"/>
        <v>2880</v>
      </c>
    </row>
    <row r="4396" spans="1:10" x14ac:dyDescent="0.45">
      <c r="A4396" t="s">
        <v>3221</v>
      </c>
      <c r="B4396" s="1">
        <v>45969</v>
      </c>
      <c r="C4396" t="s">
        <v>2772</v>
      </c>
      <c r="D4396" t="s">
        <v>2775</v>
      </c>
      <c r="E4396">
        <v>9100</v>
      </c>
      <c r="F4396">
        <v>6</v>
      </c>
      <c r="G4396">
        <f t="shared" si="204"/>
        <v>54600</v>
      </c>
      <c r="H4396" t="s">
        <v>21</v>
      </c>
      <c r="I4396">
        <f t="shared" si="205"/>
        <v>10920</v>
      </c>
      <c r="J4396">
        <f t="shared" si="206"/>
        <v>65520</v>
      </c>
    </row>
    <row r="4397" spans="1:10" x14ac:dyDescent="0.45">
      <c r="A4397" t="s">
        <v>3308</v>
      </c>
      <c r="B4397" s="1">
        <v>45969</v>
      </c>
      <c r="C4397" t="s">
        <v>2772</v>
      </c>
      <c r="D4397" t="s">
        <v>2775</v>
      </c>
      <c r="E4397">
        <v>9100</v>
      </c>
      <c r="F4397">
        <v>5</v>
      </c>
      <c r="G4397">
        <f t="shared" si="204"/>
        <v>45500</v>
      </c>
      <c r="H4397" t="s">
        <v>21</v>
      </c>
      <c r="I4397">
        <f t="shared" si="205"/>
        <v>10920</v>
      </c>
      <c r="J4397">
        <f t="shared" si="206"/>
        <v>54600</v>
      </c>
    </row>
    <row r="4398" spans="1:10" x14ac:dyDescent="0.45">
      <c r="A4398" t="s">
        <v>3386</v>
      </c>
      <c r="B4398" s="1">
        <v>45969</v>
      </c>
      <c r="C4398" t="s">
        <v>4007</v>
      </c>
      <c r="D4398" t="s">
        <v>2776</v>
      </c>
      <c r="E4398">
        <v>3600</v>
      </c>
      <c r="F4398">
        <v>1</v>
      </c>
      <c r="G4398">
        <f t="shared" si="204"/>
        <v>3600</v>
      </c>
      <c r="H4398" t="s">
        <v>7</v>
      </c>
      <c r="I4398">
        <f t="shared" si="205"/>
        <v>4320</v>
      </c>
      <c r="J4398">
        <f t="shared" si="206"/>
        <v>4320</v>
      </c>
    </row>
    <row r="4399" spans="1:10" x14ac:dyDescent="0.45">
      <c r="A4399" t="s">
        <v>2369</v>
      </c>
      <c r="B4399" s="1">
        <v>45970</v>
      </c>
      <c r="C4399" t="s">
        <v>9</v>
      </c>
      <c r="D4399" t="s">
        <v>10</v>
      </c>
      <c r="E4399">
        <v>400</v>
      </c>
      <c r="F4399">
        <v>2</v>
      </c>
      <c r="G4399">
        <f t="shared" si="204"/>
        <v>800</v>
      </c>
      <c r="H4399" t="s">
        <v>17</v>
      </c>
      <c r="I4399">
        <f t="shared" si="205"/>
        <v>480</v>
      </c>
      <c r="J4399">
        <f t="shared" si="206"/>
        <v>960</v>
      </c>
    </row>
    <row r="4400" spans="1:10" x14ac:dyDescent="0.45">
      <c r="A4400" t="s">
        <v>2370</v>
      </c>
      <c r="B4400" s="1">
        <v>45970</v>
      </c>
      <c r="C4400" t="s">
        <v>33</v>
      </c>
      <c r="D4400" t="s">
        <v>16</v>
      </c>
      <c r="E4400">
        <v>1200</v>
      </c>
      <c r="F4400">
        <v>3</v>
      </c>
      <c r="G4400">
        <f t="shared" si="204"/>
        <v>3600</v>
      </c>
      <c r="H4400" t="s">
        <v>7</v>
      </c>
      <c r="I4400">
        <f t="shared" si="205"/>
        <v>1440</v>
      </c>
      <c r="J4400">
        <f t="shared" si="206"/>
        <v>4320</v>
      </c>
    </row>
    <row r="4401" spans="1:10" x14ac:dyDescent="0.45">
      <c r="A4401" t="s">
        <v>2371</v>
      </c>
      <c r="B4401" s="1">
        <v>45970</v>
      </c>
      <c r="C4401" t="s">
        <v>9</v>
      </c>
      <c r="D4401" t="s">
        <v>19</v>
      </c>
      <c r="E4401">
        <v>3000</v>
      </c>
      <c r="F4401">
        <v>9</v>
      </c>
      <c r="G4401">
        <f t="shared" si="204"/>
        <v>27000</v>
      </c>
      <c r="H4401" t="s">
        <v>7</v>
      </c>
      <c r="I4401">
        <f t="shared" si="205"/>
        <v>3600</v>
      </c>
      <c r="J4401">
        <f t="shared" si="206"/>
        <v>32400</v>
      </c>
    </row>
    <row r="4402" spans="1:10" x14ac:dyDescent="0.45">
      <c r="A4402" t="s">
        <v>2372</v>
      </c>
      <c r="B4402" s="1">
        <v>45970</v>
      </c>
      <c r="C4402" t="s">
        <v>4007</v>
      </c>
      <c r="D4402" t="s">
        <v>39</v>
      </c>
      <c r="E4402">
        <v>6000</v>
      </c>
      <c r="F4402">
        <v>8</v>
      </c>
      <c r="G4402">
        <f t="shared" si="204"/>
        <v>48000</v>
      </c>
      <c r="H4402" t="s">
        <v>17</v>
      </c>
      <c r="I4402">
        <f t="shared" si="205"/>
        <v>7200</v>
      </c>
      <c r="J4402">
        <f t="shared" si="206"/>
        <v>57600</v>
      </c>
    </row>
    <row r="4403" spans="1:10" x14ac:dyDescent="0.45">
      <c r="A4403" t="s">
        <v>2373</v>
      </c>
      <c r="B4403" s="1">
        <v>45970</v>
      </c>
      <c r="C4403" t="s">
        <v>9</v>
      </c>
      <c r="D4403" t="s">
        <v>10</v>
      </c>
      <c r="E4403">
        <v>400</v>
      </c>
      <c r="F4403">
        <v>2</v>
      </c>
      <c r="G4403">
        <f t="shared" si="204"/>
        <v>800</v>
      </c>
      <c r="H4403" t="s">
        <v>21</v>
      </c>
      <c r="I4403">
        <f t="shared" si="205"/>
        <v>480</v>
      </c>
      <c r="J4403">
        <f t="shared" si="206"/>
        <v>960</v>
      </c>
    </row>
    <row r="4404" spans="1:10" x14ac:dyDescent="0.45">
      <c r="A4404" t="s">
        <v>2374</v>
      </c>
      <c r="B4404" s="1">
        <v>45970</v>
      </c>
      <c r="C4404" t="s">
        <v>33</v>
      </c>
      <c r="D4404" t="s">
        <v>42</v>
      </c>
      <c r="E4404">
        <v>6900</v>
      </c>
      <c r="F4404">
        <v>6</v>
      </c>
      <c r="G4404">
        <f t="shared" si="204"/>
        <v>41400</v>
      </c>
      <c r="H4404" t="s">
        <v>21</v>
      </c>
      <c r="I4404">
        <f t="shared" si="205"/>
        <v>8280</v>
      </c>
      <c r="J4404">
        <f t="shared" si="206"/>
        <v>49680</v>
      </c>
    </row>
    <row r="4405" spans="1:10" x14ac:dyDescent="0.45">
      <c r="A4405" t="s">
        <v>2375</v>
      </c>
      <c r="B4405" s="1">
        <v>45970</v>
      </c>
      <c r="C4405" t="s">
        <v>33</v>
      </c>
      <c r="D4405" t="s">
        <v>42</v>
      </c>
      <c r="E4405">
        <v>6900</v>
      </c>
      <c r="F4405">
        <v>7</v>
      </c>
      <c r="G4405">
        <f t="shared" si="204"/>
        <v>48300</v>
      </c>
      <c r="H4405" t="s">
        <v>7</v>
      </c>
      <c r="I4405">
        <f t="shared" si="205"/>
        <v>8280</v>
      </c>
      <c r="J4405">
        <f t="shared" si="206"/>
        <v>57960</v>
      </c>
    </row>
    <row r="4406" spans="1:10" x14ac:dyDescent="0.45">
      <c r="A4406" t="s">
        <v>2376</v>
      </c>
      <c r="B4406" s="1">
        <v>45970</v>
      </c>
      <c r="C4406" t="s">
        <v>12</v>
      </c>
      <c r="D4406" t="s">
        <v>5022</v>
      </c>
      <c r="E4406">
        <v>2880</v>
      </c>
      <c r="F4406">
        <v>6</v>
      </c>
      <c r="G4406">
        <f t="shared" si="204"/>
        <v>17280</v>
      </c>
      <c r="H4406" t="s">
        <v>17</v>
      </c>
      <c r="I4406">
        <f t="shared" si="205"/>
        <v>3456</v>
      </c>
      <c r="J4406">
        <f t="shared" si="206"/>
        <v>20736</v>
      </c>
    </row>
    <row r="4407" spans="1:10" x14ac:dyDescent="0.45">
      <c r="A4407" t="s">
        <v>2377</v>
      </c>
      <c r="B4407" s="1">
        <v>45970</v>
      </c>
      <c r="C4407" t="s">
        <v>33</v>
      </c>
      <c r="D4407" t="s">
        <v>14</v>
      </c>
      <c r="E4407">
        <v>800</v>
      </c>
      <c r="F4407">
        <v>1</v>
      </c>
      <c r="G4407">
        <f t="shared" si="204"/>
        <v>800</v>
      </c>
      <c r="H4407" t="s">
        <v>17</v>
      </c>
      <c r="I4407">
        <f t="shared" si="205"/>
        <v>960</v>
      </c>
      <c r="J4407">
        <f t="shared" si="206"/>
        <v>960</v>
      </c>
    </row>
    <row r="4408" spans="1:10" x14ac:dyDescent="0.45">
      <c r="A4408" t="s">
        <v>2378</v>
      </c>
      <c r="B4408" s="1">
        <v>45970</v>
      </c>
      <c r="C4408" t="s">
        <v>4007</v>
      </c>
      <c r="D4408" t="s">
        <v>4005</v>
      </c>
      <c r="E4408">
        <v>60000</v>
      </c>
      <c r="F4408">
        <v>9</v>
      </c>
      <c r="G4408">
        <f t="shared" si="204"/>
        <v>540000</v>
      </c>
      <c r="H4408" t="s">
        <v>21</v>
      </c>
      <c r="I4408">
        <f t="shared" si="205"/>
        <v>72000</v>
      </c>
      <c r="J4408">
        <f t="shared" si="206"/>
        <v>648000</v>
      </c>
    </row>
    <row r="4409" spans="1:10" x14ac:dyDescent="0.45">
      <c r="A4409" t="s">
        <v>2379</v>
      </c>
      <c r="B4409" s="1">
        <v>45971</v>
      </c>
      <c r="C4409" t="s">
        <v>33</v>
      </c>
      <c r="D4409" t="s">
        <v>16</v>
      </c>
      <c r="E4409">
        <v>1200</v>
      </c>
      <c r="F4409">
        <v>2</v>
      </c>
      <c r="G4409">
        <f t="shared" si="204"/>
        <v>2400</v>
      </c>
      <c r="H4409" t="s">
        <v>21</v>
      </c>
      <c r="I4409">
        <f t="shared" si="205"/>
        <v>1440</v>
      </c>
      <c r="J4409">
        <f t="shared" si="206"/>
        <v>2880</v>
      </c>
    </row>
    <row r="4410" spans="1:10" x14ac:dyDescent="0.45">
      <c r="A4410" t="s">
        <v>2380</v>
      </c>
      <c r="B4410" s="1">
        <v>45971</v>
      </c>
      <c r="C4410" t="s">
        <v>4007</v>
      </c>
      <c r="D4410" t="s">
        <v>4005</v>
      </c>
      <c r="E4410">
        <v>60000</v>
      </c>
      <c r="F4410">
        <v>3</v>
      </c>
      <c r="G4410">
        <f t="shared" si="204"/>
        <v>180000</v>
      </c>
      <c r="H4410" t="s">
        <v>7</v>
      </c>
      <c r="I4410">
        <f t="shared" si="205"/>
        <v>72000</v>
      </c>
      <c r="J4410">
        <f t="shared" si="206"/>
        <v>216000</v>
      </c>
    </row>
    <row r="4411" spans="1:10" x14ac:dyDescent="0.45">
      <c r="A4411" t="s">
        <v>2381</v>
      </c>
      <c r="B4411" s="1">
        <v>45971</v>
      </c>
      <c r="C4411" t="s">
        <v>33</v>
      </c>
      <c r="D4411" t="s">
        <v>42</v>
      </c>
      <c r="E4411">
        <v>6900</v>
      </c>
      <c r="F4411">
        <v>4</v>
      </c>
      <c r="G4411">
        <f t="shared" si="204"/>
        <v>27600</v>
      </c>
      <c r="H4411" t="s">
        <v>7</v>
      </c>
      <c r="I4411">
        <f t="shared" si="205"/>
        <v>8280</v>
      </c>
      <c r="J4411">
        <f t="shared" si="206"/>
        <v>33120</v>
      </c>
    </row>
    <row r="4412" spans="1:10" x14ac:dyDescent="0.45">
      <c r="A4412" t="s">
        <v>2382</v>
      </c>
      <c r="B4412" s="1">
        <v>45971</v>
      </c>
      <c r="C4412" t="s">
        <v>12</v>
      </c>
      <c r="D4412" t="s">
        <v>5023</v>
      </c>
      <c r="E4412">
        <v>1750</v>
      </c>
      <c r="F4412">
        <v>1</v>
      </c>
      <c r="G4412">
        <f t="shared" si="204"/>
        <v>1750</v>
      </c>
      <c r="H4412" t="s">
        <v>7</v>
      </c>
      <c r="I4412">
        <f t="shared" si="205"/>
        <v>2100</v>
      </c>
      <c r="J4412">
        <f t="shared" si="206"/>
        <v>2100</v>
      </c>
    </row>
    <row r="4413" spans="1:10" x14ac:dyDescent="0.45">
      <c r="A4413" t="s">
        <v>2383</v>
      </c>
      <c r="B4413" s="1">
        <v>45971</v>
      </c>
      <c r="C4413" t="s">
        <v>12</v>
      </c>
      <c r="D4413" t="s">
        <v>5020</v>
      </c>
      <c r="E4413">
        <v>2880</v>
      </c>
      <c r="F4413">
        <v>5</v>
      </c>
      <c r="G4413">
        <f t="shared" si="204"/>
        <v>14400</v>
      </c>
      <c r="H4413" t="s">
        <v>17</v>
      </c>
      <c r="I4413">
        <f t="shared" si="205"/>
        <v>3456</v>
      </c>
      <c r="J4413">
        <f t="shared" si="206"/>
        <v>17280</v>
      </c>
    </row>
    <row r="4414" spans="1:10" x14ac:dyDescent="0.45">
      <c r="A4414" t="s">
        <v>3534</v>
      </c>
      <c r="B4414" s="1">
        <v>45971</v>
      </c>
      <c r="C4414" t="s">
        <v>2772</v>
      </c>
      <c r="D4414" t="s">
        <v>2771</v>
      </c>
      <c r="E4414">
        <v>120</v>
      </c>
      <c r="F4414">
        <v>8</v>
      </c>
      <c r="G4414">
        <f t="shared" si="204"/>
        <v>960</v>
      </c>
      <c r="H4414" t="s">
        <v>21</v>
      </c>
      <c r="I4414">
        <f t="shared" si="205"/>
        <v>144</v>
      </c>
      <c r="J4414">
        <f t="shared" si="206"/>
        <v>1152</v>
      </c>
    </row>
    <row r="4415" spans="1:10" x14ac:dyDescent="0.45">
      <c r="A4415" t="s">
        <v>3772</v>
      </c>
      <c r="B4415" s="1">
        <v>45971</v>
      </c>
      <c r="C4415" t="s">
        <v>33</v>
      </c>
      <c r="D4415" t="s">
        <v>14</v>
      </c>
      <c r="E4415">
        <v>800</v>
      </c>
      <c r="F4415">
        <v>3</v>
      </c>
      <c r="G4415">
        <f t="shared" si="204"/>
        <v>2400</v>
      </c>
      <c r="H4415" t="s">
        <v>21</v>
      </c>
      <c r="I4415">
        <f t="shared" si="205"/>
        <v>960</v>
      </c>
      <c r="J4415">
        <f t="shared" si="206"/>
        <v>2880</v>
      </c>
    </row>
    <row r="4416" spans="1:10" x14ac:dyDescent="0.45">
      <c r="A4416" t="s">
        <v>2384</v>
      </c>
      <c r="B4416" s="1">
        <v>45972</v>
      </c>
      <c r="C4416" t="s">
        <v>33</v>
      </c>
      <c r="D4416" t="s">
        <v>16</v>
      </c>
      <c r="E4416">
        <v>1200</v>
      </c>
      <c r="F4416">
        <v>5</v>
      </c>
      <c r="G4416">
        <f t="shared" si="204"/>
        <v>6000</v>
      </c>
      <c r="H4416" t="s">
        <v>17</v>
      </c>
      <c r="I4416">
        <f t="shared" si="205"/>
        <v>1440</v>
      </c>
      <c r="J4416">
        <f t="shared" si="206"/>
        <v>7200</v>
      </c>
    </row>
    <row r="4417" spans="1:10" x14ac:dyDescent="0.45">
      <c r="A4417" t="s">
        <v>2385</v>
      </c>
      <c r="B4417" s="1">
        <v>45972</v>
      </c>
      <c r="C4417" t="s">
        <v>33</v>
      </c>
      <c r="D4417" t="s">
        <v>16</v>
      </c>
      <c r="E4417">
        <v>1200</v>
      </c>
      <c r="F4417">
        <v>7</v>
      </c>
      <c r="G4417">
        <f t="shared" si="204"/>
        <v>8400</v>
      </c>
      <c r="H4417" t="s">
        <v>21</v>
      </c>
      <c r="I4417">
        <f t="shared" si="205"/>
        <v>1440</v>
      </c>
      <c r="J4417">
        <f t="shared" si="206"/>
        <v>10080</v>
      </c>
    </row>
    <row r="4418" spans="1:10" x14ac:dyDescent="0.45">
      <c r="A4418" t="s">
        <v>2386</v>
      </c>
      <c r="B4418" s="1">
        <v>45972</v>
      </c>
      <c r="C4418" t="s">
        <v>33</v>
      </c>
      <c r="D4418" t="s">
        <v>16</v>
      </c>
      <c r="E4418">
        <v>1200</v>
      </c>
      <c r="F4418">
        <v>10</v>
      </c>
      <c r="G4418">
        <f t="shared" ref="G4418:G4481" si="207">E4418*F4418</f>
        <v>12000</v>
      </c>
      <c r="H4418" t="s">
        <v>17</v>
      </c>
      <c r="I4418">
        <f t="shared" ref="I4418:I4481" si="208">E4418*1.2</f>
        <v>1440</v>
      </c>
      <c r="J4418">
        <f t="shared" ref="J4418:J4481" si="209">I4418*F4418</f>
        <v>14400</v>
      </c>
    </row>
    <row r="4419" spans="1:10" x14ac:dyDescent="0.45">
      <c r="A4419" t="s">
        <v>2387</v>
      </c>
      <c r="B4419" s="1">
        <v>45972</v>
      </c>
      <c r="C4419" t="s">
        <v>33</v>
      </c>
      <c r="D4419" t="s">
        <v>14</v>
      </c>
      <c r="E4419">
        <v>800</v>
      </c>
      <c r="F4419">
        <v>7</v>
      </c>
      <c r="G4419">
        <f t="shared" si="207"/>
        <v>5600</v>
      </c>
      <c r="H4419" t="s">
        <v>17</v>
      </c>
      <c r="I4419">
        <f t="shared" si="208"/>
        <v>960</v>
      </c>
      <c r="J4419">
        <f t="shared" si="209"/>
        <v>6720</v>
      </c>
    </row>
    <row r="4420" spans="1:10" x14ac:dyDescent="0.45">
      <c r="A4420" t="s">
        <v>2388</v>
      </c>
      <c r="B4420" s="1">
        <v>45972</v>
      </c>
      <c r="C4420" t="s">
        <v>9</v>
      </c>
      <c r="D4420" t="s">
        <v>25</v>
      </c>
      <c r="E4420">
        <v>5200</v>
      </c>
      <c r="F4420">
        <v>1</v>
      </c>
      <c r="G4420">
        <f t="shared" si="207"/>
        <v>5200</v>
      </c>
      <c r="H4420" t="s">
        <v>21</v>
      </c>
      <c r="I4420">
        <f t="shared" si="208"/>
        <v>6240</v>
      </c>
      <c r="J4420">
        <f t="shared" si="209"/>
        <v>6240</v>
      </c>
    </row>
    <row r="4421" spans="1:10" x14ac:dyDescent="0.45">
      <c r="A4421" t="s">
        <v>2389</v>
      </c>
      <c r="B4421" s="1">
        <v>45972</v>
      </c>
      <c r="C4421" t="s">
        <v>9</v>
      </c>
      <c r="D4421" t="s">
        <v>10</v>
      </c>
      <c r="E4421">
        <v>400</v>
      </c>
      <c r="F4421">
        <v>10</v>
      </c>
      <c r="G4421">
        <f t="shared" si="207"/>
        <v>4000</v>
      </c>
      <c r="H4421" t="s">
        <v>17</v>
      </c>
      <c r="I4421">
        <f t="shared" si="208"/>
        <v>480</v>
      </c>
      <c r="J4421">
        <f t="shared" si="209"/>
        <v>4800</v>
      </c>
    </row>
    <row r="4422" spans="1:10" x14ac:dyDescent="0.45">
      <c r="A4422" t="s">
        <v>2390</v>
      </c>
      <c r="B4422" s="1">
        <v>45972</v>
      </c>
      <c r="C4422" t="s">
        <v>4007</v>
      </c>
      <c r="D4422" t="s">
        <v>39</v>
      </c>
      <c r="E4422">
        <v>6000</v>
      </c>
      <c r="F4422">
        <v>7</v>
      </c>
      <c r="G4422">
        <f t="shared" si="207"/>
        <v>42000</v>
      </c>
      <c r="H4422" t="s">
        <v>7</v>
      </c>
      <c r="I4422">
        <f t="shared" si="208"/>
        <v>7200</v>
      </c>
      <c r="J4422">
        <f t="shared" si="209"/>
        <v>50400</v>
      </c>
    </row>
    <row r="4423" spans="1:10" x14ac:dyDescent="0.45">
      <c r="A4423" t="s">
        <v>2861</v>
      </c>
      <c r="B4423" s="1">
        <v>45972</v>
      </c>
      <c r="C4423" t="s">
        <v>4007</v>
      </c>
      <c r="D4423" t="s">
        <v>2770</v>
      </c>
      <c r="E4423">
        <v>600</v>
      </c>
      <c r="F4423">
        <v>7</v>
      </c>
      <c r="G4423">
        <f t="shared" si="207"/>
        <v>4200</v>
      </c>
      <c r="H4423" t="s">
        <v>7</v>
      </c>
      <c r="I4423">
        <f t="shared" si="208"/>
        <v>720</v>
      </c>
      <c r="J4423">
        <f t="shared" si="209"/>
        <v>5040</v>
      </c>
    </row>
    <row r="4424" spans="1:10" x14ac:dyDescent="0.45">
      <c r="A4424" t="s">
        <v>3131</v>
      </c>
      <c r="B4424" s="1">
        <v>45972</v>
      </c>
      <c r="C4424" t="s">
        <v>4007</v>
      </c>
      <c r="D4424" t="s">
        <v>28</v>
      </c>
      <c r="E4424">
        <v>500</v>
      </c>
      <c r="F4424">
        <v>1</v>
      </c>
      <c r="G4424">
        <f t="shared" si="207"/>
        <v>500</v>
      </c>
      <c r="H4424" t="s">
        <v>7</v>
      </c>
      <c r="I4424">
        <f t="shared" si="208"/>
        <v>600</v>
      </c>
      <c r="J4424">
        <f t="shared" si="209"/>
        <v>600</v>
      </c>
    </row>
    <row r="4425" spans="1:10" x14ac:dyDescent="0.45">
      <c r="A4425" t="s">
        <v>3295</v>
      </c>
      <c r="B4425" s="1">
        <v>45972</v>
      </c>
      <c r="C4425" t="s">
        <v>4007</v>
      </c>
      <c r="D4425" t="s">
        <v>2770</v>
      </c>
      <c r="E4425">
        <v>600</v>
      </c>
      <c r="F4425">
        <v>9</v>
      </c>
      <c r="G4425">
        <f t="shared" si="207"/>
        <v>5400</v>
      </c>
      <c r="H4425" t="s">
        <v>21</v>
      </c>
      <c r="I4425">
        <f t="shared" si="208"/>
        <v>720</v>
      </c>
      <c r="J4425">
        <f t="shared" si="209"/>
        <v>6480</v>
      </c>
    </row>
    <row r="4426" spans="1:10" x14ac:dyDescent="0.45">
      <c r="A4426" t="s">
        <v>3507</v>
      </c>
      <c r="B4426" s="1">
        <v>45972</v>
      </c>
      <c r="C4426" t="s">
        <v>2772</v>
      </c>
      <c r="D4426" t="s">
        <v>2771</v>
      </c>
      <c r="E4426">
        <v>120</v>
      </c>
      <c r="F4426">
        <v>10</v>
      </c>
      <c r="G4426">
        <f t="shared" si="207"/>
        <v>1200</v>
      </c>
      <c r="H4426" t="s">
        <v>21</v>
      </c>
      <c r="I4426">
        <f t="shared" si="208"/>
        <v>144</v>
      </c>
      <c r="J4426">
        <f t="shared" si="209"/>
        <v>1440</v>
      </c>
    </row>
    <row r="4427" spans="1:10" x14ac:dyDescent="0.45">
      <c r="A4427" t="s">
        <v>3585</v>
      </c>
      <c r="B4427" s="1">
        <v>45972</v>
      </c>
      <c r="C4427" t="s">
        <v>4007</v>
      </c>
      <c r="D4427" t="s">
        <v>2776</v>
      </c>
      <c r="E4427">
        <v>3600</v>
      </c>
      <c r="F4427">
        <v>4</v>
      </c>
      <c r="G4427">
        <f t="shared" si="207"/>
        <v>14400</v>
      </c>
      <c r="H4427" t="s">
        <v>7</v>
      </c>
      <c r="I4427">
        <f t="shared" si="208"/>
        <v>4320</v>
      </c>
      <c r="J4427">
        <f t="shared" si="209"/>
        <v>17280</v>
      </c>
    </row>
    <row r="4428" spans="1:10" x14ac:dyDescent="0.45">
      <c r="A4428" t="s">
        <v>3699</v>
      </c>
      <c r="B4428" s="1">
        <v>45972</v>
      </c>
      <c r="C4428" t="s">
        <v>4007</v>
      </c>
      <c r="D4428" t="s">
        <v>2776</v>
      </c>
      <c r="E4428">
        <v>3600</v>
      </c>
      <c r="F4428">
        <v>4</v>
      </c>
      <c r="G4428">
        <f t="shared" si="207"/>
        <v>14400</v>
      </c>
      <c r="H4428" t="s">
        <v>21</v>
      </c>
      <c r="I4428">
        <f t="shared" si="208"/>
        <v>4320</v>
      </c>
      <c r="J4428">
        <f t="shared" si="209"/>
        <v>17280</v>
      </c>
    </row>
    <row r="4429" spans="1:10" x14ac:dyDescent="0.45">
      <c r="A4429" t="s">
        <v>3888</v>
      </c>
      <c r="B4429" s="1">
        <v>45972</v>
      </c>
      <c r="C4429" t="s">
        <v>2772</v>
      </c>
      <c r="D4429" t="s">
        <v>2775</v>
      </c>
      <c r="E4429">
        <v>9100</v>
      </c>
      <c r="F4429">
        <v>6</v>
      </c>
      <c r="G4429">
        <f t="shared" si="207"/>
        <v>54600</v>
      </c>
      <c r="H4429" t="s">
        <v>17</v>
      </c>
      <c r="I4429">
        <f t="shared" si="208"/>
        <v>10920</v>
      </c>
      <c r="J4429">
        <f t="shared" si="209"/>
        <v>65520</v>
      </c>
    </row>
    <row r="4430" spans="1:10" x14ac:dyDescent="0.45">
      <c r="A4430" t="s">
        <v>3897</v>
      </c>
      <c r="B4430" s="1">
        <v>45972</v>
      </c>
      <c r="C4430" t="s">
        <v>4007</v>
      </c>
      <c r="D4430" t="s">
        <v>2774</v>
      </c>
      <c r="E4430">
        <v>1900</v>
      </c>
      <c r="F4430">
        <v>4</v>
      </c>
      <c r="G4430">
        <f t="shared" si="207"/>
        <v>7600</v>
      </c>
      <c r="H4430" t="s">
        <v>21</v>
      </c>
      <c r="I4430">
        <f t="shared" si="208"/>
        <v>2280</v>
      </c>
      <c r="J4430">
        <f t="shared" si="209"/>
        <v>9120</v>
      </c>
    </row>
    <row r="4431" spans="1:10" x14ac:dyDescent="0.45">
      <c r="A4431" t="s">
        <v>2391</v>
      </c>
      <c r="B4431" s="1">
        <v>45973</v>
      </c>
      <c r="C4431" t="s">
        <v>4007</v>
      </c>
      <c r="D4431" t="s">
        <v>5015</v>
      </c>
      <c r="E4431">
        <v>48000</v>
      </c>
      <c r="F4431">
        <v>2</v>
      </c>
      <c r="G4431">
        <f t="shared" si="207"/>
        <v>96000</v>
      </c>
      <c r="H4431" t="s">
        <v>21</v>
      </c>
      <c r="I4431">
        <f t="shared" si="208"/>
        <v>57600</v>
      </c>
      <c r="J4431">
        <f t="shared" si="209"/>
        <v>115200</v>
      </c>
    </row>
    <row r="4432" spans="1:10" x14ac:dyDescent="0.45">
      <c r="A4432" t="s">
        <v>2392</v>
      </c>
      <c r="B4432" s="1">
        <v>45973</v>
      </c>
      <c r="C4432" t="s">
        <v>4007</v>
      </c>
      <c r="D4432" t="s">
        <v>28</v>
      </c>
      <c r="E4432">
        <v>500</v>
      </c>
      <c r="F4432">
        <v>6</v>
      </c>
      <c r="G4432">
        <f t="shared" si="207"/>
        <v>3000</v>
      </c>
      <c r="H4432" t="s">
        <v>21</v>
      </c>
      <c r="I4432">
        <f t="shared" si="208"/>
        <v>600</v>
      </c>
      <c r="J4432">
        <f t="shared" si="209"/>
        <v>3600</v>
      </c>
    </row>
    <row r="4433" spans="1:10" x14ac:dyDescent="0.45">
      <c r="A4433" t="s">
        <v>2393</v>
      </c>
      <c r="B4433" s="1">
        <v>45973</v>
      </c>
      <c r="C4433" t="s">
        <v>9</v>
      </c>
      <c r="D4433" t="s">
        <v>25</v>
      </c>
      <c r="E4433">
        <v>5200</v>
      </c>
      <c r="F4433">
        <v>6</v>
      </c>
      <c r="G4433">
        <f t="shared" si="207"/>
        <v>31200</v>
      </c>
      <c r="H4433" t="s">
        <v>7</v>
      </c>
      <c r="I4433">
        <f t="shared" si="208"/>
        <v>6240</v>
      </c>
      <c r="J4433">
        <f t="shared" si="209"/>
        <v>37440</v>
      </c>
    </row>
    <row r="4434" spans="1:10" x14ac:dyDescent="0.45">
      <c r="A4434" t="s">
        <v>2394</v>
      </c>
      <c r="B4434" s="1">
        <v>45973</v>
      </c>
      <c r="C4434" t="s">
        <v>4007</v>
      </c>
      <c r="D4434" t="s">
        <v>28</v>
      </c>
      <c r="E4434">
        <v>500</v>
      </c>
      <c r="F4434">
        <v>3</v>
      </c>
      <c r="G4434">
        <f t="shared" si="207"/>
        <v>1500</v>
      </c>
      <c r="H4434" t="s">
        <v>7</v>
      </c>
      <c r="I4434">
        <f t="shared" si="208"/>
        <v>600</v>
      </c>
      <c r="J4434">
        <f t="shared" si="209"/>
        <v>1800</v>
      </c>
    </row>
    <row r="4435" spans="1:10" x14ac:dyDescent="0.45">
      <c r="A4435" t="s">
        <v>2395</v>
      </c>
      <c r="B4435" s="1">
        <v>45973</v>
      </c>
      <c r="C4435" t="s">
        <v>9</v>
      </c>
      <c r="D4435" t="s">
        <v>19</v>
      </c>
      <c r="E4435">
        <v>3000</v>
      </c>
      <c r="F4435">
        <v>10</v>
      </c>
      <c r="G4435">
        <f t="shared" si="207"/>
        <v>30000</v>
      </c>
      <c r="H4435" t="s">
        <v>17</v>
      </c>
      <c r="I4435">
        <f t="shared" si="208"/>
        <v>3600</v>
      </c>
      <c r="J4435">
        <f t="shared" si="209"/>
        <v>36000</v>
      </c>
    </row>
    <row r="4436" spans="1:10" x14ac:dyDescent="0.45">
      <c r="A4436" t="s">
        <v>2396</v>
      </c>
      <c r="B4436" s="1">
        <v>45973</v>
      </c>
      <c r="C4436" t="s">
        <v>4007</v>
      </c>
      <c r="D4436" t="s">
        <v>4005</v>
      </c>
      <c r="E4436">
        <v>60000</v>
      </c>
      <c r="F4436">
        <v>4</v>
      </c>
      <c r="G4436">
        <f t="shared" si="207"/>
        <v>240000</v>
      </c>
      <c r="H4436" t="s">
        <v>17</v>
      </c>
      <c r="I4436">
        <f t="shared" si="208"/>
        <v>72000</v>
      </c>
      <c r="J4436">
        <f t="shared" si="209"/>
        <v>288000</v>
      </c>
    </row>
    <row r="4437" spans="1:10" x14ac:dyDescent="0.45">
      <c r="A4437" t="s">
        <v>2397</v>
      </c>
      <c r="B4437" s="1">
        <v>45973</v>
      </c>
      <c r="C4437" t="s">
        <v>9</v>
      </c>
      <c r="D4437" t="s">
        <v>10</v>
      </c>
      <c r="E4437">
        <v>400</v>
      </c>
      <c r="F4437">
        <v>10</v>
      </c>
      <c r="G4437">
        <f t="shared" si="207"/>
        <v>4000</v>
      </c>
      <c r="H4437" t="s">
        <v>21</v>
      </c>
      <c r="I4437">
        <f t="shared" si="208"/>
        <v>480</v>
      </c>
      <c r="J4437">
        <f t="shared" si="209"/>
        <v>4800</v>
      </c>
    </row>
    <row r="4438" spans="1:10" x14ac:dyDescent="0.45">
      <c r="A4438" t="s">
        <v>2398</v>
      </c>
      <c r="B4438" s="1">
        <v>45973</v>
      </c>
      <c r="C4438" t="s">
        <v>33</v>
      </c>
      <c r="D4438" t="s">
        <v>16</v>
      </c>
      <c r="E4438">
        <v>1200</v>
      </c>
      <c r="F4438">
        <v>6</v>
      </c>
      <c r="G4438">
        <f t="shared" si="207"/>
        <v>7200</v>
      </c>
      <c r="H4438" t="s">
        <v>7</v>
      </c>
      <c r="I4438">
        <f t="shared" si="208"/>
        <v>1440</v>
      </c>
      <c r="J4438">
        <f t="shared" si="209"/>
        <v>8640</v>
      </c>
    </row>
    <row r="4439" spans="1:10" x14ac:dyDescent="0.45">
      <c r="A4439" t="s">
        <v>3562</v>
      </c>
      <c r="B4439" s="1">
        <v>45973</v>
      </c>
      <c r="C4439" t="s">
        <v>4007</v>
      </c>
      <c r="D4439" t="s">
        <v>28</v>
      </c>
      <c r="E4439">
        <v>500</v>
      </c>
      <c r="F4439">
        <v>5</v>
      </c>
      <c r="G4439">
        <f t="shared" si="207"/>
        <v>2500</v>
      </c>
      <c r="H4439" t="s">
        <v>17</v>
      </c>
      <c r="I4439">
        <f t="shared" si="208"/>
        <v>600</v>
      </c>
      <c r="J4439">
        <f t="shared" si="209"/>
        <v>3000</v>
      </c>
    </row>
    <row r="4440" spans="1:10" x14ac:dyDescent="0.45">
      <c r="A4440" t="s">
        <v>3597</v>
      </c>
      <c r="B4440" s="1">
        <v>45973</v>
      </c>
      <c r="C4440" t="s">
        <v>4007</v>
      </c>
      <c r="D4440" t="s">
        <v>2776</v>
      </c>
      <c r="E4440">
        <v>3600</v>
      </c>
      <c r="F4440">
        <v>2</v>
      </c>
      <c r="G4440">
        <f t="shared" si="207"/>
        <v>7200</v>
      </c>
      <c r="H4440" t="s">
        <v>21</v>
      </c>
      <c r="I4440">
        <f t="shared" si="208"/>
        <v>4320</v>
      </c>
      <c r="J4440">
        <f t="shared" si="209"/>
        <v>8640</v>
      </c>
    </row>
    <row r="4441" spans="1:10" x14ac:dyDescent="0.45">
      <c r="A4441" t="s">
        <v>3933</v>
      </c>
      <c r="B4441" s="1">
        <v>45973</v>
      </c>
      <c r="C4441" t="s">
        <v>4007</v>
      </c>
      <c r="D4441" t="s">
        <v>2776</v>
      </c>
      <c r="E4441">
        <v>3600</v>
      </c>
      <c r="F4441">
        <v>10</v>
      </c>
      <c r="G4441">
        <f t="shared" si="207"/>
        <v>36000</v>
      </c>
      <c r="H4441" t="s">
        <v>17</v>
      </c>
      <c r="I4441">
        <f t="shared" si="208"/>
        <v>4320</v>
      </c>
      <c r="J4441">
        <f t="shared" si="209"/>
        <v>43200</v>
      </c>
    </row>
    <row r="4442" spans="1:10" x14ac:dyDescent="0.45">
      <c r="A4442" t="s">
        <v>3940</v>
      </c>
      <c r="B4442" s="1">
        <v>45973</v>
      </c>
      <c r="C4442" t="s">
        <v>4007</v>
      </c>
      <c r="D4442" t="s">
        <v>2774</v>
      </c>
      <c r="E4442">
        <v>1900</v>
      </c>
      <c r="F4442">
        <v>4</v>
      </c>
      <c r="G4442">
        <f t="shared" si="207"/>
        <v>7600</v>
      </c>
      <c r="H4442" t="s">
        <v>7</v>
      </c>
      <c r="I4442">
        <f t="shared" si="208"/>
        <v>2280</v>
      </c>
      <c r="J4442">
        <f t="shared" si="209"/>
        <v>9120</v>
      </c>
    </row>
    <row r="4443" spans="1:10" x14ac:dyDescent="0.45">
      <c r="A4443" t="s">
        <v>2399</v>
      </c>
      <c r="B4443" s="1">
        <v>45974</v>
      </c>
      <c r="C4443" t="s">
        <v>4007</v>
      </c>
      <c r="D4443" t="s">
        <v>5015</v>
      </c>
      <c r="E4443">
        <v>48000</v>
      </c>
      <c r="F4443">
        <v>10</v>
      </c>
      <c r="G4443">
        <f t="shared" si="207"/>
        <v>480000</v>
      </c>
      <c r="H4443" t="s">
        <v>17</v>
      </c>
      <c r="I4443">
        <f t="shared" si="208"/>
        <v>57600</v>
      </c>
      <c r="J4443">
        <f t="shared" si="209"/>
        <v>576000</v>
      </c>
    </row>
    <row r="4444" spans="1:10" x14ac:dyDescent="0.45">
      <c r="A4444" t="s">
        <v>2400</v>
      </c>
      <c r="B4444" s="1">
        <v>45974</v>
      </c>
      <c r="C4444" t="s">
        <v>9</v>
      </c>
      <c r="D4444" t="s">
        <v>25</v>
      </c>
      <c r="E4444">
        <v>5200</v>
      </c>
      <c r="F4444">
        <v>10</v>
      </c>
      <c r="G4444">
        <f t="shared" si="207"/>
        <v>52000</v>
      </c>
      <c r="H4444" t="s">
        <v>7</v>
      </c>
      <c r="I4444">
        <f t="shared" si="208"/>
        <v>6240</v>
      </c>
      <c r="J4444">
        <f t="shared" si="209"/>
        <v>62400</v>
      </c>
    </row>
    <row r="4445" spans="1:10" x14ac:dyDescent="0.45">
      <c r="A4445" t="s">
        <v>2401</v>
      </c>
      <c r="B4445" s="1">
        <v>45974</v>
      </c>
      <c r="C4445" t="s">
        <v>4007</v>
      </c>
      <c r="D4445" t="s">
        <v>28</v>
      </c>
      <c r="E4445">
        <v>500</v>
      </c>
      <c r="F4445">
        <v>9</v>
      </c>
      <c r="G4445">
        <f t="shared" si="207"/>
        <v>4500</v>
      </c>
      <c r="H4445" t="s">
        <v>17</v>
      </c>
      <c r="I4445">
        <f t="shared" si="208"/>
        <v>600</v>
      </c>
      <c r="J4445">
        <f t="shared" si="209"/>
        <v>5400</v>
      </c>
    </row>
    <row r="4446" spans="1:10" x14ac:dyDescent="0.45">
      <c r="A4446" t="s">
        <v>2402</v>
      </c>
      <c r="B4446" s="1">
        <v>45974</v>
      </c>
      <c r="C4446" t="s">
        <v>4007</v>
      </c>
      <c r="D4446" t="s">
        <v>5015</v>
      </c>
      <c r="E4446">
        <v>48000</v>
      </c>
      <c r="F4446">
        <v>10</v>
      </c>
      <c r="G4446">
        <f t="shared" si="207"/>
        <v>480000</v>
      </c>
      <c r="H4446" t="s">
        <v>17</v>
      </c>
      <c r="I4446">
        <f t="shared" si="208"/>
        <v>57600</v>
      </c>
      <c r="J4446">
        <f t="shared" si="209"/>
        <v>576000</v>
      </c>
    </row>
    <row r="4447" spans="1:10" x14ac:dyDescent="0.45">
      <c r="A4447" t="s">
        <v>2403</v>
      </c>
      <c r="B4447" s="1">
        <v>45974</v>
      </c>
      <c r="C4447" t="s">
        <v>12</v>
      </c>
      <c r="D4447" t="s">
        <v>5021</v>
      </c>
      <c r="E4447">
        <v>2880</v>
      </c>
      <c r="F4447">
        <v>6</v>
      </c>
      <c r="G4447">
        <f t="shared" si="207"/>
        <v>17280</v>
      </c>
      <c r="H4447" t="s">
        <v>21</v>
      </c>
      <c r="I4447">
        <f t="shared" si="208"/>
        <v>3456</v>
      </c>
      <c r="J4447">
        <f t="shared" si="209"/>
        <v>20736</v>
      </c>
    </row>
    <row r="4448" spans="1:10" x14ac:dyDescent="0.45">
      <c r="A4448" t="s">
        <v>2404</v>
      </c>
      <c r="B4448" s="1">
        <v>45974</v>
      </c>
      <c r="C4448" t="s">
        <v>12</v>
      </c>
      <c r="D4448" t="s">
        <v>5020</v>
      </c>
      <c r="E4448">
        <v>2880</v>
      </c>
      <c r="F4448">
        <v>2</v>
      </c>
      <c r="G4448">
        <f t="shared" si="207"/>
        <v>5760</v>
      </c>
      <c r="H4448" t="s">
        <v>7</v>
      </c>
      <c r="I4448">
        <f t="shared" si="208"/>
        <v>3456</v>
      </c>
      <c r="J4448">
        <f t="shared" si="209"/>
        <v>6912</v>
      </c>
    </row>
    <row r="4449" spans="1:10" x14ac:dyDescent="0.45">
      <c r="A4449" t="s">
        <v>2405</v>
      </c>
      <c r="B4449" s="1">
        <v>45974</v>
      </c>
      <c r="C4449" t="s">
        <v>12</v>
      </c>
      <c r="D4449" t="s">
        <v>5022</v>
      </c>
      <c r="E4449">
        <v>2880</v>
      </c>
      <c r="F4449">
        <v>6</v>
      </c>
      <c r="G4449">
        <f t="shared" si="207"/>
        <v>17280</v>
      </c>
      <c r="H4449" t="s">
        <v>17</v>
      </c>
      <c r="I4449">
        <f t="shared" si="208"/>
        <v>3456</v>
      </c>
      <c r="J4449">
        <f t="shared" si="209"/>
        <v>20736</v>
      </c>
    </row>
    <row r="4450" spans="1:10" x14ac:dyDescent="0.45">
      <c r="A4450" t="s">
        <v>2406</v>
      </c>
      <c r="B4450" s="1">
        <v>45974</v>
      </c>
      <c r="C4450" t="s">
        <v>33</v>
      </c>
      <c r="D4450" t="s">
        <v>34</v>
      </c>
      <c r="E4450">
        <v>1700</v>
      </c>
      <c r="F4450">
        <v>7</v>
      </c>
      <c r="G4450">
        <f t="shared" si="207"/>
        <v>11900</v>
      </c>
      <c r="H4450" t="s">
        <v>21</v>
      </c>
      <c r="I4450">
        <f t="shared" si="208"/>
        <v>2040</v>
      </c>
      <c r="J4450">
        <f t="shared" si="209"/>
        <v>14280</v>
      </c>
    </row>
    <row r="4451" spans="1:10" x14ac:dyDescent="0.45">
      <c r="A4451" t="s">
        <v>2407</v>
      </c>
      <c r="B4451" s="1">
        <v>45974</v>
      </c>
      <c r="C4451" t="s">
        <v>9</v>
      </c>
      <c r="D4451" t="s">
        <v>19</v>
      </c>
      <c r="E4451">
        <v>3000</v>
      </c>
      <c r="F4451">
        <v>6</v>
      </c>
      <c r="G4451">
        <f t="shared" si="207"/>
        <v>18000</v>
      </c>
      <c r="H4451" t="s">
        <v>21</v>
      </c>
      <c r="I4451">
        <f t="shared" si="208"/>
        <v>3600</v>
      </c>
      <c r="J4451">
        <f t="shared" si="209"/>
        <v>21600</v>
      </c>
    </row>
    <row r="4452" spans="1:10" x14ac:dyDescent="0.45">
      <c r="A4452" t="s">
        <v>2788</v>
      </c>
      <c r="B4452" s="1">
        <v>45974</v>
      </c>
      <c r="C4452" t="s">
        <v>2772</v>
      </c>
      <c r="D4452" t="s">
        <v>2775</v>
      </c>
      <c r="E4452">
        <v>9100</v>
      </c>
      <c r="F4452">
        <v>5</v>
      </c>
      <c r="G4452">
        <f t="shared" si="207"/>
        <v>45500</v>
      </c>
      <c r="H4452" t="s">
        <v>21</v>
      </c>
      <c r="I4452">
        <f t="shared" si="208"/>
        <v>10920</v>
      </c>
      <c r="J4452">
        <f t="shared" si="209"/>
        <v>54600</v>
      </c>
    </row>
    <row r="4453" spans="1:10" x14ac:dyDescent="0.45">
      <c r="A4453" t="s">
        <v>3068</v>
      </c>
      <c r="B4453" s="1">
        <v>45974</v>
      </c>
      <c r="C4453" t="s">
        <v>33</v>
      </c>
      <c r="D4453" t="s">
        <v>34</v>
      </c>
      <c r="E4453">
        <v>1700</v>
      </c>
      <c r="F4453">
        <v>6</v>
      </c>
      <c r="G4453">
        <f t="shared" si="207"/>
        <v>10200</v>
      </c>
      <c r="H4453" t="s">
        <v>7</v>
      </c>
      <c r="I4453">
        <f t="shared" si="208"/>
        <v>2040</v>
      </c>
      <c r="J4453">
        <f t="shared" si="209"/>
        <v>12240</v>
      </c>
    </row>
    <row r="4454" spans="1:10" x14ac:dyDescent="0.45">
      <c r="A4454" t="s">
        <v>3082</v>
      </c>
      <c r="B4454" s="1">
        <v>45974</v>
      </c>
      <c r="C4454" t="s">
        <v>33</v>
      </c>
      <c r="D4454" t="s">
        <v>34</v>
      </c>
      <c r="E4454">
        <v>1700</v>
      </c>
      <c r="F4454">
        <v>9</v>
      </c>
      <c r="G4454">
        <f t="shared" si="207"/>
        <v>15300</v>
      </c>
      <c r="H4454" t="s">
        <v>21</v>
      </c>
      <c r="I4454">
        <f t="shared" si="208"/>
        <v>2040</v>
      </c>
      <c r="J4454">
        <f t="shared" si="209"/>
        <v>18360</v>
      </c>
    </row>
    <row r="4455" spans="1:10" x14ac:dyDescent="0.45">
      <c r="A4455" t="s">
        <v>3169</v>
      </c>
      <c r="B4455" s="1">
        <v>45974</v>
      </c>
      <c r="C4455" t="s">
        <v>4007</v>
      </c>
      <c r="D4455" t="s">
        <v>2776</v>
      </c>
      <c r="E4455">
        <v>3600</v>
      </c>
      <c r="F4455">
        <v>6</v>
      </c>
      <c r="G4455">
        <f t="shared" si="207"/>
        <v>21600</v>
      </c>
      <c r="H4455" t="s">
        <v>7</v>
      </c>
      <c r="I4455">
        <f t="shared" si="208"/>
        <v>4320</v>
      </c>
      <c r="J4455">
        <f t="shared" si="209"/>
        <v>25920</v>
      </c>
    </row>
    <row r="4456" spans="1:10" x14ac:dyDescent="0.45">
      <c r="A4456" t="s">
        <v>3174</v>
      </c>
      <c r="B4456" s="1">
        <v>45974</v>
      </c>
      <c r="C4456" t="s">
        <v>4007</v>
      </c>
      <c r="D4456" t="s">
        <v>5015</v>
      </c>
      <c r="E4456">
        <v>48000</v>
      </c>
      <c r="F4456">
        <v>5</v>
      </c>
      <c r="G4456">
        <f t="shared" si="207"/>
        <v>240000</v>
      </c>
      <c r="H4456" t="s">
        <v>17</v>
      </c>
      <c r="I4456">
        <f t="shared" si="208"/>
        <v>57600</v>
      </c>
      <c r="J4456">
        <f t="shared" si="209"/>
        <v>288000</v>
      </c>
    </row>
    <row r="4457" spans="1:10" x14ac:dyDescent="0.45">
      <c r="A4457" t="s">
        <v>2408</v>
      </c>
      <c r="B4457" s="1">
        <v>45975</v>
      </c>
      <c r="C4457" t="s">
        <v>12</v>
      </c>
      <c r="D4457" t="s">
        <v>5023</v>
      </c>
      <c r="E4457">
        <v>1750</v>
      </c>
      <c r="F4457">
        <v>1</v>
      </c>
      <c r="G4457">
        <f t="shared" si="207"/>
        <v>1750</v>
      </c>
      <c r="H4457" t="s">
        <v>7</v>
      </c>
      <c r="I4457">
        <f t="shared" si="208"/>
        <v>2100</v>
      </c>
      <c r="J4457">
        <f t="shared" si="209"/>
        <v>2100</v>
      </c>
    </row>
    <row r="4458" spans="1:10" x14ac:dyDescent="0.45">
      <c r="A4458" t="s">
        <v>2409</v>
      </c>
      <c r="B4458" s="1">
        <v>45975</v>
      </c>
      <c r="C4458" t="s">
        <v>4007</v>
      </c>
      <c r="D4458" t="s">
        <v>39</v>
      </c>
      <c r="E4458">
        <v>6000</v>
      </c>
      <c r="F4458">
        <v>10</v>
      </c>
      <c r="G4458">
        <f t="shared" si="207"/>
        <v>60000</v>
      </c>
      <c r="H4458" t="s">
        <v>21</v>
      </c>
      <c r="I4458">
        <f t="shared" si="208"/>
        <v>7200</v>
      </c>
      <c r="J4458">
        <f t="shared" si="209"/>
        <v>72000</v>
      </c>
    </row>
    <row r="4459" spans="1:10" x14ac:dyDescent="0.45">
      <c r="A4459" t="s">
        <v>2410</v>
      </c>
      <c r="B4459" s="1">
        <v>45975</v>
      </c>
      <c r="C4459" t="s">
        <v>12</v>
      </c>
      <c r="D4459" t="s">
        <v>5020</v>
      </c>
      <c r="E4459">
        <v>2880</v>
      </c>
      <c r="F4459">
        <v>6</v>
      </c>
      <c r="G4459">
        <f t="shared" si="207"/>
        <v>17280</v>
      </c>
      <c r="H4459" t="s">
        <v>17</v>
      </c>
      <c r="I4459">
        <f t="shared" si="208"/>
        <v>3456</v>
      </c>
      <c r="J4459">
        <f t="shared" si="209"/>
        <v>20736</v>
      </c>
    </row>
    <row r="4460" spans="1:10" x14ac:dyDescent="0.45">
      <c r="A4460" t="s">
        <v>2411</v>
      </c>
      <c r="B4460" s="1">
        <v>45975</v>
      </c>
      <c r="C4460" t="s">
        <v>12</v>
      </c>
      <c r="D4460" t="s">
        <v>5022</v>
      </c>
      <c r="E4460">
        <v>2880</v>
      </c>
      <c r="F4460">
        <v>7</v>
      </c>
      <c r="G4460">
        <f t="shared" si="207"/>
        <v>20160</v>
      </c>
      <c r="H4460" t="s">
        <v>21</v>
      </c>
      <c r="I4460">
        <f t="shared" si="208"/>
        <v>3456</v>
      </c>
      <c r="J4460">
        <f t="shared" si="209"/>
        <v>24192</v>
      </c>
    </row>
    <row r="4461" spans="1:10" x14ac:dyDescent="0.45">
      <c r="A4461" t="s">
        <v>2412</v>
      </c>
      <c r="B4461" s="1">
        <v>45975</v>
      </c>
      <c r="C4461" t="s">
        <v>4007</v>
      </c>
      <c r="D4461" t="s">
        <v>28</v>
      </c>
      <c r="E4461">
        <v>500</v>
      </c>
      <c r="F4461">
        <v>10</v>
      </c>
      <c r="G4461">
        <f t="shared" si="207"/>
        <v>5000</v>
      </c>
      <c r="H4461" t="s">
        <v>17</v>
      </c>
      <c r="I4461">
        <f t="shared" si="208"/>
        <v>600</v>
      </c>
      <c r="J4461">
        <f t="shared" si="209"/>
        <v>6000</v>
      </c>
    </row>
    <row r="4462" spans="1:10" x14ac:dyDescent="0.45">
      <c r="A4462" t="s">
        <v>2413</v>
      </c>
      <c r="B4462" s="1">
        <v>45975</v>
      </c>
      <c r="C4462" t="s">
        <v>12</v>
      </c>
      <c r="D4462" t="s">
        <v>5021</v>
      </c>
      <c r="E4462">
        <v>2880</v>
      </c>
      <c r="F4462">
        <v>2</v>
      </c>
      <c r="G4462">
        <f t="shared" si="207"/>
        <v>5760</v>
      </c>
      <c r="H4462" t="s">
        <v>17</v>
      </c>
      <c r="I4462">
        <f t="shared" si="208"/>
        <v>3456</v>
      </c>
      <c r="J4462">
        <f t="shared" si="209"/>
        <v>6912</v>
      </c>
    </row>
    <row r="4463" spans="1:10" x14ac:dyDescent="0.45">
      <c r="A4463" t="s">
        <v>2414</v>
      </c>
      <c r="B4463" s="1">
        <v>45975</v>
      </c>
      <c r="C4463" t="s">
        <v>4007</v>
      </c>
      <c r="D4463" t="s">
        <v>4005</v>
      </c>
      <c r="E4463">
        <v>60000</v>
      </c>
      <c r="F4463">
        <v>8</v>
      </c>
      <c r="G4463">
        <f t="shared" si="207"/>
        <v>480000</v>
      </c>
      <c r="H4463" t="s">
        <v>17</v>
      </c>
      <c r="I4463">
        <f t="shared" si="208"/>
        <v>72000</v>
      </c>
      <c r="J4463">
        <f t="shared" si="209"/>
        <v>576000</v>
      </c>
    </row>
    <row r="4464" spans="1:10" x14ac:dyDescent="0.45">
      <c r="A4464" t="s">
        <v>2415</v>
      </c>
      <c r="B4464" s="1">
        <v>45975</v>
      </c>
      <c r="C4464" t="s">
        <v>9</v>
      </c>
      <c r="D4464" t="s">
        <v>25</v>
      </c>
      <c r="E4464">
        <v>5200</v>
      </c>
      <c r="F4464">
        <v>7</v>
      </c>
      <c r="G4464">
        <f t="shared" si="207"/>
        <v>36400</v>
      </c>
      <c r="H4464" t="s">
        <v>17</v>
      </c>
      <c r="I4464">
        <f t="shared" si="208"/>
        <v>6240</v>
      </c>
      <c r="J4464">
        <f t="shared" si="209"/>
        <v>43680</v>
      </c>
    </row>
    <row r="4465" spans="1:10" x14ac:dyDescent="0.45">
      <c r="A4465" t="s">
        <v>3224</v>
      </c>
      <c r="B4465" s="1">
        <v>45975</v>
      </c>
      <c r="C4465" t="s">
        <v>4007</v>
      </c>
      <c r="D4465" t="s">
        <v>2773</v>
      </c>
      <c r="E4465">
        <v>3300</v>
      </c>
      <c r="F4465">
        <v>6</v>
      </c>
      <c r="G4465">
        <f t="shared" si="207"/>
        <v>19800</v>
      </c>
      <c r="H4465" t="s">
        <v>21</v>
      </c>
      <c r="I4465">
        <f t="shared" si="208"/>
        <v>3960</v>
      </c>
      <c r="J4465">
        <f t="shared" si="209"/>
        <v>23760</v>
      </c>
    </row>
    <row r="4466" spans="1:10" x14ac:dyDescent="0.45">
      <c r="A4466" t="s">
        <v>3521</v>
      </c>
      <c r="B4466" s="1">
        <v>45975</v>
      </c>
      <c r="C4466" t="s">
        <v>4007</v>
      </c>
      <c r="D4466" t="s">
        <v>2776</v>
      </c>
      <c r="E4466">
        <v>3600</v>
      </c>
      <c r="F4466">
        <v>10</v>
      </c>
      <c r="G4466">
        <f t="shared" si="207"/>
        <v>36000</v>
      </c>
      <c r="H4466" t="s">
        <v>17</v>
      </c>
      <c r="I4466">
        <f t="shared" si="208"/>
        <v>4320</v>
      </c>
      <c r="J4466">
        <f t="shared" si="209"/>
        <v>43200</v>
      </c>
    </row>
    <row r="4467" spans="1:10" x14ac:dyDescent="0.45">
      <c r="A4467" t="s">
        <v>3545</v>
      </c>
      <c r="B4467" s="1">
        <v>45975</v>
      </c>
      <c r="C4467" t="s">
        <v>4007</v>
      </c>
      <c r="D4467" t="s">
        <v>2773</v>
      </c>
      <c r="E4467">
        <v>3300</v>
      </c>
      <c r="F4467">
        <v>6</v>
      </c>
      <c r="G4467">
        <f t="shared" si="207"/>
        <v>19800</v>
      </c>
      <c r="H4467" t="s">
        <v>21</v>
      </c>
      <c r="I4467">
        <f t="shared" si="208"/>
        <v>3960</v>
      </c>
      <c r="J4467">
        <f t="shared" si="209"/>
        <v>23760</v>
      </c>
    </row>
    <row r="4468" spans="1:10" x14ac:dyDescent="0.45">
      <c r="A4468" t="s">
        <v>3790</v>
      </c>
      <c r="B4468" s="1">
        <v>45975</v>
      </c>
      <c r="C4468" t="s">
        <v>4007</v>
      </c>
      <c r="D4468" t="s">
        <v>2776</v>
      </c>
      <c r="E4468">
        <v>3600</v>
      </c>
      <c r="F4468">
        <v>5</v>
      </c>
      <c r="G4468">
        <f t="shared" si="207"/>
        <v>18000</v>
      </c>
      <c r="H4468" t="s">
        <v>17</v>
      </c>
      <c r="I4468">
        <f t="shared" si="208"/>
        <v>4320</v>
      </c>
      <c r="J4468">
        <f t="shared" si="209"/>
        <v>21600</v>
      </c>
    </row>
    <row r="4469" spans="1:10" x14ac:dyDescent="0.45">
      <c r="A4469" t="s">
        <v>2416</v>
      </c>
      <c r="B4469" s="1">
        <v>45976</v>
      </c>
      <c r="C4469" t="s">
        <v>9</v>
      </c>
      <c r="D4469" t="s">
        <v>19</v>
      </c>
      <c r="E4469">
        <v>3000</v>
      </c>
      <c r="F4469">
        <v>1</v>
      </c>
      <c r="G4469">
        <f t="shared" si="207"/>
        <v>3000</v>
      </c>
      <c r="H4469" t="s">
        <v>17</v>
      </c>
      <c r="I4469">
        <f t="shared" si="208"/>
        <v>3600</v>
      </c>
      <c r="J4469">
        <f t="shared" si="209"/>
        <v>3600</v>
      </c>
    </row>
    <row r="4470" spans="1:10" x14ac:dyDescent="0.45">
      <c r="A4470" t="s">
        <v>2417</v>
      </c>
      <c r="B4470" s="1">
        <v>45976</v>
      </c>
      <c r="C4470" t="s">
        <v>12</v>
      </c>
      <c r="D4470" t="s">
        <v>5022</v>
      </c>
      <c r="E4470">
        <v>2880</v>
      </c>
      <c r="F4470">
        <v>9</v>
      </c>
      <c r="G4470">
        <f t="shared" si="207"/>
        <v>25920</v>
      </c>
      <c r="H4470" t="s">
        <v>7</v>
      </c>
      <c r="I4470">
        <f t="shared" si="208"/>
        <v>3456</v>
      </c>
      <c r="J4470">
        <f t="shared" si="209"/>
        <v>31104</v>
      </c>
    </row>
    <row r="4471" spans="1:10" x14ac:dyDescent="0.45">
      <c r="A4471" t="s">
        <v>2418</v>
      </c>
      <c r="B4471" s="1">
        <v>45976</v>
      </c>
      <c r="C4471" t="s">
        <v>33</v>
      </c>
      <c r="D4471" t="s">
        <v>14</v>
      </c>
      <c r="E4471">
        <v>800</v>
      </c>
      <c r="F4471">
        <v>2</v>
      </c>
      <c r="G4471">
        <f t="shared" si="207"/>
        <v>1600</v>
      </c>
      <c r="H4471" t="s">
        <v>17</v>
      </c>
      <c r="I4471">
        <f t="shared" si="208"/>
        <v>960</v>
      </c>
      <c r="J4471">
        <f t="shared" si="209"/>
        <v>1920</v>
      </c>
    </row>
    <row r="4472" spans="1:10" x14ac:dyDescent="0.45">
      <c r="A4472" t="s">
        <v>2419</v>
      </c>
      <c r="B4472" s="1">
        <v>45976</v>
      </c>
      <c r="C4472" t="s">
        <v>12</v>
      </c>
      <c r="D4472" t="s">
        <v>5023</v>
      </c>
      <c r="E4472">
        <v>1750</v>
      </c>
      <c r="F4472">
        <v>3</v>
      </c>
      <c r="G4472">
        <f t="shared" si="207"/>
        <v>5250</v>
      </c>
      <c r="H4472" t="s">
        <v>7</v>
      </c>
      <c r="I4472">
        <f t="shared" si="208"/>
        <v>2100</v>
      </c>
      <c r="J4472">
        <f t="shared" si="209"/>
        <v>6300</v>
      </c>
    </row>
    <row r="4473" spans="1:10" x14ac:dyDescent="0.45">
      <c r="A4473" t="s">
        <v>2420</v>
      </c>
      <c r="B4473" s="1">
        <v>45976</v>
      </c>
      <c r="C4473" t="s">
        <v>4007</v>
      </c>
      <c r="D4473" t="s">
        <v>4005</v>
      </c>
      <c r="E4473">
        <v>60000</v>
      </c>
      <c r="F4473">
        <v>7</v>
      </c>
      <c r="G4473">
        <f t="shared" si="207"/>
        <v>420000</v>
      </c>
      <c r="H4473" t="s">
        <v>7</v>
      </c>
      <c r="I4473">
        <f t="shared" si="208"/>
        <v>72000</v>
      </c>
      <c r="J4473">
        <f t="shared" si="209"/>
        <v>504000</v>
      </c>
    </row>
    <row r="4474" spans="1:10" x14ac:dyDescent="0.45">
      <c r="A4474" t="s">
        <v>3279</v>
      </c>
      <c r="B4474" s="1">
        <v>45976</v>
      </c>
      <c r="C4474" t="s">
        <v>4007</v>
      </c>
      <c r="D4474" t="s">
        <v>2773</v>
      </c>
      <c r="E4474">
        <v>3300</v>
      </c>
      <c r="F4474">
        <v>2</v>
      </c>
      <c r="G4474">
        <f t="shared" si="207"/>
        <v>6600</v>
      </c>
      <c r="H4474" t="s">
        <v>21</v>
      </c>
      <c r="I4474">
        <f t="shared" si="208"/>
        <v>3960</v>
      </c>
      <c r="J4474">
        <f t="shared" si="209"/>
        <v>7920</v>
      </c>
    </row>
    <row r="4475" spans="1:10" x14ac:dyDescent="0.45">
      <c r="A4475" t="s">
        <v>3322</v>
      </c>
      <c r="B4475" s="1">
        <v>45976</v>
      </c>
      <c r="C4475" t="s">
        <v>4007</v>
      </c>
      <c r="D4475" t="s">
        <v>2774</v>
      </c>
      <c r="E4475">
        <v>1900</v>
      </c>
      <c r="F4475">
        <v>9</v>
      </c>
      <c r="G4475">
        <f t="shared" si="207"/>
        <v>17100</v>
      </c>
      <c r="H4475" t="s">
        <v>17</v>
      </c>
      <c r="I4475">
        <f t="shared" si="208"/>
        <v>2280</v>
      </c>
      <c r="J4475">
        <f t="shared" si="209"/>
        <v>20520</v>
      </c>
    </row>
    <row r="4476" spans="1:10" x14ac:dyDescent="0.45">
      <c r="A4476" t="s">
        <v>3387</v>
      </c>
      <c r="B4476" s="1">
        <v>45976</v>
      </c>
      <c r="C4476" t="s">
        <v>2772</v>
      </c>
      <c r="D4476" t="s">
        <v>2771</v>
      </c>
      <c r="E4476">
        <v>120</v>
      </c>
      <c r="F4476">
        <v>1</v>
      </c>
      <c r="G4476">
        <f t="shared" si="207"/>
        <v>120</v>
      </c>
      <c r="H4476" t="s">
        <v>21</v>
      </c>
      <c r="I4476">
        <f t="shared" si="208"/>
        <v>144</v>
      </c>
      <c r="J4476">
        <f t="shared" si="209"/>
        <v>144</v>
      </c>
    </row>
    <row r="4477" spans="1:10" x14ac:dyDescent="0.45">
      <c r="A4477" t="s">
        <v>3863</v>
      </c>
      <c r="B4477" s="1">
        <v>45976</v>
      </c>
      <c r="C4477" t="s">
        <v>33</v>
      </c>
      <c r="D4477" t="s">
        <v>14</v>
      </c>
      <c r="E4477">
        <v>800</v>
      </c>
      <c r="F4477">
        <v>6</v>
      </c>
      <c r="G4477">
        <f t="shared" si="207"/>
        <v>4800</v>
      </c>
      <c r="H4477" t="s">
        <v>17</v>
      </c>
      <c r="I4477">
        <f t="shared" si="208"/>
        <v>960</v>
      </c>
      <c r="J4477">
        <f t="shared" si="209"/>
        <v>5760</v>
      </c>
    </row>
    <row r="4478" spans="1:10" x14ac:dyDescent="0.45">
      <c r="A4478" t="s">
        <v>2421</v>
      </c>
      <c r="B4478" s="1">
        <v>45977</v>
      </c>
      <c r="C4478" t="s">
        <v>9</v>
      </c>
      <c r="D4478" t="s">
        <v>19</v>
      </c>
      <c r="E4478">
        <v>3000</v>
      </c>
      <c r="F4478">
        <v>9</v>
      </c>
      <c r="G4478">
        <f t="shared" si="207"/>
        <v>27000</v>
      </c>
      <c r="H4478" t="s">
        <v>17</v>
      </c>
      <c r="I4478">
        <f t="shared" si="208"/>
        <v>3600</v>
      </c>
      <c r="J4478">
        <f t="shared" si="209"/>
        <v>32400</v>
      </c>
    </row>
    <row r="4479" spans="1:10" x14ac:dyDescent="0.45">
      <c r="A4479" t="s">
        <v>2422</v>
      </c>
      <c r="B4479" s="1">
        <v>45977</v>
      </c>
      <c r="C4479" t="s">
        <v>4007</v>
      </c>
      <c r="D4479" t="s">
        <v>39</v>
      </c>
      <c r="E4479">
        <v>6000</v>
      </c>
      <c r="F4479">
        <v>4</v>
      </c>
      <c r="G4479">
        <f t="shared" si="207"/>
        <v>24000</v>
      </c>
      <c r="H4479" t="s">
        <v>7</v>
      </c>
      <c r="I4479">
        <f t="shared" si="208"/>
        <v>7200</v>
      </c>
      <c r="J4479">
        <f t="shared" si="209"/>
        <v>28800</v>
      </c>
    </row>
    <row r="4480" spans="1:10" x14ac:dyDescent="0.45">
      <c r="A4480" t="s">
        <v>2423</v>
      </c>
      <c r="B4480" s="1">
        <v>45977</v>
      </c>
      <c r="C4480" t="s">
        <v>4007</v>
      </c>
      <c r="D4480" t="s">
        <v>4005</v>
      </c>
      <c r="E4480">
        <v>60000</v>
      </c>
      <c r="F4480">
        <v>8</v>
      </c>
      <c r="G4480">
        <f t="shared" si="207"/>
        <v>480000</v>
      </c>
      <c r="H4480" t="s">
        <v>7</v>
      </c>
      <c r="I4480">
        <f t="shared" si="208"/>
        <v>72000</v>
      </c>
      <c r="J4480">
        <f t="shared" si="209"/>
        <v>576000</v>
      </c>
    </row>
    <row r="4481" spans="1:10" x14ac:dyDescent="0.45">
      <c r="A4481" t="s">
        <v>2424</v>
      </c>
      <c r="B4481" s="1">
        <v>45977</v>
      </c>
      <c r="C4481" t="s">
        <v>33</v>
      </c>
      <c r="D4481" t="s">
        <v>42</v>
      </c>
      <c r="E4481">
        <v>6900</v>
      </c>
      <c r="F4481">
        <v>4</v>
      </c>
      <c r="G4481">
        <f t="shared" si="207"/>
        <v>27600</v>
      </c>
      <c r="H4481" t="s">
        <v>17</v>
      </c>
      <c r="I4481">
        <f t="shared" si="208"/>
        <v>8280</v>
      </c>
      <c r="J4481">
        <f t="shared" si="209"/>
        <v>33120</v>
      </c>
    </row>
    <row r="4482" spans="1:10" x14ac:dyDescent="0.45">
      <c r="A4482" t="s">
        <v>2425</v>
      </c>
      <c r="B4482" s="1">
        <v>45977</v>
      </c>
      <c r="C4482" t="s">
        <v>33</v>
      </c>
      <c r="D4482" t="s">
        <v>16</v>
      </c>
      <c r="E4482">
        <v>1200</v>
      </c>
      <c r="F4482">
        <v>8</v>
      </c>
      <c r="G4482">
        <f t="shared" ref="G4482:G4545" si="210">E4482*F4482</f>
        <v>9600</v>
      </c>
      <c r="H4482" t="s">
        <v>17</v>
      </c>
      <c r="I4482">
        <f t="shared" ref="I4482:I4545" si="211">E4482*1.2</f>
        <v>1440</v>
      </c>
      <c r="J4482">
        <f t="shared" ref="J4482:J4545" si="212">I4482*F4482</f>
        <v>11520</v>
      </c>
    </row>
    <row r="4483" spans="1:10" x14ac:dyDescent="0.45">
      <c r="A4483" t="s">
        <v>2426</v>
      </c>
      <c r="B4483" s="1">
        <v>45977</v>
      </c>
      <c r="C4483" t="s">
        <v>4007</v>
      </c>
      <c r="D4483" t="s">
        <v>28</v>
      </c>
      <c r="E4483">
        <v>500</v>
      </c>
      <c r="F4483">
        <v>7</v>
      </c>
      <c r="G4483">
        <f t="shared" si="210"/>
        <v>3500</v>
      </c>
      <c r="H4483" t="s">
        <v>21</v>
      </c>
      <c r="I4483">
        <f t="shared" si="211"/>
        <v>600</v>
      </c>
      <c r="J4483">
        <f t="shared" si="212"/>
        <v>4200</v>
      </c>
    </row>
    <row r="4484" spans="1:10" x14ac:dyDescent="0.45">
      <c r="A4484" t="s">
        <v>3291</v>
      </c>
      <c r="B4484" s="1">
        <v>45977</v>
      </c>
      <c r="C4484" t="s">
        <v>33</v>
      </c>
      <c r="D4484" t="s">
        <v>14</v>
      </c>
      <c r="E4484">
        <v>800</v>
      </c>
      <c r="F4484">
        <v>6</v>
      </c>
      <c r="G4484">
        <f t="shared" si="210"/>
        <v>4800</v>
      </c>
      <c r="H4484" t="s">
        <v>7</v>
      </c>
      <c r="I4484">
        <f t="shared" si="211"/>
        <v>960</v>
      </c>
      <c r="J4484">
        <f t="shared" si="212"/>
        <v>5760</v>
      </c>
    </row>
    <row r="4485" spans="1:10" x14ac:dyDescent="0.45">
      <c r="A4485" t="s">
        <v>3788</v>
      </c>
      <c r="B4485" s="1">
        <v>45977</v>
      </c>
      <c r="C4485" t="s">
        <v>33</v>
      </c>
      <c r="D4485" t="s">
        <v>34</v>
      </c>
      <c r="E4485">
        <v>1700</v>
      </c>
      <c r="F4485">
        <v>7</v>
      </c>
      <c r="G4485">
        <f t="shared" si="210"/>
        <v>11900</v>
      </c>
      <c r="H4485" t="s">
        <v>7</v>
      </c>
      <c r="I4485">
        <f t="shared" si="211"/>
        <v>2040</v>
      </c>
      <c r="J4485">
        <f t="shared" si="212"/>
        <v>14280</v>
      </c>
    </row>
    <row r="4486" spans="1:10" x14ac:dyDescent="0.45">
      <c r="A4486" t="s">
        <v>2427</v>
      </c>
      <c r="B4486" s="1">
        <v>45978</v>
      </c>
      <c r="C4486" t="s">
        <v>33</v>
      </c>
      <c r="D4486" t="s">
        <v>14</v>
      </c>
      <c r="E4486">
        <v>800</v>
      </c>
      <c r="F4486">
        <v>3</v>
      </c>
      <c r="G4486">
        <f t="shared" si="210"/>
        <v>2400</v>
      </c>
      <c r="H4486" t="s">
        <v>7</v>
      </c>
      <c r="I4486">
        <f t="shared" si="211"/>
        <v>960</v>
      </c>
      <c r="J4486">
        <f t="shared" si="212"/>
        <v>2880</v>
      </c>
    </row>
    <row r="4487" spans="1:10" x14ac:dyDescent="0.45">
      <c r="A4487" t="s">
        <v>2428</v>
      </c>
      <c r="B4487" s="1">
        <v>45978</v>
      </c>
      <c r="C4487" t="s">
        <v>9</v>
      </c>
      <c r="D4487" t="s">
        <v>10</v>
      </c>
      <c r="E4487">
        <v>400</v>
      </c>
      <c r="F4487">
        <v>9</v>
      </c>
      <c r="G4487">
        <f t="shared" si="210"/>
        <v>3600</v>
      </c>
      <c r="H4487" t="s">
        <v>7</v>
      </c>
      <c r="I4487">
        <f t="shared" si="211"/>
        <v>480</v>
      </c>
      <c r="J4487">
        <f t="shared" si="212"/>
        <v>4320</v>
      </c>
    </row>
    <row r="4488" spans="1:10" x14ac:dyDescent="0.45">
      <c r="A4488" t="s">
        <v>2429</v>
      </c>
      <c r="B4488" s="1">
        <v>45978</v>
      </c>
      <c r="C4488" t="s">
        <v>12</v>
      </c>
      <c r="D4488" t="s">
        <v>5022</v>
      </c>
      <c r="E4488">
        <v>2880</v>
      </c>
      <c r="F4488">
        <v>9</v>
      </c>
      <c r="G4488">
        <f t="shared" si="210"/>
        <v>25920</v>
      </c>
      <c r="H4488" t="s">
        <v>21</v>
      </c>
      <c r="I4488">
        <f t="shared" si="211"/>
        <v>3456</v>
      </c>
      <c r="J4488">
        <f t="shared" si="212"/>
        <v>31104</v>
      </c>
    </row>
    <row r="4489" spans="1:10" x14ac:dyDescent="0.45">
      <c r="A4489" t="s">
        <v>2430</v>
      </c>
      <c r="B4489" s="1">
        <v>45978</v>
      </c>
      <c r="C4489" t="s">
        <v>4007</v>
      </c>
      <c r="D4489" t="s">
        <v>28</v>
      </c>
      <c r="E4489">
        <v>500</v>
      </c>
      <c r="F4489">
        <v>5</v>
      </c>
      <c r="G4489">
        <f t="shared" si="210"/>
        <v>2500</v>
      </c>
      <c r="H4489" t="s">
        <v>17</v>
      </c>
      <c r="I4489">
        <f t="shared" si="211"/>
        <v>600</v>
      </c>
      <c r="J4489">
        <f t="shared" si="212"/>
        <v>3000</v>
      </c>
    </row>
    <row r="4490" spans="1:10" x14ac:dyDescent="0.45">
      <c r="A4490" t="s">
        <v>2431</v>
      </c>
      <c r="B4490" s="1">
        <v>45978</v>
      </c>
      <c r="C4490" t="s">
        <v>9</v>
      </c>
      <c r="D4490" t="s">
        <v>19</v>
      </c>
      <c r="E4490">
        <v>3000</v>
      </c>
      <c r="F4490">
        <v>6</v>
      </c>
      <c r="G4490">
        <f t="shared" si="210"/>
        <v>18000</v>
      </c>
      <c r="H4490" t="s">
        <v>7</v>
      </c>
      <c r="I4490">
        <f t="shared" si="211"/>
        <v>3600</v>
      </c>
      <c r="J4490">
        <f t="shared" si="212"/>
        <v>21600</v>
      </c>
    </row>
    <row r="4491" spans="1:10" x14ac:dyDescent="0.45">
      <c r="A4491" t="s">
        <v>2432</v>
      </c>
      <c r="B4491" s="1">
        <v>45978</v>
      </c>
      <c r="C4491" t="s">
        <v>4007</v>
      </c>
      <c r="D4491" t="s">
        <v>4005</v>
      </c>
      <c r="E4491">
        <v>60000</v>
      </c>
      <c r="F4491">
        <v>5</v>
      </c>
      <c r="G4491">
        <f t="shared" si="210"/>
        <v>300000</v>
      </c>
      <c r="H4491" t="s">
        <v>21</v>
      </c>
      <c r="I4491">
        <f t="shared" si="211"/>
        <v>72000</v>
      </c>
      <c r="J4491">
        <f t="shared" si="212"/>
        <v>360000</v>
      </c>
    </row>
    <row r="4492" spans="1:10" x14ac:dyDescent="0.45">
      <c r="A4492" t="s">
        <v>2433</v>
      </c>
      <c r="B4492" s="1">
        <v>45978</v>
      </c>
      <c r="C4492" t="s">
        <v>4007</v>
      </c>
      <c r="D4492" t="s">
        <v>5015</v>
      </c>
      <c r="E4492">
        <v>48000</v>
      </c>
      <c r="F4492">
        <v>6</v>
      </c>
      <c r="G4492">
        <f t="shared" si="210"/>
        <v>288000</v>
      </c>
      <c r="H4492" t="s">
        <v>21</v>
      </c>
      <c r="I4492">
        <f t="shared" si="211"/>
        <v>57600</v>
      </c>
      <c r="J4492">
        <f t="shared" si="212"/>
        <v>345600</v>
      </c>
    </row>
    <row r="4493" spans="1:10" x14ac:dyDescent="0.45">
      <c r="A4493" t="s">
        <v>2434</v>
      </c>
      <c r="B4493" s="1">
        <v>45978</v>
      </c>
      <c r="C4493" t="s">
        <v>33</v>
      </c>
      <c r="D4493" t="s">
        <v>14</v>
      </c>
      <c r="E4493">
        <v>800</v>
      </c>
      <c r="F4493">
        <v>4</v>
      </c>
      <c r="G4493">
        <f t="shared" si="210"/>
        <v>3200</v>
      </c>
      <c r="H4493" t="s">
        <v>7</v>
      </c>
      <c r="I4493">
        <f t="shared" si="211"/>
        <v>960</v>
      </c>
      <c r="J4493">
        <f t="shared" si="212"/>
        <v>3840</v>
      </c>
    </row>
    <row r="4494" spans="1:10" x14ac:dyDescent="0.45">
      <c r="A4494" t="s">
        <v>2435</v>
      </c>
      <c r="B4494" s="1">
        <v>45978</v>
      </c>
      <c r="C4494" t="s">
        <v>33</v>
      </c>
      <c r="D4494" t="s">
        <v>14</v>
      </c>
      <c r="E4494">
        <v>800</v>
      </c>
      <c r="F4494">
        <v>2</v>
      </c>
      <c r="G4494">
        <f t="shared" si="210"/>
        <v>1600</v>
      </c>
      <c r="H4494" t="s">
        <v>17</v>
      </c>
      <c r="I4494">
        <f t="shared" si="211"/>
        <v>960</v>
      </c>
      <c r="J4494">
        <f t="shared" si="212"/>
        <v>1920</v>
      </c>
    </row>
    <row r="4495" spans="1:10" x14ac:dyDescent="0.45">
      <c r="A4495" t="s">
        <v>3575</v>
      </c>
      <c r="B4495" s="1">
        <v>45978</v>
      </c>
      <c r="C4495" t="s">
        <v>2772</v>
      </c>
      <c r="D4495" t="s">
        <v>2771</v>
      </c>
      <c r="E4495">
        <v>120</v>
      </c>
      <c r="F4495">
        <v>5</v>
      </c>
      <c r="G4495">
        <f t="shared" si="210"/>
        <v>600</v>
      </c>
      <c r="H4495" t="s">
        <v>21</v>
      </c>
      <c r="I4495">
        <f t="shared" si="211"/>
        <v>144</v>
      </c>
      <c r="J4495">
        <f t="shared" si="212"/>
        <v>720</v>
      </c>
    </row>
    <row r="4496" spans="1:10" x14ac:dyDescent="0.45">
      <c r="A4496" t="s">
        <v>2436</v>
      </c>
      <c r="B4496" s="1">
        <v>45979</v>
      </c>
      <c r="C4496" t="s">
        <v>4007</v>
      </c>
      <c r="D4496" t="s">
        <v>5015</v>
      </c>
      <c r="E4496">
        <v>48000</v>
      </c>
      <c r="F4496">
        <v>8</v>
      </c>
      <c r="G4496">
        <f t="shared" si="210"/>
        <v>384000</v>
      </c>
      <c r="H4496" t="s">
        <v>21</v>
      </c>
      <c r="I4496">
        <f t="shared" si="211"/>
        <v>57600</v>
      </c>
      <c r="J4496">
        <f t="shared" si="212"/>
        <v>460800</v>
      </c>
    </row>
    <row r="4497" spans="1:10" x14ac:dyDescent="0.45">
      <c r="A4497" t="s">
        <v>2437</v>
      </c>
      <c r="B4497" s="1">
        <v>45979</v>
      </c>
      <c r="C4497" t="s">
        <v>9</v>
      </c>
      <c r="D4497" t="s">
        <v>10</v>
      </c>
      <c r="E4497">
        <v>400</v>
      </c>
      <c r="F4497">
        <v>4</v>
      </c>
      <c r="G4497">
        <f t="shared" si="210"/>
        <v>1600</v>
      </c>
      <c r="H4497" t="s">
        <v>7</v>
      </c>
      <c r="I4497">
        <f t="shared" si="211"/>
        <v>480</v>
      </c>
      <c r="J4497">
        <f t="shared" si="212"/>
        <v>1920</v>
      </c>
    </row>
    <row r="4498" spans="1:10" x14ac:dyDescent="0.45">
      <c r="A4498" t="s">
        <v>2438</v>
      </c>
      <c r="B4498" s="1">
        <v>45979</v>
      </c>
      <c r="C4498" t="s">
        <v>9</v>
      </c>
      <c r="D4498" t="s">
        <v>25</v>
      </c>
      <c r="E4498">
        <v>5200</v>
      </c>
      <c r="F4498">
        <v>7</v>
      </c>
      <c r="G4498">
        <f t="shared" si="210"/>
        <v>36400</v>
      </c>
      <c r="H4498" t="s">
        <v>21</v>
      </c>
      <c r="I4498">
        <f t="shared" si="211"/>
        <v>6240</v>
      </c>
      <c r="J4498">
        <f t="shared" si="212"/>
        <v>43680</v>
      </c>
    </row>
    <row r="4499" spans="1:10" x14ac:dyDescent="0.45">
      <c r="A4499" t="s">
        <v>2439</v>
      </c>
      <c r="B4499" s="1">
        <v>45979</v>
      </c>
      <c r="C4499" t="s">
        <v>12</v>
      </c>
      <c r="D4499" t="s">
        <v>5021</v>
      </c>
      <c r="E4499">
        <v>2880</v>
      </c>
      <c r="F4499">
        <v>8</v>
      </c>
      <c r="G4499">
        <f t="shared" si="210"/>
        <v>23040</v>
      </c>
      <c r="H4499" t="s">
        <v>17</v>
      </c>
      <c r="I4499">
        <f t="shared" si="211"/>
        <v>3456</v>
      </c>
      <c r="J4499">
        <f t="shared" si="212"/>
        <v>27648</v>
      </c>
    </row>
    <row r="4500" spans="1:10" x14ac:dyDescent="0.45">
      <c r="A4500" t="s">
        <v>2440</v>
      </c>
      <c r="B4500" s="1">
        <v>45979</v>
      </c>
      <c r="C4500" t="s">
        <v>9</v>
      </c>
      <c r="D4500" t="s">
        <v>10</v>
      </c>
      <c r="E4500">
        <v>400</v>
      </c>
      <c r="F4500">
        <v>6</v>
      </c>
      <c r="G4500">
        <f t="shared" si="210"/>
        <v>2400</v>
      </c>
      <c r="H4500" t="s">
        <v>17</v>
      </c>
      <c r="I4500">
        <f t="shared" si="211"/>
        <v>480</v>
      </c>
      <c r="J4500">
        <f t="shared" si="212"/>
        <v>2880</v>
      </c>
    </row>
    <row r="4501" spans="1:10" x14ac:dyDescent="0.45">
      <c r="A4501" t="s">
        <v>2441</v>
      </c>
      <c r="B4501" s="1">
        <v>45979</v>
      </c>
      <c r="C4501" t="s">
        <v>9</v>
      </c>
      <c r="D4501" t="s">
        <v>10</v>
      </c>
      <c r="E4501">
        <v>400</v>
      </c>
      <c r="F4501">
        <v>9</v>
      </c>
      <c r="G4501">
        <f t="shared" si="210"/>
        <v>3600</v>
      </c>
      <c r="H4501" t="s">
        <v>7</v>
      </c>
      <c r="I4501">
        <f t="shared" si="211"/>
        <v>480</v>
      </c>
      <c r="J4501">
        <f t="shared" si="212"/>
        <v>4320</v>
      </c>
    </row>
    <row r="4502" spans="1:10" x14ac:dyDescent="0.45">
      <c r="A4502" t="s">
        <v>2442</v>
      </c>
      <c r="B4502" s="1">
        <v>45979</v>
      </c>
      <c r="C4502" t="s">
        <v>9</v>
      </c>
      <c r="D4502" t="s">
        <v>25</v>
      </c>
      <c r="E4502">
        <v>5200</v>
      </c>
      <c r="F4502">
        <v>1</v>
      </c>
      <c r="G4502">
        <f t="shared" si="210"/>
        <v>5200</v>
      </c>
      <c r="H4502" t="s">
        <v>17</v>
      </c>
      <c r="I4502">
        <f t="shared" si="211"/>
        <v>6240</v>
      </c>
      <c r="J4502">
        <f t="shared" si="212"/>
        <v>6240</v>
      </c>
    </row>
    <row r="4503" spans="1:10" x14ac:dyDescent="0.45">
      <c r="A4503" t="s">
        <v>2443</v>
      </c>
      <c r="B4503" s="1">
        <v>45979</v>
      </c>
      <c r="C4503" t="s">
        <v>9</v>
      </c>
      <c r="D4503" t="s">
        <v>19</v>
      </c>
      <c r="E4503">
        <v>3000</v>
      </c>
      <c r="F4503">
        <v>1</v>
      </c>
      <c r="G4503">
        <f t="shared" si="210"/>
        <v>3000</v>
      </c>
      <c r="H4503" t="s">
        <v>21</v>
      </c>
      <c r="I4503">
        <f t="shared" si="211"/>
        <v>3600</v>
      </c>
      <c r="J4503">
        <f t="shared" si="212"/>
        <v>3600</v>
      </c>
    </row>
    <row r="4504" spans="1:10" x14ac:dyDescent="0.45">
      <c r="A4504" t="s">
        <v>2444</v>
      </c>
      <c r="B4504" s="1">
        <v>45979</v>
      </c>
      <c r="C4504" t="s">
        <v>4007</v>
      </c>
      <c r="D4504" t="s">
        <v>4005</v>
      </c>
      <c r="E4504">
        <v>60000</v>
      </c>
      <c r="F4504">
        <v>5</v>
      </c>
      <c r="G4504">
        <f t="shared" si="210"/>
        <v>300000</v>
      </c>
      <c r="H4504" t="s">
        <v>17</v>
      </c>
      <c r="I4504">
        <f t="shared" si="211"/>
        <v>72000</v>
      </c>
      <c r="J4504">
        <f t="shared" si="212"/>
        <v>360000</v>
      </c>
    </row>
    <row r="4505" spans="1:10" x14ac:dyDescent="0.45">
      <c r="A4505" t="s">
        <v>2445</v>
      </c>
      <c r="B4505" s="1">
        <v>45979</v>
      </c>
      <c r="C4505" t="s">
        <v>12</v>
      </c>
      <c r="D4505" t="s">
        <v>5020</v>
      </c>
      <c r="E4505">
        <v>2880</v>
      </c>
      <c r="F4505">
        <v>8</v>
      </c>
      <c r="G4505">
        <f t="shared" si="210"/>
        <v>23040</v>
      </c>
      <c r="H4505" t="s">
        <v>21</v>
      </c>
      <c r="I4505">
        <f t="shared" si="211"/>
        <v>3456</v>
      </c>
      <c r="J4505">
        <f t="shared" si="212"/>
        <v>27648</v>
      </c>
    </row>
    <row r="4506" spans="1:10" x14ac:dyDescent="0.45">
      <c r="A4506" t="s">
        <v>2893</v>
      </c>
      <c r="B4506" s="1">
        <v>45979</v>
      </c>
      <c r="C4506" t="s">
        <v>4007</v>
      </c>
      <c r="D4506" t="s">
        <v>2774</v>
      </c>
      <c r="E4506">
        <v>1900</v>
      </c>
      <c r="F4506">
        <v>6</v>
      </c>
      <c r="G4506">
        <f t="shared" si="210"/>
        <v>11400</v>
      </c>
      <c r="H4506" t="s">
        <v>21</v>
      </c>
      <c r="I4506">
        <f t="shared" si="211"/>
        <v>2280</v>
      </c>
      <c r="J4506">
        <f t="shared" si="212"/>
        <v>13680</v>
      </c>
    </row>
    <row r="4507" spans="1:10" x14ac:dyDescent="0.45">
      <c r="A4507" t="s">
        <v>2938</v>
      </c>
      <c r="B4507" s="1">
        <v>45979</v>
      </c>
      <c r="C4507" t="s">
        <v>4007</v>
      </c>
      <c r="D4507" t="s">
        <v>2770</v>
      </c>
      <c r="E4507">
        <v>600</v>
      </c>
      <c r="F4507">
        <v>9</v>
      </c>
      <c r="G4507">
        <f t="shared" si="210"/>
        <v>5400</v>
      </c>
      <c r="H4507" t="s">
        <v>17</v>
      </c>
      <c r="I4507">
        <f t="shared" si="211"/>
        <v>720</v>
      </c>
      <c r="J4507">
        <f t="shared" si="212"/>
        <v>6480</v>
      </c>
    </row>
    <row r="4508" spans="1:10" x14ac:dyDescent="0.45">
      <c r="A4508" t="s">
        <v>2446</v>
      </c>
      <c r="B4508" s="1">
        <v>45980</v>
      </c>
      <c r="C4508" t="s">
        <v>9</v>
      </c>
      <c r="D4508" t="s">
        <v>25</v>
      </c>
      <c r="E4508">
        <v>5200</v>
      </c>
      <c r="F4508">
        <v>1</v>
      </c>
      <c r="G4508">
        <f t="shared" si="210"/>
        <v>5200</v>
      </c>
      <c r="H4508" t="s">
        <v>21</v>
      </c>
      <c r="I4508">
        <f t="shared" si="211"/>
        <v>6240</v>
      </c>
      <c r="J4508">
        <f t="shared" si="212"/>
        <v>6240</v>
      </c>
    </row>
    <row r="4509" spans="1:10" x14ac:dyDescent="0.45">
      <c r="A4509" t="s">
        <v>2447</v>
      </c>
      <c r="B4509" s="1">
        <v>45980</v>
      </c>
      <c r="C4509" t="s">
        <v>4007</v>
      </c>
      <c r="D4509" t="s">
        <v>5015</v>
      </c>
      <c r="E4509">
        <v>48000</v>
      </c>
      <c r="F4509">
        <v>4</v>
      </c>
      <c r="G4509">
        <f t="shared" si="210"/>
        <v>192000</v>
      </c>
      <c r="H4509" t="s">
        <v>21</v>
      </c>
      <c r="I4509">
        <f t="shared" si="211"/>
        <v>57600</v>
      </c>
      <c r="J4509">
        <f t="shared" si="212"/>
        <v>230400</v>
      </c>
    </row>
    <row r="4510" spans="1:10" x14ac:dyDescent="0.45">
      <c r="A4510" t="s">
        <v>2448</v>
      </c>
      <c r="B4510" s="1">
        <v>45980</v>
      </c>
      <c r="C4510" t="s">
        <v>33</v>
      </c>
      <c r="D4510" t="s">
        <v>42</v>
      </c>
      <c r="E4510">
        <v>6900</v>
      </c>
      <c r="F4510">
        <v>6</v>
      </c>
      <c r="G4510">
        <f t="shared" si="210"/>
        <v>41400</v>
      </c>
      <c r="H4510" t="s">
        <v>21</v>
      </c>
      <c r="I4510">
        <f t="shared" si="211"/>
        <v>8280</v>
      </c>
      <c r="J4510">
        <f t="shared" si="212"/>
        <v>49680</v>
      </c>
    </row>
    <row r="4511" spans="1:10" x14ac:dyDescent="0.45">
      <c r="A4511" t="s">
        <v>2449</v>
      </c>
      <c r="B4511" s="1">
        <v>45980</v>
      </c>
      <c r="C4511" t="s">
        <v>4007</v>
      </c>
      <c r="D4511" t="s">
        <v>28</v>
      </c>
      <c r="E4511">
        <v>500</v>
      </c>
      <c r="F4511">
        <v>10</v>
      </c>
      <c r="G4511">
        <f t="shared" si="210"/>
        <v>5000</v>
      </c>
      <c r="H4511" t="s">
        <v>21</v>
      </c>
      <c r="I4511">
        <f t="shared" si="211"/>
        <v>600</v>
      </c>
      <c r="J4511">
        <f t="shared" si="212"/>
        <v>6000</v>
      </c>
    </row>
    <row r="4512" spans="1:10" x14ac:dyDescent="0.45">
      <c r="A4512" t="s">
        <v>2450</v>
      </c>
      <c r="B4512" s="1">
        <v>45980</v>
      </c>
      <c r="C4512" t="s">
        <v>33</v>
      </c>
      <c r="D4512" t="s">
        <v>42</v>
      </c>
      <c r="E4512">
        <v>6900</v>
      </c>
      <c r="F4512">
        <v>9</v>
      </c>
      <c r="G4512">
        <f t="shared" si="210"/>
        <v>62100</v>
      </c>
      <c r="H4512" t="s">
        <v>7</v>
      </c>
      <c r="I4512">
        <f t="shared" si="211"/>
        <v>8280</v>
      </c>
      <c r="J4512">
        <f t="shared" si="212"/>
        <v>74520</v>
      </c>
    </row>
    <row r="4513" spans="1:10" x14ac:dyDescent="0.45">
      <c r="A4513" t="s">
        <v>3614</v>
      </c>
      <c r="B4513" s="1">
        <v>45980</v>
      </c>
      <c r="C4513" t="s">
        <v>2772</v>
      </c>
      <c r="D4513" t="s">
        <v>2771</v>
      </c>
      <c r="E4513">
        <v>120</v>
      </c>
      <c r="F4513">
        <v>9</v>
      </c>
      <c r="G4513">
        <f t="shared" si="210"/>
        <v>1080</v>
      </c>
      <c r="H4513" t="s">
        <v>7</v>
      </c>
      <c r="I4513">
        <f t="shared" si="211"/>
        <v>144</v>
      </c>
      <c r="J4513">
        <f t="shared" si="212"/>
        <v>1296</v>
      </c>
    </row>
    <row r="4514" spans="1:10" x14ac:dyDescent="0.45">
      <c r="A4514" t="s">
        <v>3946</v>
      </c>
      <c r="B4514" s="1">
        <v>45980</v>
      </c>
      <c r="C4514" t="s">
        <v>33</v>
      </c>
      <c r="D4514" t="s">
        <v>14</v>
      </c>
      <c r="E4514">
        <v>800</v>
      </c>
      <c r="F4514">
        <v>6</v>
      </c>
      <c r="G4514">
        <f t="shared" si="210"/>
        <v>4800</v>
      </c>
      <c r="H4514" t="s">
        <v>17</v>
      </c>
      <c r="I4514">
        <f t="shared" si="211"/>
        <v>960</v>
      </c>
      <c r="J4514">
        <f t="shared" si="212"/>
        <v>5760</v>
      </c>
    </row>
    <row r="4515" spans="1:10" x14ac:dyDescent="0.45">
      <c r="A4515" t="s">
        <v>2451</v>
      </c>
      <c r="B4515" s="1">
        <v>45981</v>
      </c>
      <c r="C4515" t="s">
        <v>33</v>
      </c>
      <c r="D4515" t="s">
        <v>42</v>
      </c>
      <c r="E4515">
        <v>6900</v>
      </c>
      <c r="F4515">
        <v>2</v>
      </c>
      <c r="G4515">
        <f t="shared" si="210"/>
        <v>13800</v>
      </c>
      <c r="H4515" t="s">
        <v>7</v>
      </c>
      <c r="I4515">
        <f t="shared" si="211"/>
        <v>8280</v>
      </c>
      <c r="J4515">
        <f t="shared" si="212"/>
        <v>16560</v>
      </c>
    </row>
    <row r="4516" spans="1:10" x14ac:dyDescent="0.45">
      <c r="A4516" t="s">
        <v>2452</v>
      </c>
      <c r="B4516" s="1">
        <v>45981</v>
      </c>
      <c r="C4516" t="s">
        <v>4007</v>
      </c>
      <c r="D4516" t="s">
        <v>28</v>
      </c>
      <c r="E4516">
        <v>500</v>
      </c>
      <c r="F4516">
        <v>3</v>
      </c>
      <c r="G4516">
        <f t="shared" si="210"/>
        <v>1500</v>
      </c>
      <c r="H4516" t="s">
        <v>21</v>
      </c>
      <c r="I4516">
        <f t="shared" si="211"/>
        <v>600</v>
      </c>
      <c r="J4516">
        <f t="shared" si="212"/>
        <v>1800</v>
      </c>
    </row>
    <row r="4517" spans="1:10" x14ac:dyDescent="0.45">
      <c r="A4517" t="s">
        <v>2453</v>
      </c>
      <c r="B4517" s="1">
        <v>45981</v>
      </c>
      <c r="C4517" t="s">
        <v>12</v>
      </c>
      <c r="D4517" t="s">
        <v>5021</v>
      </c>
      <c r="E4517">
        <v>2880</v>
      </c>
      <c r="F4517">
        <v>4</v>
      </c>
      <c r="G4517">
        <f t="shared" si="210"/>
        <v>11520</v>
      </c>
      <c r="H4517" t="s">
        <v>21</v>
      </c>
      <c r="I4517">
        <f t="shared" si="211"/>
        <v>3456</v>
      </c>
      <c r="J4517">
        <f t="shared" si="212"/>
        <v>13824</v>
      </c>
    </row>
    <row r="4518" spans="1:10" x14ac:dyDescent="0.45">
      <c r="A4518" t="s">
        <v>2454</v>
      </c>
      <c r="B4518" s="1">
        <v>45981</v>
      </c>
      <c r="C4518" t="s">
        <v>9</v>
      </c>
      <c r="D4518" t="s">
        <v>25</v>
      </c>
      <c r="E4518">
        <v>5200</v>
      </c>
      <c r="F4518">
        <v>8</v>
      </c>
      <c r="G4518">
        <f t="shared" si="210"/>
        <v>41600</v>
      </c>
      <c r="H4518" t="s">
        <v>7</v>
      </c>
      <c r="I4518">
        <f t="shared" si="211"/>
        <v>6240</v>
      </c>
      <c r="J4518">
        <f t="shared" si="212"/>
        <v>49920</v>
      </c>
    </row>
    <row r="4519" spans="1:10" x14ac:dyDescent="0.45">
      <c r="A4519" t="s">
        <v>2455</v>
      </c>
      <c r="B4519" s="1">
        <v>45981</v>
      </c>
      <c r="C4519" t="s">
        <v>12</v>
      </c>
      <c r="D4519" t="s">
        <v>5020</v>
      </c>
      <c r="E4519">
        <v>2880</v>
      </c>
      <c r="F4519">
        <v>10</v>
      </c>
      <c r="G4519">
        <f t="shared" si="210"/>
        <v>28800</v>
      </c>
      <c r="H4519" t="s">
        <v>17</v>
      </c>
      <c r="I4519">
        <f t="shared" si="211"/>
        <v>3456</v>
      </c>
      <c r="J4519">
        <f t="shared" si="212"/>
        <v>34560</v>
      </c>
    </row>
    <row r="4520" spans="1:10" x14ac:dyDescent="0.45">
      <c r="A4520" t="s">
        <v>2456</v>
      </c>
      <c r="B4520" s="1">
        <v>45981</v>
      </c>
      <c r="C4520" t="s">
        <v>12</v>
      </c>
      <c r="D4520" t="s">
        <v>5022</v>
      </c>
      <c r="E4520">
        <v>2880</v>
      </c>
      <c r="F4520">
        <v>1</v>
      </c>
      <c r="G4520">
        <f t="shared" si="210"/>
        <v>2880</v>
      </c>
      <c r="H4520" t="s">
        <v>21</v>
      </c>
      <c r="I4520">
        <f t="shared" si="211"/>
        <v>3456</v>
      </c>
      <c r="J4520">
        <f t="shared" si="212"/>
        <v>3456</v>
      </c>
    </row>
    <row r="4521" spans="1:10" x14ac:dyDescent="0.45">
      <c r="A4521" t="s">
        <v>2457</v>
      </c>
      <c r="B4521" s="1">
        <v>45981</v>
      </c>
      <c r="C4521" t="s">
        <v>12</v>
      </c>
      <c r="D4521" t="s">
        <v>5022</v>
      </c>
      <c r="E4521">
        <v>2880</v>
      </c>
      <c r="F4521">
        <v>7</v>
      </c>
      <c r="G4521">
        <f t="shared" si="210"/>
        <v>20160</v>
      </c>
      <c r="H4521" t="s">
        <v>21</v>
      </c>
      <c r="I4521">
        <f t="shared" si="211"/>
        <v>3456</v>
      </c>
      <c r="J4521">
        <f t="shared" si="212"/>
        <v>24192</v>
      </c>
    </row>
    <row r="4522" spans="1:10" x14ac:dyDescent="0.45">
      <c r="A4522" t="s">
        <v>2458</v>
      </c>
      <c r="B4522" s="1">
        <v>45981</v>
      </c>
      <c r="C4522" t="s">
        <v>12</v>
      </c>
      <c r="D4522" t="s">
        <v>5022</v>
      </c>
      <c r="E4522">
        <v>2880</v>
      </c>
      <c r="F4522">
        <v>2</v>
      </c>
      <c r="G4522">
        <f t="shared" si="210"/>
        <v>5760</v>
      </c>
      <c r="H4522" t="s">
        <v>7</v>
      </c>
      <c r="I4522">
        <f t="shared" si="211"/>
        <v>3456</v>
      </c>
      <c r="J4522">
        <f t="shared" si="212"/>
        <v>6912</v>
      </c>
    </row>
    <row r="4523" spans="1:10" x14ac:dyDescent="0.45">
      <c r="A4523" t="s">
        <v>3050</v>
      </c>
      <c r="B4523" s="1">
        <v>45981</v>
      </c>
      <c r="C4523" t="s">
        <v>4007</v>
      </c>
      <c r="D4523" t="s">
        <v>2773</v>
      </c>
      <c r="E4523">
        <v>3300</v>
      </c>
      <c r="F4523">
        <v>8</v>
      </c>
      <c r="G4523">
        <f t="shared" si="210"/>
        <v>26400</v>
      </c>
      <c r="H4523" t="s">
        <v>17</v>
      </c>
      <c r="I4523">
        <f t="shared" si="211"/>
        <v>3960</v>
      </c>
      <c r="J4523">
        <f t="shared" si="212"/>
        <v>31680</v>
      </c>
    </row>
    <row r="4524" spans="1:10" x14ac:dyDescent="0.45">
      <c r="A4524" t="s">
        <v>3088</v>
      </c>
      <c r="B4524" s="1">
        <v>45981</v>
      </c>
      <c r="C4524" t="s">
        <v>33</v>
      </c>
      <c r="D4524" t="s">
        <v>34</v>
      </c>
      <c r="E4524">
        <v>1700</v>
      </c>
      <c r="F4524">
        <v>10</v>
      </c>
      <c r="G4524">
        <f t="shared" si="210"/>
        <v>17000</v>
      </c>
      <c r="H4524" t="s">
        <v>7</v>
      </c>
      <c r="I4524">
        <f t="shared" si="211"/>
        <v>2040</v>
      </c>
      <c r="J4524">
        <f t="shared" si="212"/>
        <v>20400</v>
      </c>
    </row>
    <row r="4525" spans="1:10" x14ac:dyDescent="0.45">
      <c r="A4525" t="s">
        <v>2459</v>
      </c>
      <c r="B4525" s="1">
        <v>45982</v>
      </c>
      <c r="C4525" t="s">
        <v>12</v>
      </c>
      <c r="D4525" t="s">
        <v>5021</v>
      </c>
      <c r="E4525">
        <v>2880</v>
      </c>
      <c r="F4525">
        <v>3</v>
      </c>
      <c r="G4525">
        <f t="shared" si="210"/>
        <v>8640</v>
      </c>
      <c r="H4525" t="s">
        <v>17</v>
      </c>
      <c r="I4525">
        <f t="shared" si="211"/>
        <v>3456</v>
      </c>
      <c r="J4525">
        <f t="shared" si="212"/>
        <v>10368</v>
      </c>
    </row>
    <row r="4526" spans="1:10" x14ac:dyDescent="0.45">
      <c r="A4526" t="s">
        <v>2460</v>
      </c>
      <c r="B4526" s="1">
        <v>45982</v>
      </c>
      <c r="C4526" t="s">
        <v>33</v>
      </c>
      <c r="D4526" t="s">
        <v>34</v>
      </c>
      <c r="E4526">
        <v>1700</v>
      </c>
      <c r="F4526">
        <v>6</v>
      </c>
      <c r="G4526">
        <f t="shared" si="210"/>
        <v>10200</v>
      </c>
      <c r="H4526" t="s">
        <v>7</v>
      </c>
      <c r="I4526">
        <f t="shared" si="211"/>
        <v>2040</v>
      </c>
      <c r="J4526">
        <f t="shared" si="212"/>
        <v>12240</v>
      </c>
    </row>
    <row r="4527" spans="1:10" x14ac:dyDescent="0.45">
      <c r="A4527" t="s">
        <v>2461</v>
      </c>
      <c r="B4527" s="1">
        <v>45982</v>
      </c>
      <c r="C4527" t="s">
        <v>9</v>
      </c>
      <c r="D4527" t="s">
        <v>19</v>
      </c>
      <c r="E4527">
        <v>3000</v>
      </c>
      <c r="F4527">
        <v>8</v>
      </c>
      <c r="G4527">
        <f t="shared" si="210"/>
        <v>24000</v>
      </c>
      <c r="H4527" t="s">
        <v>17</v>
      </c>
      <c r="I4527">
        <f t="shared" si="211"/>
        <v>3600</v>
      </c>
      <c r="J4527">
        <f t="shared" si="212"/>
        <v>28800</v>
      </c>
    </row>
    <row r="4528" spans="1:10" x14ac:dyDescent="0.45">
      <c r="A4528" t="s">
        <v>2462</v>
      </c>
      <c r="B4528" s="1">
        <v>45982</v>
      </c>
      <c r="C4528" t="s">
        <v>33</v>
      </c>
      <c r="D4528" t="s">
        <v>14</v>
      </c>
      <c r="E4528">
        <v>800</v>
      </c>
      <c r="F4528">
        <v>3</v>
      </c>
      <c r="G4528">
        <f t="shared" si="210"/>
        <v>2400</v>
      </c>
      <c r="H4528" t="s">
        <v>17</v>
      </c>
      <c r="I4528">
        <f t="shared" si="211"/>
        <v>960</v>
      </c>
      <c r="J4528">
        <f t="shared" si="212"/>
        <v>2880</v>
      </c>
    </row>
    <row r="4529" spans="1:10" x14ac:dyDescent="0.45">
      <c r="A4529" t="s">
        <v>2463</v>
      </c>
      <c r="B4529" s="1">
        <v>45982</v>
      </c>
      <c r="C4529" t="s">
        <v>4007</v>
      </c>
      <c r="D4529" t="s">
        <v>39</v>
      </c>
      <c r="E4529">
        <v>6000</v>
      </c>
      <c r="F4529">
        <v>7</v>
      </c>
      <c r="G4529">
        <f t="shared" si="210"/>
        <v>42000</v>
      </c>
      <c r="H4529" t="s">
        <v>7</v>
      </c>
      <c r="I4529">
        <f t="shared" si="211"/>
        <v>7200</v>
      </c>
      <c r="J4529">
        <f t="shared" si="212"/>
        <v>50400</v>
      </c>
    </row>
    <row r="4530" spans="1:10" x14ac:dyDescent="0.45">
      <c r="A4530" t="s">
        <v>2464</v>
      </c>
      <c r="B4530" s="1">
        <v>45982</v>
      </c>
      <c r="C4530" t="s">
        <v>9</v>
      </c>
      <c r="D4530" t="s">
        <v>25</v>
      </c>
      <c r="E4530">
        <v>5200</v>
      </c>
      <c r="F4530">
        <v>3</v>
      </c>
      <c r="G4530">
        <f t="shared" si="210"/>
        <v>15600</v>
      </c>
      <c r="H4530" t="s">
        <v>7</v>
      </c>
      <c r="I4530">
        <f t="shared" si="211"/>
        <v>6240</v>
      </c>
      <c r="J4530">
        <f t="shared" si="212"/>
        <v>18720</v>
      </c>
    </row>
    <row r="4531" spans="1:10" x14ac:dyDescent="0.45">
      <c r="A4531" t="s">
        <v>2465</v>
      </c>
      <c r="B4531" s="1">
        <v>45982</v>
      </c>
      <c r="C4531" t="s">
        <v>12</v>
      </c>
      <c r="D4531" t="s">
        <v>5021</v>
      </c>
      <c r="E4531">
        <v>2880</v>
      </c>
      <c r="F4531">
        <v>5</v>
      </c>
      <c r="G4531">
        <f t="shared" si="210"/>
        <v>14400</v>
      </c>
      <c r="H4531" t="s">
        <v>7</v>
      </c>
      <c r="I4531">
        <f t="shared" si="211"/>
        <v>3456</v>
      </c>
      <c r="J4531">
        <f t="shared" si="212"/>
        <v>17280</v>
      </c>
    </row>
    <row r="4532" spans="1:10" x14ac:dyDescent="0.45">
      <c r="A4532" t="s">
        <v>2466</v>
      </c>
      <c r="B4532" s="1">
        <v>45982</v>
      </c>
      <c r="C4532" t="s">
        <v>12</v>
      </c>
      <c r="D4532" t="s">
        <v>5021</v>
      </c>
      <c r="E4532">
        <v>2880</v>
      </c>
      <c r="F4532">
        <v>8</v>
      </c>
      <c r="G4532">
        <f t="shared" si="210"/>
        <v>23040</v>
      </c>
      <c r="H4532" t="s">
        <v>21</v>
      </c>
      <c r="I4532">
        <f t="shared" si="211"/>
        <v>3456</v>
      </c>
      <c r="J4532">
        <f t="shared" si="212"/>
        <v>27648</v>
      </c>
    </row>
    <row r="4533" spans="1:10" x14ac:dyDescent="0.45">
      <c r="A4533" t="s">
        <v>2467</v>
      </c>
      <c r="B4533" s="1">
        <v>45982</v>
      </c>
      <c r="C4533" t="s">
        <v>4007</v>
      </c>
      <c r="D4533" t="s">
        <v>4005</v>
      </c>
      <c r="E4533">
        <v>60000</v>
      </c>
      <c r="F4533">
        <v>9</v>
      </c>
      <c r="G4533">
        <f t="shared" si="210"/>
        <v>540000</v>
      </c>
      <c r="H4533" t="s">
        <v>17</v>
      </c>
      <c r="I4533">
        <f t="shared" si="211"/>
        <v>72000</v>
      </c>
      <c r="J4533">
        <f t="shared" si="212"/>
        <v>648000</v>
      </c>
    </row>
    <row r="4534" spans="1:10" x14ac:dyDescent="0.45">
      <c r="A4534" t="s">
        <v>2909</v>
      </c>
      <c r="B4534" s="1">
        <v>45982</v>
      </c>
      <c r="C4534" t="s">
        <v>2772</v>
      </c>
      <c r="D4534" t="s">
        <v>2771</v>
      </c>
      <c r="E4534">
        <v>120</v>
      </c>
      <c r="F4534">
        <v>8</v>
      </c>
      <c r="G4534">
        <f t="shared" si="210"/>
        <v>960</v>
      </c>
      <c r="H4534" t="s">
        <v>21</v>
      </c>
      <c r="I4534">
        <f t="shared" si="211"/>
        <v>144</v>
      </c>
      <c r="J4534">
        <f t="shared" si="212"/>
        <v>1152</v>
      </c>
    </row>
    <row r="4535" spans="1:10" x14ac:dyDescent="0.45">
      <c r="A4535" t="s">
        <v>3241</v>
      </c>
      <c r="B4535" s="1">
        <v>45982</v>
      </c>
      <c r="C4535" t="s">
        <v>4007</v>
      </c>
      <c r="D4535" t="s">
        <v>5015</v>
      </c>
      <c r="E4535">
        <v>48000</v>
      </c>
      <c r="F4535">
        <v>10</v>
      </c>
      <c r="G4535">
        <f t="shared" si="210"/>
        <v>480000</v>
      </c>
      <c r="H4535" t="s">
        <v>21</v>
      </c>
      <c r="I4535">
        <f t="shared" si="211"/>
        <v>57600</v>
      </c>
      <c r="J4535">
        <f t="shared" si="212"/>
        <v>576000</v>
      </c>
    </row>
    <row r="4536" spans="1:10" x14ac:dyDescent="0.45">
      <c r="A4536" t="s">
        <v>2468</v>
      </c>
      <c r="B4536" s="1">
        <v>45983</v>
      </c>
      <c r="C4536" t="s">
        <v>4007</v>
      </c>
      <c r="D4536" t="s">
        <v>5015</v>
      </c>
      <c r="E4536">
        <v>48000</v>
      </c>
      <c r="F4536">
        <v>1</v>
      </c>
      <c r="G4536">
        <f t="shared" si="210"/>
        <v>48000</v>
      </c>
      <c r="H4536" t="s">
        <v>17</v>
      </c>
      <c r="I4536">
        <f t="shared" si="211"/>
        <v>57600</v>
      </c>
      <c r="J4536">
        <f t="shared" si="212"/>
        <v>57600</v>
      </c>
    </row>
    <row r="4537" spans="1:10" x14ac:dyDescent="0.45">
      <c r="A4537" t="s">
        <v>2469</v>
      </c>
      <c r="B4537" s="1">
        <v>45983</v>
      </c>
      <c r="C4537" t="s">
        <v>33</v>
      </c>
      <c r="D4537" t="s">
        <v>42</v>
      </c>
      <c r="E4537">
        <v>6900</v>
      </c>
      <c r="F4537">
        <v>5</v>
      </c>
      <c r="G4537">
        <f t="shared" si="210"/>
        <v>34500</v>
      </c>
      <c r="H4537" t="s">
        <v>17</v>
      </c>
      <c r="I4537">
        <f t="shared" si="211"/>
        <v>8280</v>
      </c>
      <c r="J4537">
        <f t="shared" si="212"/>
        <v>41400</v>
      </c>
    </row>
    <row r="4538" spans="1:10" x14ac:dyDescent="0.45">
      <c r="A4538" t="s">
        <v>2470</v>
      </c>
      <c r="B4538" s="1">
        <v>45983</v>
      </c>
      <c r="C4538" t="s">
        <v>33</v>
      </c>
      <c r="D4538" t="s">
        <v>42</v>
      </c>
      <c r="E4538">
        <v>6900</v>
      </c>
      <c r="F4538">
        <v>5</v>
      </c>
      <c r="G4538">
        <f t="shared" si="210"/>
        <v>34500</v>
      </c>
      <c r="H4538" t="s">
        <v>7</v>
      </c>
      <c r="I4538">
        <f t="shared" si="211"/>
        <v>8280</v>
      </c>
      <c r="J4538">
        <f t="shared" si="212"/>
        <v>41400</v>
      </c>
    </row>
    <row r="4539" spans="1:10" x14ac:dyDescent="0.45">
      <c r="A4539" t="s">
        <v>2471</v>
      </c>
      <c r="B4539" s="1">
        <v>45983</v>
      </c>
      <c r="C4539" t="s">
        <v>12</v>
      </c>
      <c r="D4539" t="s">
        <v>5023</v>
      </c>
      <c r="E4539">
        <v>1750</v>
      </c>
      <c r="F4539">
        <v>6</v>
      </c>
      <c r="G4539">
        <f t="shared" si="210"/>
        <v>10500</v>
      </c>
      <c r="H4539" t="s">
        <v>21</v>
      </c>
      <c r="I4539">
        <f t="shared" si="211"/>
        <v>2100</v>
      </c>
      <c r="J4539">
        <f t="shared" si="212"/>
        <v>12600</v>
      </c>
    </row>
    <row r="4540" spans="1:10" x14ac:dyDescent="0.45">
      <c r="A4540" t="s">
        <v>2472</v>
      </c>
      <c r="B4540" s="1">
        <v>45983</v>
      </c>
      <c r="C4540" t="s">
        <v>33</v>
      </c>
      <c r="D4540" t="s">
        <v>34</v>
      </c>
      <c r="E4540">
        <v>1700</v>
      </c>
      <c r="F4540">
        <v>4</v>
      </c>
      <c r="G4540">
        <f t="shared" si="210"/>
        <v>6800</v>
      </c>
      <c r="H4540" t="s">
        <v>7</v>
      </c>
      <c r="I4540">
        <f t="shared" si="211"/>
        <v>2040</v>
      </c>
      <c r="J4540">
        <f t="shared" si="212"/>
        <v>8160</v>
      </c>
    </row>
    <row r="4541" spans="1:10" x14ac:dyDescent="0.45">
      <c r="A4541" t="s">
        <v>3061</v>
      </c>
      <c r="B4541" s="1">
        <v>45983</v>
      </c>
      <c r="C4541" t="s">
        <v>4007</v>
      </c>
      <c r="D4541" t="s">
        <v>5015</v>
      </c>
      <c r="E4541">
        <v>48000</v>
      </c>
      <c r="F4541">
        <v>6</v>
      </c>
      <c r="G4541">
        <f t="shared" si="210"/>
        <v>288000</v>
      </c>
      <c r="H4541" t="s">
        <v>7</v>
      </c>
      <c r="I4541">
        <f t="shared" si="211"/>
        <v>57600</v>
      </c>
      <c r="J4541">
        <f t="shared" si="212"/>
        <v>345600</v>
      </c>
    </row>
    <row r="4542" spans="1:10" x14ac:dyDescent="0.45">
      <c r="A4542" t="s">
        <v>2473</v>
      </c>
      <c r="B4542" s="1">
        <v>45984</v>
      </c>
      <c r="C4542" t="s">
        <v>4007</v>
      </c>
      <c r="D4542" t="s">
        <v>39</v>
      </c>
      <c r="E4542">
        <v>6000</v>
      </c>
      <c r="F4542">
        <v>6</v>
      </c>
      <c r="G4542">
        <f t="shared" si="210"/>
        <v>36000</v>
      </c>
      <c r="H4542" t="s">
        <v>21</v>
      </c>
      <c r="I4542">
        <f t="shared" si="211"/>
        <v>7200</v>
      </c>
      <c r="J4542">
        <f t="shared" si="212"/>
        <v>43200</v>
      </c>
    </row>
    <row r="4543" spans="1:10" x14ac:dyDescent="0.45">
      <c r="A4543" t="s">
        <v>2474</v>
      </c>
      <c r="B4543" s="1">
        <v>45984</v>
      </c>
      <c r="C4543" t="s">
        <v>4007</v>
      </c>
      <c r="D4543" t="s">
        <v>28</v>
      </c>
      <c r="E4543">
        <v>500</v>
      </c>
      <c r="F4543">
        <v>2</v>
      </c>
      <c r="G4543">
        <f t="shared" si="210"/>
        <v>1000</v>
      </c>
      <c r="H4543" t="s">
        <v>21</v>
      </c>
      <c r="I4543">
        <f t="shared" si="211"/>
        <v>600</v>
      </c>
      <c r="J4543">
        <f t="shared" si="212"/>
        <v>1200</v>
      </c>
    </row>
    <row r="4544" spans="1:10" x14ac:dyDescent="0.45">
      <c r="A4544" t="s">
        <v>2475</v>
      </c>
      <c r="B4544" s="1">
        <v>45984</v>
      </c>
      <c r="C4544" t="s">
        <v>4007</v>
      </c>
      <c r="D4544" t="s">
        <v>5015</v>
      </c>
      <c r="E4544">
        <v>48000</v>
      </c>
      <c r="F4544">
        <v>5</v>
      </c>
      <c r="G4544">
        <f t="shared" si="210"/>
        <v>240000</v>
      </c>
      <c r="H4544" t="s">
        <v>17</v>
      </c>
      <c r="I4544">
        <f t="shared" si="211"/>
        <v>57600</v>
      </c>
      <c r="J4544">
        <f t="shared" si="212"/>
        <v>288000</v>
      </c>
    </row>
    <row r="4545" spans="1:10" x14ac:dyDescent="0.45">
      <c r="A4545" t="s">
        <v>2476</v>
      </c>
      <c r="B4545" s="1">
        <v>45984</v>
      </c>
      <c r="C4545" t="s">
        <v>12</v>
      </c>
      <c r="D4545" t="s">
        <v>5021</v>
      </c>
      <c r="E4545">
        <v>2880</v>
      </c>
      <c r="F4545">
        <v>6</v>
      </c>
      <c r="G4545">
        <f t="shared" si="210"/>
        <v>17280</v>
      </c>
      <c r="H4545" t="s">
        <v>17</v>
      </c>
      <c r="I4545">
        <f t="shared" si="211"/>
        <v>3456</v>
      </c>
      <c r="J4545">
        <f t="shared" si="212"/>
        <v>20736</v>
      </c>
    </row>
    <row r="4546" spans="1:10" x14ac:dyDescent="0.45">
      <c r="A4546" t="s">
        <v>2477</v>
      </c>
      <c r="B4546" s="1">
        <v>45984</v>
      </c>
      <c r="C4546" t="s">
        <v>9</v>
      </c>
      <c r="D4546" t="s">
        <v>10</v>
      </c>
      <c r="E4546">
        <v>400</v>
      </c>
      <c r="F4546">
        <v>6</v>
      </c>
      <c r="G4546">
        <f t="shared" ref="G4546:G4609" si="213">E4546*F4546</f>
        <v>2400</v>
      </c>
      <c r="H4546" t="s">
        <v>17</v>
      </c>
      <c r="I4546">
        <f t="shared" ref="I4546:I4609" si="214">E4546*1.2</f>
        <v>480</v>
      </c>
      <c r="J4546">
        <f t="shared" ref="J4546:J4609" si="215">I4546*F4546</f>
        <v>2880</v>
      </c>
    </row>
    <row r="4547" spans="1:10" x14ac:dyDescent="0.45">
      <c r="A4547" t="s">
        <v>2478</v>
      </c>
      <c r="B4547" s="1">
        <v>45984</v>
      </c>
      <c r="C4547" t="s">
        <v>33</v>
      </c>
      <c r="D4547" t="s">
        <v>16</v>
      </c>
      <c r="E4547">
        <v>1200</v>
      </c>
      <c r="F4547">
        <v>10</v>
      </c>
      <c r="G4547">
        <f t="shared" si="213"/>
        <v>12000</v>
      </c>
      <c r="H4547" t="s">
        <v>17</v>
      </c>
      <c r="I4547">
        <f t="shared" si="214"/>
        <v>1440</v>
      </c>
      <c r="J4547">
        <f t="shared" si="215"/>
        <v>14400</v>
      </c>
    </row>
    <row r="4548" spans="1:10" x14ac:dyDescent="0.45">
      <c r="A4548" t="s">
        <v>2479</v>
      </c>
      <c r="B4548" s="1">
        <v>45984</v>
      </c>
      <c r="C4548" t="s">
        <v>4007</v>
      </c>
      <c r="D4548" t="s">
        <v>39</v>
      </c>
      <c r="E4548">
        <v>6000</v>
      </c>
      <c r="F4548">
        <v>9</v>
      </c>
      <c r="G4548">
        <f t="shared" si="213"/>
        <v>54000</v>
      </c>
      <c r="H4548" t="s">
        <v>21</v>
      </c>
      <c r="I4548">
        <f t="shared" si="214"/>
        <v>7200</v>
      </c>
      <c r="J4548">
        <f t="shared" si="215"/>
        <v>64800</v>
      </c>
    </row>
    <row r="4549" spans="1:10" x14ac:dyDescent="0.45">
      <c r="A4549" t="s">
        <v>2480</v>
      </c>
      <c r="B4549" s="1">
        <v>45984</v>
      </c>
      <c r="C4549" t="s">
        <v>12</v>
      </c>
      <c r="D4549" t="s">
        <v>5023</v>
      </c>
      <c r="E4549">
        <v>1750</v>
      </c>
      <c r="F4549">
        <v>8</v>
      </c>
      <c r="G4549">
        <f t="shared" si="213"/>
        <v>14000</v>
      </c>
      <c r="H4549" t="s">
        <v>7</v>
      </c>
      <c r="I4549">
        <f t="shared" si="214"/>
        <v>2100</v>
      </c>
      <c r="J4549">
        <f t="shared" si="215"/>
        <v>16800</v>
      </c>
    </row>
    <row r="4550" spans="1:10" x14ac:dyDescent="0.45">
      <c r="A4550" t="s">
        <v>3158</v>
      </c>
      <c r="B4550" s="1">
        <v>45984</v>
      </c>
      <c r="C4550" t="s">
        <v>4007</v>
      </c>
      <c r="D4550" t="s">
        <v>2776</v>
      </c>
      <c r="E4550">
        <v>3600</v>
      </c>
      <c r="F4550">
        <v>2</v>
      </c>
      <c r="G4550">
        <f t="shared" si="213"/>
        <v>7200</v>
      </c>
      <c r="H4550" t="s">
        <v>7</v>
      </c>
      <c r="I4550">
        <f t="shared" si="214"/>
        <v>4320</v>
      </c>
      <c r="J4550">
        <f t="shared" si="215"/>
        <v>8640</v>
      </c>
    </row>
    <row r="4551" spans="1:10" x14ac:dyDescent="0.45">
      <c r="A4551" t="s">
        <v>2481</v>
      </c>
      <c r="B4551" s="1">
        <v>45985</v>
      </c>
      <c r="C4551" t="s">
        <v>4007</v>
      </c>
      <c r="D4551" t="s">
        <v>39</v>
      </c>
      <c r="E4551">
        <v>6000</v>
      </c>
      <c r="F4551">
        <v>8</v>
      </c>
      <c r="G4551">
        <f t="shared" si="213"/>
        <v>48000</v>
      </c>
      <c r="H4551" t="s">
        <v>17</v>
      </c>
      <c r="I4551">
        <f t="shared" si="214"/>
        <v>7200</v>
      </c>
      <c r="J4551">
        <f t="shared" si="215"/>
        <v>57600</v>
      </c>
    </row>
    <row r="4552" spans="1:10" x14ac:dyDescent="0.45">
      <c r="A4552" t="s">
        <v>2482</v>
      </c>
      <c r="B4552" s="1">
        <v>45985</v>
      </c>
      <c r="C4552" t="s">
        <v>4007</v>
      </c>
      <c r="D4552" t="s">
        <v>5015</v>
      </c>
      <c r="E4552">
        <v>48000</v>
      </c>
      <c r="F4552">
        <v>8</v>
      </c>
      <c r="G4552">
        <f t="shared" si="213"/>
        <v>384000</v>
      </c>
      <c r="H4552" t="s">
        <v>21</v>
      </c>
      <c r="I4552">
        <f t="shared" si="214"/>
        <v>57600</v>
      </c>
      <c r="J4552">
        <f t="shared" si="215"/>
        <v>460800</v>
      </c>
    </row>
    <row r="4553" spans="1:10" x14ac:dyDescent="0.45">
      <c r="A4553" t="s">
        <v>2483</v>
      </c>
      <c r="B4553" s="1">
        <v>45985</v>
      </c>
      <c r="C4553" t="s">
        <v>4007</v>
      </c>
      <c r="D4553" t="s">
        <v>4005</v>
      </c>
      <c r="E4553">
        <v>60000</v>
      </c>
      <c r="F4553">
        <v>5</v>
      </c>
      <c r="G4553">
        <f t="shared" si="213"/>
        <v>300000</v>
      </c>
      <c r="H4553" t="s">
        <v>17</v>
      </c>
      <c r="I4553">
        <f t="shared" si="214"/>
        <v>72000</v>
      </c>
      <c r="J4553">
        <f t="shared" si="215"/>
        <v>360000</v>
      </c>
    </row>
    <row r="4554" spans="1:10" x14ac:dyDescent="0.45">
      <c r="A4554" t="s">
        <v>2484</v>
      </c>
      <c r="B4554" s="1">
        <v>45985</v>
      </c>
      <c r="C4554" t="s">
        <v>12</v>
      </c>
      <c r="D4554" t="s">
        <v>5022</v>
      </c>
      <c r="E4554">
        <v>2880</v>
      </c>
      <c r="F4554">
        <v>5</v>
      </c>
      <c r="G4554">
        <f t="shared" si="213"/>
        <v>14400</v>
      </c>
      <c r="H4554" t="s">
        <v>21</v>
      </c>
      <c r="I4554">
        <f t="shared" si="214"/>
        <v>3456</v>
      </c>
      <c r="J4554">
        <f t="shared" si="215"/>
        <v>17280</v>
      </c>
    </row>
    <row r="4555" spans="1:10" x14ac:dyDescent="0.45">
      <c r="A4555" t="s">
        <v>2485</v>
      </c>
      <c r="B4555" s="1">
        <v>45985</v>
      </c>
      <c r="C4555" t="s">
        <v>33</v>
      </c>
      <c r="D4555" t="s">
        <v>16</v>
      </c>
      <c r="E4555">
        <v>1200</v>
      </c>
      <c r="F4555">
        <v>8</v>
      </c>
      <c r="G4555">
        <f t="shared" si="213"/>
        <v>9600</v>
      </c>
      <c r="H4555" t="s">
        <v>17</v>
      </c>
      <c r="I4555">
        <f t="shared" si="214"/>
        <v>1440</v>
      </c>
      <c r="J4555">
        <f t="shared" si="215"/>
        <v>11520</v>
      </c>
    </row>
    <row r="4556" spans="1:10" x14ac:dyDescent="0.45">
      <c r="A4556" t="s">
        <v>2486</v>
      </c>
      <c r="B4556" s="1">
        <v>45985</v>
      </c>
      <c r="C4556" t="s">
        <v>12</v>
      </c>
      <c r="D4556" t="s">
        <v>5022</v>
      </c>
      <c r="E4556">
        <v>2880</v>
      </c>
      <c r="F4556">
        <v>3</v>
      </c>
      <c r="G4556">
        <f t="shared" si="213"/>
        <v>8640</v>
      </c>
      <c r="H4556" t="s">
        <v>7</v>
      </c>
      <c r="I4556">
        <f t="shared" si="214"/>
        <v>3456</v>
      </c>
      <c r="J4556">
        <f t="shared" si="215"/>
        <v>10368</v>
      </c>
    </row>
    <row r="4557" spans="1:10" x14ac:dyDescent="0.45">
      <c r="A4557" t="s">
        <v>2813</v>
      </c>
      <c r="B4557" s="1">
        <v>45985</v>
      </c>
      <c r="C4557" t="s">
        <v>2772</v>
      </c>
      <c r="D4557" t="s">
        <v>2771</v>
      </c>
      <c r="E4557">
        <v>120</v>
      </c>
      <c r="F4557">
        <v>7</v>
      </c>
      <c r="G4557">
        <f t="shared" si="213"/>
        <v>840</v>
      </c>
      <c r="H4557" t="s">
        <v>21</v>
      </c>
      <c r="I4557">
        <f t="shared" si="214"/>
        <v>144</v>
      </c>
      <c r="J4557">
        <f t="shared" si="215"/>
        <v>1008</v>
      </c>
    </row>
    <row r="4558" spans="1:10" x14ac:dyDescent="0.45">
      <c r="A4558" t="s">
        <v>3071</v>
      </c>
      <c r="B4558" s="1">
        <v>45985</v>
      </c>
      <c r="C4558" t="s">
        <v>4007</v>
      </c>
      <c r="D4558" t="s">
        <v>5015</v>
      </c>
      <c r="E4558">
        <v>48000</v>
      </c>
      <c r="F4558">
        <v>9</v>
      </c>
      <c r="G4558">
        <f t="shared" si="213"/>
        <v>432000</v>
      </c>
      <c r="H4558" t="s">
        <v>7</v>
      </c>
      <c r="I4558">
        <f t="shared" si="214"/>
        <v>57600</v>
      </c>
      <c r="J4558">
        <f t="shared" si="215"/>
        <v>518400</v>
      </c>
    </row>
    <row r="4559" spans="1:10" x14ac:dyDescent="0.45">
      <c r="A4559" t="s">
        <v>3927</v>
      </c>
      <c r="B4559" s="1">
        <v>45985</v>
      </c>
      <c r="C4559" t="s">
        <v>4007</v>
      </c>
      <c r="D4559" t="s">
        <v>28</v>
      </c>
      <c r="E4559">
        <v>500</v>
      </c>
      <c r="F4559">
        <v>7</v>
      </c>
      <c r="G4559">
        <f t="shared" si="213"/>
        <v>3500</v>
      </c>
      <c r="H4559" t="s">
        <v>17</v>
      </c>
      <c r="I4559">
        <f t="shared" si="214"/>
        <v>600</v>
      </c>
      <c r="J4559">
        <f t="shared" si="215"/>
        <v>4200</v>
      </c>
    </row>
    <row r="4560" spans="1:10" x14ac:dyDescent="0.45">
      <c r="A4560" t="s">
        <v>2487</v>
      </c>
      <c r="B4560" s="1">
        <v>45986</v>
      </c>
      <c r="C4560" t="s">
        <v>33</v>
      </c>
      <c r="D4560" t="s">
        <v>16</v>
      </c>
      <c r="E4560">
        <v>1200</v>
      </c>
      <c r="F4560">
        <v>3</v>
      </c>
      <c r="G4560">
        <f t="shared" si="213"/>
        <v>3600</v>
      </c>
      <c r="H4560" t="s">
        <v>17</v>
      </c>
      <c r="I4560">
        <f t="shared" si="214"/>
        <v>1440</v>
      </c>
      <c r="J4560">
        <f t="shared" si="215"/>
        <v>4320</v>
      </c>
    </row>
    <row r="4561" spans="1:10" x14ac:dyDescent="0.45">
      <c r="A4561" t="s">
        <v>2488</v>
      </c>
      <c r="B4561" s="1">
        <v>45986</v>
      </c>
      <c r="C4561" t="s">
        <v>33</v>
      </c>
      <c r="D4561" t="s">
        <v>14</v>
      </c>
      <c r="E4561">
        <v>800</v>
      </c>
      <c r="F4561">
        <v>6</v>
      </c>
      <c r="G4561">
        <f t="shared" si="213"/>
        <v>4800</v>
      </c>
      <c r="H4561" t="s">
        <v>7</v>
      </c>
      <c r="I4561">
        <f t="shared" si="214"/>
        <v>960</v>
      </c>
      <c r="J4561">
        <f t="shared" si="215"/>
        <v>5760</v>
      </c>
    </row>
    <row r="4562" spans="1:10" x14ac:dyDescent="0.45">
      <c r="A4562" t="s">
        <v>2489</v>
      </c>
      <c r="B4562" s="1">
        <v>45986</v>
      </c>
      <c r="C4562" t="s">
        <v>9</v>
      </c>
      <c r="D4562" t="s">
        <v>10</v>
      </c>
      <c r="E4562">
        <v>400</v>
      </c>
      <c r="F4562">
        <v>5</v>
      </c>
      <c r="G4562">
        <f t="shared" si="213"/>
        <v>2000</v>
      </c>
      <c r="H4562" t="s">
        <v>21</v>
      </c>
      <c r="I4562">
        <f t="shared" si="214"/>
        <v>480</v>
      </c>
      <c r="J4562">
        <f t="shared" si="215"/>
        <v>2400</v>
      </c>
    </row>
    <row r="4563" spans="1:10" x14ac:dyDescent="0.45">
      <c r="A4563" t="s">
        <v>2490</v>
      </c>
      <c r="B4563" s="1">
        <v>45986</v>
      </c>
      <c r="C4563" t="s">
        <v>9</v>
      </c>
      <c r="D4563" t="s">
        <v>10</v>
      </c>
      <c r="E4563">
        <v>400</v>
      </c>
      <c r="F4563">
        <v>8</v>
      </c>
      <c r="G4563">
        <f t="shared" si="213"/>
        <v>3200</v>
      </c>
      <c r="H4563" t="s">
        <v>17</v>
      </c>
      <c r="I4563">
        <f t="shared" si="214"/>
        <v>480</v>
      </c>
      <c r="J4563">
        <f t="shared" si="215"/>
        <v>3840</v>
      </c>
    </row>
    <row r="4564" spans="1:10" x14ac:dyDescent="0.45">
      <c r="A4564" t="s">
        <v>2491</v>
      </c>
      <c r="B4564" s="1">
        <v>45986</v>
      </c>
      <c r="C4564" t="s">
        <v>12</v>
      </c>
      <c r="D4564" t="s">
        <v>5023</v>
      </c>
      <c r="E4564">
        <v>1750</v>
      </c>
      <c r="F4564">
        <v>6</v>
      </c>
      <c r="G4564">
        <f t="shared" si="213"/>
        <v>10500</v>
      </c>
      <c r="H4564" t="s">
        <v>17</v>
      </c>
      <c r="I4564">
        <f t="shared" si="214"/>
        <v>2100</v>
      </c>
      <c r="J4564">
        <f t="shared" si="215"/>
        <v>12600</v>
      </c>
    </row>
    <row r="4565" spans="1:10" x14ac:dyDescent="0.45">
      <c r="A4565" t="s">
        <v>2492</v>
      </c>
      <c r="B4565" s="1">
        <v>45986</v>
      </c>
      <c r="C4565" t="s">
        <v>33</v>
      </c>
      <c r="D4565" t="s">
        <v>14</v>
      </c>
      <c r="E4565">
        <v>800</v>
      </c>
      <c r="F4565">
        <v>3</v>
      </c>
      <c r="G4565">
        <f t="shared" si="213"/>
        <v>2400</v>
      </c>
      <c r="H4565" t="s">
        <v>7</v>
      </c>
      <c r="I4565">
        <f t="shared" si="214"/>
        <v>960</v>
      </c>
      <c r="J4565">
        <f t="shared" si="215"/>
        <v>2880</v>
      </c>
    </row>
    <row r="4566" spans="1:10" x14ac:dyDescent="0.45">
      <c r="A4566" t="s">
        <v>2493</v>
      </c>
      <c r="B4566" s="1">
        <v>45986</v>
      </c>
      <c r="C4566" t="s">
        <v>33</v>
      </c>
      <c r="D4566" t="s">
        <v>14</v>
      </c>
      <c r="E4566">
        <v>800</v>
      </c>
      <c r="F4566">
        <v>9</v>
      </c>
      <c r="G4566">
        <f t="shared" si="213"/>
        <v>7200</v>
      </c>
      <c r="H4566" t="s">
        <v>7</v>
      </c>
      <c r="I4566">
        <f t="shared" si="214"/>
        <v>960</v>
      </c>
      <c r="J4566">
        <f t="shared" si="215"/>
        <v>8640</v>
      </c>
    </row>
    <row r="4567" spans="1:10" x14ac:dyDescent="0.45">
      <c r="A4567" t="s">
        <v>2494</v>
      </c>
      <c r="B4567" s="1">
        <v>45986</v>
      </c>
      <c r="C4567" t="s">
        <v>9</v>
      </c>
      <c r="D4567" t="s">
        <v>19</v>
      </c>
      <c r="E4567">
        <v>3000</v>
      </c>
      <c r="F4567">
        <v>1</v>
      </c>
      <c r="G4567">
        <f t="shared" si="213"/>
        <v>3000</v>
      </c>
      <c r="H4567" t="s">
        <v>17</v>
      </c>
      <c r="I4567">
        <f t="shared" si="214"/>
        <v>3600</v>
      </c>
      <c r="J4567">
        <f t="shared" si="215"/>
        <v>3600</v>
      </c>
    </row>
    <row r="4568" spans="1:10" x14ac:dyDescent="0.45">
      <c r="A4568" t="s">
        <v>2495</v>
      </c>
      <c r="B4568" s="1">
        <v>45986</v>
      </c>
      <c r="C4568" t="s">
        <v>12</v>
      </c>
      <c r="D4568" t="s">
        <v>5023</v>
      </c>
      <c r="E4568">
        <v>1750</v>
      </c>
      <c r="F4568">
        <v>1</v>
      </c>
      <c r="G4568">
        <f t="shared" si="213"/>
        <v>1750</v>
      </c>
      <c r="H4568" t="s">
        <v>21</v>
      </c>
      <c r="I4568">
        <f t="shared" si="214"/>
        <v>2100</v>
      </c>
      <c r="J4568">
        <f t="shared" si="215"/>
        <v>2100</v>
      </c>
    </row>
    <row r="4569" spans="1:10" x14ac:dyDescent="0.45">
      <c r="A4569" t="s">
        <v>3094</v>
      </c>
      <c r="B4569" s="1">
        <v>45986</v>
      </c>
      <c r="C4569" t="s">
        <v>2772</v>
      </c>
      <c r="D4569" t="s">
        <v>2775</v>
      </c>
      <c r="E4569">
        <v>9100</v>
      </c>
      <c r="F4569">
        <v>2</v>
      </c>
      <c r="G4569">
        <f t="shared" si="213"/>
        <v>18200</v>
      </c>
      <c r="H4569" t="s">
        <v>21</v>
      </c>
      <c r="I4569">
        <f t="shared" si="214"/>
        <v>10920</v>
      </c>
      <c r="J4569">
        <f t="shared" si="215"/>
        <v>21840</v>
      </c>
    </row>
    <row r="4570" spans="1:10" x14ac:dyDescent="0.45">
      <c r="A4570" t="s">
        <v>3654</v>
      </c>
      <c r="B4570" s="1">
        <v>45986</v>
      </c>
      <c r="C4570" t="s">
        <v>2772</v>
      </c>
      <c r="D4570" t="s">
        <v>2771</v>
      </c>
      <c r="E4570">
        <v>120</v>
      </c>
      <c r="F4570">
        <v>4</v>
      </c>
      <c r="G4570">
        <f t="shared" si="213"/>
        <v>480</v>
      </c>
      <c r="H4570" t="s">
        <v>17</v>
      </c>
      <c r="I4570">
        <f t="shared" si="214"/>
        <v>144</v>
      </c>
      <c r="J4570">
        <f t="shared" si="215"/>
        <v>576</v>
      </c>
    </row>
    <row r="4571" spans="1:10" x14ac:dyDescent="0.45">
      <c r="A4571" t="s">
        <v>2496</v>
      </c>
      <c r="B4571" s="1">
        <v>45987</v>
      </c>
      <c r="C4571" t="s">
        <v>4007</v>
      </c>
      <c r="D4571" t="s">
        <v>28</v>
      </c>
      <c r="E4571">
        <v>500</v>
      </c>
      <c r="F4571">
        <v>4</v>
      </c>
      <c r="G4571">
        <f t="shared" si="213"/>
        <v>2000</v>
      </c>
      <c r="H4571" t="s">
        <v>21</v>
      </c>
      <c r="I4571">
        <f t="shared" si="214"/>
        <v>600</v>
      </c>
      <c r="J4571">
        <f t="shared" si="215"/>
        <v>2400</v>
      </c>
    </row>
    <row r="4572" spans="1:10" x14ac:dyDescent="0.45">
      <c r="A4572" t="s">
        <v>2497</v>
      </c>
      <c r="B4572" s="1">
        <v>45987</v>
      </c>
      <c r="C4572" t="s">
        <v>4007</v>
      </c>
      <c r="D4572" t="s">
        <v>28</v>
      </c>
      <c r="E4572">
        <v>500</v>
      </c>
      <c r="F4572">
        <v>4</v>
      </c>
      <c r="G4572">
        <f t="shared" si="213"/>
        <v>2000</v>
      </c>
      <c r="H4572" t="s">
        <v>21</v>
      </c>
      <c r="I4572">
        <f t="shared" si="214"/>
        <v>600</v>
      </c>
      <c r="J4572">
        <f t="shared" si="215"/>
        <v>2400</v>
      </c>
    </row>
    <row r="4573" spans="1:10" x14ac:dyDescent="0.45">
      <c r="A4573" t="s">
        <v>2498</v>
      </c>
      <c r="B4573" s="1">
        <v>45987</v>
      </c>
      <c r="C4573" t="s">
        <v>33</v>
      </c>
      <c r="D4573" t="s">
        <v>42</v>
      </c>
      <c r="E4573">
        <v>6900</v>
      </c>
      <c r="F4573">
        <v>3</v>
      </c>
      <c r="G4573">
        <f t="shared" si="213"/>
        <v>20700</v>
      </c>
      <c r="H4573" t="s">
        <v>21</v>
      </c>
      <c r="I4573">
        <f t="shared" si="214"/>
        <v>8280</v>
      </c>
      <c r="J4573">
        <f t="shared" si="215"/>
        <v>24840</v>
      </c>
    </row>
    <row r="4574" spans="1:10" x14ac:dyDescent="0.45">
      <c r="A4574" t="s">
        <v>2499</v>
      </c>
      <c r="B4574" s="1">
        <v>45987</v>
      </c>
      <c r="C4574" t="s">
        <v>4007</v>
      </c>
      <c r="D4574" t="s">
        <v>39</v>
      </c>
      <c r="E4574">
        <v>6000</v>
      </c>
      <c r="F4574">
        <v>8</v>
      </c>
      <c r="G4574">
        <f t="shared" si="213"/>
        <v>48000</v>
      </c>
      <c r="H4574" t="s">
        <v>7</v>
      </c>
      <c r="I4574">
        <f t="shared" si="214"/>
        <v>7200</v>
      </c>
      <c r="J4574">
        <f t="shared" si="215"/>
        <v>57600</v>
      </c>
    </row>
    <row r="4575" spans="1:10" x14ac:dyDescent="0.45">
      <c r="A4575" t="s">
        <v>2500</v>
      </c>
      <c r="B4575" s="1">
        <v>45987</v>
      </c>
      <c r="C4575" t="s">
        <v>12</v>
      </c>
      <c r="D4575" t="s">
        <v>5023</v>
      </c>
      <c r="E4575">
        <v>1750</v>
      </c>
      <c r="F4575">
        <v>3</v>
      </c>
      <c r="G4575">
        <f t="shared" si="213"/>
        <v>5250</v>
      </c>
      <c r="H4575" t="s">
        <v>7</v>
      </c>
      <c r="I4575">
        <f t="shared" si="214"/>
        <v>2100</v>
      </c>
      <c r="J4575">
        <f t="shared" si="215"/>
        <v>6300</v>
      </c>
    </row>
    <row r="4576" spans="1:10" x14ac:dyDescent="0.45">
      <c r="A4576" t="s">
        <v>2501</v>
      </c>
      <c r="B4576" s="1">
        <v>45987</v>
      </c>
      <c r="C4576" t="s">
        <v>33</v>
      </c>
      <c r="D4576" t="s">
        <v>42</v>
      </c>
      <c r="E4576">
        <v>6900</v>
      </c>
      <c r="F4576">
        <v>6</v>
      </c>
      <c r="G4576">
        <f t="shared" si="213"/>
        <v>41400</v>
      </c>
      <c r="H4576" t="s">
        <v>7</v>
      </c>
      <c r="I4576">
        <f t="shared" si="214"/>
        <v>8280</v>
      </c>
      <c r="J4576">
        <f t="shared" si="215"/>
        <v>49680</v>
      </c>
    </row>
    <row r="4577" spans="1:10" x14ac:dyDescent="0.45">
      <c r="A4577" t="s">
        <v>2502</v>
      </c>
      <c r="B4577" s="1">
        <v>45987</v>
      </c>
      <c r="C4577" t="s">
        <v>33</v>
      </c>
      <c r="D4577" t="s">
        <v>34</v>
      </c>
      <c r="E4577">
        <v>1700</v>
      </c>
      <c r="F4577">
        <v>6</v>
      </c>
      <c r="G4577">
        <f t="shared" si="213"/>
        <v>10200</v>
      </c>
      <c r="H4577" t="s">
        <v>21</v>
      </c>
      <c r="I4577">
        <f t="shared" si="214"/>
        <v>2040</v>
      </c>
      <c r="J4577">
        <f t="shared" si="215"/>
        <v>12240</v>
      </c>
    </row>
    <row r="4578" spans="1:10" x14ac:dyDescent="0.45">
      <c r="A4578" t="s">
        <v>2503</v>
      </c>
      <c r="B4578" s="1">
        <v>45987</v>
      </c>
      <c r="C4578" t="s">
        <v>33</v>
      </c>
      <c r="D4578" t="s">
        <v>16</v>
      </c>
      <c r="E4578">
        <v>1200</v>
      </c>
      <c r="F4578">
        <v>6</v>
      </c>
      <c r="G4578">
        <f t="shared" si="213"/>
        <v>7200</v>
      </c>
      <c r="H4578" t="s">
        <v>17</v>
      </c>
      <c r="I4578">
        <f t="shared" si="214"/>
        <v>1440</v>
      </c>
      <c r="J4578">
        <f t="shared" si="215"/>
        <v>8640</v>
      </c>
    </row>
    <row r="4579" spans="1:10" x14ac:dyDescent="0.45">
      <c r="A4579" t="s">
        <v>2504</v>
      </c>
      <c r="B4579" s="1">
        <v>45987</v>
      </c>
      <c r="C4579" t="s">
        <v>12</v>
      </c>
      <c r="D4579" t="s">
        <v>5022</v>
      </c>
      <c r="E4579">
        <v>2880</v>
      </c>
      <c r="F4579">
        <v>7</v>
      </c>
      <c r="G4579">
        <f t="shared" si="213"/>
        <v>20160</v>
      </c>
      <c r="H4579" t="s">
        <v>7</v>
      </c>
      <c r="I4579">
        <f t="shared" si="214"/>
        <v>3456</v>
      </c>
      <c r="J4579">
        <f t="shared" si="215"/>
        <v>24192</v>
      </c>
    </row>
    <row r="4580" spans="1:10" x14ac:dyDescent="0.45">
      <c r="A4580" t="s">
        <v>2883</v>
      </c>
      <c r="B4580" s="1">
        <v>45987</v>
      </c>
      <c r="C4580" t="s">
        <v>2772</v>
      </c>
      <c r="D4580" t="s">
        <v>2771</v>
      </c>
      <c r="E4580">
        <v>120</v>
      </c>
      <c r="F4580">
        <v>8</v>
      </c>
      <c r="G4580">
        <f t="shared" si="213"/>
        <v>960</v>
      </c>
      <c r="H4580" t="s">
        <v>17</v>
      </c>
      <c r="I4580">
        <f t="shared" si="214"/>
        <v>144</v>
      </c>
      <c r="J4580">
        <f t="shared" si="215"/>
        <v>1152</v>
      </c>
    </row>
    <row r="4581" spans="1:10" x14ac:dyDescent="0.45">
      <c r="A4581" t="s">
        <v>3045</v>
      </c>
      <c r="B4581" s="1">
        <v>45987</v>
      </c>
      <c r="C4581" t="s">
        <v>4007</v>
      </c>
      <c r="D4581" t="s">
        <v>28</v>
      </c>
      <c r="E4581">
        <v>500</v>
      </c>
      <c r="F4581">
        <v>10</v>
      </c>
      <c r="G4581">
        <f t="shared" si="213"/>
        <v>5000</v>
      </c>
      <c r="H4581" t="s">
        <v>7</v>
      </c>
      <c r="I4581">
        <f t="shared" si="214"/>
        <v>600</v>
      </c>
      <c r="J4581">
        <f t="shared" si="215"/>
        <v>6000</v>
      </c>
    </row>
    <row r="4582" spans="1:10" x14ac:dyDescent="0.45">
      <c r="A4582" t="s">
        <v>3290</v>
      </c>
      <c r="B4582" s="1">
        <v>45987</v>
      </c>
      <c r="C4582" t="s">
        <v>33</v>
      </c>
      <c r="D4582" t="s">
        <v>14</v>
      </c>
      <c r="E4582">
        <v>800</v>
      </c>
      <c r="F4582">
        <v>9</v>
      </c>
      <c r="G4582">
        <f t="shared" si="213"/>
        <v>7200</v>
      </c>
      <c r="H4582" t="s">
        <v>17</v>
      </c>
      <c r="I4582">
        <f t="shared" si="214"/>
        <v>960</v>
      </c>
      <c r="J4582">
        <f t="shared" si="215"/>
        <v>8640</v>
      </c>
    </row>
    <row r="4583" spans="1:10" x14ac:dyDescent="0.45">
      <c r="A4583" t="s">
        <v>3571</v>
      </c>
      <c r="B4583" s="1">
        <v>45987</v>
      </c>
      <c r="C4583" t="s">
        <v>33</v>
      </c>
      <c r="D4583" t="s">
        <v>14</v>
      </c>
      <c r="E4583">
        <v>800</v>
      </c>
      <c r="F4583">
        <v>8</v>
      </c>
      <c r="G4583">
        <f t="shared" si="213"/>
        <v>6400</v>
      </c>
      <c r="H4583" t="s">
        <v>21</v>
      </c>
      <c r="I4583">
        <f t="shared" si="214"/>
        <v>960</v>
      </c>
      <c r="J4583">
        <f t="shared" si="215"/>
        <v>7680</v>
      </c>
    </row>
    <row r="4584" spans="1:10" x14ac:dyDescent="0.45">
      <c r="A4584" t="s">
        <v>2505</v>
      </c>
      <c r="B4584" s="1">
        <v>45988</v>
      </c>
      <c r="C4584" t="s">
        <v>9</v>
      </c>
      <c r="D4584" t="s">
        <v>25</v>
      </c>
      <c r="E4584">
        <v>5200</v>
      </c>
      <c r="F4584">
        <v>4</v>
      </c>
      <c r="G4584">
        <f t="shared" si="213"/>
        <v>20800</v>
      </c>
      <c r="H4584" t="s">
        <v>17</v>
      </c>
      <c r="I4584">
        <f t="shared" si="214"/>
        <v>6240</v>
      </c>
      <c r="J4584">
        <f t="shared" si="215"/>
        <v>24960</v>
      </c>
    </row>
    <row r="4585" spans="1:10" x14ac:dyDescent="0.45">
      <c r="A4585" t="s">
        <v>2506</v>
      </c>
      <c r="B4585" s="1">
        <v>45988</v>
      </c>
      <c r="C4585" t="s">
        <v>12</v>
      </c>
      <c r="D4585" t="s">
        <v>5022</v>
      </c>
      <c r="E4585">
        <v>2880</v>
      </c>
      <c r="F4585">
        <v>8</v>
      </c>
      <c r="G4585">
        <f t="shared" si="213"/>
        <v>23040</v>
      </c>
      <c r="H4585" t="s">
        <v>17</v>
      </c>
      <c r="I4585">
        <f t="shared" si="214"/>
        <v>3456</v>
      </c>
      <c r="J4585">
        <f t="shared" si="215"/>
        <v>27648</v>
      </c>
    </row>
    <row r="4586" spans="1:10" x14ac:dyDescent="0.45">
      <c r="A4586" t="s">
        <v>2507</v>
      </c>
      <c r="B4586" s="1">
        <v>45988</v>
      </c>
      <c r="C4586" t="s">
        <v>33</v>
      </c>
      <c r="D4586" t="s">
        <v>14</v>
      </c>
      <c r="E4586">
        <v>800</v>
      </c>
      <c r="F4586">
        <v>2</v>
      </c>
      <c r="G4586">
        <f t="shared" si="213"/>
        <v>1600</v>
      </c>
      <c r="H4586" t="s">
        <v>7</v>
      </c>
      <c r="I4586">
        <f t="shared" si="214"/>
        <v>960</v>
      </c>
      <c r="J4586">
        <f t="shared" si="215"/>
        <v>1920</v>
      </c>
    </row>
    <row r="4587" spans="1:10" x14ac:dyDescent="0.45">
      <c r="A4587" t="s">
        <v>2508</v>
      </c>
      <c r="B4587" s="1">
        <v>45988</v>
      </c>
      <c r="C4587" t="s">
        <v>33</v>
      </c>
      <c r="D4587" t="s">
        <v>42</v>
      </c>
      <c r="E4587">
        <v>6900</v>
      </c>
      <c r="F4587">
        <v>3</v>
      </c>
      <c r="G4587">
        <f t="shared" si="213"/>
        <v>20700</v>
      </c>
      <c r="H4587" t="s">
        <v>7</v>
      </c>
      <c r="I4587">
        <f t="shared" si="214"/>
        <v>8280</v>
      </c>
      <c r="J4587">
        <f t="shared" si="215"/>
        <v>24840</v>
      </c>
    </row>
    <row r="4588" spans="1:10" x14ac:dyDescent="0.45">
      <c r="A4588" t="s">
        <v>2509</v>
      </c>
      <c r="B4588" s="1">
        <v>45988</v>
      </c>
      <c r="C4588" t="s">
        <v>9</v>
      </c>
      <c r="D4588" t="s">
        <v>19</v>
      </c>
      <c r="E4588">
        <v>3000</v>
      </c>
      <c r="F4588">
        <v>7</v>
      </c>
      <c r="G4588">
        <f t="shared" si="213"/>
        <v>21000</v>
      </c>
      <c r="H4588" t="s">
        <v>17</v>
      </c>
      <c r="I4588">
        <f t="shared" si="214"/>
        <v>3600</v>
      </c>
      <c r="J4588">
        <f t="shared" si="215"/>
        <v>25200</v>
      </c>
    </row>
    <row r="4589" spans="1:10" x14ac:dyDescent="0.45">
      <c r="A4589" t="s">
        <v>2510</v>
      </c>
      <c r="B4589" s="1">
        <v>45988</v>
      </c>
      <c r="C4589" t="s">
        <v>12</v>
      </c>
      <c r="D4589" t="s">
        <v>5022</v>
      </c>
      <c r="E4589">
        <v>2880</v>
      </c>
      <c r="F4589">
        <v>5</v>
      </c>
      <c r="G4589">
        <f t="shared" si="213"/>
        <v>14400</v>
      </c>
      <c r="H4589" t="s">
        <v>21</v>
      </c>
      <c r="I4589">
        <f t="shared" si="214"/>
        <v>3456</v>
      </c>
      <c r="J4589">
        <f t="shared" si="215"/>
        <v>17280</v>
      </c>
    </row>
    <row r="4590" spans="1:10" x14ac:dyDescent="0.45">
      <c r="A4590" t="s">
        <v>2511</v>
      </c>
      <c r="B4590" s="1">
        <v>45988</v>
      </c>
      <c r="C4590" t="s">
        <v>9</v>
      </c>
      <c r="D4590" t="s">
        <v>19</v>
      </c>
      <c r="E4590">
        <v>3000</v>
      </c>
      <c r="F4590">
        <v>5</v>
      </c>
      <c r="G4590">
        <f t="shared" si="213"/>
        <v>15000</v>
      </c>
      <c r="H4590" t="s">
        <v>21</v>
      </c>
      <c r="I4590">
        <f t="shared" si="214"/>
        <v>3600</v>
      </c>
      <c r="J4590">
        <f t="shared" si="215"/>
        <v>18000</v>
      </c>
    </row>
    <row r="4591" spans="1:10" x14ac:dyDescent="0.45">
      <c r="A4591" t="s">
        <v>3005</v>
      </c>
      <c r="B4591" s="1">
        <v>45988</v>
      </c>
      <c r="C4591" t="s">
        <v>4007</v>
      </c>
      <c r="D4591" t="s">
        <v>5015</v>
      </c>
      <c r="E4591">
        <v>48000</v>
      </c>
      <c r="F4591">
        <v>9</v>
      </c>
      <c r="G4591">
        <f t="shared" si="213"/>
        <v>432000</v>
      </c>
      <c r="H4591" t="s">
        <v>7</v>
      </c>
      <c r="I4591">
        <f t="shared" si="214"/>
        <v>57600</v>
      </c>
      <c r="J4591">
        <f t="shared" si="215"/>
        <v>518400</v>
      </c>
    </row>
    <row r="4592" spans="1:10" x14ac:dyDescent="0.45">
      <c r="A4592" t="s">
        <v>3763</v>
      </c>
      <c r="B4592" s="1">
        <v>45988</v>
      </c>
      <c r="C4592" t="s">
        <v>2772</v>
      </c>
      <c r="D4592" t="s">
        <v>2775</v>
      </c>
      <c r="E4592">
        <v>9100</v>
      </c>
      <c r="F4592">
        <v>1</v>
      </c>
      <c r="G4592">
        <f t="shared" si="213"/>
        <v>9100</v>
      </c>
      <c r="H4592" t="s">
        <v>21</v>
      </c>
      <c r="I4592">
        <f t="shared" si="214"/>
        <v>10920</v>
      </c>
      <c r="J4592">
        <f t="shared" si="215"/>
        <v>10920</v>
      </c>
    </row>
    <row r="4593" spans="1:10" x14ac:dyDescent="0.45">
      <c r="A4593" t="s">
        <v>2512</v>
      </c>
      <c r="B4593" s="1">
        <v>45989</v>
      </c>
      <c r="C4593" t="s">
        <v>9</v>
      </c>
      <c r="D4593" t="s">
        <v>10</v>
      </c>
      <c r="E4593">
        <v>400</v>
      </c>
      <c r="F4593">
        <v>8</v>
      </c>
      <c r="G4593">
        <f t="shared" si="213"/>
        <v>3200</v>
      </c>
      <c r="H4593" t="s">
        <v>17</v>
      </c>
      <c r="I4593">
        <f t="shared" si="214"/>
        <v>480</v>
      </c>
      <c r="J4593">
        <f t="shared" si="215"/>
        <v>3840</v>
      </c>
    </row>
    <row r="4594" spans="1:10" x14ac:dyDescent="0.45">
      <c r="A4594" t="s">
        <v>2513</v>
      </c>
      <c r="B4594" s="1">
        <v>45989</v>
      </c>
      <c r="C4594" t="s">
        <v>33</v>
      </c>
      <c r="D4594" t="s">
        <v>34</v>
      </c>
      <c r="E4594">
        <v>1700</v>
      </c>
      <c r="F4594">
        <v>2</v>
      </c>
      <c r="G4594">
        <f t="shared" si="213"/>
        <v>3400</v>
      </c>
      <c r="H4594" t="s">
        <v>21</v>
      </c>
      <c r="I4594">
        <f t="shared" si="214"/>
        <v>2040</v>
      </c>
      <c r="J4594">
        <f t="shared" si="215"/>
        <v>4080</v>
      </c>
    </row>
    <row r="4595" spans="1:10" x14ac:dyDescent="0.45">
      <c r="A4595" t="s">
        <v>2514</v>
      </c>
      <c r="B4595" s="1">
        <v>45989</v>
      </c>
      <c r="C4595" t="s">
        <v>4007</v>
      </c>
      <c r="D4595" t="s">
        <v>4005</v>
      </c>
      <c r="E4595">
        <v>60000</v>
      </c>
      <c r="F4595">
        <v>6</v>
      </c>
      <c r="G4595">
        <f t="shared" si="213"/>
        <v>360000</v>
      </c>
      <c r="H4595" t="s">
        <v>7</v>
      </c>
      <c r="I4595">
        <f t="shared" si="214"/>
        <v>72000</v>
      </c>
      <c r="J4595">
        <f t="shared" si="215"/>
        <v>432000</v>
      </c>
    </row>
    <row r="4596" spans="1:10" x14ac:dyDescent="0.45">
      <c r="A4596" t="s">
        <v>2515</v>
      </c>
      <c r="B4596" s="1">
        <v>45989</v>
      </c>
      <c r="C4596" t="s">
        <v>4007</v>
      </c>
      <c r="D4596" t="s">
        <v>28</v>
      </c>
      <c r="E4596">
        <v>500</v>
      </c>
      <c r="F4596">
        <v>1</v>
      </c>
      <c r="G4596">
        <f t="shared" si="213"/>
        <v>500</v>
      </c>
      <c r="H4596" t="s">
        <v>21</v>
      </c>
      <c r="I4596">
        <f t="shared" si="214"/>
        <v>600</v>
      </c>
      <c r="J4596">
        <f t="shared" si="215"/>
        <v>600</v>
      </c>
    </row>
    <row r="4597" spans="1:10" x14ac:dyDescent="0.45">
      <c r="A4597" t="s">
        <v>2516</v>
      </c>
      <c r="B4597" s="1">
        <v>45989</v>
      </c>
      <c r="C4597" t="s">
        <v>4007</v>
      </c>
      <c r="D4597" t="s">
        <v>4005</v>
      </c>
      <c r="E4597">
        <v>60000</v>
      </c>
      <c r="F4597">
        <v>4</v>
      </c>
      <c r="G4597">
        <f t="shared" si="213"/>
        <v>240000</v>
      </c>
      <c r="H4597" t="s">
        <v>7</v>
      </c>
      <c r="I4597">
        <f t="shared" si="214"/>
        <v>72000</v>
      </c>
      <c r="J4597">
        <f t="shared" si="215"/>
        <v>288000</v>
      </c>
    </row>
    <row r="4598" spans="1:10" x14ac:dyDescent="0.45">
      <c r="A4598" t="s">
        <v>2517</v>
      </c>
      <c r="B4598" s="1">
        <v>45989</v>
      </c>
      <c r="C4598" t="s">
        <v>12</v>
      </c>
      <c r="D4598" t="s">
        <v>5023</v>
      </c>
      <c r="E4598">
        <v>1750</v>
      </c>
      <c r="F4598">
        <v>9</v>
      </c>
      <c r="G4598">
        <f t="shared" si="213"/>
        <v>15750</v>
      </c>
      <c r="H4598" t="s">
        <v>21</v>
      </c>
      <c r="I4598">
        <f t="shared" si="214"/>
        <v>2100</v>
      </c>
      <c r="J4598">
        <f t="shared" si="215"/>
        <v>18900</v>
      </c>
    </row>
    <row r="4599" spans="1:10" x14ac:dyDescent="0.45">
      <c r="A4599" t="s">
        <v>2794</v>
      </c>
      <c r="B4599" s="1">
        <v>45989</v>
      </c>
      <c r="C4599" t="s">
        <v>2772</v>
      </c>
      <c r="D4599" t="s">
        <v>2775</v>
      </c>
      <c r="E4599">
        <v>9100</v>
      </c>
      <c r="F4599">
        <v>6</v>
      </c>
      <c r="G4599">
        <f t="shared" si="213"/>
        <v>54600</v>
      </c>
      <c r="H4599" t="s">
        <v>21</v>
      </c>
      <c r="I4599">
        <f t="shared" si="214"/>
        <v>10920</v>
      </c>
      <c r="J4599">
        <f t="shared" si="215"/>
        <v>65520</v>
      </c>
    </row>
    <row r="4600" spans="1:10" x14ac:dyDescent="0.45">
      <c r="A4600" t="s">
        <v>3328</v>
      </c>
      <c r="B4600" s="1">
        <v>45989</v>
      </c>
      <c r="C4600" t="s">
        <v>4007</v>
      </c>
      <c r="D4600" t="s">
        <v>2774</v>
      </c>
      <c r="E4600">
        <v>1900</v>
      </c>
      <c r="F4600">
        <v>4</v>
      </c>
      <c r="G4600">
        <f t="shared" si="213"/>
        <v>7600</v>
      </c>
      <c r="H4600" t="s">
        <v>7</v>
      </c>
      <c r="I4600">
        <f t="shared" si="214"/>
        <v>2280</v>
      </c>
      <c r="J4600">
        <f t="shared" si="215"/>
        <v>9120</v>
      </c>
    </row>
    <row r="4601" spans="1:10" x14ac:dyDescent="0.45">
      <c r="A4601" t="s">
        <v>3329</v>
      </c>
      <c r="B4601" s="1">
        <v>45989</v>
      </c>
      <c r="C4601" t="s">
        <v>4007</v>
      </c>
      <c r="D4601" t="s">
        <v>2770</v>
      </c>
      <c r="E4601">
        <v>600</v>
      </c>
      <c r="F4601">
        <v>5</v>
      </c>
      <c r="G4601">
        <f t="shared" si="213"/>
        <v>3000</v>
      </c>
      <c r="H4601" t="s">
        <v>7</v>
      </c>
      <c r="I4601">
        <f t="shared" si="214"/>
        <v>720</v>
      </c>
      <c r="J4601">
        <f t="shared" si="215"/>
        <v>3600</v>
      </c>
    </row>
    <row r="4602" spans="1:10" x14ac:dyDescent="0.45">
      <c r="A4602" t="s">
        <v>3518</v>
      </c>
      <c r="B4602" s="1">
        <v>45989</v>
      </c>
      <c r="C4602" t="s">
        <v>4007</v>
      </c>
      <c r="D4602" t="s">
        <v>2770</v>
      </c>
      <c r="E4602">
        <v>600</v>
      </c>
      <c r="F4602">
        <v>1</v>
      </c>
      <c r="G4602">
        <f t="shared" si="213"/>
        <v>600</v>
      </c>
      <c r="H4602" t="s">
        <v>7</v>
      </c>
      <c r="I4602">
        <f t="shared" si="214"/>
        <v>720</v>
      </c>
      <c r="J4602">
        <f t="shared" si="215"/>
        <v>720</v>
      </c>
    </row>
    <row r="4603" spans="1:10" x14ac:dyDescent="0.45">
      <c r="A4603" t="s">
        <v>3673</v>
      </c>
      <c r="B4603" s="1">
        <v>45989</v>
      </c>
      <c r="C4603" t="s">
        <v>4007</v>
      </c>
      <c r="D4603" t="s">
        <v>2770</v>
      </c>
      <c r="E4603">
        <v>600</v>
      </c>
      <c r="F4603">
        <v>8</v>
      </c>
      <c r="G4603">
        <f t="shared" si="213"/>
        <v>4800</v>
      </c>
      <c r="H4603" t="s">
        <v>21</v>
      </c>
      <c r="I4603">
        <f t="shared" si="214"/>
        <v>720</v>
      </c>
      <c r="J4603">
        <f t="shared" si="215"/>
        <v>5760</v>
      </c>
    </row>
    <row r="4604" spans="1:10" x14ac:dyDescent="0.45">
      <c r="A4604" t="s">
        <v>3802</v>
      </c>
      <c r="B4604" s="1">
        <v>45989</v>
      </c>
      <c r="C4604" t="s">
        <v>4007</v>
      </c>
      <c r="D4604" t="s">
        <v>2773</v>
      </c>
      <c r="E4604">
        <v>3300</v>
      </c>
      <c r="F4604">
        <v>5</v>
      </c>
      <c r="G4604">
        <f t="shared" si="213"/>
        <v>16500</v>
      </c>
      <c r="H4604" t="s">
        <v>17</v>
      </c>
      <c r="I4604">
        <f t="shared" si="214"/>
        <v>3960</v>
      </c>
      <c r="J4604">
        <f t="shared" si="215"/>
        <v>19800</v>
      </c>
    </row>
    <row r="4605" spans="1:10" x14ac:dyDescent="0.45">
      <c r="A4605" t="s">
        <v>2518</v>
      </c>
      <c r="B4605" s="1">
        <v>45990</v>
      </c>
      <c r="C4605" t="s">
        <v>4007</v>
      </c>
      <c r="D4605" t="s">
        <v>4005</v>
      </c>
      <c r="E4605">
        <v>60000</v>
      </c>
      <c r="F4605">
        <v>10</v>
      </c>
      <c r="G4605">
        <f t="shared" si="213"/>
        <v>600000</v>
      </c>
      <c r="H4605" t="s">
        <v>7</v>
      </c>
      <c r="I4605">
        <f t="shared" si="214"/>
        <v>72000</v>
      </c>
      <c r="J4605">
        <f t="shared" si="215"/>
        <v>720000</v>
      </c>
    </row>
    <row r="4606" spans="1:10" x14ac:dyDescent="0.45">
      <c r="A4606" t="s">
        <v>2519</v>
      </c>
      <c r="B4606" s="1">
        <v>45990</v>
      </c>
      <c r="C4606" t="s">
        <v>33</v>
      </c>
      <c r="D4606" t="s">
        <v>34</v>
      </c>
      <c r="E4606">
        <v>1700</v>
      </c>
      <c r="F4606">
        <v>1</v>
      </c>
      <c r="G4606">
        <f t="shared" si="213"/>
        <v>1700</v>
      </c>
      <c r="H4606" t="s">
        <v>17</v>
      </c>
      <c r="I4606">
        <f t="shared" si="214"/>
        <v>2040</v>
      </c>
      <c r="J4606">
        <f t="shared" si="215"/>
        <v>2040</v>
      </c>
    </row>
    <row r="4607" spans="1:10" x14ac:dyDescent="0.45">
      <c r="A4607" t="s">
        <v>2520</v>
      </c>
      <c r="B4607" s="1">
        <v>45990</v>
      </c>
      <c r="C4607" t="s">
        <v>9</v>
      </c>
      <c r="D4607" t="s">
        <v>10</v>
      </c>
      <c r="E4607">
        <v>400</v>
      </c>
      <c r="F4607">
        <v>6</v>
      </c>
      <c r="G4607">
        <f t="shared" si="213"/>
        <v>2400</v>
      </c>
      <c r="H4607" t="s">
        <v>17</v>
      </c>
      <c r="I4607">
        <f t="shared" si="214"/>
        <v>480</v>
      </c>
      <c r="J4607">
        <f t="shared" si="215"/>
        <v>2880</v>
      </c>
    </row>
    <row r="4608" spans="1:10" x14ac:dyDescent="0.45">
      <c r="A4608" t="s">
        <v>2521</v>
      </c>
      <c r="B4608" s="1">
        <v>45990</v>
      </c>
      <c r="C4608" t="s">
        <v>12</v>
      </c>
      <c r="D4608" t="s">
        <v>5023</v>
      </c>
      <c r="E4608">
        <v>1750</v>
      </c>
      <c r="F4608">
        <v>1</v>
      </c>
      <c r="G4608">
        <f t="shared" si="213"/>
        <v>1750</v>
      </c>
      <c r="H4608" t="s">
        <v>7</v>
      </c>
      <c r="I4608">
        <f t="shared" si="214"/>
        <v>2100</v>
      </c>
      <c r="J4608">
        <f t="shared" si="215"/>
        <v>2100</v>
      </c>
    </row>
    <row r="4609" spans="1:10" x14ac:dyDescent="0.45">
      <c r="A4609" t="s">
        <v>2522</v>
      </c>
      <c r="B4609" s="1">
        <v>45990</v>
      </c>
      <c r="C4609" t="s">
        <v>12</v>
      </c>
      <c r="D4609" t="s">
        <v>5022</v>
      </c>
      <c r="E4609">
        <v>2880</v>
      </c>
      <c r="F4609">
        <v>3</v>
      </c>
      <c r="G4609">
        <f t="shared" si="213"/>
        <v>8640</v>
      </c>
      <c r="H4609" t="s">
        <v>21</v>
      </c>
      <c r="I4609">
        <f t="shared" si="214"/>
        <v>3456</v>
      </c>
      <c r="J4609">
        <f t="shared" si="215"/>
        <v>10368</v>
      </c>
    </row>
    <row r="4610" spans="1:10" x14ac:dyDescent="0.45">
      <c r="A4610" t="s">
        <v>2523</v>
      </c>
      <c r="B4610" s="1">
        <v>45990</v>
      </c>
      <c r="C4610" t="s">
        <v>4007</v>
      </c>
      <c r="D4610" t="s">
        <v>39</v>
      </c>
      <c r="E4610">
        <v>6000</v>
      </c>
      <c r="F4610">
        <v>1</v>
      </c>
      <c r="G4610">
        <f t="shared" ref="G4610:G4673" si="216">E4610*F4610</f>
        <v>6000</v>
      </c>
      <c r="H4610" t="s">
        <v>17</v>
      </c>
      <c r="I4610">
        <f t="shared" ref="I4610:I4673" si="217">E4610*1.2</f>
        <v>7200</v>
      </c>
      <c r="J4610">
        <f t="shared" ref="J4610:J4673" si="218">I4610*F4610</f>
        <v>7200</v>
      </c>
    </row>
    <row r="4611" spans="1:10" x14ac:dyDescent="0.45">
      <c r="A4611" t="s">
        <v>2524</v>
      </c>
      <c r="B4611" s="1">
        <v>45990</v>
      </c>
      <c r="C4611" t="s">
        <v>33</v>
      </c>
      <c r="D4611" t="s">
        <v>14</v>
      </c>
      <c r="E4611">
        <v>800</v>
      </c>
      <c r="F4611">
        <v>6</v>
      </c>
      <c r="G4611">
        <f t="shared" si="216"/>
        <v>4800</v>
      </c>
      <c r="H4611" t="s">
        <v>7</v>
      </c>
      <c r="I4611">
        <f t="shared" si="217"/>
        <v>960</v>
      </c>
      <c r="J4611">
        <f t="shared" si="218"/>
        <v>5760</v>
      </c>
    </row>
    <row r="4612" spans="1:10" x14ac:dyDescent="0.45">
      <c r="A4612" t="s">
        <v>2525</v>
      </c>
      <c r="B4612" s="1">
        <v>45990</v>
      </c>
      <c r="C4612" t="s">
        <v>9</v>
      </c>
      <c r="D4612" t="s">
        <v>10</v>
      </c>
      <c r="E4612">
        <v>400</v>
      </c>
      <c r="F4612">
        <v>3</v>
      </c>
      <c r="G4612">
        <f t="shared" si="216"/>
        <v>1200</v>
      </c>
      <c r="H4612" t="s">
        <v>17</v>
      </c>
      <c r="I4612">
        <f t="shared" si="217"/>
        <v>480</v>
      </c>
      <c r="J4612">
        <f t="shared" si="218"/>
        <v>1440</v>
      </c>
    </row>
    <row r="4613" spans="1:10" x14ac:dyDescent="0.45">
      <c r="A4613" t="s">
        <v>2526</v>
      </c>
      <c r="B4613" s="1">
        <v>45990</v>
      </c>
      <c r="C4613" t="s">
        <v>12</v>
      </c>
      <c r="D4613" t="s">
        <v>5021</v>
      </c>
      <c r="E4613">
        <v>2880</v>
      </c>
      <c r="F4613">
        <v>1</v>
      </c>
      <c r="G4613">
        <f t="shared" si="216"/>
        <v>2880</v>
      </c>
      <c r="H4613" t="s">
        <v>7</v>
      </c>
      <c r="I4613">
        <f t="shared" si="217"/>
        <v>3456</v>
      </c>
      <c r="J4613">
        <f t="shared" si="218"/>
        <v>3456</v>
      </c>
    </row>
    <row r="4614" spans="1:10" x14ac:dyDescent="0.45">
      <c r="A4614" t="s">
        <v>2527</v>
      </c>
      <c r="B4614" s="1">
        <v>45990</v>
      </c>
      <c r="C4614" t="s">
        <v>4007</v>
      </c>
      <c r="D4614" t="s">
        <v>39</v>
      </c>
      <c r="E4614">
        <v>6000</v>
      </c>
      <c r="F4614">
        <v>6</v>
      </c>
      <c r="G4614">
        <f t="shared" si="216"/>
        <v>36000</v>
      </c>
      <c r="H4614" t="s">
        <v>21</v>
      </c>
      <c r="I4614">
        <f t="shared" si="217"/>
        <v>7200</v>
      </c>
      <c r="J4614">
        <f t="shared" si="218"/>
        <v>43200</v>
      </c>
    </row>
    <row r="4615" spans="1:10" x14ac:dyDescent="0.45">
      <c r="A4615" t="s">
        <v>2820</v>
      </c>
      <c r="B4615" s="1">
        <v>45990</v>
      </c>
      <c r="C4615" t="s">
        <v>4007</v>
      </c>
      <c r="D4615" t="s">
        <v>5015</v>
      </c>
      <c r="E4615">
        <v>48000</v>
      </c>
      <c r="F4615">
        <v>2</v>
      </c>
      <c r="G4615">
        <f t="shared" si="216"/>
        <v>96000</v>
      </c>
      <c r="H4615" t="s">
        <v>7</v>
      </c>
      <c r="I4615">
        <f t="shared" si="217"/>
        <v>57600</v>
      </c>
      <c r="J4615">
        <f t="shared" si="218"/>
        <v>115200</v>
      </c>
    </row>
    <row r="4616" spans="1:10" x14ac:dyDescent="0.45">
      <c r="A4616" t="s">
        <v>3871</v>
      </c>
      <c r="B4616" s="1">
        <v>45990</v>
      </c>
      <c r="C4616" t="s">
        <v>2772</v>
      </c>
      <c r="D4616" t="s">
        <v>2771</v>
      </c>
      <c r="E4616">
        <v>120</v>
      </c>
      <c r="F4616">
        <v>4</v>
      </c>
      <c r="G4616">
        <f t="shared" si="216"/>
        <v>480</v>
      </c>
      <c r="H4616" t="s">
        <v>21</v>
      </c>
      <c r="I4616">
        <f t="shared" si="217"/>
        <v>144</v>
      </c>
      <c r="J4616">
        <f t="shared" si="218"/>
        <v>576</v>
      </c>
    </row>
    <row r="4617" spans="1:10" x14ac:dyDescent="0.45">
      <c r="A4617" t="s">
        <v>2528</v>
      </c>
      <c r="B4617" s="1">
        <v>45991</v>
      </c>
      <c r="C4617" t="s">
        <v>12</v>
      </c>
      <c r="D4617" t="s">
        <v>5023</v>
      </c>
      <c r="E4617">
        <v>1750</v>
      </c>
      <c r="F4617">
        <v>10</v>
      </c>
      <c r="G4617">
        <f t="shared" si="216"/>
        <v>17500</v>
      </c>
      <c r="H4617" t="s">
        <v>7</v>
      </c>
      <c r="I4617">
        <f t="shared" si="217"/>
        <v>2100</v>
      </c>
      <c r="J4617">
        <f t="shared" si="218"/>
        <v>21000</v>
      </c>
    </row>
    <row r="4618" spans="1:10" x14ac:dyDescent="0.45">
      <c r="A4618" t="s">
        <v>2529</v>
      </c>
      <c r="B4618" s="1">
        <v>45991</v>
      </c>
      <c r="C4618" t="s">
        <v>4007</v>
      </c>
      <c r="D4618" t="s">
        <v>28</v>
      </c>
      <c r="E4618">
        <v>500</v>
      </c>
      <c r="F4618">
        <v>7</v>
      </c>
      <c r="G4618">
        <f t="shared" si="216"/>
        <v>3500</v>
      </c>
      <c r="H4618" t="s">
        <v>7</v>
      </c>
      <c r="I4618">
        <f t="shared" si="217"/>
        <v>600</v>
      </c>
      <c r="J4618">
        <f t="shared" si="218"/>
        <v>4200</v>
      </c>
    </row>
    <row r="4619" spans="1:10" x14ac:dyDescent="0.45">
      <c r="A4619" t="s">
        <v>2530</v>
      </c>
      <c r="B4619" s="1">
        <v>45991</v>
      </c>
      <c r="C4619" t="s">
        <v>9</v>
      </c>
      <c r="D4619" t="s">
        <v>10</v>
      </c>
      <c r="E4619">
        <v>400</v>
      </c>
      <c r="F4619">
        <v>3</v>
      </c>
      <c r="G4619">
        <f t="shared" si="216"/>
        <v>1200</v>
      </c>
      <c r="H4619" t="s">
        <v>7</v>
      </c>
      <c r="I4619">
        <f t="shared" si="217"/>
        <v>480</v>
      </c>
      <c r="J4619">
        <f t="shared" si="218"/>
        <v>1440</v>
      </c>
    </row>
    <row r="4620" spans="1:10" x14ac:dyDescent="0.45">
      <c r="A4620" t="s">
        <v>2531</v>
      </c>
      <c r="B4620" s="1">
        <v>45991</v>
      </c>
      <c r="C4620" t="s">
        <v>4007</v>
      </c>
      <c r="D4620" t="s">
        <v>5015</v>
      </c>
      <c r="E4620">
        <v>48000</v>
      </c>
      <c r="F4620">
        <v>3</v>
      </c>
      <c r="G4620">
        <f t="shared" si="216"/>
        <v>144000</v>
      </c>
      <c r="H4620" t="s">
        <v>7</v>
      </c>
      <c r="I4620">
        <f t="shared" si="217"/>
        <v>57600</v>
      </c>
      <c r="J4620">
        <f t="shared" si="218"/>
        <v>172800</v>
      </c>
    </row>
    <row r="4621" spans="1:10" x14ac:dyDescent="0.45">
      <c r="A4621" t="s">
        <v>2532</v>
      </c>
      <c r="B4621" s="1">
        <v>45991</v>
      </c>
      <c r="C4621" t="s">
        <v>9</v>
      </c>
      <c r="D4621" t="s">
        <v>19</v>
      </c>
      <c r="E4621">
        <v>3000</v>
      </c>
      <c r="F4621">
        <v>6</v>
      </c>
      <c r="G4621">
        <f t="shared" si="216"/>
        <v>18000</v>
      </c>
      <c r="H4621" t="s">
        <v>17</v>
      </c>
      <c r="I4621">
        <f t="shared" si="217"/>
        <v>3600</v>
      </c>
      <c r="J4621">
        <f t="shared" si="218"/>
        <v>21600</v>
      </c>
    </row>
    <row r="4622" spans="1:10" x14ac:dyDescent="0.45">
      <c r="A4622" t="s">
        <v>2809</v>
      </c>
      <c r="B4622" s="1">
        <v>45991</v>
      </c>
      <c r="C4622" t="s">
        <v>4007</v>
      </c>
      <c r="D4622" t="s">
        <v>2770</v>
      </c>
      <c r="E4622">
        <v>600</v>
      </c>
      <c r="F4622">
        <v>6</v>
      </c>
      <c r="G4622">
        <f t="shared" si="216"/>
        <v>3600</v>
      </c>
      <c r="H4622" t="s">
        <v>7</v>
      </c>
      <c r="I4622">
        <f t="shared" si="217"/>
        <v>720</v>
      </c>
      <c r="J4622">
        <f t="shared" si="218"/>
        <v>4320</v>
      </c>
    </row>
    <row r="4623" spans="1:10" x14ac:dyDescent="0.45">
      <c r="A4623" t="s">
        <v>3720</v>
      </c>
      <c r="B4623" s="1">
        <v>45991</v>
      </c>
      <c r="C4623" t="s">
        <v>4007</v>
      </c>
      <c r="D4623" t="s">
        <v>2774</v>
      </c>
      <c r="E4623">
        <v>1900</v>
      </c>
      <c r="F4623">
        <v>7</v>
      </c>
      <c r="G4623">
        <f t="shared" si="216"/>
        <v>13300</v>
      </c>
      <c r="H4623" t="s">
        <v>21</v>
      </c>
      <c r="I4623">
        <f t="shared" si="217"/>
        <v>2280</v>
      </c>
      <c r="J4623">
        <f t="shared" si="218"/>
        <v>15960</v>
      </c>
    </row>
    <row r="4624" spans="1:10" x14ac:dyDescent="0.45">
      <c r="A4624" t="s">
        <v>2533</v>
      </c>
      <c r="B4624" s="1">
        <v>45992</v>
      </c>
      <c r="C4624" t="s">
        <v>9</v>
      </c>
      <c r="D4624" t="s">
        <v>19</v>
      </c>
      <c r="E4624">
        <v>3000</v>
      </c>
      <c r="F4624">
        <v>3</v>
      </c>
      <c r="G4624">
        <f t="shared" si="216"/>
        <v>9000</v>
      </c>
      <c r="H4624" t="s">
        <v>7</v>
      </c>
      <c r="I4624">
        <f t="shared" si="217"/>
        <v>3600</v>
      </c>
      <c r="J4624">
        <f t="shared" si="218"/>
        <v>10800</v>
      </c>
    </row>
    <row r="4625" spans="1:10" x14ac:dyDescent="0.45">
      <c r="A4625" t="s">
        <v>2534</v>
      </c>
      <c r="B4625" s="1">
        <v>45992</v>
      </c>
      <c r="C4625" t="s">
        <v>4007</v>
      </c>
      <c r="D4625" t="s">
        <v>5015</v>
      </c>
      <c r="E4625">
        <v>48000</v>
      </c>
      <c r="F4625">
        <v>3</v>
      </c>
      <c r="G4625">
        <f t="shared" si="216"/>
        <v>144000</v>
      </c>
      <c r="H4625" t="s">
        <v>7</v>
      </c>
      <c r="I4625">
        <f t="shared" si="217"/>
        <v>57600</v>
      </c>
      <c r="J4625">
        <f t="shared" si="218"/>
        <v>172800</v>
      </c>
    </row>
    <row r="4626" spans="1:10" x14ac:dyDescent="0.45">
      <c r="A4626" t="s">
        <v>2535</v>
      </c>
      <c r="B4626" s="1">
        <v>45992</v>
      </c>
      <c r="C4626" t="s">
        <v>9</v>
      </c>
      <c r="D4626" t="s">
        <v>25</v>
      </c>
      <c r="E4626">
        <v>5200</v>
      </c>
      <c r="F4626">
        <v>7</v>
      </c>
      <c r="G4626">
        <f t="shared" si="216"/>
        <v>36400</v>
      </c>
      <c r="H4626" t="s">
        <v>17</v>
      </c>
      <c r="I4626">
        <f t="shared" si="217"/>
        <v>6240</v>
      </c>
      <c r="J4626">
        <f t="shared" si="218"/>
        <v>43680</v>
      </c>
    </row>
    <row r="4627" spans="1:10" x14ac:dyDescent="0.45">
      <c r="A4627" t="s">
        <v>2536</v>
      </c>
      <c r="B4627" s="1">
        <v>45992</v>
      </c>
      <c r="C4627" t="s">
        <v>12</v>
      </c>
      <c r="D4627" t="s">
        <v>5022</v>
      </c>
      <c r="E4627">
        <v>2880</v>
      </c>
      <c r="F4627">
        <v>4</v>
      </c>
      <c r="G4627">
        <f t="shared" si="216"/>
        <v>11520</v>
      </c>
      <c r="H4627" t="s">
        <v>17</v>
      </c>
      <c r="I4627">
        <f t="shared" si="217"/>
        <v>3456</v>
      </c>
      <c r="J4627">
        <f t="shared" si="218"/>
        <v>13824</v>
      </c>
    </row>
    <row r="4628" spans="1:10" x14ac:dyDescent="0.45">
      <c r="A4628" t="s">
        <v>2537</v>
      </c>
      <c r="B4628" s="1">
        <v>45992</v>
      </c>
      <c r="C4628" t="s">
        <v>33</v>
      </c>
      <c r="D4628" t="s">
        <v>16</v>
      </c>
      <c r="E4628">
        <v>1200</v>
      </c>
      <c r="F4628">
        <v>5</v>
      </c>
      <c r="G4628">
        <f t="shared" si="216"/>
        <v>6000</v>
      </c>
      <c r="H4628" t="s">
        <v>21</v>
      </c>
      <c r="I4628">
        <f t="shared" si="217"/>
        <v>1440</v>
      </c>
      <c r="J4628">
        <f t="shared" si="218"/>
        <v>7200</v>
      </c>
    </row>
    <row r="4629" spans="1:10" x14ac:dyDescent="0.45">
      <c r="A4629" t="s">
        <v>2538</v>
      </c>
      <c r="B4629" s="1">
        <v>45992</v>
      </c>
      <c r="C4629" t="s">
        <v>9</v>
      </c>
      <c r="D4629" t="s">
        <v>19</v>
      </c>
      <c r="E4629">
        <v>3000</v>
      </c>
      <c r="F4629">
        <v>1</v>
      </c>
      <c r="G4629">
        <f t="shared" si="216"/>
        <v>3000</v>
      </c>
      <c r="H4629" t="s">
        <v>7</v>
      </c>
      <c r="I4629">
        <f t="shared" si="217"/>
        <v>3600</v>
      </c>
      <c r="J4629">
        <f t="shared" si="218"/>
        <v>3600</v>
      </c>
    </row>
    <row r="4630" spans="1:10" x14ac:dyDescent="0.45">
      <c r="A4630" t="s">
        <v>2539</v>
      </c>
      <c r="B4630" s="1">
        <v>45992</v>
      </c>
      <c r="C4630" t="s">
        <v>9</v>
      </c>
      <c r="D4630" t="s">
        <v>10</v>
      </c>
      <c r="E4630">
        <v>400</v>
      </c>
      <c r="F4630">
        <v>10</v>
      </c>
      <c r="G4630">
        <f t="shared" si="216"/>
        <v>4000</v>
      </c>
      <c r="H4630" t="s">
        <v>17</v>
      </c>
      <c r="I4630">
        <f t="shared" si="217"/>
        <v>480</v>
      </c>
      <c r="J4630">
        <f t="shared" si="218"/>
        <v>4800</v>
      </c>
    </row>
    <row r="4631" spans="1:10" x14ac:dyDescent="0.45">
      <c r="A4631" t="s">
        <v>3177</v>
      </c>
      <c r="B4631" s="1">
        <v>45992</v>
      </c>
      <c r="C4631" t="s">
        <v>4007</v>
      </c>
      <c r="D4631" t="s">
        <v>2774</v>
      </c>
      <c r="E4631">
        <v>1900</v>
      </c>
      <c r="F4631">
        <v>3</v>
      </c>
      <c r="G4631">
        <f t="shared" si="216"/>
        <v>5700</v>
      </c>
      <c r="H4631" t="s">
        <v>17</v>
      </c>
      <c r="I4631">
        <f t="shared" si="217"/>
        <v>2280</v>
      </c>
      <c r="J4631">
        <f t="shared" si="218"/>
        <v>6840</v>
      </c>
    </row>
    <row r="4632" spans="1:10" x14ac:dyDescent="0.45">
      <c r="A4632" t="s">
        <v>3315</v>
      </c>
      <c r="B4632" s="1">
        <v>45992</v>
      </c>
      <c r="C4632" t="s">
        <v>4007</v>
      </c>
      <c r="D4632" t="s">
        <v>2774</v>
      </c>
      <c r="E4632">
        <v>1900</v>
      </c>
      <c r="F4632">
        <v>10</v>
      </c>
      <c r="G4632">
        <f t="shared" si="216"/>
        <v>19000</v>
      </c>
      <c r="H4632" t="s">
        <v>7</v>
      </c>
      <c r="I4632">
        <f t="shared" si="217"/>
        <v>2280</v>
      </c>
      <c r="J4632">
        <f t="shared" si="218"/>
        <v>22800</v>
      </c>
    </row>
    <row r="4633" spans="1:10" x14ac:dyDescent="0.45">
      <c r="A4633" t="s">
        <v>2540</v>
      </c>
      <c r="B4633" s="1">
        <v>45993</v>
      </c>
      <c r="C4633" t="s">
        <v>4007</v>
      </c>
      <c r="D4633" t="s">
        <v>28</v>
      </c>
      <c r="E4633">
        <v>500</v>
      </c>
      <c r="F4633">
        <v>2</v>
      </c>
      <c r="G4633">
        <f t="shared" si="216"/>
        <v>1000</v>
      </c>
      <c r="H4633" t="s">
        <v>17</v>
      </c>
      <c r="I4633">
        <f t="shared" si="217"/>
        <v>600</v>
      </c>
      <c r="J4633">
        <f t="shared" si="218"/>
        <v>1200</v>
      </c>
    </row>
    <row r="4634" spans="1:10" x14ac:dyDescent="0.45">
      <c r="A4634" t="s">
        <v>2541</v>
      </c>
      <c r="B4634" s="1">
        <v>45993</v>
      </c>
      <c r="C4634" t="s">
        <v>33</v>
      </c>
      <c r="D4634" t="s">
        <v>42</v>
      </c>
      <c r="E4634">
        <v>6900</v>
      </c>
      <c r="F4634">
        <v>1</v>
      </c>
      <c r="G4634">
        <f t="shared" si="216"/>
        <v>6900</v>
      </c>
      <c r="H4634" t="s">
        <v>21</v>
      </c>
      <c r="I4634">
        <f t="shared" si="217"/>
        <v>8280</v>
      </c>
      <c r="J4634">
        <f t="shared" si="218"/>
        <v>8280</v>
      </c>
    </row>
    <row r="4635" spans="1:10" x14ac:dyDescent="0.45">
      <c r="A4635" t="s">
        <v>2542</v>
      </c>
      <c r="B4635" s="1">
        <v>45993</v>
      </c>
      <c r="C4635" t="s">
        <v>12</v>
      </c>
      <c r="D4635" t="s">
        <v>5020</v>
      </c>
      <c r="E4635">
        <v>2880</v>
      </c>
      <c r="F4635">
        <v>1</v>
      </c>
      <c r="G4635">
        <f t="shared" si="216"/>
        <v>2880</v>
      </c>
      <c r="H4635" t="s">
        <v>17</v>
      </c>
      <c r="I4635">
        <f t="shared" si="217"/>
        <v>3456</v>
      </c>
      <c r="J4635">
        <f t="shared" si="218"/>
        <v>3456</v>
      </c>
    </row>
    <row r="4636" spans="1:10" x14ac:dyDescent="0.45">
      <c r="A4636" t="s">
        <v>2543</v>
      </c>
      <c r="B4636" s="1">
        <v>45993</v>
      </c>
      <c r="C4636" t="s">
        <v>33</v>
      </c>
      <c r="D4636" t="s">
        <v>42</v>
      </c>
      <c r="E4636">
        <v>6900</v>
      </c>
      <c r="F4636">
        <v>3</v>
      </c>
      <c r="G4636">
        <f t="shared" si="216"/>
        <v>20700</v>
      </c>
      <c r="H4636" t="s">
        <v>17</v>
      </c>
      <c r="I4636">
        <f t="shared" si="217"/>
        <v>8280</v>
      </c>
      <c r="J4636">
        <f t="shared" si="218"/>
        <v>24840</v>
      </c>
    </row>
    <row r="4637" spans="1:10" x14ac:dyDescent="0.45">
      <c r="A4637" t="s">
        <v>2544</v>
      </c>
      <c r="B4637" s="1">
        <v>45993</v>
      </c>
      <c r="C4637" t="s">
        <v>9</v>
      </c>
      <c r="D4637" t="s">
        <v>19</v>
      </c>
      <c r="E4637">
        <v>3000</v>
      </c>
      <c r="F4637">
        <v>1</v>
      </c>
      <c r="G4637">
        <f t="shared" si="216"/>
        <v>3000</v>
      </c>
      <c r="H4637" t="s">
        <v>7</v>
      </c>
      <c r="I4637">
        <f t="shared" si="217"/>
        <v>3600</v>
      </c>
      <c r="J4637">
        <f t="shared" si="218"/>
        <v>3600</v>
      </c>
    </row>
    <row r="4638" spans="1:10" x14ac:dyDescent="0.45">
      <c r="A4638" t="s">
        <v>2545</v>
      </c>
      <c r="B4638" s="1">
        <v>45993</v>
      </c>
      <c r="C4638" t="s">
        <v>4007</v>
      </c>
      <c r="D4638" t="s">
        <v>4005</v>
      </c>
      <c r="E4638">
        <v>60000</v>
      </c>
      <c r="F4638">
        <v>10</v>
      </c>
      <c r="G4638">
        <f t="shared" si="216"/>
        <v>600000</v>
      </c>
      <c r="H4638" t="s">
        <v>21</v>
      </c>
      <c r="I4638">
        <f t="shared" si="217"/>
        <v>72000</v>
      </c>
      <c r="J4638">
        <f t="shared" si="218"/>
        <v>720000</v>
      </c>
    </row>
    <row r="4639" spans="1:10" x14ac:dyDescent="0.45">
      <c r="A4639" t="s">
        <v>2546</v>
      </c>
      <c r="B4639" s="1">
        <v>45993</v>
      </c>
      <c r="C4639" t="s">
        <v>4007</v>
      </c>
      <c r="D4639" t="s">
        <v>39</v>
      </c>
      <c r="E4639">
        <v>6000</v>
      </c>
      <c r="F4639">
        <v>2</v>
      </c>
      <c r="G4639">
        <f t="shared" si="216"/>
        <v>12000</v>
      </c>
      <c r="H4639" t="s">
        <v>7</v>
      </c>
      <c r="I4639">
        <f t="shared" si="217"/>
        <v>7200</v>
      </c>
      <c r="J4639">
        <f t="shared" si="218"/>
        <v>14400</v>
      </c>
    </row>
    <row r="4640" spans="1:10" x14ac:dyDescent="0.45">
      <c r="A4640" t="s">
        <v>2547</v>
      </c>
      <c r="B4640" s="1">
        <v>45993</v>
      </c>
      <c r="C4640" t="s">
        <v>4007</v>
      </c>
      <c r="D4640" t="s">
        <v>28</v>
      </c>
      <c r="E4640">
        <v>500</v>
      </c>
      <c r="F4640">
        <v>6</v>
      </c>
      <c r="G4640">
        <f t="shared" si="216"/>
        <v>3000</v>
      </c>
      <c r="H4640" t="s">
        <v>17</v>
      </c>
      <c r="I4640">
        <f t="shared" si="217"/>
        <v>600</v>
      </c>
      <c r="J4640">
        <f t="shared" si="218"/>
        <v>3600</v>
      </c>
    </row>
    <row r="4641" spans="1:10" x14ac:dyDescent="0.45">
      <c r="A4641" t="s">
        <v>2548</v>
      </c>
      <c r="B4641" s="1">
        <v>45993</v>
      </c>
      <c r="C4641" t="s">
        <v>33</v>
      </c>
      <c r="D4641" t="s">
        <v>14</v>
      </c>
      <c r="E4641">
        <v>800</v>
      </c>
      <c r="F4641">
        <v>8</v>
      </c>
      <c r="G4641">
        <f t="shared" si="216"/>
        <v>6400</v>
      </c>
      <c r="H4641" t="s">
        <v>7</v>
      </c>
      <c r="I4641">
        <f t="shared" si="217"/>
        <v>960</v>
      </c>
      <c r="J4641">
        <f t="shared" si="218"/>
        <v>7680</v>
      </c>
    </row>
    <row r="4642" spans="1:10" x14ac:dyDescent="0.45">
      <c r="A4642" t="s">
        <v>3237</v>
      </c>
      <c r="B4642" s="1">
        <v>45993</v>
      </c>
      <c r="C4642" t="s">
        <v>4007</v>
      </c>
      <c r="D4642" t="s">
        <v>2774</v>
      </c>
      <c r="E4642">
        <v>1900</v>
      </c>
      <c r="F4642">
        <v>6</v>
      </c>
      <c r="G4642">
        <f t="shared" si="216"/>
        <v>11400</v>
      </c>
      <c r="H4642" t="s">
        <v>21</v>
      </c>
      <c r="I4642">
        <f t="shared" si="217"/>
        <v>2280</v>
      </c>
      <c r="J4642">
        <f t="shared" si="218"/>
        <v>13680</v>
      </c>
    </row>
    <row r="4643" spans="1:10" x14ac:dyDescent="0.45">
      <c r="A4643" t="s">
        <v>3974</v>
      </c>
      <c r="B4643" s="1">
        <v>45993</v>
      </c>
      <c r="C4643" t="s">
        <v>33</v>
      </c>
      <c r="D4643" t="s">
        <v>34</v>
      </c>
      <c r="E4643">
        <v>1700</v>
      </c>
      <c r="F4643">
        <v>3</v>
      </c>
      <c r="G4643">
        <f t="shared" si="216"/>
        <v>5100</v>
      </c>
      <c r="H4643" t="s">
        <v>7</v>
      </c>
      <c r="I4643">
        <f t="shared" si="217"/>
        <v>2040</v>
      </c>
      <c r="J4643">
        <f t="shared" si="218"/>
        <v>6120</v>
      </c>
    </row>
    <row r="4644" spans="1:10" x14ac:dyDescent="0.45">
      <c r="A4644" t="s">
        <v>2549</v>
      </c>
      <c r="B4644" s="1">
        <v>45994</v>
      </c>
      <c r="C4644" t="s">
        <v>12</v>
      </c>
      <c r="D4644" t="s">
        <v>5020</v>
      </c>
      <c r="E4644">
        <v>2880</v>
      </c>
      <c r="F4644">
        <v>7</v>
      </c>
      <c r="G4644">
        <f t="shared" si="216"/>
        <v>20160</v>
      </c>
      <c r="H4644" t="s">
        <v>17</v>
      </c>
      <c r="I4644">
        <f t="shared" si="217"/>
        <v>3456</v>
      </c>
      <c r="J4644">
        <f t="shared" si="218"/>
        <v>24192</v>
      </c>
    </row>
    <row r="4645" spans="1:10" x14ac:dyDescent="0.45">
      <c r="A4645" t="s">
        <v>2550</v>
      </c>
      <c r="B4645" s="1">
        <v>45994</v>
      </c>
      <c r="C4645" t="s">
        <v>33</v>
      </c>
      <c r="D4645" t="s">
        <v>34</v>
      </c>
      <c r="E4645">
        <v>1700</v>
      </c>
      <c r="F4645">
        <v>3</v>
      </c>
      <c r="G4645">
        <f t="shared" si="216"/>
        <v>5100</v>
      </c>
      <c r="H4645" t="s">
        <v>17</v>
      </c>
      <c r="I4645">
        <f t="shared" si="217"/>
        <v>2040</v>
      </c>
      <c r="J4645">
        <f t="shared" si="218"/>
        <v>6120</v>
      </c>
    </row>
    <row r="4646" spans="1:10" x14ac:dyDescent="0.45">
      <c r="A4646" t="s">
        <v>2551</v>
      </c>
      <c r="B4646" s="1">
        <v>45994</v>
      </c>
      <c r="C4646" t="s">
        <v>33</v>
      </c>
      <c r="D4646" t="s">
        <v>14</v>
      </c>
      <c r="E4646">
        <v>800</v>
      </c>
      <c r="F4646">
        <v>4</v>
      </c>
      <c r="G4646">
        <f t="shared" si="216"/>
        <v>3200</v>
      </c>
      <c r="H4646" t="s">
        <v>17</v>
      </c>
      <c r="I4646">
        <f t="shared" si="217"/>
        <v>960</v>
      </c>
      <c r="J4646">
        <f t="shared" si="218"/>
        <v>3840</v>
      </c>
    </row>
    <row r="4647" spans="1:10" x14ac:dyDescent="0.45">
      <c r="A4647" t="s">
        <v>2552</v>
      </c>
      <c r="B4647" s="1">
        <v>45994</v>
      </c>
      <c r="C4647" t="s">
        <v>12</v>
      </c>
      <c r="D4647" t="s">
        <v>5021</v>
      </c>
      <c r="E4647">
        <v>2880</v>
      </c>
      <c r="F4647">
        <v>1</v>
      </c>
      <c r="G4647">
        <f t="shared" si="216"/>
        <v>2880</v>
      </c>
      <c r="H4647" t="s">
        <v>21</v>
      </c>
      <c r="I4647">
        <f t="shared" si="217"/>
        <v>3456</v>
      </c>
      <c r="J4647">
        <f t="shared" si="218"/>
        <v>3456</v>
      </c>
    </row>
    <row r="4648" spans="1:10" x14ac:dyDescent="0.45">
      <c r="A4648" t="s">
        <v>2553</v>
      </c>
      <c r="B4648" s="1">
        <v>45994</v>
      </c>
      <c r="C4648" t="s">
        <v>4007</v>
      </c>
      <c r="D4648" t="s">
        <v>4005</v>
      </c>
      <c r="E4648">
        <v>60000</v>
      </c>
      <c r="F4648">
        <v>3</v>
      </c>
      <c r="G4648">
        <f t="shared" si="216"/>
        <v>180000</v>
      </c>
      <c r="H4648" t="s">
        <v>7</v>
      </c>
      <c r="I4648">
        <f t="shared" si="217"/>
        <v>72000</v>
      </c>
      <c r="J4648">
        <f t="shared" si="218"/>
        <v>216000</v>
      </c>
    </row>
    <row r="4649" spans="1:10" x14ac:dyDescent="0.45">
      <c r="A4649" t="s">
        <v>2833</v>
      </c>
      <c r="B4649" s="1">
        <v>45994</v>
      </c>
      <c r="C4649" t="s">
        <v>4007</v>
      </c>
      <c r="D4649" t="s">
        <v>2773</v>
      </c>
      <c r="E4649">
        <v>3300</v>
      </c>
      <c r="F4649">
        <v>7</v>
      </c>
      <c r="G4649">
        <f t="shared" si="216"/>
        <v>23100</v>
      </c>
      <c r="H4649" t="s">
        <v>21</v>
      </c>
      <c r="I4649">
        <f t="shared" si="217"/>
        <v>3960</v>
      </c>
      <c r="J4649">
        <f t="shared" si="218"/>
        <v>27720</v>
      </c>
    </row>
    <row r="4650" spans="1:10" x14ac:dyDescent="0.45">
      <c r="A4650" t="s">
        <v>3267</v>
      </c>
      <c r="B4650" s="1">
        <v>45994</v>
      </c>
      <c r="C4650" t="s">
        <v>4007</v>
      </c>
      <c r="D4650" t="s">
        <v>2773</v>
      </c>
      <c r="E4650">
        <v>3300</v>
      </c>
      <c r="F4650">
        <v>6</v>
      </c>
      <c r="G4650">
        <f t="shared" si="216"/>
        <v>19800</v>
      </c>
      <c r="H4650" t="s">
        <v>7</v>
      </c>
      <c r="I4650">
        <f t="shared" si="217"/>
        <v>3960</v>
      </c>
      <c r="J4650">
        <f t="shared" si="218"/>
        <v>23760</v>
      </c>
    </row>
    <row r="4651" spans="1:10" x14ac:dyDescent="0.45">
      <c r="A4651" t="s">
        <v>3666</v>
      </c>
      <c r="B4651" s="1">
        <v>45994</v>
      </c>
      <c r="C4651" t="s">
        <v>4007</v>
      </c>
      <c r="D4651" t="s">
        <v>28</v>
      </c>
      <c r="E4651">
        <v>500</v>
      </c>
      <c r="F4651">
        <v>8</v>
      </c>
      <c r="G4651">
        <f t="shared" si="216"/>
        <v>4000</v>
      </c>
      <c r="H4651" t="s">
        <v>7</v>
      </c>
      <c r="I4651">
        <f t="shared" si="217"/>
        <v>600</v>
      </c>
      <c r="J4651">
        <f t="shared" si="218"/>
        <v>4800</v>
      </c>
    </row>
    <row r="4652" spans="1:10" x14ac:dyDescent="0.45">
      <c r="A4652" t="s">
        <v>2554</v>
      </c>
      <c r="B4652" s="1">
        <v>45995</v>
      </c>
      <c r="C4652" t="s">
        <v>33</v>
      </c>
      <c r="D4652" t="s">
        <v>14</v>
      </c>
      <c r="E4652">
        <v>800</v>
      </c>
      <c r="F4652">
        <v>6</v>
      </c>
      <c r="G4652">
        <f t="shared" si="216"/>
        <v>4800</v>
      </c>
      <c r="H4652" t="s">
        <v>7</v>
      </c>
      <c r="I4652">
        <f t="shared" si="217"/>
        <v>960</v>
      </c>
      <c r="J4652">
        <f t="shared" si="218"/>
        <v>5760</v>
      </c>
    </row>
    <row r="4653" spans="1:10" x14ac:dyDescent="0.45">
      <c r="A4653" t="s">
        <v>2555</v>
      </c>
      <c r="B4653" s="1">
        <v>45995</v>
      </c>
      <c r="C4653" t="s">
        <v>33</v>
      </c>
      <c r="D4653" t="s">
        <v>34</v>
      </c>
      <c r="E4653">
        <v>1700</v>
      </c>
      <c r="F4653">
        <v>2</v>
      </c>
      <c r="G4653">
        <f t="shared" si="216"/>
        <v>3400</v>
      </c>
      <c r="H4653" t="s">
        <v>7</v>
      </c>
      <c r="I4653">
        <f t="shared" si="217"/>
        <v>2040</v>
      </c>
      <c r="J4653">
        <f t="shared" si="218"/>
        <v>4080</v>
      </c>
    </row>
    <row r="4654" spans="1:10" x14ac:dyDescent="0.45">
      <c r="A4654" t="s">
        <v>2556</v>
      </c>
      <c r="B4654" s="1">
        <v>45995</v>
      </c>
      <c r="C4654" t="s">
        <v>33</v>
      </c>
      <c r="D4654" t="s">
        <v>42</v>
      </c>
      <c r="E4654">
        <v>6900</v>
      </c>
      <c r="F4654">
        <v>8</v>
      </c>
      <c r="G4654">
        <f t="shared" si="216"/>
        <v>55200</v>
      </c>
      <c r="H4654" t="s">
        <v>17</v>
      </c>
      <c r="I4654">
        <f t="shared" si="217"/>
        <v>8280</v>
      </c>
      <c r="J4654">
        <f t="shared" si="218"/>
        <v>66240</v>
      </c>
    </row>
    <row r="4655" spans="1:10" x14ac:dyDescent="0.45">
      <c r="A4655" t="s">
        <v>2557</v>
      </c>
      <c r="B4655" s="1">
        <v>45995</v>
      </c>
      <c r="C4655" t="s">
        <v>33</v>
      </c>
      <c r="D4655" t="s">
        <v>14</v>
      </c>
      <c r="E4655">
        <v>800</v>
      </c>
      <c r="F4655">
        <v>4</v>
      </c>
      <c r="G4655">
        <f t="shared" si="216"/>
        <v>3200</v>
      </c>
      <c r="H4655" t="s">
        <v>17</v>
      </c>
      <c r="I4655">
        <f t="shared" si="217"/>
        <v>960</v>
      </c>
      <c r="J4655">
        <f t="shared" si="218"/>
        <v>3840</v>
      </c>
    </row>
    <row r="4656" spans="1:10" x14ac:dyDescent="0.45">
      <c r="A4656" t="s">
        <v>2558</v>
      </c>
      <c r="B4656" s="1">
        <v>45995</v>
      </c>
      <c r="C4656" t="s">
        <v>9</v>
      </c>
      <c r="D4656" t="s">
        <v>10</v>
      </c>
      <c r="E4656">
        <v>400</v>
      </c>
      <c r="F4656">
        <v>5</v>
      </c>
      <c r="G4656">
        <f t="shared" si="216"/>
        <v>2000</v>
      </c>
      <c r="H4656" t="s">
        <v>17</v>
      </c>
      <c r="I4656">
        <f t="shared" si="217"/>
        <v>480</v>
      </c>
      <c r="J4656">
        <f t="shared" si="218"/>
        <v>2400</v>
      </c>
    </row>
    <row r="4657" spans="1:10" x14ac:dyDescent="0.45">
      <c r="A4657" t="s">
        <v>2559</v>
      </c>
      <c r="B4657" s="1">
        <v>45995</v>
      </c>
      <c r="C4657" t="s">
        <v>33</v>
      </c>
      <c r="D4657" t="s">
        <v>42</v>
      </c>
      <c r="E4657">
        <v>6900</v>
      </c>
      <c r="F4657">
        <v>7</v>
      </c>
      <c r="G4657">
        <f t="shared" si="216"/>
        <v>48300</v>
      </c>
      <c r="H4657" t="s">
        <v>7</v>
      </c>
      <c r="I4657">
        <f t="shared" si="217"/>
        <v>8280</v>
      </c>
      <c r="J4657">
        <f t="shared" si="218"/>
        <v>57960</v>
      </c>
    </row>
    <row r="4658" spans="1:10" x14ac:dyDescent="0.45">
      <c r="A4658" t="s">
        <v>2560</v>
      </c>
      <c r="B4658" s="1">
        <v>45995</v>
      </c>
      <c r="C4658" t="s">
        <v>9</v>
      </c>
      <c r="D4658" t="s">
        <v>19</v>
      </c>
      <c r="E4658">
        <v>3000</v>
      </c>
      <c r="F4658">
        <v>9</v>
      </c>
      <c r="G4658">
        <f t="shared" si="216"/>
        <v>27000</v>
      </c>
      <c r="H4658" t="s">
        <v>21</v>
      </c>
      <c r="I4658">
        <f t="shared" si="217"/>
        <v>3600</v>
      </c>
      <c r="J4658">
        <f t="shared" si="218"/>
        <v>32400</v>
      </c>
    </row>
    <row r="4659" spans="1:10" x14ac:dyDescent="0.45">
      <c r="A4659" t="s">
        <v>2561</v>
      </c>
      <c r="B4659" s="1">
        <v>45995</v>
      </c>
      <c r="C4659" t="s">
        <v>4007</v>
      </c>
      <c r="D4659" t="s">
        <v>4005</v>
      </c>
      <c r="E4659">
        <v>60000</v>
      </c>
      <c r="F4659">
        <v>4</v>
      </c>
      <c r="G4659">
        <f t="shared" si="216"/>
        <v>240000</v>
      </c>
      <c r="H4659" t="s">
        <v>17</v>
      </c>
      <c r="I4659">
        <f t="shared" si="217"/>
        <v>72000</v>
      </c>
      <c r="J4659">
        <f t="shared" si="218"/>
        <v>288000</v>
      </c>
    </row>
    <row r="4660" spans="1:10" x14ac:dyDescent="0.45">
      <c r="A4660" t="s">
        <v>2978</v>
      </c>
      <c r="B4660" s="1">
        <v>45995</v>
      </c>
      <c r="C4660" t="s">
        <v>4007</v>
      </c>
      <c r="D4660" t="s">
        <v>2774</v>
      </c>
      <c r="E4660">
        <v>1900</v>
      </c>
      <c r="F4660">
        <v>5</v>
      </c>
      <c r="G4660">
        <f t="shared" si="216"/>
        <v>9500</v>
      </c>
      <c r="H4660" t="s">
        <v>17</v>
      </c>
      <c r="I4660">
        <f t="shared" si="217"/>
        <v>2280</v>
      </c>
      <c r="J4660">
        <f t="shared" si="218"/>
        <v>11400</v>
      </c>
    </row>
    <row r="4661" spans="1:10" x14ac:dyDescent="0.45">
      <c r="A4661" t="s">
        <v>3694</v>
      </c>
      <c r="B4661" s="1">
        <v>45995</v>
      </c>
      <c r="C4661" t="s">
        <v>4007</v>
      </c>
      <c r="D4661" t="s">
        <v>5015</v>
      </c>
      <c r="E4661">
        <v>48000</v>
      </c>
      <c r="F4661">
        <v>2</v>
      </c>
      <c r="G4661">
        <f t="shared" si="216"/>
        <v>96000</v>
      </c>
      <c r="H4661" t="s">
        <v>21</v>
      </c>
      <c r="I4661">
        <f t="shared" si="217"/>
        <v>57600</v>
      </c>
      <c r="J4661">
        <f t="shared" si="218"/>
        <v>115200</v>
      </c>
    </row>
    <row r="4662" spans="1:10" x14ac:dyDescent="0.45">
      <c r="A4662" t="s">
        <v>2562</v>
      </c>
      <c r="B4662" s="1">
        <v>45996</v>
      </c>
      <c r="C4662" t="s">
        <v>12</v>
      </c>
      <c r="D4662" t="s">
        <v>5020</v>
      </c>
      <c r="E4662">
        <v>2880</v>
      </c>
      <c r="F4662">
        <v>6</v>
      </c>
      <c r="G4662">
        <f t="shared" si="216"/>
        <v>17280</v>
      </c>
      <c r="H4662" t="s">
        <v>21</v>
      </c>
      <c r="I4662">
        <f t="shared" si="217"/>
        <v>3456</v>
      </c>
      <c r="J4662">
        <f t="shared" si="218"/>
        <v>20736</v>
      </c>
    </row>
    <row r="4663" spans="1:10" x14ac:dyDescent="0.45">
      <c r="A4663" t="s">
        <v>2563</v>
      </c>
      <c r="B4663" s="1">
        <v>45996</v>
      </c>
      <c r="C4663" t="s">
        <v>12</v>
      </c>
      <c r="D4663" t="s">
        <v>5020</v>
      </c>
      <c r="E4663">
        <v>2880</v>
      </c>
      <c r="F4663">
        <v>2</v>
      </c>
      <c r="G4663">
        <f t="shared" si="216"/>
        <v>5760</v>
      </c>
      <c r="H4663" t="s">
        <v>7</v>
      </c>
      <c r="I4663">
        <f t="shared" si="217"/>
        <v>3456</v>
      </c>
      <c r="J4663">
        <f t="shared" si="218"/>
        <v>6912</v>
      </c>
    </row>
    <row r="4664" spans="1:10" x14ac:dyDescent="0.45">
      <c r="A4664" t="s">
        <v>2564</v>
      </c>
      <c r="B4664" s="1">
        <v>45996</v>
      </c>
      <c r="C4664" t="s">
        <v>9</v>
      </c>
      <c r="D4664" t="s">
        <v>19</v>
      </c>
      <c r="E4664">
        <v>3000</v>
      </c>
      <c r="F4664">
        <v>1</v>
      </c>
      <c r="G4664">
        <f t="shared" si="216"/>
        <v>3000</v>
      </c>
      <c r="H4664" t="s">
        <v>21</v>
      </c>
      <c r="I4664">
        <f t="shared" si="217"/>
        <v>3600</v>
      </c>
      <c r="J4664">
        <f t="shared" si="218"/>
        <v>3600</v>
      </c>
    </row>
    <row r="4665" spans="1:10" x14ac:dyDescent="0.45">
      <c r="A4665" t="s">
        <v>2565</v>
      </c>
      <c r="B4665" s="1">
        <v>45996</v>
      </c>
      <c r="C4665" t="s">
        <v>12</v>
      </c>
      <c r="D4665" t="s">
        <v>5023</v>
      </c>
      <c r="E4665">
        <v>1750</v>
      </c>
      <c r="F4665">
        <v>6</v>
      </c>
      <c r="G4665">
        <f t="shared" si="216"/>
        <v>10500</v>
      </c>
      <c r="H4665" t="s">
        <v>21</v>
      </c>
      <c r="I4665">
        <f t="shared" si="217"/>
        <v>2100</v>
      </c>
      <c r="J4665">
        <f t="shared" si="218"/>
        <v>12600</v>
      </c>
    </row>
    <row r="4666" spans="1:10" x14ac:dyDescent="0.45">
      <c r="A4666" t="s">
        <v>2566</v>
      </c>
      <c r="B4666" s="1">
        <v>45996</v>
      </c>
      <c r="C4666" t="s">
        <v>12</v>
      </c>
      <c r="D4666" t="s">
        <v>5022</v>
      </c>
      <c r="E4666">
        <v>2880</v>
      </c>
      <c r="F4666">
        <v>5</v>
      </c>
      <c r="G4666">
        <f t="shared" si="216"/>
        <v>14400</v>
      </c>
      <c r="H4666" t="s">
        <v>21</v>
      </c>
      <c r="I4666">
        <f t="shared" si="217"/>
        <v>3456</v>
      </c>
      <c r="J4666">
        <f t="shared" si="218"/>
        <v>17280</v>
      </c>
    </row>
    <row r="4667" spans="1:10" x14ac:dyDescent="0.45">
      <c r="A4667" t="s">
        <v>2567</v>
      </c>
      <c r="B4667" s="1">
        <v>45996</v>
      </c>
      <c r="C4667" t="s">
        <v>12</v>
      </c>
      <c r="D4667" t="s">
        <v>5020</v>
      </c>
      <c r="E4667">
        <v>2880</v>
      </c>
      <c r="F4667">
        <v>9</v>
      </c>
      <c r="G4667">
        <f t="shared" si="216"/>
        <v>25920</v>
      </c>
      <c r="H4667" t="s">
        <v>21</v>
      </c>
      <c r="I4667">
        <f t="shared" si="217"/>
        <v>3456</v>
      </c>
      <c r="J4667">
        <f t="shared" si="218"/>
        <v>31104</v>
      </c>
    </row>
    <row r="4668" spans="1:10" x14ac:dyDescent="0.45">
      <c r="A4668" t="s">
        <v>2568</v>
      </c>
      <c r="B4668" s="1">
        <v>45996</v>
      </c>
      <c r="C4668" t="s">
        <v>12</v>
      </c>
      <c r="D4668" t="s">
        <v>5021</v>
      </c>
      <c r="E4668">
        <v>2880</v>
      </c>
      <c r="F4668">
        <v>4</v>
      </c>
      <c r="G4668">
        <f t="shared" si="216"/>
        <v>11520</v>
      </c>
      <c r="H4668" t="s">
        <v>17</v>
      </c>
      <c r="I4668">
        <f t="shared" si="217"/>
        <v>3456</v>
      </c>
      <c r="J4668">
        <f t="shared" si="218"/>
        <v>13824</v>
      </c>
    </row>
    <row r="4669" spans="1:10" x14ac:dyDescent="0.45">
      <c r="A4669" t="s">
        <v>2569</v>
      </c>
      <c r="B4669" s="1">
        <v>45996</v>
      </c>
      <c r="C4669" t="s">
        <v>4007</v>
      </c>
      <c r="D4669" t="s">
        <v>28</v>
      </c>
      <c r="E4669">
        <v>500</v>
      </c>
      <c r="F4669">
        <v>10</v>
      </c>
      <c r="G4669">
        <f t="shared" si="216"/>
        <v>5000</v>
      </c>
      <c r="H4669" t="s">
        <v>7</v>
      </c>
      <c r="I4669">
        <f t="shared" si="217"/>
        <v>600</v>
      </c>
      <c r="J4669">
        <f t="shared" si="218"/>
        <v>6000</v>
      </c>
    </row>
    <row r="4670" spans="1:10" x14ac:dyDescent="0.45">
      <c r="A4670" t="s">
        <v>2570</v>
      </c>
      <c r="B4670" s="1">
        <v>45996</v>
      </c>
      <c r="C4670" t="s">
        <v>12</v>
      </c>
      <c r="D4670" t="s">
        <v>5023</v>
      </c>
      <c r="E4670">
        <v>1750</v>
      </c>
      <c r="F4670">
        <v>6</v>
      </c>
      <c r="G4670">
        <f t="shared" si="216"/>
        <v>10500</v>
      </c>
      <c r="H4670" t="s">
        <v>21</v>
      </c>
      <c r="I4670">
        <f t="shared" si="217"/>
        <v>2100</v>
      </c>
      <c r="J4670">
        <f t="shared" si="218"/>
        <v>12600</v>
      </c>
    </row>
    <row r="4671" spans="1:10" x14ac:dyDescent="0.45">
      <c r="A4671" t="s">
        <v>2571</v>
      </c>
      <c r="B4671" s="1">
        <v>45996</v>
      </c>
      <c r="C4671" t="s">
        <v>9</v>
      </c>
      <c r="D4671" t="s">
        <v>25</v>
      </c>
      <c r="E4671">
        <v>5200</v>
      </c>
      <c r="F4671">
        <v>7</v>
      </c>
      <c r="G4671">
        <f t="shared" si="216"/>
        <v>36400</v>
      </c>
      <c r="H4671" t="s">
        <v>21</v>
      </c>
      <c r="I4671">
        <f t="shared" si="217"/>
        <v>6240</v>
      </c>
      <c r="J4671">
        <f t="shared" si="218"/>
        <v>43680</v>
      </c>
    </row>
    <row r="4672" spans="1:10" x14ac:dyDescent="0.45">
      <c r="A4672" t="s">
        <v>2572</v>
      </c>
      <c r="B4672" s="1">
        <v>45997</v>
      </c>
      <c r="C4672" t="s">
        <v>9</v>
      </c>
      <c r="D4672" t="s">
        <v>25</v>
      </c>
      <c r="E4672">
        <v>5200</v>
      </c>
      <c r="F4672">
        <v>1</v>
      </c>
      <c r="G4672">
        <f t="shared" si="216"/>
        <v>5200</v>
      </c>
      <c r="H4672" t="s">
        <v>21</v>
      </c>
      <c r="I4672">
        <f t="shared" si="217"/>
        <v>6240</v>
      </c>
      <c r="J4672">
        <f t="shared" si="218"/>
        <v>6240</v>
      </c>
    </row>
    <row r="4673" spans="1:10" x14ac:dyDescent="0.45">
      <c r="A4673" t="s">
        <v>2573</v>
      </c>
      <c r="B4673" s="1">
        <v>45997</v>
      </c>
      <c r="C4673" t="s">
        <v>33</v>
      </c>
      <c r="D4673" t="s">
        <v>34</v>
      </c>
      <c r="E4673">
        <v>1700</v>
      </c>
      <c r="F4673">
        <v>9</v>
      </c>
      <c r="G4673">
        <f t="shared" si="216"/>
        <v>15300</v>
      </c>
      <c r="H4673" t="s">
        <v>21</v>
      </c>
      <c r="I4673">
        <f t="shared" si="217"/>
        <v>2040</v>
      </c>
      <c r="J4673">
        <f t="shared" si="218"/>
        <v>18360</v>
      </c>
    </row>
    <row r="4674" spans="1:10" x14ac:dyDescent="0.45">
      <c r="A4674" t="s">
        <v>2574</v>
      </c>
      <c r="B4674" s="1">
        <v>45997</v>
      </c>
      <c r="C4674" t="s">
        <v>33</v>
      </c>
      <c r="D4674" t="s">
        <v>14</v>
      </c>
      <c r="E4674">
        <v>800</v>
      </c>
      <c r="F4674">
        <v>1</v>
      </c>
      <c r="G4674">
        <f t="shared" ref="G4674:G4737" si="219">E4674*F4674</f>
        <v>800</v>
      </c>
      <c r="H4674" t="s">
        <v>17</v>
      </c>
      <c r="I4674">
        <f t="shared" ref="I4674:I4737" si="220">E4674*1.2</f>
        <v>960</v>
      </c>
      <c r="J4674">
        <f t="shared" ref="J4674:J4737" si="221">I4674*F4674</f>
        <v>960</v>
      </c>
    </row>
    <row r="4675" spans="1:10" x14ac:dyDescent="0.45">
      <c r="A4675" t="s">
        <v>2575</v>
      </c>
      <c r="B4675" s="1">
        <v>45997</v>
      </c>
      <c r="C4675" t="s">
        <v>9</v>
      </c>
      <c r="D4675" t="s">
        <v>25</v>
      </c>
      <c r="E4675">
        <v>5200</v>
      </c>
      <c r="F4675">
        <v>10</v>
      </c>
      <c r="G4675">
        <f t="shared" si="219"/>
        <v>52000</v>
      </c>
      <c r="H4675" t="s">
        <v>21</v>
      </c>
      <c r="I4675">
        <f t="shared" si="220"/>
        <v>6240</v>
      </c>
      <c r="J4675">
        <f t="shared" si="221"/>
        <v>62400</v>
      </c>
    </row>
    <row r="4676" spans="1:10" x14ac:dyDescent="0.45">
      <c r="A4676" t="s">
        <v>2576</v>
      </c>
      <c r="B4676" s="1">
        <v>45997</v>
      </c>
      <c r="C4676" t="s">
        <v>9</v>
      </c>
      <c r="D4676" t="s">
        <v>25</v>
      </c>
      <c r="E4676">
        <v>5200</v>
      </c>
      <c r="F4676">
        <v>10</v>
      </c>
      <c r="G4676">
        <f t="shared" si="219"/>
        <v>52000</v>
      </c>
      <c r="H4676" t="s">
        <v>21</v>
      </c>
      <c r="I4676">
        <f t="shared" si="220"/>
        <v>6240</v>
      </c>
      <c r="J4676">
        <f t="shared" si="221"/>
        <v>62400</v>
      </c>
    </row>
    <row r="4677" spans="1:10" x14ac:dyDescent="0.45">
      <c r="A4677" t="s">
        <v>2577</v>
      </c>
      <c r="B4677" s="1">
        <v>45997</v>
      </c>
      <c r="C4677" t="s">
        <v>33</v>
      </c>
      <c r="D4677" t="s">
        <v>14</v>
      </c>
      <c r="E4677">
        <v>800</v>
      </c>
      <c r="F4677">
        <v>1</v>
      </c>
      <c r="G4677">
        <f t="shared" si="219"/>
        <v>800</v>
      </c>
      <c r="H4677" t="s">
        <v>17</v>
      </c>
      <c r="I4677">
        <f t="shared" si="220"/>
        <v>960</v>
      </c>
      <c r="J4677">
        <f t="shared" si="221"/>
        <v>960</v>
      </c>
    </row>
    <row r="4678" spans="1:10" x14ac:dyDescent="0.45">
      <c r="A4678" t="s">
        <v>2578</v>
      </c>
      <c r="B4678" s="1">
        <v>45997</v>
      </c>
      <c r="C4678" t="s">
        <v>4007</v>
      </c>
      <c r="D4678" t="s">
        <v>5015</v>
      </c>
      <c r="E4678">
        <v>48000</v>
      </c>
      <c r="F4678">
        <v>7</v>
      </c>
      <c r="G4678">
        <f t="shared" si="219"/>
        <v>336000</v>
      </c>
      <c r="H4678" t="s">
        <v>21</v>
      </c>
      <c r="I4678">
        <f t="shared" si="220"/>
        <v>57600</v>
      </c>
      <c r="J4678">
        <f t="shared" si="221"/>
        <v>403200</v>
      </c>
    </row>
    <row r="4679" spans="1:10" x14ac:dyDescent="0.45">
      <c r="A4679" t="s">
        <v>2579</v>
      </c>
      <c r="B4679" s="1">
        <v>45997</v>
      </c>
      <c r="C4679" t="s">
        <v>9</v>
      </c>
      <c r="D4679" t="s">
        <v>19</v>
      </c>
      <c r="E4679">
        <v>3000</v>
      </c>
      <c r="F4679">
        <v>2</v>
      </c>
      <c r="G4679">
        <f t="shared" si="219"/>
        <v>6000</v>
      </c>
      <c r="H4679" t="s">
        <v>21</v>
      </c>
      <c r="I4679">
        <f t="shared" si="220"/>
        <v>3600</v>
      </c>
      <c r="J4679">
        <f t="shared" si="221"/>
        <v>7200</v>
      </c>
    </row>
    <row r="4680" spans="1:10" x14ac:dyDescent="0.45">
      <c r="A4680" t="s">
        <v>3084</v>
      </c>
      <c r="B4680" s="1">
        <v>45997</v>
      </c>
      <c r="C4680" t="s">
        <v>4007</v>
      </c>
      <c r="D4680" t="s">
        <v>2776</v>
      </c>
      <c r="E4680">
        <v>3600</v>
      </c>
      <c r="F4680">
        <v>3</v>
      </c>
      <c r="G4680">
        <f t="shared" si="219"/>
        <v>10800</v>
      </c>
      <c r="H4680" t="s">
        <v>21</v>
      </c>
      <c r="I4680">
        <f t="shared" si="220"/>
        <v>4320</v>
      </c>
      <c r="J4680">
        <f t="shared" si="221"/>
        <v>12960</v>
      </c>
    </row>
    <row r="4681" spans="1:10" x14ac:dyDescent="0.45">
      <c r="A4681" t="s">
        <v>2580</v>
      </c>
      <c r="B4681" s="1">
        <v>45998</v>
      </c>
      <c r="C4681" t="s">
        <v>4007</v>
      </c>
      <c r="D4681" t="s">
        <v>39</v>
      </c>
      <c r="E4681">
        <v>6000</v>
      </c>
      <c r="F4681">
        <v>2</v>
      </c>
      <c r="G4681">
        <f t="shared" si="219"/>
        <v>12000</v>
      </c>
      <c r="H4681" t="s">
        <v>21</v>
      </c>
      <c r="I4681">
        <f t="shared" si="220"/>
        <v>7200</v>
      </c>
      <c r="J4681">
        <f t="shared" si="221"/>
        <v>14400</v>
      </c>
    </row>
    <row r="4682" spans="1:10" x14ac:dyDescent="0.45">
      <c r="A4682" t="s">
        <v>2581</v>
      </c>
      <c r="B4682" s="1">
        <v>45998</v>
      </c>
      <c r="C4682" t="s">
        <v>12</v>
      </c>
      <c r="D4682" t="s">
        <v>5022</v>
      </c>
      <c r="E4682">
        <v>2880</v>
      </c>
      <c r="F4682">
        <v>4</v>
      </c>
      <c r="G4682">
        <f t="shared" si="219"/>
        <v>11520</v>
      </c>
      <c r="H4682" t="s">
        <v>17</v>
      </c>
      <c r="I4682">
        <f t="shared" si="220"/>
        <v>3456</v>
      </c>
      <c r="J4682">
        <f t="shared" si="221"/>
        <v>13824</v>
      </c>
    </row>
    <row r="4683" spans="1:10" x14ac:dyDescent="0.45">
      <c r="A4683" t="s">
        <v>2582</v>
      </c>
      <c r="B4683" s="1">
        <v>45998</v>
      </c>
      <c r="C4683" t="s">
        <v>12</v>
      </c>
      <c r="D4683" t="s">
        <v>5020</v>
      </c>
      <c r="E4683">
        <v>2880</v>
      </c>
      <c r="F4683">
        <v>9</v>
      </c>
      <c r="G4683">
        <f t="shared" si="219"/>
        <v>25920</v>
      </c>
      <c r="H4683" t="s">
        <v>21</v>
      </c>
      <c r="I4683">
        <f t="shared" si="220"/>
        <v>3456</v>
      </c>
      <c r="J4683">
        <f t="shared" si="221"/>
        <v>31104</v>
      </c>
    </row>
    <row r="4684" spans="1:10" x14ac:dyDescent="0.45">
      <c r="A4684" t="s">
        <v>2583</v>
      </c>
      <c r="B4684" s="1">
        <v>45998</v>
      </c>
      <c r="C4684" t="s">
        <v>33</v>
      </c>
      <c r="D4684" t="s">
        <v>42</v>
      </c>
      <c r="E4684">
        <v>6900</v>
      </c>
      <c r="F4684">
        <v>10</v>
      </c>
      <c r="G4684">
        <f t="shared" si="219"/>
        <v>69000</v>
      </c>
      <c r="H4684" t="s">
        <v>17</v>
      </c>
      <c r="I4684">
        <f t="shared" si="220"/>
        <v>8280</v>
      </c>
      <c r="J4684">
        <f t="shared" si="221"/>
        <v>82800</v>
      </c>
    </row>
    <row r="4685" spans="1:10" x14ac:dyDescent="0.45">
      <c r="A4685" t="s">
        <v>2584</v>
      </c>
      <c r="B4685" s="1">
        <v>45998</v>
      </c>
      <c r="C4685" t="s">
        <v>33</v>
      </c>
      <c r="D4685" t="s">
        <v>16</v>
      </c>
      <c r="E4685">
        <v>1200</v>
      </c>
      <c r="F4685">
        <v>1</v>
      </c>
      <c r="G4685">
        <f t="shared" si="219"/>
        <v>1200</v>
      </c>
      <c r="H4685" t="s">
        <v>7</v>
      </c>
      <c r="I4685">
        <f t="shared" si="220"/>
        <v>1440</v>
      </c>
      <c r="J4685">
        <f t="shared" si="221"/>
        <v>1440</v>
      </c>
    </row>
    <row r="4686" spans="1:10" x14ac:dyDescent="0.45">
      <c r="A4686" t="s">
        <v>2585</v>
      </c>
      <c r="B4686" s="1">
        <v>45998</v>
      </c>
      <c r="C4686" t="s">
        <v>4007</v>
      </c>
      <c r="D4686" t="s">
        <v>5015</v>
      </c>
      <c r="E4686">
        <v>48000</v>
      </c>
      <c r="F4686">
        <v>8</v>
      </c>
      <c r="G4686">
        <f t="shared" si="219"/>
        <v>384000</v>
      </c>
      <c r="H4686" t="s">
        <v>21</v>
      </c>
      <c r="I4686">
        <f t="shared" si="220"/>
        <v>57600</v>
      </c>
      <c r="J4686">
        <f t="shared" si="221"/>
        <v>460800</v>
      </c>
    </row>
    <row r="4687" spans="1:10" x14ac:dyDescent="0.45">
      <c r="A4687" t="s">
        <v>2586</v>
      </c>
      <c r="B4687" s="1">
        <v>45998</v>
      </c>
      <c r="C4687" t="s">
        <v>4007</v>
      </c>
      <c r="D4687" t="s">
        <v>4005</v>
      </c>
      <c r="E4687">
        <v>60000</v>
      </c>
      <c r="F4687">
        <v>9</v>
      </c>
      <c r="G4687">
        <f t="shared" si="219"/>
        <v>540000</v>
      </c>
      <c r="H4687" t="s">
        <v>7</v>
      </c>
      <c r="I4687">
        <f t="shared" si="220"/>
        <v>72000</v>
      </c>
      <c r="J4687">
        <f t="shared" si="221"/>
        <v>648000</v>
      </c>
    </row>
    <row r="4688" spans="1:10" x14ac:dyDescent="0.45">
      <c r="A4688" t="s">
        <v>2817</v>
      </c>
      <c r="B4688" s="1">
        <v>45998</v>
      </c>
      <c r="C4688" t="s">
        <v>4007</v>
      </c>
      <c r="D4688" t="s">
        <v>2774</v>
      </c>
      <c r="E4688">
        <v>1900</v>
      </c>
      <c r="F4688">
        <v>5</v>
      </c>
      <c r="G4688">
        <f t="shared" si="219"/>
        <v>9500</v>
      </c>
      <c r="H4688" t="s">
        <v>7</v>
      </c>
      <c r="I4688">
        <f t="shared" si="220"/>
        <v>2280</v>
      </c>
      <c r="J4688">
        <f t="shared" si="221"/>
        <v>11400</v>
      </c>
    </row>
    <row r="4689" spans="1:10" x14ac:dyDescent="0.45">
      <c r="A4689" t="s">
        <v>2880</v>
      </c>
      <c r="B4689" s="1">
        <v>45998</v>
      </c>
      <c r="C4689" t="s">
        <v>4007</v>
      </c>
      <c r="D4689" t="s">
        <v>2774</v>
      </c>
      <c r="E4689">
        <v>1900</v>
      </c>
      <c r="F4689">
        <v>6</v>
      </c>
      <c r="G4689">
        <f t="shared" si="219"/>
        <v>11400</v>
      </c>
      <c r="H4689" t="s">
        <v>17</v>
      </c>
      <c r="I4689">
        <f t="shared" si="220"/>
        <v>2280</v>
      </c>
      <c r="J4689">
        <f t="shared" si="221"/>
        <v>13680</v>
      </c>
    </row>
    <row r="4690" spans="1:10" x14ac:dyDescent="0.45">
      <c r="A4690" t="s">
        <v>3884</v>
      </c>
      <c r="B4690" s="1">
        <v>45998</v>
      </c>
      <c r="C4690" t="s">
        <v>4007</v>
      </c>
      <c r="D4690" t="s">
        <v>2776</v>
      </c>
      <c r="E4690">
        <v>3600</v>
      </c>
      <c r="F4690">
        <v>4</v>
      </c>
      <c r="G4690">
        <f t="shared" si="219"/>
        <v>14400</v>
      </c>
      <c r="H4690" t="s">
        <v>7</v>
      </c>
      <c r="I4690">
        <f t="shared" si="220"/>
        <v>4320</v>
      </c>
      <c r="J4690">
        <f t="shared" si="221"/>
        <v>17280</v>
      </c>
    </row>
    <row r="4691" spans="1:10" x14ac:dyDescent="0.45">
      <c r="A4691" t="s">
        <v>2587</v>
      </c>
      <c r="B4691" s="1">
        <v>45999</v>
      </c>
      <c r="C4691" t="s">
        <v>33</v>
      </c>
      <c r="D4691" t="s">
        <v>14</v>
      </c>
      <c r="E4691">
        <v>800</v>
      </c>
      <c r="F4691">
        <v>4</v>
      </c>
      <c r="G4691">
        <f t="shared" si="219"/>
        <v>3200</v>
      </c>
      <c r="H4691" t="s">
        <v>7</v>
      </c>
      <c r="I4691">
        <f t="shared" si="220"/>
        <v>960</v>
      </c>
      <c r="J4691">
        <f t="shared" si="221"/>
        <v>3840</v>
      </c>
    </row>
    <row r="4692" spans="1:10" x14ac:dyDescent="0.45">
      <c r="A4692" t="s">
        <v>2588</v>
      </c>
      <c r="B4692" s="1">
        <v>45999</v>
      </c>
      <c r="C4692" t="s">
        <v>33</v>
      </c>
      <c r="D4692" t="s">
        <v>34</v>
      </c>
      <c r="E4692">
        <v>1700</v>
      </c>
      <c r="F4692">
        <v>1</v>
      </c>
      <c r="G4692">
        <f t="shared" si="219"/>
        <v>1700</v>
      </c>
      <c r="H4692" t="s">
        <v>21</v>
      </c>
      <c r="I4692">
        <f t="shared" si="220"/>
        <v>2040</v>
      </c>
      <c r="J4692">
        <f t="shared" si="221"/>
        <v>2040</v>
      </c>
    </row>
    <row r="4693" spans="1:10" x14ac:dyDescent="0.45">
      <c r="A4693" t="s">
        <v>2589</v>
      </c>
      <c r="B4693" s="1">
        <v>45999</v>
      </c>
      <c r="C4693" t="s">
        <v>4007</v>
      </c>
      <c r="D4693" t="s">
        <v>5015</v>
      </c>
      <c r="E4693">
        <v>48000</v>
      </c>
      <c r="F4693">
        <v>6</v>
      </c>
      <c r="G4693">
        <f t="shared" si="219"/>
        <v>288000</v>
      </c>
      <c r="H4693" t="s">
        <v>21</v>
      </c>
      <c r="I4693">
        <f t="shared" si="220"/>
        <v>57600</v>
      </c>
      <c r="J4693">
        <f t="shared" si="221"/>
        <v>345600</v>
      </c>
    </row>
    <row r="4694" spans="1:10" x14ac:dyDescent="0.45">
      <c r="A4694" t="s">
        <v>2590</v>
      </c>
      <c r="B4694" s="1">
        <v>45999</v>
      </c>
      <c r="C4694" t="s">
        <v>12</v>
      </c>
      <c r="D4694" t="s">
        <v>5020</v>
      </c>
      <c r="E4694">
        <v>2880</v>
      </c>
      <c r="F4694">
        <v>5</v>
      </c>
      <c r="G4694">
        <f t="shared" si="219"/>
        <v>14400</v>
      </c>
      <c r="H4694" t="s">
        <v>7</v>
      </c>
      <c r="I4694">
        <f t="shared" si="220"/>
        <v>3456</v>
      </c>
      <c r="J4694">
        <f t="shared" si="221"/>
        <v>17280</v>
      </c>
    </row>
    <row r="4695" spans="1:10" x14ac:dyDescent="0.45">
      <c r="A4695" t="s">
        <v>2591</v>
      </c>
      <c r="B4695" s="1">
        <v>45999</v>
      </c>
      <c r="C4695" t="s">
        <v>12</v>
      </c>
      <c r="D4695" t="s">
        <v>5022</v>
      </c>
      <c r="E4695">
        <v>2880</v>
      </c>
      <c r="F4695">
        <v>4</v>
      </c>
      <c r="G4695">
        <f t="shared" si="219"/>
        <v>11520</v>
      </c>
      <c r="H4695" t="s">
        <v>7</v>
      </c>
      <c r="I4695">
        <f t="shared" si="220"/>
        <v>3456</v>
      </c>
      <c r="J4695">
        <f t="shared" si="221"/>
        <v>13824</v>
      </c>
    </row>
    <row r="4696" spans="1:10" x14ac:dyDescent="0.45">
      <c r="A4696" t="s">
        <v>2592</v>
      </c>
      <c r="B4696" s="1">
        <v>45999</v>
      </c>
      <c r="C4696" t="s">
        <v>33</v>
      </c>
      <c r="D4696" t="s">
        <v>14</v>
      </c>
      <c r="E4696">
        <v>800</v>
      </c>
      <c r="F4696">
        <v>6</v>
      </c>
      <c r="G4696">
        <f t="shared" si="219"/>
        <v>4800</v>
      </c>
      <c r="H4696" t="s">
        <v>7</v>
      </c>
      <c r="I4696">
        <f t="shared" si="220"/>
        <v>960</v>
      </c>
      <c r="J4696">
        <f t="shared" si="221"/>
        <v>5760</v>
      </c>
    </row>
    <row r="4697" spans="1:10" x14ac:dyDescent="0.45">
      <c r="A4697" t="s">
        <v>2593</v>
      </c>
      <c r="B4697" s="1">
        <v>45999</v>
      </c>
      <c r="C4697" t="s">
        <v>4007</v>
      </c>
      <c r="D4697" t="s">
        <v>4005</v>
      </c>
      <c r="E4697">
        <v>60000</v>
      </c>
      <c r="F4697">
        <v>10</v>
      </c>
      <c r="G4697">
        <f t="shared" si="219"/>
        <v>600000</v>
      </c>
      <c r="H4697" t="s">
        <v>17</v>
      </c>
      <c r="I4697">
        <f t="shared" si="220"/>
        <v>72000</v>
      </c>
      <c r="J4697">
        <f t="shared" si="221"/>
        <v>720000</v>
      </c>
    </row>
    <row r="4698" spans="1:10" x14ac:dyDescent="0.45">
      <c r="A4698" t="s">
        <v>2594</v>
      </c>
      <c r="B4698" s="1">
        <v>45999</v>
      </c>
      <c r="C4698" t="s">
        <v>9</v>
      </c>
      <c r="D4698" t="s">
        <v>19</v>
      </c>
      <c r="E4698">
        <v>3000</v>
      </c>
      <c r="F4698">
        <v>10</v>
      </c>
      <c r="G4698">
        <f t="shared" si="219"/>
        <v>30000</v>
      </c>
      <c r="H4698" t="s">
        <v>7</v>
      </c>
      <c r="I4698">
        <f t="shared" si="220"/>
        <v>3600</v>
      </c>
      <c r="J4698">
        <f t="shared" si="221"/>
        <v>36000</v>
      </c>
    </row>
    <row r="4699" spans="1:10" x14ac:dyDescent="0.45">
      <c r="A4699" t="s">
        <v>2595</v>
      </c>
      <c r="B4699" s="1">
        <v>45999</v>
      </c>
      <c r="C4699" t="s">
        <v>4007</v>
      </c>
      <c r="D4699" t="s">
        <v>4005</v>
      </c>
      <c r="E4699">
        <v>60000</v>
      </c>
      <c r="F4699">
        <v>5</v>
      </c>
      <c r="G4699">
        <f t="shared" si="219"/>
        <v>300000</v>
      </c>
      <c r="H4699" t="s">
        <v>21</v>
      </c>
      <c r="I4699">
        <f t="shared" si="220"/>
        <v>72000</v>
      </c>
      <c r="J4699">
        <f t="shared" si="221"/>
        <v>360000</v>
      </c>
    </row>
    <row r="4700" spans="1:10" x14ac:dyDescent="0.45">
      <c r="A4700" t="s">
        <v>3271</v>
      </c>
      <c r="B4700" s="1">
        <v>45999</v>
      </c>
      <c r="C4700" t="s">
        <v>2772</v>
      </c>
      <c r="D4700" t="s">
        <v>2775</v>
      </c>
      <c r="E4700">
        <v>9100</v>
      </c>
      <c r="F4700">
        <v>9</v>
      </c>
      <c r="G4700">
        <f t="shared" si="219"/>
        <v>81900</v>
      </c>
      <c r="H4700" t="s">
        <v>7</v>
      </c>
      <c r="I4700">
        <f t="shared" si="220"/>
        <v>10920</v>
      </c>
      <c r="J4700">
        <f t="shared" si="221"/>
        <v>98280</v>
      </c>
    </row>
    <row r="4701" spans="1:10" x14ac:dyDescent="0.45">
      <c r="A4701" t="s">
        <v>2596</v>
      </c>
      <c r="B4701" s="1">
        <v>46000</v>
      </c>
      <c r="C4701" t="s">
        <v>9</v>
      </c>
      <c r="D4701" t="s">
        <v>10</v>
      </c>
      <c r="E4701">
        <v>400</v>
      </c>
      <c r="F4701">
        <v>4</v>
      </c>
      <c r="G4701">
        <f t="shared" si="219"/>
        <v>1600</v>
      </c>
      <c r="H4701" t="s">
        <v>17</v>
      </c>
      <c r="I4701">
        <f t="shared" si="220"/>
        <v>480</v>
      </c>
      <c r="J4701">
        <f t="shared" si="221"/>
        <v>1920</v>
      </c>
    </row>
    <row r="4702" spans="1:10" x14ac:dyDescent="0.45">
      <c r="A4702" t="s">
        <v>2597</v>
      </c>
      <c r="B4702" s="1">
        <v>46000</v>
      </c>
      <c r="C4702" t="s">
        <v>33</v>
      </c>
      <c r="D4702" t="s">
        <v>34</v>
      </c>
      <c r="E4702">
        <v>1700</v>
      </c>
      <c r="F4702">
        <v>2</v>
      </c>
      <c r="G4702">
        <f t="shared" si="219"/>
        <v>3400</v>
      </c>
      <c r="H4702" t="s">
        <v>17</v>
      </c>
      <c r="I4702">
        <f t="shared" si="220"/>
        <v>2040</v>
      </c>
      <c r="J4702">
        <f t="shared" si="221"/>
        <v>4080</v>
      </c>
    </row>
    <row r="4703" spans="1:10" x14ac:dyDescent="0.45">
      <c r="A4703" t="s">
        <v>2598</v>
      </c>
      <c r="B4703" s="1">
        <v>46000</v>
      </c>
      <c r="C4703" t="s">
        <v>4007</v>
      </c>
      <c r="D4703" t="s">
        <v>28</v>
      </c>
      <c r="E4703">
        <v>500</v>
      </c>
      <c r="F4703">
        <v>4</v>
      </c>
      <c r="G4703">
        <f t="shared" si="219"/>
        <v>2000</v>
      </c>
      <c r="H4703" t="s">
        <v>7</v>
      </c>
      <c r="I4703">
        <f t="shared" si="220"/>
        <v>600</v>
      </c>
      <c r="J4703">
        <f t="shared" si="221"/>
        <v>2400</v>
      </c>
    </row>
    <row r="4704" spans="1:10" x14ac:dyDescent="0.45">
      <c r="A4704" t="s">
        <v>2599</v>
      </c>
      <c r="B4704" s="1">
        <v>46000</v>
      </c>
      <c r="C4704" t="s">
        <v>12</v>
      </c>
      <c r="D4704" t="s">
        <v>5023</v>
      </c>
      <c r="E4704">
        <v>1750</v>
      </c>
      <c r="F4704">
        <v>10</v>
      </c>
      <c r="G4704">
        <f t="shared" si="219"/>
        <v>17500</v>
      </c>
      <c r="H4704" t="s">
        <v>7</v>
      </c>
      <c r="I4704">
        <f t="shared" si="220"/>
        <v>2100</v>
      </c>
      <c r="J4704">
        <f t="shared" si="221"/>
        <v>21000</v>
      </c>
    </row>
    <row r="4705" spans="1:10" x14ac:dyDescent="0.45">
      <c r="A4705" t="s">
        <v>2600</v>
      </c>
      <c r="B4705" s="1">
        <v>46000</v>
      </c>
      <c r="C4705" t="s">
        <v>12</v>
      </c>
      <c r="D4705" t="s">
        <v>5022</v>
      </c>
      <c r="E4705">
        <v>2880</v>
      </c>
      <c r="F4705">
        <v>8</v>
      </c>
      <c r="G4705">
        <f t="shared" si="219"/>
        <v>23040</v>
      </c>
      <c r="H4705" t="s">
        <v>17</v>
      </c>
      <c r="I4705">
        <f t="shared" si="220"/>
        <v>3456</v>
      </c>
      <c r="J4705">
        <f t="shared" si="221"/>
        <v>27648</v>
      </c>
    </row>
    <row r="4706" spans="1:10" x14ac:dyDescent="0.45">
      <c r="A4706" t="s">
        <v>2601</v>
      </c>
      <c r="B4706" s="1">
        <v>46000</v>
      </c>
      <c r="C4706" t="s">
        <v>33</v>
      </c>
      <c r="D4706" t="s">
        <v>14</v>
      </c>
      <c r="E4706">
        <v>800</v>
      </c>
      <c r="F4706">
        <v>1</v>
      </c>
      <c r="G4706">
        <f t="shared" si="219"/>
        <v>800</v>
      </c>
      <c r="H4706" t="s">
        <v>17</v>
      </c>
      <c r="I4706">
        <f t="shared" si="220"/>
        <v>960</v>
      </c>
      <c r="J4706">
        <f t="shared" si="221"/>
        <v>960</v>
      </c>
    </row>
    <row r="4707" spans="1:10" x14ac:dyDescent="0.45">
      <c r="A4707" t="s">
        <v>3054</v>
      </c>
      <c r="B4707" s="1">
        <v>46000</v>
      </c>
      <c r="C4707" t="s">
        <v>4007</v>
      </c>
      <c r="D4707" t="s">
        <v>2774</v>
      </c>
      <c r="E4707">
        <v>1900</v>
      </c>
      <c r="F4707">
        <v>10</v>
      </c>
      <c r="G4707">
        <f t="shared" si="219"/>
        <v>19000</v>
      </c>
      <c r="H4707" t="s">
        <v>7</v>
      </c>
      <c r="I4707">
        <f t="shared" si="220"/>
        <v>2280</v>
      </c>
      <c r="J4707">
        <f t="shared" si="221"/>
        <v>22800</v>
      </c>
    </row>
    <row r="4708" spans="1:10" x14ac:dyDescent="0.45">
      <c r="A4708" t="s">
        <v>3444</v>
      </c>
      <c r="B4708" s="1">
        <v>46000</v>
      </c>
      <c r="C4708" t="s">
        <v>2772</v>
      </c>
      <c r="D4708" t="s">
        <v>2775</v>
      </c>
      <c r="E4708">
        <v>9100</v>
      </c>
      <c r="F4708">
        <v>2</v>
      </c>
      <c r="G4708">
        <f t="shared" si="219"/>
        <v>18200</v>
      </c>
      <c r="H4708" t="s">
        <v>7</v>
      </c>
      <c r="I4708">
        <f t="shared" si="220"/>
        <v>10920</v>
      </c>
      <c r="J4708">
        <f t="shared" si="221"/>
        <v>21840</v>
      </c>
    </row>
    <row r="4709" spans="1:10" x14ac:dyDescent="0.45">
      <c r="A4709" t="s">
        <v>3752</v>
      </c>
      <c r="B4709" s="1">
        <v>46000</v>
      </c>
      <c r="C4709" t="s">
        <v>4007</v>
      </c>
      <c r="D4709" t="s">
        <v>5015</v>
      </c>
      <c r="E4709">
        <v>48000</v>
      </c>
      <c r="F4709">
        <v>4</v>
      </c>
      <c r="G4709">
        <f t="shared" si="219"/>
        <v>192000</v>
      </c>
      <c r="H4709" t="s">
        <v>7</v>
      </c>
      <c r="I4709">
        <f t="shared" si="220"/>
        <v>57600</v>
      </c>
      <c r="J4709">
        <f t="shared" si="221"/>
        <v>230400</v>
      </c>
    </row>
    <row r="4710" spans="1:10" x14ac:dyDescent="0.45">
      <c r="A4710" t="s">
        <v>2602</v>
      </c>
      <c r="B4710" s="1">
        <v>46001</v>
      </c>
      <c r="C4710" t="s">
        <v>4007</v>
      </c>
      <c r="D4710" t="s">
        <v>39</v>
      </c>
      <c r="E4710">
        <v>6000</v>
      </c>
      <c r="F4710">
        <v>1</v>
      </c>
      <c r="G4710">
        <f t="shared" si="219"/>
        <v>6000</v>
      </c>
      <c r="H4710" t="s">
        <v>17</v>
      </c>
      <c r="I4710">
        <f t="shared" si="220"/>
        <v>7200</v>
      </c>
      <c r="J4710">
        <f t="shared" si="221"/>
        <v>7200</v>
      </c>
    </row>
    <row r="4711" spans="1:10" x14ac:dyDescent="0.45">
      <c r="A4711" t="s">
        <v>2603</v>
      </c>
      <c r="B4711" s="1">
        <v>46001</v>
      </c>
      <c r="C4711" t="s">
        <v>12</v>
      </c>
      <c r="D4711" t="s">
        <v>5022</v>
      </c>
      <c r="E4711">
        <v>2880</v>
      </c>
      <c r="F4711">
        <v>7</v>
      </c>
      <c r="G4711">
        <f t="shared" si="219"/>
        <v>20160</v>
      </c>
      <c r="H4711" t="s">
        <v>17</v>
      </c>
      <c r="I4711">
        <f t="shared" si="220"/>
        <v>3456</v>
      </c>
      <c r="J4711">
        <f t="shared" si="221"/>
        <v>24192</v>
      </c>
    </row>
    <row r="4712" spans="1:10" x14ac:dyDescent="0.45">
      <c r="A4712" t="s">
        <v>2604</v>
      </c>
      <c r="B4712" s="1">
        <v>46001</v>
      </c>
      <c r="C4712" t="s">
        <v>9</v>
      </c>
      <c r="D4712" t="s">
        <v>19</v>
      </c>
      <c r="E4712">
        <v>3000</v>
      </c>
      <c r="F4712">
        <v>3</v>
      </c>
      <c r="G4712">
        <f t="shared" si="219"/>
        <v>9000</v>
      </c>
      <c r="H4712" t="s">
        <v>21</v>
      </c>
      <c r="I4712">
        <f t="shared" si="220"/>
        <v>3600</v>
      </c>
      <c r="J4712">
        <f t="shared" si="221"/>
        <v>10800</v>
      </c>
    </row>
    <row r="4713" spans="1:10" x14ac:dyDescent="0.45">
      <c r="A4713" t="s">
        <v>2605</v>
      </c>
      <c r="B4713" s="1">
        <v>46001</v>
      </c>
      <c r="C4713" t="s">
        <v>4007</v>
      </c>
      <c r="D4713" t="s">
        <v>28</v>
      </c>
      <c r="E4713">
        <v>500</v>
      </c>
      <c r="F4713">
        <v>5</v>
      </c>
      <c r="G4713">
        <f t="shared" si="219"/>
        <v>2500</v>
      </c>
      <c r="H4713" t="s">
        <v>7</v>
      </c>
      <c r="I4713">
        <f t="shared" si="220"/>
        <v>600</v>
      </c>
      <c r="J4713">
        <f t="shared" si="221"/>
        <v>3000</v>
      </c>
    </row>
    <row r="4714" spans="1:10" x14ac:dyDescent="0.45">
      <c r="A4714" t="s">
        <v>2606</v>
      </c>
      <c r="B4714" s="1">
        <v>46001</v>
      </c>
      <c r="C4714" t="s">
        <v>4007</v>
      </c>
      <c r="D4714" t="s">
        <v>28</v>
      </c>
      <c r="E4714">
        <v>500</v>
      </c>
      <c r="F4714">
        <v>10</v>
      </c>
      <c r="G4714">
        <f t="shared" si="219"/>
        <v>5000</v>
      </c>
      <c r="H4714" t="s">
        <v>7</v>
      </c>
      <c r="I4714">
        <f t="shared" si="220"/>
        <v>600</v>
      </c>
      <c r="J4714">
        <f t="shared" si="221"/>
        <v>6000</v>
      </c>
    </row>
    <row r="4715" spans="1:10" x14ac:dyDescent="0.45">
      <c r="A4715" t="s">
        <v>2607</v>
      </c>
      <c r="B4715" s="1">
        <v>46001</v>
      </c>
      <c r="C4715" t="s">
        <v>33</v>
      </c>
      <c r="D4715" t="s">
        <v>42</v>
      </c>
      <c r="E4715">
        <v>6900</v>
      </c>
      <c r="F4715">
        <v>1</v>
      </c>
      <c r="G4715">
        <f t="shared" si="219"/>
        <v>6900</v>
      </c>
      <c r="H4715" t="s">
        <v>21</v>
      </c>
      <c r="I4715">
        <f t="shared" si="220"/>
        <v>8280</v>
      </c>
      <c r="J4715">
        <f t="shared" si="221"/>
        <v>8280</v>
      </c>
    </row>
    <row r="4716" spans="1:10" x14ac:dyDescent="0.45">
      <c r="A4716" t="s">
        <v>2608</v>
      </c>
      <c r="B4716" s="1">
        <v>46001</v>
      </c>
      <c r="C4716" t="s">
        <v>4007</v>
      </c>
      <c r="D4716" t="s">
        <v>28</v>
      </c>
      <c r="E4716">
        <v>500</v>
      </c>
      <c r="F4716">
        <v>8</v>
      </c>
      <c r="G4716">
        <f t="shared" si="219"/>
        <v>4000</v>
      </c>
      <c r="H4716" t="s">
        <v>7</v>
      </c>
      <c r="I4716">
        <f t="shared" si="220"/>
        <v>600</v>
      </c>
      <c r="J4716">
        <f t="shared" si="221"/>
        <v>4800</v>
      </c>
    </row>
    <row r="4717" spans="1:10" x14ac:dyDescent="0.45">
      <c r="A4717" t="s">
        <v>2609</v>
      </c>
      <c r="B4717" s="1">
        <v>46001</v>
      </c>
      <c r="C4717" t="s">
        <v>33</v>
      </c>
      <c r="D4717" t="s">
        <v>42</v>
      </c>
      <c r="E4717">
        <v>6900</v>
      </c>
      <c r="F4717">
        <v>2</v>
      </c>
      <c r="G4717">
        <f t="shared" si="219"/>
        <v>13800</v>
      </c>
      <c r="H4717" t="s">
        <v>21</v>
      </c>
      <c r="I4717">
        <f t="shared" si="220"/>
        <v>8280</v>
      </c>
      <c r="J4717">
        <f t="shared" si="221"/>
        <v>16560</v>
      </c>
    </row>
    <row r="4718" spans="1:10" x14ac:dyDescent="0.45">
      <c r="A4718" t="s">
        <v>2610</v>
      </c>
      <c r="B4718" s="1">
        <v>46001</v>
      </c>
      <c r="C4718" t="s">
        <v>33</v>
      </c>
      <c r="D4718" t="s">
        <v>34</v>
      </c>
      <c r="E4718">
        <v>1700</v>
      </c>
      <c r="F4718">
        <v>7</v>
      </c>
      <c r="G4718">
        <f t="shared" si="219"/>
        <v>11900</v>
      </c>
      <c r="H4718" t="s">
        <v>7</v>
      </c>
      <c r="I4718">
        <f t="shared" si="220"/>
        <v>2040</v>
      </c>
      <c r="J4718">
        <f t="shared" si="221"/>
        <v>14280</v>
      </c>
    </row>
    <row r="4719" spans="1:10" x14ac:dyDescent="0.45">
      <c r="A4719" t="s">
        <v>3367</v>
      </c>
      <c r="B4719" s="1">
        <v>46001</v>
      </c>
      <c r="C4719" t="s">
        <v>4007</v>
      </c>
      <c r="D4719" t="s">
        <v>5015</v>
      </c>
      <c r="E4719">
        <v>48000</v>
      </c>
      <c r="F4719">
        <v>8</v>
      </c>
      <c r="G4719">
        <f t="shared" si="219"/>
        <v>384000</v>
      </c>
      <c r="H4719" t="s">
        <v>17</v>
      </c>
      <c r="I4719">
        <f t="shared" si="220"/>
        <v>57600</v>
      </c>
      <c r="J4719">
        <f t="shared" si="221"/>
        <v>460800</v>
      </c>
    </row>
    <row r="4720" spans="1:10" x14ac:dyDescent="0.45">
      <c r="A4720" t="s">
        <v>3506</v>
      </c>
      <c r="B4720" s="1">
        <v>46001</v>
      </c>
      <c r="C4720" t="s">
        <v>4007</v>
      </c>
      <c r="D4720" t="s">
        <v>2770</v>
      </c>
      <c r="E4720">
        <v>600</v>
      </c>
      <c r="F4720">
        <v>3</v>
      </c>
      <c r="G4720">
        <f t="shared" si="219"/>
        <v>1800</v>
      </c>
      <c r="H4720" t="s">
        <v>21</v>
      </c>
      <c r="I4720">
        <f t="shared" si="220"/>
        <v>720</v>
      </c>
      <c r="J4720">
        <f t="shared" si="221"/>
        <v>2160</v>
      </c>
    </row>
    <row r="4721" spans="1:10" x14ac:dyDescent="0.45">
      <c r="A4721" t="s">
        <v>3903</v>
      </c>
      <c r="B4721" s="1">
        <v>46001</v>
      </c>
      <c r="C4721" t="s">
        <v>33</v>
      </c>
      <c r="D4721" t="s">
        <v>34</v>
      </c>
      <c r="E4721">
        <v>1700</v>
      </c>
      <c r="F4721">
        <v>6</v>
      </c>
      <c r="G4721">
        <f t="shared" si="219"/>
        <v>10200</v>
      </c>
      <c r="H4721" t="s">
        <v>17</v>
      </c>
      <c r="I4721">
        <f t="shared" si="220"/>
        <v>2040</v>
      </c>
      <c r="J4721">
        <f t="shared" si="221"/>
        <v>12240</v>
      </c>
    </row>
    <row r="4722" spans="1:10" x14ac:dyDescent="0.45">
      <c r="A4722" t="s">
        <v>2611</v>
      </c>
      <c r="B4722" s="1">
        <v>46002</v>
      </c>
      <c r="C4722" t="s">
        <v>12</v>
      </c>
      <c r="D4722" t="s">
        <v>5021</v>
      </c>
      <c r="E4722">
        <v>2880</v>
      </c>
      <c r="F4722">
        <v>10</v>
      </c>
      <c r="G4722">
        <f t="shared" si="219"/>
        <v>28800</v>
      </c>
      <c r="H4722" t="s">
        <v>21</v>
      </c>
      <c r="I4722">
        <f t="shared" si="220"/>
        <v>3456</v>
      </c>
      <c r="J4722">
        <f t="shared" si="221"/>
        <v>34560</v>
      </c>
    </row>
    <row r="4723" spans="1:10" x14ac:dyDescent="0.45">
      <c r="A4723" t="s">
        <v>2612</v>
      </c>
      <c r="B4723" s="1">
        <v>46002</v>
      </c>
      <c r="C4723" t="s">
        <v>4007</v>
      </c>
      <c r="D4723" t="s">
        <v>39</v>
      </c>
      <c r="E4723">
        <v>6000</v>
      </c>
      <c r="F4723">
        <v>3</v>
      </c>
      <c r="G4723">
        <f t="shared" si="219"/>
        <v>18000</v>
      </c>
      <c r="H4723" t="s">
        <v>21</v>
      </c>
      <c r="I4723">
        <f t="shared" si="220"/>
        <v>7200</v>
      </c>
      <c r="J4723">
        <f t="shared" si="221"/>
        <v>21600</v>
      </c>
    </row>
    <row r="4724" spans="1:10" x14ac:dyDescent="0.45">
      <c r="A4724" t="s">
        <v>2613</v>
      </c>
      <c r="B4724" s="1">
        <v>46002</v>
      </c>
      <c r="C4724" t="s">
        <v>12</v>
      </c>
      <c r="D4724" t="s">
        <v>5020</v>
      </c>
      <c r="E4724">
        <v>2880</v>
      </c>
      <c r="F4724">
        <v>4</v>
      </c>
      <c r="G4724">
        <f t="shared" si="219"/>
        <v>11520</v>
      </c>
      <c r="H4724" t="s">
        <v>17</v>
      </c>
      <c r="I4724">
        <f t="shared" si="220"/>
        <v>3456</v>
      </c>
      <c r="J4724">
        <f t="shared" si="221"/>
        <v>13824</v>
      </c>
    </row>
    <row r="4725" spans="1:10" x14ac:dyDescent="0.45">
      <c r="A4725" t="s">
        <v>2614</v>
      </c>
      <c r="B4725" s="1">
        <v>46002</v>
      </c>
      <c r="C4725" t="s">
        <v>33</v>
      </c>
      <c r="D4725" t="s">
        <v>14</v>
      </c>
      <c r="E4725">
        <v>800</v>
      </c>
      <c r="F4725">
        <v>3</v>
      </c>
      <c r="G4725">
        <f t="shared" si="219"/>
        <v>2400</v>
      </c>
      <c r="H4725" t="s">
        <v>17</v>
      </c>
      <c r="I4725">
        <f t="shared" si="220"/>
        <v>960</v>
      </c>
      <c r="J4725">
        <f t="shared" si="221"/>
        <v>2880</v>
      </c>
    </row>
    <row r="4726" spans="1:10" x14ac:dyDescent="0.45">
      <c r="A4726" t="s">
        <v>2615</v>
      </c>
      <c r="B4726" s="1">
        <v>46002</v>
      </c>
      <c r="C4726" t="s">
        <v>12</v>
      </c>
      <c r="D4726" t="s">
        <v>5023</v>
      </c>
      <c r="E4726">
        <v>1750</v>
      </c>
      <c r="F4726">
        <v>4</v>
      </c>
      <c r="G4726">
        <f t="shared" si="219"/>
        <v>7000</v>
      </c>
      <c r="H4726" t="s">
        <v>7</v>
      </c>
      <c r="I4726">
        <f t="shared" si="220"/>
        <v>2100</v>
      </c>
      <c r="J4726">
        <f t="shared" si="221"/>
        <v>8400</v>
      </c>
    </row>
    <row r="4727" spans="1:10" x14ac:dyDescent="0.45">
      <c r="A4727" t="s">
        <v>2616</v>
      </c>
      <c r="B4727" s="1">
        <v>46002</v>
      </c>
      <c r="C4727" t="s">
        <v>12</v>
      </c>
      <c r="D4727" t="s">
        <v>5023</v>
      </c>
      <c r="E4727">
        <v>1750</v>
      </c>
      <c r="F4727">
        <v>9</v>
      </c>
      <c r="G4727">
        <f t="shared" si="219"/>
        <v>15750</v>
      </c>
      <c r="H4727" t="s">
        <v>7</v>
      </c>
      <c r="I4727">
        <f t="shared" si="220"/>
        <v>2100</v>
      </c>
      <c r="J4727">
        <f t="shared" si="221"/>
        <v>18900</v>
      </c>
    </row>
    <row r="4728" spans="1:10" x14ac:dyDescent="0.45">
      <c r="A4728" t="s">
        <v>2617</v>
      </c>
      <c r="B4728" s="1">
        <v>46002</v>
      </c>
      <c r="C4728" t="s">
        <v>4007</v>
      </c>
      <c r="D4728" t="s">
        <v>4005</v>
      </c>
      <c r="E4728">
        <v>60000</v>
      </c>
      <c r="F4728">
        <v>10</v>
      </c>
      <c r="G4728">
        <f t="shared" si="219"/>
        <v>600000</v>
      </c>
      <c r="H4728" t="s">
        <v>17</v>
      </c>
      <c r="I4728">
        <f t="shared" si="220"/>
        <v>72000</v>
      </c>
      <c r="J4728">
        <f t="shared" si="221"/>
        <v>720000</v>
      </c>
    </row>
    <row r="4729" spans="1:10" x14ac:dyDescent="0.45">
      <c r="A4729" t="s">
        <v>2618</v>
      </c>
      <c r="B4729" s="1">
        <v>46002</v>
      </c>
      <c r="C4729" t="s">
        <v>33</v>
      </c>
      <c r="D4729" t="s">
        <v>42</v>
      </c>
      <c r="E4729">
        <v>6900</v>
      </c>
      <c r="F4729">
        <v>10</v>
      </c>
      <c r="G4729">
        <f t="shared" si="219"/>
        <v>69000</v>
      </c>
      <c r="H4729" t="s">
        <v>7</v>
      </c>
      <c r="I4729">
        <f t="shared" si="220"/>
        <v>8280</v>
      </c>
      <c r="J4729">
        <f t="shared" si="221"/>
        <v>82800</v>
      </c>
    </row>
    <row r="4730" spans="1:10" x14ac:dyDescent="0.45">
      <c r="A4730" t="s">
        <v>3232</v>
      </c>
      <c r="B4730" s="1">
        <v>46002</v>
      </c>
      <c r="C4730" t="s">
        <v>4007</v>
      </c>
      <c r="D4730" t="s">
        <v>5015</v>
      </c>
      <c r="E4730">
        <v>48000</v>
      </c>
      <c r="F4730">
        <v>4</v>
      </c>
      <c r="G4730">
        <f t="shared" si="219"/>
        <v>192000</v>
      </c>
      <c r="H4730" t="s">
        <v>17</v>
      </c>
      <c r="I4730">
        <f t="shared" si="220"/>
        <v>57600</v>
      </c>
      <c r="J4730">
        <f t="shared" si="221"/>
        <v>230400</v>
      </c>
    </row>
    <row r="4731" spans="1:10" x14ac:dyDescent="0.45">
      <c r="A4731" t="s">
        <v>3803</v>
      </c>
      <c r="B4731" s="1">
        <v>46002</v>
      </c>
      <c r="C4731" t="s">
        <v>2772</v>
      </c>
      <c r="D4731" t="s">
        <v>2771</v>
      </c>
      <c r="E4731">
        <v>120</v>
      </c>
      <c r="F4731">
        <v>2</v>
      </c>
      <c r="G4731">
        <f t="shared" si="219"/>
        <v>240</v>
      </c>
      <c r="H4731" t="s">
        <v>21</v>
      </c>
      <c r="I4731">
        <f t="shared" si="220"/>
        <v>144</v>
      </c>
      <c r="J4731">
        <f t="shared" si="221"/>
        <v>288</v>
      </c>
    </row>
    <row r="4732" spans="1:10" x14ac:dyDescent="0.45">
      <c r="A4732" t="s">
        <v>3830</v>
      </c>
      <c r="B4732" s="1">
        <v>46002</v>
      </c>
      <c r="C4732" t="s">
        <v>4007</v>
      </c>
      <c r="D4732" t="s">
        <v>2773</v>
      </c>
      <c r="E4732">
        <v>3300</v>
      </c>
      <c r="F4732">
        <v>5</v>
      </c>
      <c r="G4732">
        <f t="shared" si="219"/>
        <v>16500</v>
      </c>
      <c r="H4732" t="s">
        <v>7</v>
      </c>
      <c r="I4732">
        <f t="shared" si="220"/>
        <v>3960</v>
      </c>
      <c r="J4732">
        <f t="shared" si="221"/>
        <v>19800</v>
      </c>
    </row>
    <row r="4733" spans="1:10" x14ac:dyDescent="0.45">
      <c r="A4733" t="s">
        <v>2619</v>
      </c>
      <c r="B4733" s="1">
        <v>46003</v>
      </c>
      <c r="C4733" t="s">
        <v>9</v>
      </c>
      <c r="D4733" t="s">
        <v>19</v>
      </c>
      <c r="E4733">
        <v>3000</v>
      </c>
      <c r="F4733">
        <v>5</v>
      </c>
      <c r="G4733">
        <f t="shared" si="219"/>
        <v>15000</v>
      </c>
      <c r="H4733" t="s">
        <v>7</v>
      </c>
      <c r="I4733">
        <f t="shared" si="220"/>
        <v>3600</v>
      </c>
      <c r="J4733">
        <f t="shared" si="221"/>
        <v>18000</v>
      </c>
    </row>
    <row r="4734" spans="1:10" x14ac:dyDescent="0.45">
      <c r="A4734" t="s">
        <v>2620</v>
      </c>
      <c r="B4734" s="1">
        <v>46003</v>
      </c>
      <c r="C4734" t="s">
        <v>4007</v>
      </c>
      <c r="D4734" t="s">
        <v>5015</v>
      </c>
      <c r="E4734">
        <v>48000</v>
      </c>
      <c r="F4734">
        <v>3</v>
      </c>
      <c r="G4734">
        <f t="shared" si="219"/>
        <v>144000</v>
      </c>
      <c r="H4734" t="s">
        <v>7</v>
      </c>
      <c r="I4734">
        <f t="shared" si="220"/>
        <v>57600</v>
      </c>
      <c r="J4734">
        <f t="shared" si="221"/>
        <v>172800</v>
      </c>
    </row>
    <row r="4735" spans="1:10" x14ac:dyDescent="0.45">
      <c r="A4735" t="s">
        <v>2621</v>
      </c>
      <c r="B4735" s="1">
        <v>46003</v>
      </c>
      <c r="C4735" t="s">
        <v>9</v>
      </c>
      <c r="D4735" t="s">
        <v>25</v>
      </c>
      <c r="E4735">
        <v>5200</v>
      </c>
      <c r="F4735">
        <v>6</v>
      </c>
      <c r="G4735">
        <f t="shared" si="219"/>
        <v>31200</v>
      </c>
      <c r="H4735" t="s">
        <v>21</v>
      </c>
      <c r="I4735">
        <f t="shared" si="220"/>
        <v>6240</v>
      </c>
      <c r="J4735">
        <f t="shared" si="221"/>
        <v>37440</v>
      </c>
    </row>
    <row r="4736" spans="1:10" x14ac:dyDescent="0.45">
      <c r="A4736" t="s">
        <v>2622</v>
      </c>
      <c r="B4736" s="1">
        <v>46003</v>
      </c>
      <c r="C4736" t="s">
        <v>9</v>
      </c>
      <c r="D4736" t="s">
        <v>25</v>
      </c>
      <c r="E4736">
        <v>5200</v>
      </c>
      <c r="F4736">
        <v>1</v>
      </c>
      <c r="G4736">
        <f t="shared" si="219"/>
        <v>5200</v>
      </c>
      <c r="H4736" t="s">
        <v>21</v>
      </c>
      <c r="I4736">
        <f t="shared" si="220"/>
        <v>6240</v>
      </c>
      <c r="J4736">
        <f t="shared" si="221"/>
        <v>6240</v>
      </c>
    </row>
    <row r="4737" spans="1:10" x14ac:dyDescent="0.45">
      <c r="A4737" t="s">
        <v>2623</v>
      </c>
      <c r="B4737" s="1">
        <v>46003</v>
      </c>
      <c r="C4737" t="s">
        <v>12</v>
      </c>
      <c r="D4737" t="s">
        <v>5020</v>
      </c>
      <c r="E4737">
        <v>2880</v>
      </c>
      <c r="F4737">
        <v>4</v>
      </c>
      <c r="G4737">
        <f t="shared" si="219"/>
        <v>11520</v>
      </c>
      <c r="H4737" t="s">
        <v>7</v>
      </c>
      <c r="I4737">
        <f t="shared" si="220"/>
        <v>3456</v>
      </c>
      <c r="J4737">
        <f t="shared" si="221"/>
        <v>13824</v>
      </c>
    </row>
    <row r="4738" spans="1:10" x14ac:dyDescent="0.45">
      <c r="A4738" t="s">
        <v>2624</v>
      </c>
      <c r="B4738" s="1">
        <v>46003</v>
      </c>
      <c r="C4738" t="s">
        <v>33</v>
      </c>
      <c r="D4738" t="s">
        <v>34</v>
      </c>
      <c r="E4738">
        <v>1700</v>
      </c>
      <c r="F4738">
        <v>8</v>
      </c>
      <c r="G4738">
        <f t="shared" ref="G4738:G4801" si="222">E4738*F4738</f>
        <v>13600</v>
      </c>
      <c r="H4738" t="s">
        <v>17</v>
      </c>
      <c r="I4738">
        <f t="shared" ref="I4738:I4801" si="223">E4738*1.2</f>
        <v>2040</v>
      </c>
      <c r="J4738">
        <f t="shared" ref="J4738:J4801" si="224">I4738*F4738</f>
        <v>16320</v>
      </c>
    </row>
    <row r="4739" spans="1:10" x14ac:dyDescent="0.45">
      <c r="A4739" t="s">
        <v>2625</v>
      </c>
      <c r="B4739" s="1">
        <v>46003</v>
      </c>
      <c r="C4739" t="s">
        <v>33</v>
      </c>
      <c r="D4739" t="s">
        <v>34</v>
      </c>
      <c r="E4739">
        <v>1700</v>
      </c>
      <c r="F4739">
        <v>7</v>
      </c>
      <c r="G4739">
        <f t="shared" si="222"/>
        <v>11900</v>
      </c>
      <c r="H4739" t="s">
        <v>21</v>
      </c>
      <c r="I4739">
        <f t="shared" si="223"/>
        <v>2040</v>
      </c>
      <c r="J4739">
        <f t="shared" si="224"/>
        <v>14280</v>
      </c>
    </row>
    <row r="4740" spans="1:10" x14ac:dyDescent="0.45">
      <c r="A4740" t="s">
        <v>2626</v>
      </c>
      <c r="B4740" s="1">
        <v>46003</v>
      </c>
      <c r="C4740" t="s">
        <v>33</v>
      </c>
      <c r="D4740" t="s">
        <v>16</v>
      </c>
      <c r="E4740">
        <v>1200</v>
      </c>
      <c r="F4740">
        <v>4</v>
      </c>
      <c r="G4740">
        <f t="shared" si="222"/>
        <v>4800</v>
      </c>
      <c r="H4740" t="s">
        <v>21</v>
      </c>
      <c r="I4740">
        <f t="shared" si="223"/>
        <v>1440</v>
      </c>
      <c r="J4740">
        <f t="shared" si="224"/>
        <v>5760</v>
      </c>
    </row>
    <row r="4741" spans="1:10" x14ac:dyDescent="0.45">
      <c r="A4741" t="s">
        <v>3275</v>
      </c>
      <c r="B4741" s="1">
        <v>46003</v>
      </c>
      <c r="C4741" t="s">
        <v>33</v>
      </c>
      <c r="D4741" t="s">
        <v>14</v>
      </c>
      <c r="E4741">
        <v>800</v>
      </c>
      <c r="F4741">
        <v>8</v>
      </c>
      <c r="G4741">
        <f t="shared" si="222"/>
        <v>6400</v>
      </c>
      <c r="H4741" t="s">
        <v>17</v>
      </c>
      <c r="I4741">
        <f t="shared" si="223"/>
        <v>960</v>
      </c>
      <c r="J4741">
        <f t="shared" si="224"/>
        <v>7680</v>
      </c>
    </row>
    <row r="4742" spans="1:10" x14ac:dyDescent="0.45">
      <c r="A4742" t="s">
        <v>3640</v>
      </c>
      <c r="B4742" s="1">
        <v>46003</v>
      </c>
      <c r="C4742" t="s">
        <v>33</v>
      </c>
      <c r="D4742" t="s">
        <v>14</v>
      </c>
      <c r="E4742">
        <v>800</v>
      </c>
      <c r="F4742">
        <v>10</v>
      </c>
      <c r="G4742">
        <f t="shared" si="222"/>
        <v>8000</v>
      </c>
      <c r="H4742" t="s">
        <v>21</v>
      </c>
      <c r="I4742">
        <f t="shared" si="223"/>
        <v>960</v>
      </c>
      <c r="J4742">
        <f t="shared" si="224"/>
        <v>9600</v>
      </c>
    </row>
    <row r="4743" spans="1:10" x14ac:dyDescent="0.45">
      <c r="A4743" t="s">
        <v>2627</v>
      </c>
      <c r="B4743" s="1">
        <v>46004</v>
      </c>
      <c r="C4743" t="s">
        <v>9</v>
      </c>
      <c r="D4743" t="s">
        <v>10</v>
      </c>
      <c r="E4743">
        <v>400</v>
      </c>
      <c r="F4743">
        <v>7</v>
      </c>
      <c r="G4743">
        <f t="shared" si="222"/>
        <v>2800</v>
      </c>
      <c r="H4743" t="s">
        <v>7</v>
      </c>
      <c r="I4743">
        <f t="shared" si="223"/>
        <v>480</v>
      </c>
      <c r="J4743">
        <f t="shared" si="224"/>
        <v>3360</v>
      </c>
    </row>
    <row r="4744" spans="1:10" x14ac:dyDescent="0.45">
      <c r="A4744" t="s">
        <v>2628</v>
      </c>
      <c r="B4744" s="1">
        <v>46004</v>
      </c>
      <c r="C4744" t="s">
        <v>12</v>
      </c>
      <c r="D4744" t="s">
        <v>5021</v>
      </c>
      <c r="E4744">
        <v>2880</v>
      </c>
      <c r="F4744">
        <v>10</v>
      </c>
      <c r="G4744">
        <f t="shared" si="222"/>
        <v>28800</v>
      </c>
      <c r="H4744" t="s">
        <v>21</v>
      </c>
      <c r="I4744">
        <f t="shared" si="223"/>
        <v>3456</v>
      </c>
      <c r="J4744">
        <f t="shared" si="224"/>
        <v>34560</v>
      </c>
    </row>
    <row r="4745" spans="1:10" x14ac:dyDescent="0.45">
      <c r="A4745" t="s">
        <v>2629</v>
      </c>
      <c r="B4745" s="1">
        <v>46004</v>
      </c>
      <c r="C4745" t="s">
        <v>12</v>
      </c>
      <c r="D4745" t="s">
        <v>5020</v>
      </c>
      <c r="E4745">
        <v>2880</v>
      </c>
      <c r="F4745">
        <v>3</v>
      </c>
      <c r="G4745">
        <f t="shared" si="222"/>
        <v>8640</v>
      </c>
      <c r="H4745" t="s">
        <v>17</v>
      </c>
      <c r="I4745">
        <f t="shared" si="223"/>
        <v>3456</v>
      </c>
      <c r="J4745">
        <f t="shared" si="224"/>
        <v>10368</v>
      </c>
    </row>
    <row r="4746" spans="1:10" x14ac:dyDescent="0.45">
      <c r="A4746" t="s">
        <v>2630</v>
      </c>
      <c r="B4746" s="1">
        <v>46004</v>
      </c>
      <c r="C4746" t="s">
        <v>9</v>
      </c>
      <c r="D4746" t="s">
        <v>19</v>
      </c>
      <c r="E4746">
        <v>3000</v>
      </c>
      <c r="F4746">
        <v>10</v>
      </c>
      <c r="G4746">
        <f t="shared" si="222"/>
        <v>30000</v>
      </c>
      <c r="H4746" t="s">
        <v>21</v>
      </c>
      <c r="I4746">
        <f t="shared" si="223"/>
        <v>3600</v>
      </c>
      <c r="J4746">
        <f t="shared" si="224"/>
        <v>36000</v>
      </c>
    </row>
    <row r="4747" spans="1:10" x14ac:dyDescent="0.45">
      <c r="A4747" t="s">
        <v>2631</v>
      </c>
      <c r="B4747" s="1">
        <v>46004</v>
      </c>
      <c r="C4747" t="s">
        <v>4007</v>
      </c>
      <c r="D4747" t="s">
        <v>5015</v>
      </c>
      <c r="E4747">
        <v>48000</v>
      </c>
      <c r="F4747">
        <v>6</v>
      </c>
      <c r="G4747">
        <f t="shared" si="222"/>
        <v>288000</v>
      </c>
      <c r="H4747" t="s">
        <v>7</v>
      </c>
      <c r="I4747">
        <f t="shared" si="223"/>
        <v>57600</v>
      </c>
      <c r="J4747">
        <f t="shared" si="224"/>
        <v>345600</v>
      </c>
    </row>
    <row r="4748" spans="1:10" x14ac:dyDescent="0.45">
      <c r="A4748" t="s">
        <v>2632</v>
      </c>
      <c r="B4748" s="1">
        <v>46004</v>
      </c>
      <c r="C4748" t="s">
        <v>9</v>
      </c>
      <c r="D4748" t="s">
        <v>25</v>
      </c>
      <c r="E4748">
        <v>5200</v>
      </c>
      <c r="F4748">
        <v>6</v>
      </c>
      <c r="G4748">
        <f t="shared" si="222"/>
        <v>31200</v>
      </c>
      <c r="H4748" t="s">
        <v>7</v>
      </c>
      <c r="I4748">
        <f t="shared" si="223"/>
        <v>6240</v>
      </c>
      <c r="J4748">
        <f t="shared" si="224"/>
        <v>37440</v>
      </c>
    </row>
    <row r="4749" spans="1:10" x14ac:dyDescent="0.45">
      <c r="A4749" t="s">
        <v>2633</v>
      </c>
      <c r="B4749" s="1">
        <v>46004</v>
      </c>
      <c r="C4749" t="s">
        <v>4007</v>
      </c>
      <c r="D4749" t="s">
        <v>28</v>
      </c>
      <c r="E4749">
        <v>500</v>
      </c>
      <c r="F4749">
        <v>10</v>
      </c>
      <c r="G4749">
        <f t="shared" si="222"/>
        <v>5000</v>
      </c>
      <c r="H4749" t="s">
        <v>7</v>
      </c>
      <c r="I4749">
        <f t="shared" si="223"/>
        <v>600</v>
      </c>
      <c r="J4749">
        <f t="shared" si="224"/>
        <v>6000</v>
      </c>
    </row>
    <row r="4750" spans="1:10" x14ac:dyDescent="0.45">
      <c r="A4750" t="s">
        <v>2634</v>
      </c>
      <c r="B4750" s="1">
        <v>46004</v>
      </c>
      <c r="C4750" t="s">
        <v>33</v>
      </c>
      <c r="D4750" t="s">
        <v>14</v>
      </c>
      <c r="E4750">
        <v>800</v>
      </c>
      <c r="F4750">
        <v>3</v>
      </c>
      <c r="G4750">
        <f t="shared" si="222"/>
        <v>2400</v>
      </c>
      <c r="H4750" t="s">
        <v>17</v>
      </c>
      <c r="I4750">
        <f t="shared" si="223"/>
        <v>960</v>
      </c>
      <c r="J4750">
        <f t="shared" si="224"/>
        <v>2880</v>
      </c>
    </row>
    <row r="4751" spans="1:10" x14ac:dyDescent="0.45">
      <c r="A4751" t="s">
        <v>2966</v>
      </c>
      <c r="B4751" s="1">
        <v>46004</v>
      </c>
      <c r="C4751" t="s">
        <v>4007</v>
      </c>
      <c r="D4751" t="s">
        <v>2773</v>
      </c>
      <c r="E4751">
        <v>3300</v>
      </c>
      <c r="F4751">
        <v>10</v>
      </c>
      <c r="G4751">
        <f t="shared" si="222"/>
        <v>33000</v>
      </c>
      <c r="H4751" t="s">
        <v>7</v>
      </c>
      <c r="I4751">
        <f t="shared" si="223"/>
        <v>3960</v>
      </c>
      <c r="J4751">
        <f t="shared" si="224"/>
        <v>39600</v>
      </c>
    </row>
    <row r="4752" spans="1:10" x14ac:dyDescent="0.45">
      <c r="A4752" t="s">
        <v>3427</v>
      </c>
      <c r="B4752" s="1">
        <v>46004</v>
      </c>
      <c r="C4752" t="s">
        <v>2772</v>
      </c>
      <c r="D4752" t="s">
        <v>2775</v>
      </c>
      <c r="E4752">
        <v>9100</v>
      </c>
      <c r="F4752">
        <v>4</v>
      </c>
      <c r="G4752">
        <f t="shared" si="222"/>
        <v>36400</v>
      </c>
      <c r="H4752" t="s">
        <v>7</v>
      </c>
      <c r="I4752">
        <f t="shared" si="223"/>
        <v>10920</v>
      </c>
      <c r="J4752">
        <f t="shared" si="224"/>
        <v>43680</v>
      </c>
    </row>
    <row r="4753" spans="1:10" x14ac:dyDescent="0.45">
      <c r="A4753" t="s">
        <v>3445</v>
      </c>
      <c r="B4753" s="1">
        <v>46004</v>
      </c>
      <c r="C4753" t="s">
        <v>33</v>
      </c>
      <c r="D4753" t="s">
        <v>34</v>
      </c>
      <c r="E4753">
        <v>1700</v>
      </c>
      <c r="F4753">
        <v>5</v>
      </c>
      <c r="G4753">
        <f t="shared" si="222"/>
        <v>8500</v>
      </c>
      <c r="H4753" t="s">
        <v>17</v>
      </c>
      <c r="I4753">
        <f t="shared" si="223"/>
        <v>2040</v>
      </c>
      <c r="J4753">
        <f t="shared" si="224"/>
        <v>10200</v>
      </c>
    </row>
    <row r="4754" spans="1:10" x14ac:dyDescent="0.45">
      <c r="A4754" t="s">
        <v>3513</v>
      </c>
      <c r="B4754" s="1">
        <v>46004</v>
      </c>
      <c r="C4754" t="s">
        <v>4007</v>
      </c>
      <c r="D4754" t="s">
        <v>2773</v>
      </c>
      <c r="E4754">
        <v>3300</v>
      </c>
      <c r="F4754">
        <v>1</v>
      </c>
      <c r="G4754">
        <f t="shared" si="222"/>
        <v>3300</v>
      </c>
      <c r="H4754" t="s">
        <v>17</v>
      </c>
      <c r="I4754">
        <f t="shared" si="223"/>
        <v>3960</v>
      </c>
      <c r="J4754">
        <f t="shared" si="224"/>
        <v>3960</v>
      </c>
    </row>
    <row r="4755" spans="1:10" x14ac:dyDescent="0.45">
      <c r="A4755" t="s">
        <v>2635</v>
      </c>
      <c r="B4755" s="1">
        <v>46005</v>
      </c>
      <c r="C4755" t="s">
        <v>9</v>
      </c>
      <c r="D4755" t="s">
        <v>10</v>
      </c>
      <c r="E4755">
        <v>400</v>
      </c>
      <c r="F4755">
        <v>2</v>
      </c>
      <c r="G4755">
        <f t="shared" si="222"/>
        <v>800</v>
      </c>
      <c r="H4755" t="s">
        <v>17</v>
      </c>
      <c r="I4755">
        <f t="shared" si="223"/>
        <v>480</v>
      </c>
      <c r="J4755">
        <f t="shared" si="224"/>
        <v>960</v>
      </c>
    </row>
    <row r="4756" spans="1:10" x14ac:dyDescent="0.45">
      <c r="A4756" t="s">
        <v>2636</v>
      </c>
      <c r="B4756" s="1">
        <v>46005</v>
      </c>
      <c r="C4756" t="s">
        <v>4007</v>
      </c>
      <c r="D4756" t="s">
        <v>5015</v>
      </c>
      <c r="E4756">
        <v>48000</v>
      </c>
      <c r="F4756">
        <v>9</v>
      </c>
      <c r="G4756">
        <f t="shared" si="222"/>
        <v>432000</v>
      </c>
      <c r="H4756" t="s">
        <v>7</v>
      </c>
      <c r="I4756">
        <f t="shared" si="223"/>
        <v>57600</v>
      </c>
      <c r="J4756">
        <f t="shared" si="224"/>
        <v>518400</v>
      </c>
    </row>
    <row r="4757" spans="1:10" x14ac:dyDescent="0.45">
      <c r="A4757" t="s">
        <v>2637</v>
      </c>
      <c r="B4757" s="1">
        <v>46005</v>
      </c>
      <c r="C4757" t="s">
        <v>33</v>
      </c>
      <c r="D4757" t="s">
        <v>16</v>
      </c>
      <c r="E4757">
        <v>1200</v>
      </c>
      <c r="F4757">
        <v>9</v>
      </c>
      <c r="G4757">
        <f t="shared" si="222"/>
        <v>10800</v>
      </c>
      <c r="H4757" t="s">
        <v>17</v>
      </c>
      <c r="I4757">
        <f t="shared" si="223"/>
        <v>1440</v>
      </c>
      <c r="J4757">
        <f t="shared" si="224"/>
        <v>12960</v>
      </c>
    </row>
    <row r="4758" spans="1:10" x14ac:dyDescent="0.45">
      <c r="A4758" t="s">
        <v>2638</v>
      </c>
      <c r="B4758" s="1">
        <v>46005</v>
      </c>
      <c r="C4758" t="s">
        <v>12</v>
      </c>
      <c r="D4758" t="s">
        <v>5020</v>
      </c>
      <c r="E4758">
        <v>2880</v>
      </c>
      <c r="F4758">
        <v>9</v>
      </c>
      <c r="G4758">
        <f t="shared" si="222"/>
        <v>25920</v>
      </c>
      <c r="H4758" t="s">
        <v>7</v>
      </c>
      <c r="I4758">
        <f t="shared" si="223"/>
        <v>3456</v>
      </c>
      <c r="J4758">
        <f t="shared" si="224"/>
        <v>31104</v>
      </c>
    </row>
    <row r="4759" spans="1:10" x14ac:dyDescent="0.45">
      <c r="A4759" t="s">
        <v>2639</v>
      </c>
      <c r="B4759" s="1">
        <v>46005</v>
      </c>
      <c r="C4759" t="s">
        <v>9</v>
      </c>
      <c r="D4759" t="s">
        <v>25</v>
      </c>
      <c r="E4759">
        <v>5200</v>
      </c>
      <c r="F4759">
        <v>1</v>
      </c>
      <c r="G4759">
        <f t="shared" si="222"/>
        <v>5200</v>
      </c>
      <c r="H4759" t="s">
        <v>7</v>
      </c>
      <c r="I4759">
        <f t="shared" si="223"/>
        <v>6240</v>
      </c>
      <c r="J4759">
        <f t="shared" si="224"/>
        <v>6240</v>
      </c>
    </row>
    <row r="4760" spans="1:10" x14ac:dyDescent="0.45">
      <c r="A4760" t="s">
        <v>2640</v>
      </c>
      <c r="B4760" s="1">
        <v>46005</v>
      </c>
      <c r="C4760" t="s">
        <v>4007</v>
      </c>
      <c r="D4760" t="s">
        <v>4005</v>
      </c>
      <c r="E4760">
        <v>60000</v>
      </c>
      <c r="F4760">
        <v>10</v>
      </c>
      <c r="G4760">
        <f t="shared" si="222"/>
        <v>600000</v>
      </c>
      <c r="H4760" t="s">
        <v>17</v>
      </c>
      <c r="I4760">
        <f t="shared" si="223"/>
        <v>72000</v>
      </c>
      <c r="J4760">
        <f t="shared" si="224"/>
        <v>720000</v>
      </c>
    </row>
    <row r="4761" spans="1:10" x14ac:dyDescent="0.45">
      <c r="A4761" t="s">
        <v>2807</v>
      </c>
      <c r="B4761" s="1">
        <v>46005</v>
      </c>
      <c r="C4761" t="s">
        <v>2772</v>
      </c>
      <c r="D4761" t="s">
        <v>2771</v>
      </c>
      <c r="E4761">
        <v>120</v>
      </c>
      <c r="F4761">
        <v>5</v>
      </c>
      <c r="G4761">
        <f t="shared" si="222"/>
        <v>600</v>
      </c>
      <c r="H4761" t="s">
        <v>21</v>
      </c>
      <c r="I4761">
        <f t="shared" si="223"/>
        <v>144</v>
      </c>
      <c r="J4761">
        <f t="shared" si="224"/>
        <v>720</v>
      </c>
    </row>
    <row r="4762" spans="1:10" x14ac:dyDescent="0.45">
      <c r="A4762" t="s">
        <v>3175</v>
      </c>
      <c r="B4762" s="1">
        <v>46005</v>
      </c>
      <c r="C4762" t="s">
        <v>4007</v>
      </c>
      <c r="D4762" t="s">
        <v>28</v>
      </c>
      <c r="E4762">
        <v>500</v>
      </c>
      <c r="F4762">
        <v>8</v>
      </c>
      <c r="G4762">
        <f t="shared" si="222"/>
        <v>4000</v>
      </c>
      <c r="H4762" t="s">
        <v>17</v>
      </c>
      <c r="I4762">
        <f t="shared" si="223"/>
        <v>600</v>
      </c>
      <c r="J4762">
        <f t="shared" si="224"/>
        <v>4800</v>
      </c>
    </row>
    <row r="4763" spans="1:10" x14ac:dyDescent="0.45">
      <c r="A4763" t="s">
        <v>3554</v>
      </c>
      <c r="B4763" s="1">
        <v>46005</v>
      </c>
      <c r="C4763" t="s">
        <v>2772</v>
      </c>
      <c r="D4763" t="s">
        <v>2775</v>
      </c>
      <c r="E4763">
        <v>9100</v>
      </c>
      <c r="F4763">
        <v>10</v>
      </c>
      <c r="G4763">
        <f t="shared" si="222"/>
        <v>91000</v>
      </c>
      <c r="H4763" t="s">
        <v>17</v>
      </c>
      <c r="I4763">
        <f t="shared" si="223"/>
        <v>10920</v>
      </c>
      <c r="J4763">
        <f t="shared" si="224"/>
        <v>109200</v>
      </c>
    </row>
    <row r="4764" spans="1:10" x14ac:dyDescent="0.45">
      <c r="A4764" t="s">
        <v>2641</v>
      </c>
      <c r="B4764" s="1">
        <v>46006</v>
      </c>
      <c r="C4764" t="s">
        <v>4007</v>
      </c>
      <c r="D4764" t="s">
        <v>39</v>
      </c>
      <c r="E4764">
        <v>6000</v>
      </c>
      <c r="F4764">
        <v>7</v>
      </c>
      <c r="G4764">
        <f t="shared" si="222"/>
        <v>42000</v>
      </c>
      <c r="H4764" t="s">
        <v>17</v>
      </c>
      <c r="I4764">
        <f t="shared" si="223"/>
        <v>7200</v>
      </c>
      <c r="J4764">
        <f t="shared" si="224"/>
        <v>50400</v>
      </c>
    </row>
    <row r="4765" spans="1:10" x14ac:dyDescent="0.45">
      <c r="A4765" t="s">
        <v>2642</v>
      </c>
      <c r="B4765" s="1">
        <v>46006</v>
      </c>
      <c r="C4765" t="s">
        <v>33</v>
      </c>
      <c r="D4765" t="s">
        <v>42</v>
      </c>
      <c r="E4765">
        <v>6900</v>
      </c>
      <c r="F4765">
        <v>7</v>
      </c>
      <c r="G4765">
        <f t="shared" si="222"/>
        <v>48300</v>
      </c>
      <c r="H4765" t="s">
        <v>17</v>
      </c>
      <c r="I4765">
        <f t="shared" si="223"/>
        <v>8280</v>
      </c>
      <c r="J4765">
        <f t="shared" si="224"/>
        <v>57960</v>
      </c>
    </row>
    <row r="4766" spans="1:10" x14ac:dyDescent="0.45">
      <c r="A4766" t="s">
        <v>2643</v>
      </c>
      <c r="B4766" s="1">
        <v>46006</v>
      </c>
      <c r="C4766" t="s">
        <v>9</v>
      </c>
      <c r="D4766" t="s">
        <v>25</v>
      </c>
      <c r="E4766">
        <v>5200</v>
      </c>
      <c r="F4766">
        <v>6</v>
      </c>
      <c r="G4766">
        <f t="shared" si="222"/>
        <v>31200</v>
      </c>
      <c r="H4766" t="s">
        <v>7</v>
      </c>
      <c r="I4766">
        <f t="shared" si="223"/>
        <v>6240</v>
      </c>
      <c r="J4766">
        <f t="shared" si="224"/>
        <v>37440</v>
      </c>
    </row>
    <row r="4767" spans="1:10" x14ac:dyDescent="0.45">
      <c r="A4767" t="s">
        <v>2644</v>
      </c>
      <c r="B4767" s="1">
        <v>46006</v>
      </c>
      <c r="C4767" t="s">
        <v>9</v>
      </c>
      <c r="D4767" t="s">
        <v>19</v>
      </c>
      <c r="E4767">
        <v>3000</v>
      </c>
      <c r="F4767">
        <v>10</v>
      </c>
      <c r="G4767">
        <f t="shared" si="222"/>
        <v>30000</v>
      </c>
      <c r="H4767" t="s">
        <v>7</v>
      </c>
      <c r="I4767">
        <f t="shared" si="223"/>
        <v>3600</v>
      </c>
      <c r="J4767">
        <f t="shared" si="224"/>
        <v>36000</v>
      </c>
    </row>
    <row r="4768" spans="1:10" x14ac:dyDescent="0.45">
      <c r="A4768" t="s">
        <v>2645</v>
      </c>
      <c r="B4768" s="1">
        <v>46006</v>
      </c>
      <c r="C4768" t="s">
        <v>33</v>
      </c>
      <c r="D4768" t="s">
        <v>16</v>
      </c>
      <c r="E4768">
        <v>1200</v>
      </c>
      <c r="F4768">
        <v>5</v>
      </c>
      <c r="G4768">
        <f t="shared" si="222"/>
        <v>6000</v>
      </c>
      <c r="H4768" t="s">
        <v>7</v>
      </c>
      <c r="I4768">
        <f t="shared" si="223"/>
        <v>1440</v>
      </c>
      <c r="J4768">
        <f t="shared" si="224"/>
        <v>7200</v>
      </c>
    </row>
    <row r="4769" spans="1:10" x14ac:dyDescent="0.45">
      <c r="A4769" t="s">
        <v>2646</v>
      </c>
      <c r="B4769" s="1">
        <v>46006</v>
      </c>
      <c r="C4769" t="s">
        <v>4007</v>
      </c>
      <c r="D4769" t="s">
        <v>5015</v>
      </c>
      <c r="E4769">
        <v>48000</v>
      </c>
      <c r="F4769">
        <v>6</v>
      </c>
      <c r="G4769">
        <f t="shared" si="222"/>
        <v>288000</v>
      </c>
      <c r="H4769" t="s">
        <v>7</v>
      </c>
      <c r="I4769">
        <f t="shared" si="223"/>
        <v>57600</v>
      </c>
      <c r="J4769">
        <f t="shared" si="224"/>
        <v>345600</v>
      </c>
    </row>
    <row r="4770" spans="1:10" x14ac:dyDescent="0.45">
      <c r="A4770" t="s">
        <v>2647</v>
      </c>
      <c r="B4770" s="1">
        <v>46006</v>
      </c>
      <c r="C4770" t="s">
        <v>9</v>
      </c>
      <c r="D4770" t="s">
        <v>19</v>
      </c>
      <c r="E4770">
        <v>3000</v>
      </c>
      <c r="F4770">
        <v>10</v>
      </c>
      <c r="G4770">
        <f t="shared" si="222"/>
        <v>30000</v>
      </c>
      <c r="H4770" t="s">
        <v>7</v>
      </c>
      <c r="I4770">
        <f t="shared" si="223"/>
        <v>3600</v>
      </c>
      <c r="J4770">
        <f t="shared" si="224"/>
        <v>36000</v>
      </c>
    </row>
    <row r="4771" spans="1:10" x14ac:dyDescent="0.45">
      <c r="A4771" t="s">
        <v>2648</v>
      </c>
      <c r="B4771" s="1">
        <v>46006</v>
      </c>
      <c r="C4771" t="s">
        <v>9</v>
      </c>
      <c r="D4771" t="s">
        <v>25</v>
      </c>
      <c r="E4771">
        <v>5200</v>
      </c>
      <c r="F4771">
        <v>5</v>
      </c>
      <c r="G4771">
        <f t="shared" si="222"/>
        <v>26000</v>
      </c>
      <c r="H4771" t="s">
        <v>21</v>
      </c>
      <c r="I4771">
        <f t="shared" si="223"/>
        <v>6240</v>
      </c>
      <c r="J4771">
        <f t="shared" si="224"/>
        <v>31200</v>
      </c>
    </row>
    <row r="4772" spans="1:10" x14ac:dyDescent="0.45">
      <c r="A4772" t="s">
        <v>2649</v>
      </c>
      <c r="B4772" s="1">
        <v>46006</v>
      </c>
      <c r="C4772" t="s">
        <v>4007</v>
      </c>
      <c r="D4772" t="s">
        <v>28</v>
      </c>
      <c r="E4772">
        <v>500</v>
      </c>
      <c r="F4772">
        <v>10</v>
      </c>
      <c r="G4772">
        <f t="shared" si="222"/>
        <v>5000</v>
      </c>
      <c r="H4772" t="s">
        <v>21</v>
      </c>
      <c r="I4772">
        <f t="shared" si="223"/>
        <v>600</v>
      </c>
      <c r="J4772">
        <f t="shared" si="224"/>
        <v>6000</v>
      </c>
    </row>
    <row r="4773" spans="1:10" x14ac:dyDescent="0.45">
      <c r="A4773" t="s">
        <v>3336</v>
      </c>
      <c r="B4773" s="1">
        <v>46006</v>
      </c>
      <c r="C4773" t="s">
        <v>4007</v>
      </c>
      <c r="D4773" t="s">
        <v>2776</v>
      </c>
      <c r="E4773">
        <v>3600</v>
      </c>
      <c r="F4773">
        <v>7</v>
      </c>
      <c r="G4773">
        <f t="shared" si="222"/>
        <v>25200</v>
      </c>
      <c r="H4773" t="s">
        <v>17</v>
      </c>
      <c r="I4773">
        <f t="shared" si="223"/>
        <v>4320</v>
      </c>
      <c r="J4773">
        <f t="shared" si="224"/>
        <v>30240</v>
      </c>
    </row>
    <row r="4774" spans="1:10" x14ac:dyDescent="0.45">
      <c r="A4774" t="s">
        <v>2650</v>
      </c>
      <c r="B4774" s="1">
        <v>46007</v>
      </c>
      <c r="C4774" t="s">
        <v>12</v>
      </c>
      <c r="D4774" t="s">
        <v>5023</v>
      </c>
      <c r="E4774">
        <v>1750</v>
      </c>
      <c r="F4774">
        <v>8</v>
      </c>
      <c r="G4774">
        <f t="shared" si="222"/>
        <v>14000</v>
      </c>
      <c r="H4774" t="s">
        <v>7</v>
      </c>
      <c r="I4774">
        <f t="shared" si="223"/>
        <v>2100</v>
      </c>
      <c r="J4774">
        <f t="shared" si="224"/>
        <v>16800</v>
      </c>
    </row>
    <row r="4775" spans="1:10" x14ac:dyDescent="0.45">
      <c r="A4775" t="s">
        <v>2651</v>
      </c>
      <c r="B4775" s="1">
        <v>46007</v>
      </c>
      <c r="C4775" t="s">
        <v>33</v>
      </c>
      <c r="D4775" t="s">
        <v>14</v>
      </c>
      <c r="E4775">
        <v>800</v>
      </c>
      <c r="F4775">
        <v>1</v>
      </c>
      <c r="G4775">
        <f t="shared" si="222"/>
        <v>800</v>
      </c>
      <c r="H4775" t="s">
        <v>17</v>
      </c>
      <c r="I4775">
        <f t="shared" si="223"/>
        <v>960</v>
      </c>
      <c r="J4775">
        <f t="shared" si="224"/>
        <v>960</v>
      </c>
    </row>
    <row r="4776" spans="1:10" x14ac:dyDescent="0.45">
      <c r="A4776" t="s">
        <v>2652</v>
      </c>
      <c r="B4776" s="1">
        <v>46007</v>
      </c>
      <c r="C4776" t="s">
        <v>12</v>
      </c>
      <c r="D4776" t="s">
        <v>5021</v>
      </c>
      <c r="E4776">
        <v>2880</v>
      </c>
      <c r="F4776">
        <v>9</v>
      </c>
      <c r="G4776">
        <f t="shared" si="222"/>
        <v>25920</v>
      </c>
      <c r="H4776" t="s">
        <v>21</v>
      </c>
      <c r="I4776">
        <f t="shared" si="223"/>
        <v>3456</v>
      </c>
      <c r="J4776">
        <f t="shared" si="224"/>
        <v>31104</v>
      </c>
    </row>
    <row r="4777" spans="1:10" x14ac:dyDescent="0.45">
      <c r="A4777" t="s">
        <v>2653</v>
      </c>
      <c r="B4777" s="1">
        <v>46007</v>
      </c>
      <c r="C4777" t="s">
        <v>33</v>
      </c>
      <c r="D4777" t="s">
        <v>42</v>
      </c>
      <c r="E4777">
        <v>6900</v>
      </c>
      <c r="F4777">
        <v>9</v>
      </c>
      <c r="G4777">
        <f t="shared" si="222"/>
        <v>62100</v>
      </c>
      <c r="H4777" t="s">
        <v>21</v>
      </c>
      <c r="I4777">
        <f t="shared" si="223"/>
        <v>8280</v>
      </c>
      <c r="J4777">
        <f t="shared" si="224"/>
        <v>74520</v>
      </c>
    </row>
    <row r="4778" spans="1:10" x14ac:dyDescent="0.45">
      <c r="A4778" t="s">
        <v>2654</v>
      </c>
      <c r="B4778" s="1">
        <v>46007</v>
      </c>
      <c r="C4778" t="s">
        <v>4007</v>
      </c>
      <c r="D4778" t="s">
        <v>5015</v>
      </c>
      <c r="E4778">
        <v>48000</v>
      </c>
      <c r="F4778">
        <v>6</v>
      </c>
      <c r="G4778">
        <f t="shared" si="222"/>
        <v>288000</v>
      </c>
      <c r="H4778" t="s">
        <v>17</v>
      </c>
      <c r="I4778">
        <f t="shared" si="223"/>
        <v>57600</v>
      </c>
      <c r="J4778">
        <f t="shared" si="224"/>
        <v>345600</v>
      </c>
    </row>
    <row r="4779" spans="1:10" x14ac:dyDescent="0.45">
      <c r="A4779" t="s">
        <v>2655</v>
      </c>
      <c r="B4779" s="1">
        <v>46007</v>
      </c>
      <c r="C4779" t="s">
        <v>9</v>
      </c>
      <c r="D4779" t="s">
        <v>19</v>
      </c>
      <c r="E4779">
        <v>3000</v>
      </c>
      <c r="F4779">
        <v>1</v>
      </c>
      <c r="G4779">
        <f t="shared" si="222"/>
        <v>3000</v>
      </c>
      <c r="H4779" t="s">
        <v>17</v>
      </c>
      <c r="I4779">
        <f t="shared" si="223"/>
        <v>3600</v>
      </c>
      <c r="J4779">
        <f t="shared" si="224"/>
        <v>3600</v>
      </c>
    </row>
    <row r="4780" spans="1:10" x14ac:dyDescent="0.45">
      <c r="A4780" t="s">
        <v>3037</v>
      </c>
      <c r="B4780" s="1">
        <v>46007</v>
      </c>
      <c r="C4780" t="s">
        <v>4007</v>
      </c>
      <c r="D4780" t="s">
        <v>2774</v>
      </c>
      <c r="E4780">
        <v>1900</v>
      </c>
      <c r="F4780">
        <v>2</v>
      </c>
      <c r="G4780">
        <f t="shared" si="222"/>
        <v>3800</v>
      </c>
      <c r="H4780" t="s">
        <v>7</v>
      </c>
      <c r="I4780">
        <f t="shared" si="223"/>
        <v>2280</v>
      </c>
      <c r="J4780">
        <f t="shared" si="224"/>
        <v>4560</v>
      </c>
    </row>
    <row r="4781" spans="1:10" x14ac:dyDescent="0.45">
      <c r="A4781" t="s">
        <v>3340</v>
      </c>
      <c r="B4781" s="1">
        <v>46007</v>
      </c>
      <c r="C4781" t="s">
        <v>4007</v>
      </c>
      <c r="D4781" t="s">
        <v>2776</v>
      </c>
      <c r="E4781">
        <v>3600</v>
      </c>
      <c r="F4781">
        <v>9</v>
      </c>
      <c r="G4781">
        <f t="shared" si="222"/>
        <v>32400</v>
      </c>
      <c r="H4781" t="s">
        <v>7</v>
      </c>
      <c r="I4781">
        <f t="shared" si="223"/>
        <v>4320</v>
      </c>
      <c r="J4781">
        <f t="shared" si="224"/>
        <v>38880</v>
      </c>
    </row>
    <row r="4782" spans="1:10" x14ac:dyDescent="0.45">
      <c r="A4782" t="s">
        <v>3748</v>
      </c>
      <c r="B4782" s="1">
        <v>46007</v>
      </c>
      <c r="C4782" t="s">
        <v>4007</v>
      </c>
      <c r="D4782" t="s">
        <v>5015</v>
      </c>
      <c r="E4782">
        <v>48000</v>
      </c>
      <c r="F4782">
        <v>4</v>
      </c>
      <c r="G4782">
        <f t="shared" si="222"/>
        <v>192000</v>
      </c>
      <c r="H4782" t="s">
        <v>7</v>
      </c>
      <c r="I4782">
        <f t="shared" si="223"/>
        <v>57600</v>
      </c>
      <c r="J4782">
        <f t="shared" si="224"/>
        <v>230400</v>
      </c>
    </row>
    <row r="4783" spans="1:10" x14ac:dyDescent="0.45">
      <c r="A4783" t="s">
        <v>3761</v>
      </c>
      <c r="B4783" s="1">
        <v>46007</v>
      </c>
      <c r="C4783" t="s">
        <v>4007</v>
      </c>
      <c r="D4783" t="s">
        <v>2774</v>
      </c>
      <c r="E4783">
        <v>1900</v>
      </c>
      <c r="F4783">
        <v>2</v>
      </c>
      <c r="G4783">
        <f t="shared" si="222"/>
        <v>3800</v>
      </c>
      <c r="H4783" t="s">
        <v>21</v>
      </c>
      <c r="I4783">
        <f t="shared" si="223"/>
        <v>2280</v>
      </c>
      <c r="J4783">
        <f t="shared" si="224"/>
        <v>4560</v>
      </c>
    </row>
    <row r="4784" spans="1:10" x14ac:dyDescent="0.45">
      <c r="A4784" t="s">
        <v>3935</v>
      </c>
      <c r="B4784" s="1">
        <v>46007</v>
      </c>
      <c r="C4784" t="s">
        <v>4007</v>
      </c>
      <c r="D4784" t="s">
        <v>28</v>
      </c>
      <c r="E4784">
        <v>500</v>
      </c>
      <c r="F4784">
        <v>3</v>
      </c>
      <c r="G4784">
        <f t="shared" si="222"/>
        <v>1500</v>
      </c>
      <c r="H4784" t="s">
        <v>7</v>
      </c>
      <c r="I4784">
        <f t="shared" si="223"/>
        <v>600</v>
      </c>
      <c r="J4784">
        <f t="shared" si="224"/>
        <v>1800</v>
      </c>
    </row>
    <row r="4785" spans="1:10" x14ac:dyDescent="0.45">
      <c r="A4785" t="s">
        <v>2656</v>
      </c>
      <c r="B4785" s="1">
        <v>46008</v>
      </c>
      <c r="C4785" t="s">
        <v>33</v>
      </c>
      <c r="D4785" t="s">
        <v>42</v>
      </c>
      <c r="E4785">
        <v>6900</v>
      </c>
      <c r="F4785">
        <v>4</v>
      </c>
      <c r="G4785">
        <f t="shared" si="222"/>
        <v>27600</v>
      </c>
      <c r="H4785" t="s">
        <v>17</v>
      </c>
      <c r="I4785">
        <f t="shared" si="223"/>
        <v>8280</v>
      </c>
      <c r="J4785">
        <f t="shared" si="224"/>
        <v>33120</v>
      </c>
    </row>
    <row r="4786" spans="1:10" x14ac:dyDescent="0.45">
      <c r="A4786" t="s">
        <v>2657</v>
      </c>
      <c r="B4786" s="1">
        <v>46008</v>
      </c>
      <c r="C4786" t="s">
        <v>4007</v>
      </c>
      <c r="D4786" t="s">
        <v>39</v>
      </c>
      <c r="E4786">
        <v>6000</v>
      </c>
      <c r="F4786">
        <v>9</v>
      </c>
      <c r="G4786">
        <f t="shared" si="222"/>
        <v>54000</v>
      </c>
      <c r="H4786" t="s">
        <v>21</v>
      </c>
      <c r="I4786">
        <f t="shared" si="223"/>
        <v>7200</v>
      </c>
      <c r="J4786">
        <f t="shared" si="224"/>
        <v>64800</v>
      </c>
    </row>
    <row r="4787" spans="1:10" x14ac:dyDescent="0.45">
      <c r="A4787" t="s">
        <v>2658</v>
      </c>
      <c r="B4787" s="1">
        <v>46008</v>
      </c>
      <c r="C4787" t="s">
        <v>12</v>
      </c>
      <c r="D4787" t="s">
        <v>5023</v>
      </c>
      <c r="E4787">
        <v>1750</v>
      </c>
      <c r="F4787">
        <v>10</v>
      </c>
      <c r="G4787">
        <f t="shared" si="222"/>
        <v>17500</v>
      </c>
      <c r="H4787" t="s">
        <v>21</v>
      </c>
      <c r="I4787">
        <f t="shared" si="223"/>
        <v>2100</v>
      </c>
      <c r="J4787">
        <f t="shared" si="224"/>
        <v>21000</v>
      </c>
    </row>
    <row r="4788" spans="1:10" x14ac:dyDescent="0.45">
      <c r="A4788" t="s">
        <v>2659</v>
      </c>
      <c r="B4788" s="1">
        <v>46008</v>
      </c>
      <c r="C4788" t="s">
        <v>9</v>
      </c>
      <c r="D4788" t="s">
        <v>10</v>
      </c>
      <c r="E4788">
        <v>400</v>
      </c>
      <c r="F4788">
        <v>1</v>
      </c>
      <c r="G4788">
        <f t="shared" si="222"/>
        <v>400</v>
      </c>
      <c r="H4788" t="s">
        <v>17</v>
      </c>
      <c r="I4788">
        <f t="shared" si="223"/>
        <v>480</v>
      </c>
      <c r="J4788">
        <f t="shared" si="224"/>
        <v>480</v>
      </c>
    </row>
    <row r="4789" spans="1:10" x14ac:dyDescent="0.45">
      <c r="A4789" t="s">
        <v>2660</v>
      </c>
      <c r="B4789" s="1">
        <v>46008</v>
      </c>
      <c r="C4789" t="s">
        <v>12</v>
      </c>
      <c r="D4789" t="s">
        <v>5020</v>
      </c>
      <c r="E4789">
        <v>2880</v>
      </c>
      <c r="F4789">
        <v>5</v>
      </c>
      <c r="G4789">
        <f t="shared" si="222"/>
        <v>14400</v>
      </c>
      <c r="H4789" t="s">
        <v>7</v>
      </c>
      <c r="I4789">
        <f t="shared" si="223"/>
        <v>3456</v>
      </c>
      <c r="J4789">
        <f t="shared" si="224"/>
        <v>17280</v>
      </c>
    </row>
    <row r="4790" spans="1:10" x14ac:dyDescent="0.45">
      <c r="A4790" t="s">
        <v>2661</v>
      </c>
      <c r="B4790" s="1">
        <v>46008</v>
      </c>
      <c r="C4790" t="s">
        <v>33</v>
      </c>
      <c r="D4790" t="s">
        <v>34</v>
      </c>
      <c r="E4790">
        <v>1700</v>
      </c>
      <c r="F4790">
        <v>2</v>
      </c>
      <c r="G4790">
        <f t="shared" si="222"/>
        <v>3400</v>
      </c>
      <c r="H4790" t="s">
        <v>21</v>
      </c>
      <c r="I4790">
        <f t="shared" si="223"/>
        <v>2040</v>
      </c>
      <c r="J4790">
        <f t="shared" si="224"/>
        <v>4080</v>
      </c>
    </row>
    <row r="4791" spans="1:10" x14ac:dyDescent="0.45">
      <c r="A4791" t="s">
        <v>2662</v>
      </c>
      <c r="B4791" s="1">
        <v>46008</v>
      </c>
      <c r="C4791" t="s">
        <v>4007</v>
      </c>
      <c r="D4791" t="s">
        <v>5015</v>
      </c>
      <c r="E4791">
        <v>48000</v>
      </c>
      <c r="F4791">
        <v>8</v>
      </c>
      <c r="G4791">
        <f t="shared" si="222"/>
        <v>384000</v>
      </c>
      <c r="H4791" t="s">
        <v>21</v>
      </c>
      <c r="I4791">
        <f t="shared" si="223"/>
        <v>57600</v>
      </c>
      <c r="J4791">
        <f t="shared" si="224"/>
        <v>460800</v>
      </c>
    </row>
    <row r="4792" spans="1:10" x14ac:dyDescent="0.45">
      <c r="A4792" t="s">
        <v>2663</v>
      </c>
      <c r="B4792" s="1">
        <v>46008</v>
      </c>
      <c r="C4792" t="s">
        <v>33</v>
      </c>
      <c r="D4792" t="s">
        <v>34</v>
      </c>
      <c r="E4792">
        <v>1700</v>
      </c>
      <c r="F4792">
        <v>5</v>
      </c>
      <c r="G4792">
        <f t="shared" si="222"/>
        <v>8500</v>
      </c>
      <c r="H4792" t="s">
        <v>7</v>
      </c>
      <c r="I4792">
        <f t="shared" si="223"/>
        <v>2040</v>
      </c>
      <c r="J4792">
        <f t="shared" si="224"/>
        <v>10200</v>
      </c>
    </row>
    <row r="4793" spans="1:10" x14ac:dyDescent="0.45">
      <c r="A4793" t="s">
        <v>3702</v>
      </c>
      <c r="B4793" s="1">
        <v>46008</v>
      </c>
      <c r="C4793" t="s">
        <v>2772</v>
      </c>
      <c r="D4793" t="s">
        <v>2771</v>
      </c>
      <c r="E4793">
        <v>120</v>
      </c>
      <c r="F4793">
        <v>1</v>
      </c>
      <c r="G4793">
        <f t="shared" si="222"/>
        <v>120</v>
      </c>
      <c r="H4793" t="s">
        <v>17</v>
      </c>
      <c r="I4793">
        <f t="shared" si="223"/>
        <v>144</v>
      </c>
      <c r="J4793">
        <f t="shared" si="224"/>
        <v>144</v>
      </c>
    </row>
    <row r="4794" spans="1:10" x14ac:dyDescent="0.45">
      <c r="A4794" t="s">
        <v>3955</v>
      </c>
      <c r="B4794" s="1">
        <v>46008</v>
      </c>
      <c r="C4794" t="s">
        <v>33</v>
      </c>
      <c r="D4794" t="s">
        <v>14</v>
      </c>
      <c r="E4794">
        <v>800</v>
      </c>
      <c r="F4794">
        <v>6</v>
      </c>
      <c r="G4794">
        <f t="shared" si="222"/>
        <v>4800</v>
      </c>
      <c r="H4794" t="s">
        <v>21</v>
      </c>
      <c r="I4794">
        <f t="shared" si="223"/>
        <v>960</v>
      </c>
      <c r="J4794">
        <f t="shared" si="224"/>
        <v>5760</v>
      </c>
    </row>
    <row r="4795" spans="1:10" x14ac:dyDescent="0.45">
      <c r="A4795" t="s">
        <v>2664</v>
      </c>
      <c r="B4795" s="1">
        <v>46009</v>
      </c>
      <c r="C4795" t="s">
        <v>33</v>
      </c>
      <c r="D4795" t="s">
        <v>14</v>
      </c>
      <c r="E4795">
        <v>800</v>
      </c>
      <c r="F4795">
        <v>9</v>
      </c>
      <c r="G4795">
        <f t="shared" si="222"/>
        <v>7200</v>
      </c>
      <c r="H4795" t="s">
        <v>21</v>
      </c>
      <c r="I4795">
        <f t="shared" si="223"/>
        <v>960</v>
      </c>
      <c r="J4795">
        <f t="shared" si="224"/>
        <v>8640</v>
      </c>
    </row>
    <row r="4796" spans="1:10" x14ac:dyDescent="0.45">
      <c r="A4796" t="s">
        <v>2665</v>
      </c>
      <c r="B4796" s="1">
        <v>46009</v>
      </c>
      <c r="C4796" t="s">
        <v>33</v>
      </c>
      <c r="D4796" t="s">
        <v>34</v>
      </c>
      <c r="E4796">
        <v>1700</v>
      </c>
      <c r="F4796">
        <v>7</v>
      </c>
      <c r="G4796">
        <f t="shared" si="222"/>
        <v>11900</v>
      </c>
      <c r="H4796" t="s">
        <v>7</v>
      </c>
      <c r="I4796">
        <f t="shared" si="223"/>
        <v>2040</v>
      </c>
      <c r="J4796">
        <f t="shared" si="224"/>
        <v>14280</v>
      </c>
    </row>
    <row r="4797" spans="1:10" x14ac:dyDescent="0.45">
      <c r="A4797" t="s">
        <v>2666</v>
      </c>
      <c r="B4797" s="1">
        <v>46009</v>
      </c>
      <c r="C4797" t="s">
        <v>12</v>
      </c>
      <c r="D4797" t="s">
        <v>5021</v>
      </c>
      <c r="E4797">
        <v>2880</v>
      </c>
      <c r="F4797">
        <v>5</v>
      </c>
      <c r="G4797">
        <f t="shared" si="222"/>
        <v>14400</v>
      </c>
      <c r="H4797" t="s">
        <v>17</v>
      </c>
      <c r="I4797">
        <f t="shared" si="223"/>
        <v>3456</v>
      </c>
      <c r="J4797">
        <f t="shared" si="224"/>
        <v>17280</v>
      </c>
    </row>
    <row r="4798" spans="1:10" x14ac:dyDescent="0.45">
      <c r="A4798" t="s">
        <v>2667</v>
      </c>
      <c r="B4798" s="1">
        <v>46009</v>
      </c>
      <c r="C4798" t="s">
        <v>33</v>
      </c>
      <c r="D4798" t="s">
        <v>34</v>
      </c>
      <c r="E4798">
        <v>1700</v>
      </c>
      <c r="F4798">
        <v>3</v>
      </c>
      <c r="G4798">
        <f t="shared" si="222"/>
        <v>5100</v>
      </c>
      <c r="H4798" t="s">
        <v>21</v>
      </c>
      <c r="I4798">
        <f t="shared" si="223"/>
        <v>2040</v>
      </c>
      <c r="J4798">
        <f t="shared" si="224"/>
        <v>6120</v>
      </c>
    </row>
    <row r="4799" spans="1:10" x14ac:dyDescent="0.45">
      <c r="A4799" t="s">
        <v>2668</v>
      </c>
      <c r="B4799" s="1">
        <v>46009</v>
      </c>
      <c r="C4799" t="s">
        <v>4007</v>
      </c>
      <c r="D4799" t="s">
        <v>5015</v>
      </c>
      <c r="E4799">
        <v>48000</v>
      </c>
      <c r="F4799">
        <v>2</v>
      </c>
      <c r="G4799">
        <f t="shared" si="222"/>
        <v>96000</v>
      </c>
      <c r="H4799" t="s">
        <v>17</v>
      </c>
      <c r="I4799">
        <f t="shared" si="223"/>
        <v>57600</v>
      </c>
      <c r="J4799">
        <f t="shared" si="224"/>
        <v>115200</v>
      </c>
    </row>
    <row r="4800" spans="1:10" x14ac:dyDescent="0.45">
      <c r="A4800" t="s">
        <v>2669</v>
      </c>
      <c r="B4800" s="1">
        <v>46009</v>
      </c>
      <c r="C4800" t="s">
        <v>33</v>
      </c>
      <c r="D4800" t="s">
        <v>34</v>
      </c>
      <c r="E4800">
        <v>1700</v>
      </c>
      <c r="F4800">
        <v>10</v>
      </c>
      <c r="G4800">
        <f t="shared" si="222"/>
        <v>17000</v>
      </c>
      <c r="H4800" t="s">
        <v>21</v>
      </c>
      <c r="I4800">
        <f t="shared" si="223"/>
        <v>2040</v>
      </c>
      <c r="J4800">
        <f t="shared" si="224"/>
        <v>20400</v>
      </c>
    </row>
    <row r="4801" spans="1:10" x14ac:dyDescent="0.45">
      <c r="A4801" t="s">
        <v>2670</v>
      </c>
      <c r="B4801" s="1">
        <v>46009</v>
      </c>
      <c r="C4801" t="s">
        <v>4007</v>
      </c>
      <c r="D4801" t="s">
        <v>39</v>
      </c>
      <c r="E4801">
        <v>6000</v>
      </c>
      <c r="F4801">
        <v>9</v>
      </c>
      <c r="G4801">
        <f t="shared" si="222"/>
        <v>54000</v>
      </c>
      <c r="H4801" t="s">
        <v>21</v>
      </c>
      <c r="I4801">
        <f t="shared" si="223"/>
        <v>7200</v>
      </c>
      <c r="J4801">
        <f t="shared" si="224"/>
        <v>64800</v>
      </c>
    </row>
    <row r="4802" spans="1:10" x14ac:dyDescent="0.45">
      <c r="A4802" t="s">
        <v>3156</v>
      </c>
      <c r="B4802" s="1">
        <v>46009</v>
      </c>
      <c r="C4802" t="s">
        <v>4007</v>
      </c>
      <c r="D4802" t="s">
        <v>2776</v>
      </c>
      <c r="E4802">
        <v>3600</v>
      </c>
      <c r="F4802">
        <v>5</v>
      </c>
      <c r="G4802">
        <f t="shared" ref="G4802:G4865" si="225">E4802*F4802</f>
        <v>18000</v>
      </c>
      <c r="H4802" t="s">
        <v>17</v>
      </c>
      <c r="I4802">
        <f t="shared" ref="I4802:I4865" si="226">E4802*1.2</f>
        <v>4320</v>
      </c>
      <c r="J4802">
        <f t="shared" ref="J4802:J4865" si="227">I4802*F4802</f>
        <v>21600</v>
      </c>
    </row>
    <row r="4803" spans="1:10" x14ac:dyDescent="0.45">
      <c r="A4803" t="s">
        <v>3268</v>
      </c>
      <c r="B4803" s="1">
        <v>46009</v>
      </c>
      <c r="C4803" t="s">
        <v>4007</v>
      </c>
      <c r="D4803" t="s">
        <v>2776</v>
      </c>
      <c r="E4803">
        <v>3600</v>
      </c>
      <c r="F4803">
        <v>1</v>
      </c>
      <c r="G4803">
        <f t="shared" si="225"/>
        <v>3600</v>
      </c>
      <c r="H4803" t="s">
        <v>21</v>
      </c>
      <c r="I4803">
        <f t="shared" si="226"/>
        <v>4320</v>
      </c>
      <c r="J4803">
        <f t="shared" si="227"/>
        <v>4320</v>
      </c>
    </row>
    <row r="4804" spans="1:10" x14ac:dyDescent="0.45">
      <c r="A4804" t="s">
        <v>3492</v>
      </c>
      <c r="B4804" s="1">
        <v>46009</v>
      </c>
      <c r="C4804" t="s">
        <v>4007</v>
      </c>
      <c r="D4804" t="s">
        <v>2770</v>
      </c>
      <c r="E4804">
        <v>600</v>
      </c>
      <c r="F4804">
        <v>2</v>
      </c>
      <c r="G4804">
        <f t="shared" si="225"/>
        <v>1200</v>
      </c>
      <c r="H4804" t="s">
        <v>17</v>
      </c>
      <c r="I4804">
        <f t="shared" si="226"/>
        <v>720</v>
      </c>
      <c r="J4804">
        <f t="shared" si="227"/>
        <v>1440</v>
      </c>
    </row>
    <row r="4805" spans="1:10" x14ac:dyDescent="0.45">
      <c r="A4805" t="s">
        <v>3770</v>
      </c>
      <c r="B4805" s="1">
        <v>46009</v>
      </c>
      <c r="C4805" t="s">
        <v>33</v>
      </c>
      <c r="D4805" t="s">
        <v>34</v>
      </c>
      <c r="E4805">
        <v>1700</v>
      </c>
      <c r="F4805">
        <v>10</v>
      </c>
      <c r="G4805">
        <f t="shared" si="225"/>
        <v>17000</v>
      </c>
      <c r="H4805" t="s">
        <v>7</v>
      </c>
      <c r="I4805">
        <f t="shared" si="226"/>
        <v>2040</v>
      </c>
      <c r="J4805">
        <f t="shared" si="227"/>
        <v>20400</v>
      </c>
    </row>
    <row r="4806" spans="1:10" x14ac:dyDescent="0.45">
      <c r="A4806" t="s">
        <v>2671</v>
      </c>
      <c r="B4806" s="1">
        <v>46010</v>
      </c>
      <c r="C4806" t="s">
        <v>12</v>
      </c>
      <c r="D4806" t="s">
        <v>5023</v>
      </c>
      <c r="E4806">
        <v>1750</v>
      </c>
      <c r="F4806">
        <v>3</v>
      </c>
      <c r="G4806">
        <f t="shared" si="225"/>
        <v>5250</v>
      </c>
      <c r="H4806" t="s">
        <v>21</v>
      </c>
      <c r="I4806">
        <f t="shared" si="226"/>
        <v>2100</v>
      </c>
      <c r="J4806">
        <f t="shared" si="227"/>
        <v>6300</v>
      </c>
    </row>
    <row r="4807" spans="1:10" x14ac:dyDescent="0.45">
      <c r="A4807" t="s">
        <v>2672</v>
      </c>
      <c r="B4807" s="1">
        <v>46010</v>
      </c>
      <c r="C4807" t="s">
        <v>9</v>
      </c>
      <c r="D4807" t="s">
        <v>10</v>
      </c>
      <c r="E4807">
        <v>400</v>
      </c>
      <c r="F4807">
        <v>8</v>
      </c>
      <c r="G4807">
        <f t="shared" si="225"/>
        <v>3200</v>
      </c>
      <c r="H4807" t="s">
        <v>17</v>
      </c>
      <c r="I4807">
        <f t="shared" si="226"/>
        <v>480</v>
      </c>
      <c r="J4807">
        <f t="shared" si="227"/>
        <v>3840</v>
      </c>
    </row>
    <row r="4808" spans="1:10" x14ac:dyDescent="0.45">
      <c r="A4808" t="s">
        <v>2673</v>
      </c>
      <c r="B4808" s="1">
        <v>46010</v>
      </c>
      <c r="C4808" t="s">
        <v>9</v>
      </c>
      <c r="D4808" t="s">
        <v>10</v>
      </c>
      <c r="E4808">
        <v>400</v>
      </c>
      <c r="F4808">
        <v>9</v>
      </c>
      <c r="G4808">
        <f t="shared" si="225"/>
        <v>3600</v>
      </c>
      <c r="H4808" t="s">
        <v>17</v>
      </c>
      <c r="I4808">
        <f t="shared" si="226"/>
        <v>480</v>
      </c>
      <c r="J4808">
        <f t="shared" si="227"/>
        <v>4320</v>
      </c>
    </row>
    <row r="4809" spans="1:10" x14ac:dyDescent="0.45">
      <c r="A4809" t="s">
        <v>2674</v>
      </c>
      <c r="B4809" s="1">
        <v>46010</v>
      </c>
      <c r="C4809" t="s">
        <v>12</v>
      </c>
      <c r="D4809" t="s">
        <v>5023</v>
      </c>
      <c r="E4809">
        <v>1750</v>
      </c>
      <c r="F4809">
        <v>1</v>
      </c>
      <c r="G4809">
        <f t="shared" si="225"/>
        <v>1750</v>
      </c>
      <c r="H4809" t="s">
        <v>17</v>
      </c>
      <c r="I4809">
        <f t="shared" si="226"/>
        <v>2100</v>
      </c>
      <c r="J4809">
        <f t="shared" si="227"/>
        <v>2100</v>
      </c>
    </row>
    <row r="4810" spans="1:10" x14ac:dyDescent="0.45">
      <c r="A4810" t="s">
        <v>2675</v>
      </c>
      <c r="B4810" s="1">
        <v>46010</v>
      </c>
      <c r="C4810" t="s">
        <v>4007</v>
      </c>
      <c r="D4810" t="s">
        <v>5015</v>
      </c>
      <c r="E4810">
        <v>48000</v>
      </c>
      <c r="F4810">
        <v>5</v>
      </c>
      <c r="G4810">
        <f t="shared" si="225"/>
        <v>240000</v>
      </c>
      <c r="H4810" t="s">
        <v>7</v>
      </c>
      <c r="I4810">
        <f t="shared" si="226"/>
        <v>57600</v>
      </c>
      <c r="J4810">
        <f t="shared" si="227"/>
        <v>288000</v>
      </c>
    </row>
    <row r="4811" spans="1:10" x14ac:dyDescent="0.45">
      <c r="A4811" t="s">
        <v>2676</v>
      </c>
      <c r="B4811" s="1">
        <v>46010</v>
      </c>
      <c r="C4811" t="s">
        <v>12</v>
      </c>
      <c r="D4811" t="s">
        <v>5023</v>
      </c>
      <c r="E4811">
        <v>1750</v>
      </c>
      <c r="F4811">
        <v>8</v>
      </c>
      <c r="G4811">
        <f t="shared" si="225"/>
        <v>14000</v>
      </c>
      <c r="H4811" t="s">
        <v>21</v>
      </c>
      <c r="I4811">
        <f t="shared" si="226"/>
        <v>2100</v>
      </c>
      <c r="J4811">
        <f t="shared" si="227"/>
        <v>16800</v>
      </c>
    </row>
    <row r="4812" spans="1:10" x14ac:dyDescent="0.45">
      <c r="A4812" t="s">
        <v>2848</v>
      </c>
      <c r="B4812" s="1">
        <v>46010</v>
      </c>
      <c r="C4812" t="s">
        <v>4007</v>
      </c>
      <c r="D4812" t="s">
        <v>2774</v>
      </c>
      <c r="E4812">
        <v>1900</v>
      </c>
      <c r="F4812">
        <v>7</v>
      </c>
      <c r="G4812">
        <f t="shared" si="225"/>
        <v>13300</v>
      </c>
      <c r="H4812" t="s">
        <v>7</v>
      </c>
      <c r="I4812">
        <f t="shared" si="226"/>
        <v>2280</v>
      </c>
      <c r="J4812">
        <f t="shared" si="227"/>
        <v>15960</v>
      </c>
    </row>
    <row r="4813" spans="1:10" x14ac:dyDescent="0.45">
      <c r="A4813" t="s">
        <v>3414</v>
      </c>
      <c r="B4813" s="1">
        <v>46010</v>
      </c>
      <c r="C4813" t="s">
        <v>4007</v>
      </c>
      <c r="D4813" t="s">
        <v>2774</v>
      </c>
      <c r="E4813">
        <v>1900</v>
      </c>
      <c r="F4813">
        <v>2</v>
      </c>
      <c r="G4813">
        <f t="shared" si="225"/>
        <v>3800</v>
      </c>
      <c r="H4813" t="s">
        <v>21</v>
      </c>
      <c r="I4813">
        <f t="shared" si="226"/>
        <v>2280</v>
      </c>
      <c r="J4813">
        <f t="shared" si="227"/>
        <v>4560</v>
      </c>
    </row>
    <row r="4814" spans="1:10" x14ac:dyDescent="0.45">
      <c r="A4814" t="s">
        <v>3519</v>
      </c>
      <c r="B4814" s="1">
        <v>46010</v>
      </c>
      <c r="C4814" t="s">
        <v>4007</v>
      </c>
      <c r="D4814" t="s">
        <v>28</v>
      </c>
      <c r="E4814">
        <v>500</v>
      </c>
      <c r="F4814">
        <v>1</v>
      </c>
      <c r="G4814">
        <f t="shared" si="225"/>
        <v>500</v>
      </c>
      <c r="H4814" t="s">
        <v>17</v>
      </c>
      <c r="I4814">
        <f t="shared" si="226"/>
        <v>600</v>
      </c>
      <c r="J4814">
        <f t="shared" si="227"/>
        <v>600</v>
      </c>
    </row>
    <row r="4815" spans="1:10" x14ac:dyDescent="0.45">
      <c r="A4815" t="s">
        <v>3765</v>
      </c>
      <c r="B4815" s="1">
        <v>46010</v>
      </c>
      <c r="C4815" t="s">
        <v>4007</v>
      </c>
      <c r="D4815" t="s">
        <v>2770</v>
      </c>
      <c r="E4815">
        <v>600</v>
      </c>
      <c r="F4815">
        <v>6</v>
      </c>
      <c r="G4815">
        <f t="shared" si="225"/>
        <v>3600</v>
      </c>
      <c r="H4815" t="s">
        <v>21</v>
      </c>
      <c r="I4815">
        <f t="shared" si="226"/>
        <v>720</v>
      </c>
      <c r="J4815">
        <f t="shared" si="227"/>
        <v>4320</v>
      </c>
    </row>
    <row r="4816" spans="1:10" x14ac:dyDescent="0.45">
      <c r="A4816" t="s">
        <v>3920</v>
      </c>
      <c r="B4816" s="1">
        <v>46010</v>
      </c>
      <c r="C4816" t="s">
        <v>4007</v>
      </c>
      <c r="D4816" t="s">
        <v>2770</v>
      </c>
      <c r="E4816">
        <v>600</v>
      </c>
      <c r="F4816">
        <v>5</v>
      </c>
      <c r="G4816">
        <f t="shared" si="225"/>
        <v>3000</v>
      </c>
      <c r="H4816" t="s">
        <v>7</v>
      </c>
      <c r="I4816">
        <f t="shared" si="226"/>
        <v>720</v>
      </c>
      <c r="J4816">
        <f t="shared" si="227"/>
        <v>3600</v>
      </c>
    </row>
    <row r="4817" spans="1:10" x14ac:dyDescent="0.45">
      <c r="A4817" t="s">
        <v>2677</v>
      </c>
      <c r="B4817" s="1">
        <v>46011</v>
      </c>
      <c r="C4817" t="s">
        <v>4007</v>
      </c>
      <c r="D4817" t="s">
        <v>39</v>
      </c>
      <c r="E4817">
        <v>6000</v>
      </c>
      <c r="F4817">
        <v>1</v>
      </c>
      <c r="G4817">
        <f t="shared" si="225"/>
        <v>6000</v>
      </c>
      <c r="H4817" t="s">
        <v>7</v>
      </c>
      <c r="I4817">
        <f t="shared" si="226"/>
        <v>7200</v>
      </c>
      <c r="J4817">
        <f t="shared" si="227"/>
        <v>7200</v>
      </c>
    </row>
    <row r="4818" spans="1:10" x14ac:dyDescent="0.45">
      <c r="A4818" t="s">
        <v>2678</v>
      </c>
      <c r="B4818" s="1">
        <v>46011</v>
      </c>
      <c r="C4818" t="s">
        <v>4007</v>
      </c>
      <c r="D4818" t="s">
        <v>28</v>
      </c>
      <c r="E4818">
        <v>500</v>
      </c>
      <c r="F4818">
        <v>8</v>
      </c>
      <c r="G4818">
        <f t="shared" si="225"/>
        <v>4000</v>
      </c>
      <c r="H4818" t="s">
        <v>7</v>
      </c>
      <c r="I4818">
        <f t="shared" si="226"/>
        <v>600</v>
      </c>
      <c r="J4818">
        <f t="shared" si="227"/>
        <v>4800</v>
      </c>
    </row>
    <row r="4819" spans="1:10" x14ac:dyDescent="0.45">
      <c r="A4819" t="s">
        <v>2679</v>
      </c>
      <c r="B4819" s="1">
        <v>46011</v>
      </c>
      <c r="C4819" t="s">
        <v>33</v>
      </c>
      <c r="D4819" t="s">
        <v>34</v>
      </c>
      <c r="E4819">
        <v>1700</v>
      </c>
      <c r="F4819">
        <v>5</v>
      </c>
      <c r="G4819">
        <f t="shared" si="225"/>
        <v>8500</v>
      </c>
      <c r="H4819" t="s">
        <v>21</v>
      </c>
      <c r="I4819">
        <f t="shared" si="226"/>
        <v>2040</v>
      </c>
      <c r="J4819">
        <f t="shared" si="227"/>
        <v>10200</v>
      </c>
    </row>
    <row r="4820" spans="1:10" x14ac:dyDescent="0.45">
      <c r="A4820" t="s">
        <v>2680</v>
      </c>
      <c r="B4820" s="1">
        <v>46011</v>
      </c>
      <c r="C4820" t="s">
        <v>33</v>
      </c>
      <c r="D4820" t="s">
        <v>14</v>
      </c>
      <c r="E4820">
        <v>800</v>
      </c>
      <c r="F4820">
        <v>6</v>
      </c>
      <c r="G4820">
        <f t="shared" si="225"/>
        <v>4800</v>
      </c>
      <c r="H4820" t="s">
        <v>7</v>
      </c>
      <c r="I4820">
        <f t="shared" si="226"/>
        <v>960</v>
      </c>
      <c r="J4820">
        <f t="shared" si="227"/>
        <v>5760</v>
      </c>
    </row>
    <row r="4821" spans="1:10" x14ac:dyDescent="0.45">
      <c r="A4821" t="s">
        <v>2681</v>
      </c>
      <c r="B4821" s="1">
        <v>46011</v>
      </c>
      <c r="C4821" t="s">
        <v>9</v>
      </c>
      <c r="D4821" t="s">
        <v>25</v>
      </c>
      <c r="E4821">
        <v>5200</v>
      </c>
      <c r="F4821">
        <v>9</v>
      </c>
      <c r="G4821">
        <f t="shared" si="225"/>
        <v>46800</v>
      </c>
      <c r="H4821" t="s">
        <v>21</v>
      </c>
      <c r="I4821">
        <f t="shared" si="226"/>
        <v>6240</v>
      </c>
      <c r="J4821">
        <f t="shared" si="227"/>
        <v>56160</v>
      </c>
    </row>
    <row r="4822" spans="1:10" x14ac:dyDescent="0.45">
      <c r="A4822" t="s">
        <v>2682</v>
      </c>
      <c r="B4822" s="1">
        <v>46011</v>
      </c>
      <c r="C4822" t="s">
        <v>4007</v>
      </c>
      <c r="D4822" t="s">
        <v>4005</v>
      </c>
      <c r="E4822">
        <v>60000</v>
      </c>
      <c r="F4822">
        <v>5</v>
      </c>
      <c r="G4822">
        <f t="shared" si="225"/>
        <v>300000</v>
      </c>
      <c r="H4822" t="s">
        <v>21</v>
      </c>
      <c r="I4822">
        <f t="shared" si="226"/>
        <v>72000</v>
      </c>
      <c r="J4822">
        <f t="shared" si="227"/>
        <v>360000</v>
      </c>
    </row>
    <row r="4823" spans="1:10" x14ac:dyDescent="0.45">
      <c r="A4823" t="s">
        <v>2683</v>
      </c>
      <c r="B4823" s="1">
        <v>46011</v>
      </c>
      <c r="C4823" t="s">
        <v>4007</v>
      </c>
      <c r="D4823" t="s">
        <v>5015</v>
      </c>
      <c r="E4823">
        <v>48000</v>
      </c>
      <c r="F4823">
        <v>1</v>
      </c>
      <c r="G4823">
        <f t="shared" si="225"/>
        <v>48000</v>
      </c>
      <c r="H4823" t="s">
        <v>7</v>
      </c>
      <c r="I4823">
        <f t="shared" si="226"/>
        <v>57600</v>
      </c>
      <c r="J4823">
        <f t="shared" si="227"/>
        <v>57600</v>
      </c>
    </row>
    <row r="4824" spans="1:10" x14ac:dyDescent="0.45">
      <c r="A4824" t="s">
        <v>2684</v>
      </c>
      <c r="B4824" s="1">
        <v>46011</v>
      </c>
      <c r="C4824" t="s">
        <v>12</v>
      </c>
      <c r="D4824" t="s">
        <v>5022</v>
      </c>
      <c r="E4824">
        <v>2880</v>
      </c>
      <c r="F4824">
        <v>4</v>
      </c>
      <c r="G4824">
        <f t="shared" si="225"/>
        <v>11520</v>
      </c>
      <c r="H4824" t="s">
        <v>21</v>
      </c>
      <c r="I4824">
        <f t="shared" si="226"/>
        <v>3456</v>
      </c>
      <c r="J4824">
        <f t="shared" si="227"/>
        <v>13824</v>
      </c>
    </row>
    <row r="4825" spans="1:10" x14ac:dyDescent="0.45">
      <c r="A4825" t="s">
        <v>2685</v>
      </c>
      <c r="B4825" s="1">
        <v>46011</v>
      </c>
      <c r="C4825" t="s">
        <v>33</v>
      </c>
      <c r="D4825" t="s">
        <v>34</v>
      </c>
      <c r="E4825">
        <v>1700</v>
      </c>
      <c r="F4825">
        <v>8</v>
      </c>
      <c r="G4825">
        <f t="shared" si="225"/>
        <v>13600</v>
      </c>
      <c r="H4825" t="s">
        <v>21</v>
      </c>
      <c r="I4825">
        <f t="shared" si="226"/>
        <v>2040</v>
      </c>
      <c r="J4825">
        <f t="shared" si="227"/>
        <v>16320</v>
      </c>
    </row>
    <row r="4826" spans="1:10" x14ac:dyDescent="0.45">
      <c r="A4826" t="s">
        <v>2826</v>
      </c>
      <c r="B4826" s="1">
        <v>46011</v>
      </c>
      <c r="C4826" t="s">
        <v>33</v>
      </c>
      <c r="D4826" t="s">
        <v>14</v>
      </c>
      <c r="E4826">
        <v>800</v>
      </c>
      <c r="F4826">
        <v>9</v>
      </c>
      <c r="G4826">
        <f t="shared" si="225"/>
        <v>7200</v>
      </c>
      <c r="H4826" t="s">
        <v>7</v>
      </c>
      <c r="I4826">
        <f t="shared" si="226"/>
        <v>960</v>
      </c>
      <c r="J4826">
        <f t="shared" si="227"/>
        <v>8640</v>
      </c>
    </row>
    <row r="4827" spans="1:10" x14ac:dyDescent="0.45">
      <c r="A4827" t="s">
        <v>3341</v>
      </c>
      <c r="B4827" s="1">
        <v>46011</v>
      </c>
      <c r="C4827" t="s">
        <v>4007</v>
      </c>
      <c r="D4827" t="s">
        <v>2776</v>
      </c>
      <c r="E4827">
        <v>3600</v>
      </c>
      <c r="F4827">
        <v>10</v>
      </c>
      <c r="G4827">
        <f t="shared" si="225"/>
        <v>36000</v>
      </c>
      <c r="H4827" t="s">
        <v>17</v>
      </c>
      <c r="I4827">
        <f t="shared" si="226"/>
        <v>4320</v>
      </c>
      <c r="J4827">
        <f t="shared" si="227"/>
        <v>43200</v>
      </c>
    </row>
    <row r="4828" spans="1:10" x14ac:dyDescent="0.45">
      <c r="A4828" t="s">
        <v>3589</v>
      </c>
      <c r="B4828" s="1">
        <v>46011</v>
      </c>
      <c r="C4828" t="s">
        <v>4007</v>
      </c>
      <c r="D4828" t="s">
        <v>2773</v>
      </c>
      <c r="E4828">
        <v>3300</v>
      </c>
      <c r="F4828">
        <v>1</v>
      </c>
      <c r="G4828">
        <f t="shared" si="225"/>
        <v>3300</v>
      </c>
      <c r="H4828" t="s">
        <v>7</v>
      </c>
      <c r="I4828">
        <f t="shared" si="226"/>
        <v>3960</v>
      </c>
      <c r="J4828">
        <f t="shared" si="227"/>
        <v>3960</v>
      </c>
    </row>
    <row r="4829" spans="1:10" x14ac:dyDescent="0.45">
      <c r="A4829" t="s">
        <v>3664</v>
      </c>
      <c r="B4829" s="1">
        <v>46011</v>
      </c>
      <c r="C4829" t="s">
        <v>2772</v>
      </c>
      <c r="D4829" t="s">
        <v>2771</v>
      </c>
      <c r="E4829">
        <v>120</v>
      </c>
      <c r="F4829">
        <v>5</v>
      </c>
      <c r="G4829">
        <f t="shared" si="225"/>
        <v>600</v>
      </c>
      <c r="H4829" t="s">
        <v>21</v>
      </c>
      <c r="I4829">
        <f t="shared" si="226"/>
        <v>144</v>
      </c>
      <c r="J4829">
        <f t="shared" si="227"/>
        <v>720</v>
      </c>
    </row>
    <row r="4830" spans="1:10" x14ac:dyDescent="0.45">
      <c r="A4830" t="s">
        <v>2686</v>
      </c>
      <c r="B4830" s="1">
        <v>46012</v>
      </c>
      <c r="C4830" t="s">
        <v>9</v>
      </c>
      <c r="D4830" t="s">
        <v>25</v>
      </c>
      <c r="E4830">
        <v>5200</v>
      </c>
      <c r="F4830">
        <v>4</v>
      </c>
      <c r="G4830">
        <f t="shared" si="225"/>
        <v>20800</v>
      </c>
      <c r="H4830" t="s">
        <v>7</v>
      </c>
      <c r="I4830">
        <f t="shared" si="226"/>
        <v>6240</v>
      </c>
      <c r="J4830">
        <f t="shared" si="227"/>
        <v>24960</v>
      </c>
    </row>
    <row r="4831" spans="1:10" x14ac:dyDescent="0.45">
      <c r="A4831" t="s">
        <v>2687</v>
      </c>
      <c r="B4831" s="1">
        <v>46012</v>
      </c>
      <c r="C4831" t="s">
        <v>4007</v>
      </c>
      <c r="D4831" t="s">
        <v>4005</v>
      </c>
      <c r="E4831">
        <v>60000</v>
      </c>
      <c r="F4831">
        <v>5</v>
      </c>
      <c r="G4831">
        <f t="shared" si="225"/>
        <v>300000</v>
      </c>
      <c r="H4831" t="s">
        <v>21</v>
      </c>
      <c r="I4831">
        <f t="shared" si="226"/>
        <v>72000</v>
      </c>
      <c r="J4831">
        <f t="shared" si="227"/>
        <v>360000</v>
      </c>
    </row>
    <row r="4832" spans="1:10" x14ac:dyDescent="0.45">
      <c r="A4832" t="s">
        <v>2688</v>
      </c>
      <c r="B4832" s="1">
        <v>46012</v>
      </c>
      <c r="C4832" t="s">
        <v>12</v>
      </c>
      <c r="D4832" t="s">
        <v>5020</v>
      </c>
      <c r="E4832">
        <v>2880</v>
      </c>
      <c r="F4832">
        <v>10</v>
      </c>
      <c r="G4832">
        <f t="shared" si="225"/>
        <v>28800</v>
      </c>
      <c r="H4832" t="s">
        <v>21</v>
      </c>
      <c r="I4832">
        <f t="shared" si="226"/>
        <v>3456</v>
      </c>
      <c r="J4832">
        <f t="shared" si="227"/>
        <v>34560</v>
      </c>
    </row>
    <row r="4833" spans="1:10" x14ac:dyDescent="0.45">
      <c r="A4833" t="s">
        <v>2689</v>
      </c>
      <c r="B4833" s="1">
        <v>46012</v>
      </c>
      <c r="C4833" t="s">
        <v>4007</v>
      </c>
      <c r="D4833" t="s">
        <v>5015</v>
      </c>
      <c r="E4833">
        <v>48000</v>
      </c>
      <c r="F4833">
        <v>1</v>
      </c>
      <c r="G4833">
        <f t="shared" si="225"/>
        <v>48000</v>
      </c>
      <c r="H4833" t="s">
        <v>17</v>
      </c>
      <c r="I4833">
        <f t="shared" si="226"/>
        <v>57600</v>
      </c>
      <c r="J4833">
        <f t="shared" si="227"/>
        <v>57600</v>
      </c>
    </row>
    <row r="4834" spans="1:10" x14ac:dyDescent="0.45">
      <c r="A4834" t="s">
        <v>2690</v>
      </c>
      <c r="B4834" s="1">
        <v>46012</v>
      </c>
      <c r="C4834" t="s">
        <v>12</v>
      </c>
      <c r="D4834" t="s">
        <v>5020</v>
      </c>
      <c r="E4834">
        <v>2880</v>
      </c>
      <c r="F4834">
        <v>1</v>
      </c>
      <c r="G4834">
        <f t="shared" si="225"/>
        <v>2880</v>
      </c>
      <c r="H4834" t="s">
        <v>17</v>
      </c>
      <c r="I4834">
        <f t="shared" si="226"/>
        <v>3456</v>
      </c>
      <c r="J4834">
        <f t="shared" si="227"/>
        <v>3456</v>
      </c>
    </row>
    <row r="4835" spans="1:10" x14ac:dyDescent="0.45">
      <c r="A4835" t="s">
        <v>2691</v>
      </c>
      <c r="B4835" s="1">
        <v>46012</v>
      </c>
      <c r="C4835" t="s">
        <v>33</v>
      </c>
      <c r="D4835" t="s">
        <v>16</v>
      </c>
      <c r="E4835">
        <v>1200</v>
      </c>
      <c r="F4835">
        <v>8</v>
      </c>
      <c r="G4835">
        <f t="shared" si="225"/>
        <v>9600</v>
      </c>
      <c r="H4835" t="s">
        <v>7</v>
      </c>
      <c r="I4835">
        <f t="shared" si="226"/>
        <v>1440</v>
      </c>
      <c r="J4835">
        <f t="shared" si="227"/>
        <v>11520</v>
      </c>
    </row>
    <row r="4836" spans="1:10" x14ac:dyDescent="0.45">
      <c r="A4836" t="s">
        <v>2692</v>
      </c>
      <c r="B4836" s="1">
        <v>46012</v>
      </c>
      <c r="C4836" t="s">
        <v>33</v>
      </c>
      <c r="D4836" t="s">
        <v>14</v>
      </c>
      <c r="E4836">
        <v>800</v>
      </c>
      <c r="F4836">
        <v>2</v>
      </c>
      <c r="G4836">
        <f t="shared" si="225"/>
        <v>1600</v>
      </c>
      <c r="H4836" t="s">
        <v>7</v>
      </c>
      <c r="I4836">
        <f t="shared" si="226"/>
        <v>960</v>
      </c>
      <c r="J4836">
        <f t="shared" si="227"/>
        <v>1920</v>
      </c>
    </row>
    <row r="4837" spans="1:10" x14ac:dyDescent="0.45">
      <c r="A4837" t="s">
        <v>3049</v>
      </c>
      <c r="B4837" s="1">
        <v>46012</v>
      </c>
      <c r="C4837" t="s">
        <v>4007</v>
      </c>
      <c r="D4837" t="s">
        <v>2770</v>
      </c>
      <c r="E4837">
        <v>600</v>
      </c>
      <c r="F4837">
        <v>3</v>
      </c>
      <c r="G4837">
        <f t="shared" si="225"/>
        <v>1800</v>
      </c>
      <c r="H4837" t="s">
        <v>17</v>
      </c>
      <c r="I4837">
        <f t="shared" si="226"/>
        <v>720</v>
      </c>
      <c r="J4837">
        <f t="shared" si="227"/>
        <v>2160</v>
      </c>
    </row>
    <row r="4838" spans="1:10" x14ac:dyDescent="0.45">
      <c r="A4838" t="s">
        <v>3456</v>
      </c>
      <c r="B4838" s="1">
        <v>46012</v>
      </c>
      <c r="C4838" t="s">
        <v>4007</v>
      </c>
      <c r="D4838" t="s">
        <v>2776</v>
      </c>
      <c r="E4838">
        <v>3600</v>
      </c>
      <c r="F4838">
        <v>6</v>
      </c>
      <c r="G4838">
        <f t="shared" si="225"/>
        <v>21600</v>
      </c>
      <c r="H4838" t="s">
        <v>7</v>
      </c>
      <c r="I4838">
        <f t="shared" si="226"/>
        <v>4320</v>
      </c>
      <c r="J4838">
        <f t="shared" si="227"/>
        <v>25920</v>
      </c>
    </row>
    <row r="4839" spans="1:10" x14ac:dyDescent="0.45">
      <c r="A4839" t="s">
        <v>3707</v>
      </c>
      <c r="B4839" s="1">
        <v>46012</v>
      </c>
      <c r="C4839" t="s">
        <v>33</v>
      </c>
      <c r="D4839" t="s">
        <v>34</v>
      </c>
      <c r="E4839">
        <v>1700</v>
      </c>
      <c r="F4839">
        <v>8</v>
      </c>
      <c r="G4839">
        <f t="shared" si="225"/>
        <v>13600</v>
      </c>
      <c r="H4839" t="s">
        <v>7</v>
      </c>
      <c r="I4839">
        <f t="shared" si="226"/>
        <v>2040</v>
      </c>
      <c r="J4839">
        <f t="shared" si="227"/>
        <v>16320</v>
      </c>
    </row>
    <row r="4840" spans="1:10" x14ac:dyDescent="0.45">
      <c r="A4840" t="s">
        <v>2693</v>
      </c>
      <c r="B4840" s="1">
        <v>46013</v>
      </c>
      <c r="C4840" t="s">
        <v>12</v>
      </c>
      <c r="D4840" t="s">
        <v>5023</v>
      </c>
      <c r="E4840">
        <v>1750</v>
      </c>
      <c r="F4840">
        <v>1</v>
      </c>
      <c r="G4840">
        <f t="shared" si="225"/>
        <v>1750</v>
      </c>
      <c r="H4840" t="s">
        <v>21</v>
      </c>
      <c r="I4840">
        <f t="shared" si="226"/>
        <v>2100</v>
      </c>
      <c r="J4840">
        <f t="shared" si="227"/>
        <v>2100</v>
      </c>
    </row>
    <row r="4841" spans="1:10" x14ac:dyDescent="0.45">
      <c r="A4841" t="s">
        <v>2694</v>
      </c>
      <c r="B4841" s="1">
        <v>46013</v>
      </c>
      <c r="C4841" t="s">
        <v>33</v>
      </c>
      <c r="D4841" t="s">
        <v>14</v>
      </c>
      <c r="E4841">
        <v>800</v>
      </c>
      <c r="F4841">
        <v>6</v>
      </c>
      <c r="G4841">
        <f t="shared" si="225"/>
        <v>4800</v>
      </c>
      <c r="H4841" t="s">
        <v>7</v>
      </c>
      <c r="I4841">
        <f t="shared" si="226"/>
        <v>960</v>
      </c>
      <c r="J4841">
        <f t="shared" si="227"/>
        <v>5760</v>
      </c>
    </row>
    <row r="4842" spans="1:10" x14ac:dyDescent="0.45">
      <c r="A4842" t="s">
        <v>2695</v>
      </c>
      <c r="B4842" s="1">
        <v>46013</v>
      </c>
      <c r="C4842" t="s">
        <v>9</v>
      </c>
      <c r="D4842" t="s">
        <v>19</v>
      </c>
      <c r="E4842">
        <v>3000</v>
      </c>
      <c r="F4842">
        <v>1</v>
      </c>
      <c r="G4842">
        <f t="shared" si="225"/>
        <v>3000</v>
      </c>
      <c r="H4842" t="s">
        <v>21</v>
      </c>
      <c r="I4842">
        <f t="shared" si="226"/>
        <v>3600</v>
      </c>
      <c r="J4842">
        <f t="shared" si="227"/>
        <v>3600</v>
      </c>
    </row>
    <row r="4843" spans="1:10" x14ac:dyDescent="0.45">
      <c r="A4843" t="s">
        <v>2696</v>
      </c>
      <c r="B4843" s="1">
        <v>46013</v>
      </c>
      <c r="C4843" t="s">
        <v>33</v>
      </c>
      <c r="D4843" t="s">
        <v>34</v>
      </c>
      <c r="E4843">
        <v>1700</v>
      </c>
      <c r="F4843">
        <v>9</v>
      </c>
      <c r="G4843">
        <f t="shared" si="225"/>
        <v>15300</v>
      </c>
      <c r="H4843" t="s">
        <v>7</v>
      </c>
      <c r="I4843">
        <f t="shared" si="226"/>
        <v>2040</v>
      </c>
      <c r="J4843">
        <f t="shared" si="227"/>
        <v>18360</v>
      </c>
    </row>
    <row r="4844" spans="1:10" x14ac:dyDescent="0.45">
      <c r="A4844" t="s">
        <v>2697</v>
      </c>
      <c r="B4844" s="1">
        <v>46013</v>
      </c>
      <c r="C4844" t="s">
        <v>33</v>
      </c>
      <c r="D4844" t="s">
        <v>16</v>
      </c>
      <c r="E4844">
        <v>1200</v>
      </c>
      <c r="F4844">
        <v>2</v>
      </c>
      <c r="G4844">
        <f t="shared" si="225"/>
        <v>2400</v>
      </c>
      <c r="H4844" t="s">
        <v>17</v>
      </c>
      <c r="I4844">
        <f t="shared" si="226"/>
        <v>1440</v>
      </c>
      <c r="J4844">
        <f t="shared" si="227"/>
        <v>2880</v>
      </c>
    </row>
    <row r="4845" spans="1:10" x14ac:dyDescent="0.45">
      <c r="A4845" t="s">
        <v>2698</v>
      </c>
      <c r="B4845" s="1">
        <v>46013</v>
      </c>
      <c r="C4845" t="s">
        <v>33</v>
      </c>
      <c r="D4845" t="s">
        <v>34</v>
      </c>
      <c r="E4845">
        <v>1700</v>
      </c>
      <c r="F4845">
        <v>4</v>
      </c>
      <c r="G4845">
        <f t="shared" si="225"/>
        <v>6800</v>
      </c>
      <c r="H4845" t="s">
        <v>21</v>
      </c>
      <c r="I4845">
        <f t="shared" si="226"/>
        <v>2040</v>
      </c>
      <c r="J4845">
        <f t="shared" si="227"/>
        <v>8160</v>
      </c>
    </row>
    <row r="4846" spans="1:10" x14ac:dyDescent="0.45">
      <c r="A4846" t="s">
        <v>2699</v>
      </c>
      <c r="B4846" s="1">
        <v>46013</v>
      </c>
      <c r="C4846" t="s">
        <v>9</v>
      </c>
      <c r="D4846" t="s">
        <v>25</v>
      </c>
      <c r="E4846">
        <v>5200</v>
      </c>
      <c r="F4846">
        <v>8</v>
      </c>
      <c r="G4846">
        <f t="shared" si="225"/>
        <v>41600</v>
      </c>
      <c r="H4846" t="s">
        <v>17</v>
      </c>
      <c r="I4846">
        <f t="shared" si="226"/>
        <v>6240</v>
      </c>
      <c r="J4846">
        <f t="shared" si="227"/>
        <v>49920</v>
      </c>
    </row>
    <row r="4847" spans="1:10" x14ac:dyDescent="0.45">
      <c r="A4847" t="s">
        <v>2700</v>
      </c>
      <c r="B4847" s="1">
        <v>46013</v>
      </c>
      <c r="C4847" t="s">
        <v>4007</v>
      </c>
      <c r="D4847" t="s">
        <v>39</v>
      </c>
      <c r="E4847">
        <v>6000</v>
      </c>
      <c r="F4847">
        <v>4</v>
      </c>
      <c r="G4847">
        <f t="shared" si="225"/>
        <v>24000</v>
      </c>
      <c r="H4847" t="s">
        <v>7</v>
      </c>
      <c r="I4847">
        <f t="shared" si="226"/>
        <v>7200</v>
      </c>
      <c r="J4847">
        <f t="shared" si="227"/>
        <v>28800</v>
      </c>
    </row>
    <row r="4848" spans="1:10" x14ac:dyDescent="0.45">
      <c r="A4848" t="s">
        <v>2701</v>
      </c>
      <c r="B4848" s="1">
        <v>46013</v>
      </c>
      <c r="C4848" t="s">
        <v>12</v>
      </c>
      <c r="D4848" t="s">
        <v>5023</v>
      </c>
      <c r="E4848">
        <v>1750</v>
      </c>
      <c r="F4848">
        <v>1</v>
      </c>
      <c r="G4848">
        <f t="shared" si="225"/>
        <v>1750</v>
      </c>
      <c r="H4848" t="s">
        <v>17</v>
      </c>
      <c r="I4848">
        <f t="shared" si="226"/>
        <v>2100</v>
      </c>
      <c r="J4848">
        <f t="shared" si="227"/>
        <v>2100</v>
      </c>
    </row>
    <row r="4849" spans="1:10" x14ac:dyDescent="0.45">
      <c r="A4849" t="s">
        <v>2806</v>
      </c>
      <c r="B4849" s="1">
        <v>46013</v>
      </c>
      <c r="C4849" t="s">
        <v>4007</v>
      </c>
      <c r="D4849" t="s">
        <v>5015</v>
      </c>
      <c r="E4849">
        <v>48000</v>
      </c>
      <c r="F4849">
        <v>8</v>
      </c>
      <c r="G4849">
        <f t="shared" si="225"/>
        <v>384000</v>
      </c>
      <c r="H4849" t="s">
        <v>7</v>
      </c>
      <c r="I4849">
        <f t="shared" si="226"/>
        <v>57600</v>
      </c>
      <c r="J4849">
        <f t="shared" si="227"/>
        <v>460800</v>
      </c>
    </row>
    <row r="4850" spans="1:10" x14ac:dyDescent="0.45">
      <c r="A4850" t="s">
        <v>2921</v>
      </c>
      <c r="B4850" s="1">
        <v>46013</v>
      </c>
      <c r="C4850" t="s">
        <v>4007</v>
      </c>
      <c r="D4850" t="s">
        <v>2773</v>
      </c>
      <c r="E4850">
        <v>3300</v>
      </c>
      <c r="F4850">
        <v>6</v>
      </c>
      <c r="G4850">
        <f t="shared" si="225"/>
        <v>19800</v>
      </c>
      <c r="H4850" t="s">
        <v>17</v>
      </c>
      <c r="I4850">
        <f t="shared" si="226"/>
        <v>3960</v>
      </c>
      <c r="J4850">
        <f t="shared" si="227"/>
        <v>23760</v>
      </c>
    </row>
    <row r="4851" spans="1:10" x14ac:dyDescent="0.45">
      <c r="A4851" t="s">
        <v>3264</v>
      </c>
      <c r="B4851" s="1">
        <v>46013</v>
      </c>
      <c r="C4851" t="s">
        <v>4007</v>
      </c>
      <c r="D4851" t="s">
        <v>28</v>
      </c>
      <c r="E4851">
        <v>500</v>
      </c>
      <c r="F4851">
        <v>9</v>
      </c>
      <c r="G4851">
        <f t="shared" si="225"/>
        <v>4500</v>
      </c>
      <c r="H4851" t="s">
        <v>7</v>
      </c>
      <c r="I4851">
        <f t="shared" si="226"/>
        <v>600</v>
      </c>
      <c r="J4851">
        <f t="shared" si="227"/>
        <v>5400</v>
      </c>
    </row>
    <row r="4852" spans="1:10" x14ac:dyDescent="0.45">
      <c r="A4852" t="s">
        <v>2702</v>
      </c>
      <c r="B4852" s="1">
        <v>46014</v>
      </c>
      <c r="C4852" t="s">
        <v>12</v>
      </c>
      <c r="D4852" t="s">
        <v>5023</v>
      </c>
      <c r="E4852">
        <v>1750</v>
      </c>
      <c r="F4852">
        <v>10</v>
      </c>
      <c r="G4852">
        <f t="shared" si="225"/>
        <v>17500</v>
      </c>
      <c r="H4852" t="s">
        <v>7</v>
      </c>
      <c r="I4852">
        <f t="shared" si="226"/>
        <v>2100</v>
      </c>
      <c r="J4852">
        <f t="shared" si="227"/>
        <v>21000</v>
      </c>
    </row>
    <row r="4853" spans="1:10" x14ac:dyDescent="0.45">
      <c r="A4853" t="s">
        <v>2703</v>
      </c>
      <c r="B4853" s="1">
        <v>46014</v>
      </c>
      <c r="C4853" t="s">
        <v>4007</v>
      </c>
      <c r="D4853" t="s">
        <v>4005</v>
      </c>
      <c r="E4853">
        <v>60000</v>
      </c>
      <c r="F4853">
        <v>1</v>
      </c>
      <c r="G4853">
        <f t="shared" si="225"/>
        <v>60000</v>
      </c>
      <c r="H4853" t="s">
        <v>17</v>
      </c>
      <c r="I4853">
        <f t="shared" si="226"/>
        <v>72000</v>
      </c>
      <c r="J4853">
        <f t="shared" si="227"/>
        <v>72000</v>
      </c>
    </row>
    <row r="4854" spans="1:10" x14ac:dyDescent="0.45">
      <c r="A4854" t="s">
        <v>2704</v>
      </c>
      <c r="B4854" s="1">
        <v>46014</v>
      </c>
      <c r="C4854" t="s">
        <v>12</v>
      </c>
      <c r="D4854" t="s">
        <v>5020</v>
      </c>
      <c r="E4854">
        <v>2880</v>
      </c>
      <c r="F4854">
        <v>2</v>
      </c>
      <c r="G4854">
        <f t="shared" si="225"/>
        <v>5760</v>
      </c>
      <c r="H4854" t="s">
        <v>7</v>
      </c>
      <c r="I4854">
        <f t="shared" si="226"/>
        <v>3456</v>
      </c>
      <c r="J4854">
        <f t="shared" si="227"/>
        <v>6912</v>
      </c>
    </row>
    <row r="4855" spans="1:10" x14ac:dyDescent="0.45">
      <c r="A4855" t="s">
        <v>2705</v>
      </c>
      <c r="B4855" s="1">
        <v>46014</v>
      </c>
      <c r="C4855" t="s">
        <v>12</v>
      </c>
      <c r="D4855" t="s">
        <v>5020</v>
      </c>
      <c r="E4855">
        <v>2880</v>
      </c>
      <c r="F4855">
        <v>5</v>
      </c>
      <c r="G4855">
        <f t="shared" si="225"/>
        <v>14400</v>
      </c>
      <c r="H4855" t="s">
        <v>7</v>
      </c>
      <c r="I4855">
        <f t="shared" si="226"/>
        <v>3456</v>
      </c>
      <c r="J4855">
        <f t="shared" si="227"/>
        <v>17280</v>
      </c>
    </row>
    <row r="4856" spans="1:10" x14ac:dyDescent="0.45">
      <c r="A4856" t="s">
        <v>2706</v>
      </c>
      <c r="B4856" s="1">
        <v>46014</v>
      </c>
      <c r="C4856" t="s">
        <v>4007</v>
      </c>
      <c r="D4856" t="s">
        <v>5015</v>
      </c>
      <c r="E4856">
        <v>48000</v>
      </c>
      <c r="F4856">
        <v>6</v>
      </c>
      <c r="G4856">
        <f t="shared" si="225"/>
        <v>288000</v>
      </c>
      <c r="H4856" t="s">
        <v>21</v>
      </c>
      <c r="I4856">
        <f t="shared" si="226"/>
        <v>57600</v>
      </c>
      <c r="J4856">
        <f t="shared" si="227"/>
        <v>345600</v>
      </c>
    </row>
    <row r="4857" spans="1:10" x14ac:dyDescent="0.45">
      <c r="A4857" t="s">
        <v>2707</v>
      </c>
      <c r="B4857" s="1">
        <v>46014</v>
      </c>
      <c r="C4857" t="s">
        <v>33</v>
      </c>
      <c r="D4857" t="s">
        <v>34</v>
      </c>
      <c r="E4857">
        <v>1700</v>
      </c>
      <c r="F4857">
        <v>4</v>
      </c>
      <c r="G4857">
        <f t="shared" si="225"/>
        <v>6800</v>
      </c>
      <c r="H4857" t="s">
        <v>17</v>
      </c>
      <c r="I4857">
        <f t="shared" si="226"/>
        <v>2040</v>
      </c>
      <c r="J4857">
        <f t="shared" si="227"/>
        <v>8160</v>
      </c>
    </row>
    <row r="4858" spans="1:10" x14ac:dyDescent="0.45">
      <c r="A4858" t="s">
        <v>2708</v>
      </c>
      <c r="B4858" s="1">
        <v>46014</v>
      </c>
      <c r="C4858" t="s">
        <v>9</v>
      </c>
      <c r="D4858" t="s">
        <v>25</v>
      </c>
      <c r="E4858">
        <v>5200</v>
      </c>
      <c r="F4858">
        <v>1</v>
      </c>
      <c r="G4858">
        <f t="shared" si="225"/>
        <v>5200</v>
      </c>
      <c r="H4858" t="s">
        <v>21</v>
      </c>
      <c r="I4858">
        <f t="shared" si="226"/>
        <v>6240</v>
      </c>
      <c r="J4858">
        <f t="shared" si="227"/>
        <v>6240</v>
      </c>
    </row>
    <row r="4859" spans="1:10" x14ac:dyDescent="0.45">
      <c r="A4859" t="s">
        <v>2709</v>
      </c>
      <c r="B4859" s="1">
        <v>46014</v>
      </c>
      <c r="C4859" t="s">
        <v>9</v>
      </c>
      <c r="D4859" t="s">
        <v>10</v>
      </c>
      <c r="E4859">
        <v>400</v>
      </c>
      <c r="F4859">
        <v>7</v>
      </c>
      <c r="G4859">
        <f t="shared" si="225"/>
        <v>2800</v>
      </c>
      <c r="H4859" t="s">
        <v>21</v>
      </c>
      <c r="I4859">
        <f t="shared" si="226"/>
        <v>480</v>
      </c>
      <c r="J4859">
        <f t="shared" si="227"/>
        <v>3360</v>
      </c>
    </row>
    <row r="4860" spans="1:10" x14ac:dyDescent="0.45">
      <c r="A4860" t="s">
        <v>3012</v>
      </c>
      <c r="B4860" s="1">
        <v>46014</v>
      </c>
      <c r="C4860" t="s">
        <v>4007</v>
      </c>
      <c r="D4860" t="s">
        <v>28</v>
      </c>
      <c r="E4860">
        <v>500</v>
      </c>
      <c r="F4860">
        <v>9</v>
      </c>
      <c r="G4860">
        <f t="shared" si="225"/>
        <v>4500</v>
      </c>
      <c r="H4860" t="s">
        <v>21</v>
      </c>
      <c r="I4860">
        <f t="shared" si="226"/>
        <v>600</v>
      </c>
      <c r="J4860">
        <f t="shared" si="227"/>
        <v>5400</v>
      </c>
    </row>
    <row r="4861" spans="1:10" x14ac:dyDescent="0.45">
      <c r="A4861" t="s">
        <v>3109</v>
      </c>
      <c r="B4861" s="1">
        <v>46014</v>
      </c>
      <c r="C4861" t="s">
        <v>4007</v>
      </c>
      <c r="D4861" t="s">
        <v>2776</v>
      </c>
      <c r="E4861">
        <v>3600</v>
      </c>
      <c r="F4861">
        <v>10</v>
      </c>
      <c r="G4861">
        <f t="shared" si="225"/>
        <v>36000</v>
      </c>
      <c r="H4861" t="s">
        <v>17</v>
      </c>
      <c r="I4861">
        <f t="shared" si="226"/>
        <v>4320</v>
      </c>
      <c r="J4861">
        <f t="shared" si="227"/>
        <v>43200</v>
      </c>
    </row>
    <row r="4862" spans="1:10" x14ac:dyDescent="0.45">
      <c r="A4862" t="s">
        <v>3484</v>
      </c>
      <c r="B4862" s="1">
        <v>46014</v>
      </c>
      <c r="C4862" t="s">
        <v>4007</v>
      </c>
      <c r="D4862" t="s">
        <v>2770</v>
      </c>
      <c r="E4862">
        <v>600</v>
      </c>
      <c r="F4862">
        <v>1</v>
      </c>
      <c r="G4862">
        <f t="shared" si="225"/>
        <v>600</v>
      </c>
      <c r="H4862" t="s">
        <v>21</v>
      </c>
      <c r="I4862">
        <f t="shared" si="226"/>
        <v>720</v>
      </c>
      <c r="J4862">
        <f t="shared" si="227"/>
        <v>720</v>
      </c>
    </row>
    <row r="4863" spans="1:10" x14ac:dyDescent="0.45">
      <c r="A4863" t="s">
        <v>3500</v>
      </c>
      <c r="B4863" s="1">
        <v>46014</v>
      </c>
      <c r="C4863" t="s">
        <v>4007</v>
      </c>
      <c r="D4863" t="s">
        <v>2774</v>
      </c>
      <c r="E4863">
        <v>1900</v>
      </c>
      <c r="F4863">
        <v>1</v>
      </c>
      <c r="G4863">
        <f t="shared" si="225"/>
        <v>1900</v>
      </c>
      <c r="H4863" t="s">
        <v>17</v>
      </c>
      <c r="I4863">
        <f t="shared" si="226"/>
        <v>2280</v>
      </c>
      <c r="J4863">
        <f t="shared" si="227"/>
        <v>2280</v>
      </c>
    </row>
    <row r="4864" spans="1:10" x14ac:dyDescent="0.45">
      <c r="A4864" t="s">
        <v>2710</v>
      </c>
      <c r="B4864" s="1">
        <v>46015</v>
      </c>
      <c r="C4864" t="s">
        <v>33</v>
      </c>
      <c r="D4864" t="s">
        <v>14</v>
      </c>
      <c r="E4864">
        <v>800</v>
      </c>
      <c r="F4864">
        <v>9</v>
      </c>
      <c r="G4864">
        <f t="shared" si="225"/>
        <v>7200</v>
      </c>
      <c r="H4864" t="s">
        <v>21</v>
      </c>
      <c r="I4864">
        <f t="shared" si="226"/>
        <v>960</v>
      </c>
      <c r="J4864">
        <f t="shared" si="227"/>
        <v>8640</v>
      </c>
    </row>
    <row r="4865" spans="1:10" x14ac:dyDescent="0.45">
      <c r="A4865" t="s">
        <v>2711</v>
      </c>
      <c r="B4865" s="1">
        <v>46015</v>
      </c>
      <c r="C4865" t="s">
        <v>12</v>
      </c>
      <c r="D4865" t="s">
        <v>5020</v>
      </c>
      <c r="E4865">
        <v>2880</v>
      </c>
      <c r="F4865">
        <v>4</v>
      </c>
      <c r="G4865">
        <f t="shared" si="225"/>
        <v>11520</v>
      </c>
      <c r="H4865" t="s">
        <v>7</v>
      </c>
      <c r="I4865">
        <f t="shared" si="226"/>
        <v>3456</v>
      </c>
      <c r="J4865">
        <f t="shared" si="227"/>
        <v>13824</v>
      </c>
    </row>
    <row r="4866" spans="1:10" x14ac:dyDescent="0.45">
      <c r="A4866" t="s">
        <v>2712</v>
      </c>
      <c r="B4866" s="1">
        <v>46015</v>
      </c>
      <c r="C4866" t="s">
        <v>9</v>
      </c>
      <c r="D4866" t="s">
        <v>19</v>
      </c>
      <c r="E4866">
        <v>3000</v>
      </c>
      <c r="F4866">
        <v>4</v>
      </c>
      <c r="G4866">
        <f t="shared" ref="G4866:G4929" si="228">E4866*F4866</f>
        <v>12000</v>
      </c>
      <c r="H4866" t="s">
        <v>7</v>
      </c>
      <c r="I4866">
        <f t="shared" ref="I4866:I4929" si="229">E4866*1.2</f>
        <v>3600</v>
      </c>
      <c r="J4866">
        <f t="shared" ref="J4866:J4929" si="230">I4866*F4866</f>
        <v>14400</v>
      </c>
    </row>
    <row r="4867" spans="1:10" x14ac:dyDescent="0.45">
      <c r="A4867" t="s">
        <v>2713</v>
      </c>
      <c r="B4867" s="1">
        <v>46015</v>
      </c>
      <c r="C4867" t="s">
        <v>4007</v>
      </c>
      <c r="D4867" t="s">
        <v>5015</v>
      </c>
      <c r="E4867">
        <v>48000</v>
      </c>
      <c r="F4867">
        <v>1</v>
      </c>
      <c r="G4867">
        <f t="shared" si="228"/>
        <v>48000</v>
      </c>
      <c r="H4867" t="s">
        <v>7</v>
      </c>
      <c r="I4867">
        <f t="shared" si="229"/>
        <v>57600</v>
      </c>
      <c r="J4867">
        <f t="shared" si="230"/>
        <v>57600</v>
      </c>
    </row>
    <row r="4868" spans="1:10" x14ac:dyDescent="0.45">
      <c r="A4868" t="s">
        <v>2714</v>
      </c>
      <c r="B4868" s="1">
        <v>46015</v>
      </c>
      <c r="C4868" t="s">
        <v>12</v>
      </c>
      <c r="D4868" t="s">
        <v>5023</v>
      </c>
      <c r="E4868">
        <v>1750</v>
      </c>
      <c r="F4868">
        <v>5</v>
      </c>
      <c r="G4868">
        <f t="shared" si="228"/>
        <v>8750</v>
      </c>
      <c r="H4868" t="s">
        <v>7</v>
      </c>
      <c r="I4868">
        <f t="shared" si="229"/>
        <v>2100</v>
      </c>
      <c r="J4868">
        <f t="shared" si="230"/>
        <v>10500</v>
      </c>
    </row>
    <row r="4869" spans="1:10" x14ac:dyDescent="0.45">
      <c r="A4869" t="s">
        <v>2715</v>
      </c>
      <c r="B4869" s="1">
        <v>46015</v>
      </c>
      <c r="C4869" t="s">
        <v>4007</v>
      </c>
      <c r="D4869" t="s">
        <v>4005</v>
      </c>
      <c r="E4869">
        <v>60000</v>
      </c>
      <c r="F4869">
        <v>1</v>
      </c>
      <c r="G4869">
        <f t="shared" si="228"/>
        <v>60000</v>
      </c>
      <c r="H4869" t="s">
        <v>21</v>
      </c>
      <c r="I4869">
        <f t="shared" si="229"/>
        <v>72000</v>
      </c>
      <c r="J4869">
        <f t="shared" si="230"/>
        <v>72000</v>
      </c>
    </row>
    <row r="4870" spans="1:10" x14ac:dyDescent="0.45">
      <c r="A4870" t="s">
        <v>2895</v>
      </c>
      <c r="B4870" s="1">
        <v>46015</v>
      </c>
      <c r="C4870" t="s">
        <v>4007</v>
      </c>
      <c r="D4870" t="s">
        <v>2770</v>
      </c>
      <c r="E4870">
        <v>600</v>
      </c>
      <c r="F4870">
        <v>7</v>
      </c>
      <c r="G4870">
        <f t="shared" si="228"/>
        <v>4200</v>
      </c>
      <c r="H4870" t="s">
        <v>7</v>
      </c>
      <c r="I4870">
        <f t="shared" si="229"/>
        <v>720</v>
      </c>
      <c r="J4870">
        <f t="shared" si="230"/>
        <v>5040</v>
      </c>
    </row>
    <row r="4871" spans="1:10" x14ac:dyDescent="0.45">
      <c r="A4871" t="s">
        <v>2959</v>
      </c>
      <c r="B4871" s="1">
        <v>46015</v>
      </c>
      <c r="C4871" t="s">
        <v>4007</v>
      </c>
      <c r="D4871" t="s">
        <v>5015</v>
      </c>
      <c r="E4871">
        <v>48000</v>
      </c>
      <c r="F4871">
        <v>4</v>
      </c>
      <c r="G4871">
        <f t="shared" si="228"/>
        <v>192000</v>
      </c>
      <c r="H4871" t="s">
        <v>17</v>
      </c>
      <c r="I4871">
        <f t="shared" si="229"/>
        <v>57600</v>
      </c>
      <c r="J4871">
        <f t="shared" si="230"/>
        <v>230400</v>
      </c>
    </row>
    <row r="4872" spans="1:10" x14ac:dyDescent="0.45">
      <c r="A4872" t="s">
        <v>3273</v>
      </c>
      <c r="B4872" s="1">
        <v>46015</v>
      </c>
      <c r="C4872" t="s">
        <v>4007</v>
      </c>
      <c r="D4872" t="s">
        <v>2770</v>
      </c>
      <c r="E4872">
        <v>600</v>
      </c>
      <c r="F4872">
        <v>6</v>
      </c>
      <c r="G4872">
        <f t="shared" si="228"/>
        <v>3600</v>
      </c>
      <c r="H4872" t="s">
        <v>21</v>
      </c>
      <c r="I4872">
        <f t="shared" si="229"/>
        <v>720</v>
      </c>
      <c r="J4872">
        <f t="shared" si="230"/>
        <v>4320</v>
      </c>
    </row>
    <row r="4873" spans="1:10" x14ac:dyDescent="0.45">
      <c r="A4873" t="s">
        <v>3668</v>
      </c>
      <c r="B4873" s="1">
        <v>46015</v>
      </c>
      <c r="C4873" t="s">
        <v>2772</v>
      </c>
      <c r="D4873" t="s">
        <v>2771</v>
      </c>
      <c r="E4873">
        <v>120</v>
      </c>
      <c r="F4873">
        <v>10</v>
      </c>
      <c r="G4873">
        <f t="shared" si="228"/>
        <v>1200</v>
      </c>
      <c r="H4873" t="s">
        <v>17</v>
      </c>
      <c r="I4873">
        <f t="shared" si="229"/>
        <v>144</v>
      </c>
      <c r="J4873">
        <f t="shared" si="230"/>
        <v>1440</v>
      </c>
    </row>
    <row r="4874" spans="1:10" x14ac:dyDescent="0.45">
      <c r="A4874" t="s">
        <v>2716</v>
      </c>
      <c r="B4874" s="1">
        <v>46016</v>
      </c>
      <c r="C4874" t="s">
        <v>4007</v>
      </c>
      <c r="D4874" t="s">
        <v>28</v>
      </c>
      <c r="E4874">
        <v>500</v>
      </c>
      <c r="F4874">
        <v>2</v>
      </c>
      <c r="G4874">
        <f t="shared" si="228"/>
        <v>1000</v>
      </c>
      <c r="H4874" t="s">
        <v>7</v>
      </c>
      <c r="I4874">
        <f t="shared" si="229"/>
        <v>600</v>
      </c>
      <c r="J4874">
        <f t="shared" si="230"/>
        <v>1200</v>
      </c>
    </row>
    <row r="4875" spans="1:10" x14ac:dyDescent="0.45">
      <c r="A4875" t="s">
        <v>2717</v>
      </c>
      <c r="B4875" s="1">
        <v>46016</v>
      </c>
      <c r="C4875" t="s">
        <v>12</v>
      </c>
      <c r="D4875" t="s">
        <v>5021</v>
      </c>
      <c r="E4875">
        <v>2880</v>
      </c>
      <c r="F4875">
        <v>8</v>
      </c>
      <c r="G4875">
        <f t="shared" si="228"/>
        <v>23040</v>
      </c>
      <c r="H4875" t="s">
        <v>21</v>
      </c>
      <c r="I4875">
        <f t="shared" si="229"/>
        <v>3456</v>
      </c>
      <c r="J4875">
        <f t="shared" si="230"/>
        <v>27648</v>
      </c>
    </row>
    <row r="4876" spans="1:10" x14ac:dyDescent="0.45">
      <c r="A4876" t="s">
        <v>2718</v>
      </c>
      <c r="B4876" s="1">
        <v>46016</v>
      </c>
      <c r="C4876" t="s">
        <v>4007</v>
      </c>
      <c r="D4876" t="s">
        <v>4005</v>
      </c>
      <c r="E4876">
        <v>60000</v>
      </c>
      <c r="F4876">
        <v>6</v>
      </c>
      <c r="G4876">
        <f t="shared" si="228"/>
        <v>360000</v>
      </c>
      <c r="H4876" t="s">
        <v>21</v>
      </c>
      <c r="I4876">
        <f t="shared" si="229"/>
        <v>72000</v>
      </c>
      <c r="J4876">
        <f t="shared" si="230"/>
        <v>432000</v>
      </c>
    </row>
    <row r="4877" spans="1:10" x14ac:dyDescent="0.45">
      <c r="A4877" t="s">
        <v>2719</v>
      </c>
      <c r="B4877" s="1">
        <v>46016</v>
      </c>
      <c r="C4877" t="s">
        <v>4007</v>
      </c>
      <c r="D4877" t="s">
        <v>4005</v>
      </c>
      <c r="E4877">
        <v>60000</v>
      </c>
      <c r="F4877">
        <v>10</v>
      </c>
      <c r="G4877">
        <f t="shared" si="228"/>
        <v>600000</v>
      </c>
      <c r="H4877" t="s">
        <v>17</v>
      </c>
      <c r="I4877">
        <f t="shared" si="229"/>
        <v>72000</v>
      </c>
      <c r="J4877">
        <f t="shared" si="230"/>
        <v>720000</v>
      </c>
    </row>
    <row r="4878" spans="1:10" x14ac:dyDescent="0.45">
      <c r="A4878" t="s">
        <v>2720</v>
      </c>
      <c r="B4878" s="1">
        <v>46016</v>
      </c>
      <c r="C4878" t="s">
        <v>33</v>
      </c>
      <c r="D4878" t="s">
        <v>34</v>
      </c>
      <c r="E4878">
        <v>1700</v>
      </c>
      <c r="F4878">
        <v>2</v>
      </c>
      <c r="G4878">
        <f t="shared" si="228"/>
        <v>3400</v>
      </c>
      <c r="H4878" t="s">
        <v>17</v>
      </c>
      <c r="I4878">
        <f t="shared" si="229"/>
        <v>2040</v>
      </c>
      <c r="J4878">
        <f t="shared" si="230"/>
        <v>4080</v>
      </c>
    </row>
    <row r="4879" spans="1:10" x14ac:dyDescent="0.45">
      <c r="A4879" t="s">
        <v>2721</v>
      </c>
      <c r="B4879" s="1">
        <v>46016</v>
      </c>
      <c r="C4879" t="s">
        <v>9</v>
      </c>
      <c r="D4879" t="s">
        <v>10</v>
      </c>
      <c r="E4879">
        <v>400</v>
      </c>
      <c r="F4879">
        <v>3</v>
      </c>
      <c r="G4879">
        <f t="shared" si="228"/>
        <v>1200</v>
      </c>
      <c r="H4879" t="s">
        <v>17</v>
      </c>
      <c r="I4879">
        <f t="shared" si="229"/>
        <v>480</v>
      </c>
      <c r="J4879">
        <f t="shared" si="230"/>
        <v>1440</v>
      </c>
    </row>
    <row r="4880" spans="1:10" x14ac:dyDescent="0.45">
      <c r="A4880" t="s">
        <v>3042</v>
      </c>
      <c r="B4880" s="1">
        <v>46016</v>
      </c>
      <c r="C4880" t="s">
        <v>4007</v>
      </c>
      <c r="D4880" t="s">
        <v>2776</v>
      </c>
      <c r="E4880">
        <v>3600</v>
      </c>
      <c r="F4880">
        <v>10</v>
      </c>
      <c r="G4880">
        <f t="shared" si="228"/>
        <v>36000</v>
      </c>
      <c r="H4880" t="s">
        <v>17</v>
      </c>
      <c r="I4880">
        <f t="shared" si="229"/>
        <v>4320</v>
      </c>
      <c r="J4880">
        <f t="shared" si="230"/>
        <v>43200</v>
      </c>
    </row>
    <row r="4881" spans="1:10" x14ac:dyDescent="0.45">
      <c r="A4881" t="s">
        <v>3251</v>
      </c>
      <c r="B4881" s="1">
        <v>46016</v>
      </c>
      <c r="C4881" t="s">
        <v>4007</v>
      </c>
      <c r="D4881" t="s">
        <v>2770</v>
      </c>
      <c r="E4881">
        <v>600</v>
      </c>
      <c r="F4881">
        <v>10</v>
      </c>
      <c r="G4881">
        <f t="shared" si="228"/>
        <v>6000</v>
      </c>
      <c r="H4881" t="s">
        <v>7</v>
      </c>
      <c r="I4881">
        <f t="shared" si="229"/>
        <v>720</v>
      </c>
      <c r="J4881">
        <f t="shared" si="230"/>
        <v>7200</v>
      </c>
    </row>
    <row r="4882" spans="1:10" x14ac:dyDescent="0.45">
      <c r="A4882" t="s">
        <v>3288</v>
      </c>
      <c r="B4882" s="1">
        <v>46016</v>
      </c>
      <c r="C4882" t="s">
        <v>4007</v>
      </c>
      <c r="D4882" t="s">
        <v>28</v>
      </c>
      <c r="E4882">
        <v>500</v>
      </c>
      <c r="F4882">
        <v>2</v>
      </c>
      <c r="G4882">
        <f t="shared" si="228"/>
        <v>1000</v>
      </c>
      <c r="H4882" t="s">
        <v>7</v>
      </c>
      <c r="I4882">
        <f t="shared" si="229"/>
        <v>600</v>
      </c>
      <c r="J4882">
        <f t="shared" si="230"/>
        <v>1200</v>
      </c>
    </row>
    <row r="4883" spans="1:10" x14ac:dyDescent="0.45">
      <c r="A4883" t="s">
        <v>3623</v>
      </c>
      <c r="B4883" s="1">
        <v>46016</v>
      </c>
      <c r="C4883" t="s">
        <v>33</v>
      </c>
      <c r="D4883" t="s">
        <v>34</v>
      </c>
      <c r="E4883">
        <v>1700</v>
      </c>
      <c r="F4883">
        <v>10</v>
      </c>
      <c r="G4883">
        <f t="shared" si="228"/>
        <v>17000</v>
      </c>
      <c r="H4883" t="s">
        <v>21</v>
      </c>
      <c r="I4883">
        <f t="shared" si="229"/>
        <v>2040</v>
      </c>
      <c r="J4883">
        <f t="shared" si="230"/>
        <v>20400</v>
      </c>
    </row>
    <row r="4884" spans="1:10" x14ac:dyDescent="0.45">
      <c r="A4884" t="s">
        <v>2722</v>
      </c>
      <c r="B4884" s="1">
        <v>46017</v>
      </c>
      <c r="C4884" t="s">
        <v>33</v>
      </c>
      <c r="D4884" t="s">
        <v>14</v>
      </c>
      <c r="E4884">
        <v>800</v>
      </c>
      <c r="F4884">
        <v>10</v>
      </c>
      <c r="G4884">
        <f t="shared" si="228"/>
        <v>8000</v>
      </c>
      <c r="H4884" t="s">
        <v>21</v>
      </c>
      <c r="I4884">
        <f t="shared" si="229"/>
        <v>960</v>
      </c>
      <c r="J4884">
        <f t="shared" si="230"/>
        <v>9600</v>
      </c>
    </row>
    <row r="4885" spans="1:10" x14ac:dyDescent="0.45">
      <c r="A4885" t="s">
        <v>2723</v>
      </c>
      <c r="B4885" s="1">
        <v>46017</v>
      </c>
      <c r="C4885" t="s">
        <v>4007</v>
      </c>
      <c r="D4885" t="s">
        <v>4005</v>
      </c>
      <c r="E4885">
        <v>60000</v>
      </c>
      <c r="F4885">
        <v>2</v>
      </c>
      <c r="G4885">
        <f t="shared" si="228"/>
        <v>120000</v>
      </c>
      <c r="H4885" t="s">
        <v>7</v>
      </c>
      <c r="I4885">
        <f t="shared" si="229"/>
        <v>72000</v>
      </c>
      <c r="J4885">
        <f t="shared" si="230"/>
        <v>144000</v>
      </c>
    </row>
    <row r="4886" spans="1:10" x14ac:dyDescent="0.45">
      <c r="A4886" t="s">
        <v>2724</v>
      </c>
      <c r="B4886" s="1">
        <v>46017</v>
      </c>
      <c r="C4886" t="s">
        <v>33</v>
      </c>
      <c r="D4886" t="s">
        <v>14</v>
      </c>
      <c r="E4886">
        <v>800</v>
      </c>
      <c r="F4886">
        <v>6</v>
      </c>
      <c r="G4886">
        <f t="shared" si="228"/>
        <v>4800</v>
      </c>
      <c r="H4886" t="s">
        <v>17</v>
      </c>
      <c r="I4886">
        <f t="shared" si="229"/>
        <v>960</v>
      </c>
      <c r="J4886">
        <f t="shared" si="230"/>
        <v>5760</v>
      </c>
    </row>
    <row r="4887" spans="1:10" x14ac:dyDescent="0.45">
      <c r="A4887" t="s">
        <v>2725</v>
      </c>
      <c r="B4887" s="1">
        <v>46017</v>
      </c>
      <c r="C4887" t="s">
        <v>4007</v>
      </c>
      <c r="D4887" t="s">
        <v>4005</v>
      </c>
      <c r="E4887">
        <v>60000</v>
      </c>
      <c r="F4887">
        <v>10</v>
      </c>
      <c r="G4887">
        <f t="shared" si="228"/>
        <v>600000</v>
      </c>
      <c r="H4887" t="s">
        <v>21</v>
      </c>
      <c r="I4887">
        <f t="shared" si="229"/>
        <v>72000</v>
      </c>
      <c r="J4887">
        <f t="shared" si="230"/>
        <v>720000</v>
      </c>
    </row>
    <row r="4888" spans="1:10" x14ac:dyDescent="0.45">
      <c r="A4888" t="s">
        <v>2726</v>
      </c>
      <c r="B4888" s="1">
        <v>46017</v>
      </c>
      <c r="C4888" t="s">
        <v>4007</v>
      </c>
      <c r="D4888" t="s">
        <v>39</v>
      </c>
      <c r="E4888">
        <v>6000</v>
      </c>
      <c r="F4888">
        <v>6</v>
      </c>
      <c r="G4888">
        <f t="shared" si="228"/>
        <v>36000</v>
      </c>
      <c r="H4888" t="s">
        <v>7</v>
      </c>
      <c r="I4888">
        <f t="shared" si="229"/>
        <v>7200</v>
      </c>
      <c r="J4888">
        <f t="shared" si="230"/>
        <v>43200</v>
      </c>
    </row>
    <row r="4889" spans="1:10" x14ac:dyDescent="0.45">
      <c r="A4889" t="s">
        <v>2727</v>
      </c>
      <c r="B4889" s="1">
        <v>46017</v>
      </c>
      <c r="C4889" t="s">
        <v>12</v>
      </c>
      <c r="D4889" t="s">
        <v>5021</v>
      </c>
      <c r="E4889">
        <v>2880</v>
      </c>
      <c r="F4889">
        <v>5</v>
      </c>
      <c r="G4889">
        <f t="shared" si="228"/>
        <v>14400</v>
      </c>
      <c r="H4889" t="s">
        <v>21</v>
      </c>
      <c r="I4889">
        <f t="shared" si="229"/>
        <v>3456</v>
      </c>
      <c r="J4889">
        <f t="shared" si="230"/>
        <v>17280</v>
      </c>
    </row>
    <row r="4890" spans="1:10" x14ac:dyDescent="0.45">
      <c r="A4890" t="s">
        <v>2728</v>
      </c>
      <c r="B4890" s="1">
        <v>46017</v>
      </c>
      <c r="C4890" t="s">
        <v>33</v>
      </c>
      <c r="D4890" t="s">
        <v>16</v>
      </c>
      <c r="E4890">
        <v>1200</v>
      </c>
      <c r="F4890">
        <v>7</v>
      </c>
      <c r="G4890">
        <f t="shared" si="228"/>
        <v>8400</v>
      </c>
      <c r="H4890" t="s">
        <v>17</v>
      </c>
      <c r="I4890">
        <f t="shared" si="229"/>
        <v>1440</v>
      </c>
      <c r="J4890">
        <f t="shared" si="230"/>
        <v>10080</v>
      </c>
    </row>
    <row r="4891" spans="1:10" x14ac:dyDescent="0.45">
      <c r="A4891" t="s">
        <v>3303</v>
      </c>
      <c r="B4891" s="1">
        <v>46017</v>
      </c>
      <c r="C4891" t="s">
        <v>2772</v>
      </c>
      <c r="D4891" t="s">
        <v>2771</v>
      </c>
      <c r="E4891">
        <v>120</v>
      </c>
      <c r="F4891">
        <v>6</v>
      </c>
      <c r="G4891">
        <f t="shared" si="228"/>
        <v>720</v>
      </c>
      <c r="H4891" t="s">
        <v>17</v>
      </c>
      <c r="I4891">
        <f t="shared" si="229"/>
        <v>144</v>
      </c>
      <c r="J4891">
        <f t="shared" si="230"/>
        <v>864</v>
      </c>
    </row>
    <row r="4892" spans="1:10" x14ac:dyDescent="0.45">
      <c r="A4892" t="s">
        <v>3559</v>
      </c>
      <c r="B4892" s="1">
        <v>46017</v>
      </c>
      <c r="C4892" t="s">
        <v>2772</v>
      </c>
      <c r="D4892" t="s">
        <v>2775</v>
      </c>
      <c r="E4892">
        <v>9100</v>
      </c>
      <c r="F4892">
        <v>4</v>
      </c>
      <c r="G4892">
        <f t="shared" si="228"/>
        <v>36400</v>
      </c>
      <c r="H4892" t="s">
        <v>7</v>
      </c>
      <c r="I4892">
        <f t="shared" si="229"/>
        <v>10920</v>
      </c>
      <c r="J4892">
        <f t="shared" si="230"/>
        <v>43680</v>
      </c>
    </row>
    <row r="4893" spans="1:10" x14ac:dyDescent="0.45">
      <c r="A4893" t="s">
        <v>2729</v>
      </c>
      <c r="B4893" s="1">
        <v>46018</v>
      </c>
      <c r="C4893" t="s">
        <v>12</v>
      </c>
      <c r="D4893" t="s">
        <v>5020</v>
      </c>
      <c r="E4893">
        <v>2880</v>
      </c>
      <c r="F4893">
        <v>2</v>
      </c>
      <c r="G4893">
        <f t="shared" si="228"/>
        <v>5760</v>
      </c>
      <c r="H4893" t="s">
        <v>7</v>
      </c>
      <c r="I4893">
        <f t="shared" si="229"/>
        <v>3456</v>
      </c>
      <c r="J4893">
        <f t="shared" si="230"/>
        <v>6912</v>
      </c>
    </row>
    <row r="4894" spans="1:10" x14ac:dyDescent="0.45">
      <c r="A4894" t="s">
        <v>2730</v>
      </c>
      <c r="B4894" s="1">
        <v>46018</v>
      </c>
      <c r="C4894" t="s">
        <v>9</v>
      </c>
      <c r="D4894" t="s">
        <v>19</v>
      </c>
      <c r="E4894">
        <v>3000</v>
      </c>
      <c r="F4894">
        <v>5</v>
      </c>
      <c r="G4894">
        <f t="shared" si="228"/>
        <v>15000</v>
      </c>
      <c r="H4894" t="s">
        <v>17</v>
      </c>
      <c r="I4894">
        <f t="shared" si="229"/>
        <v>3600</v>
      </c>
      <c r="J4894">
        <f t="shared" si="230"/>
        <v>18000</v>
      </c>
    </row>
    <row r="4895" spans="1:10" x14ac:dyDescent="0.45">
      <c r="A4895" t="s">
        <v>2731</v>
      </c>
      <c r="B4895" s="1">
        <v>46018</v>
      </c>
      <c r="C4895" t="s">
        <v>4007</v>
      </c>
      <c r="D4895" t="s">
        <v>5015</v>
      </c>
      <c r="E4895">
        <v>48000</v>
      </c>
      <c r="F4895">
        <v>8</v>
      </c>
      <c r="G4895">
        <f t="shared" si="228"/>
        <v>384000</v>
      </c>
      <c r="H4895" t="s">
        <v>7</v>
      </c>
      <c r="I4895">
        <f t="shared" si="229"/>
        <v>57600</v>
      </c>
      <c r="J4895">
        <f t="shared" si="230"/>
        <v>460800</v>
      </c>
    </row>
    <row r="4896" spans="1:10" x14ac:dyDescent="0.45">
      <c r="A4896" t="s">
        <v>2732</v>
      </c>
      <c r="B4896" s="1">
        <v>46018</v>
      </c>
      <c r="C4896" t="s">
        <v>12</v>
      </c>
      <c r="D4896" t="s">
        <v>5022</v>
      </c>
      <c r="E4896">
        <v>2880</v>
      </c>
      <c r="F4896">
        <v>8</v>
      </c>
      <c r="G4896">
        <f t="shared" si="228"/>
        <v>23040</v>
      </c>
      <c r="H4896" t="s">
        <v>7</v>
      </c>
      <c r="I4896">
        <f t="shared" si="229"/>
        <v>3456</v>
      </c>
      <c r="J4896">
        <f t="shared" si="230"/>
        <v>27648</v>
      </c>
    </row>
    <row r="4897" spans="1:10" x14ac:dyDescent="0.45">
      <c r="A4897" t="s">
        <v>2733</v>
      </c>
      <c r="B4897" s="1">
        <v>46018</v>
      </c>
      <c r="C4897" t="s">
        <v>4007</v>
      </c>
      <c r="D4897" t="s">
        <v>4005</v>
      </c>
      <c r="E4897">
        <v>60000</v>
      </c>
      <c r="F4897">
        <v>5</v>
      </c>
      <c r="G4897">
        <f t="shared" si="228"/>
        <v>300000</v>
      </c>
      <c r="H4897" t="s">
        <v>21</v>
      </c>
      <c r="I4897">
        <f t="shared" si="229"/>
        <v>72000</v>
      </c>
      <c r="J4897">
        <f t="shared" si="230"/>
        <v>360000</v>
      </c>
    </row>
    <row r="4898" spans="1:10" x14ac:dyDescent="0.45">
      <c r="A4898" t="s">
        <v>2734</v>
      </c>
      <c r="B4898" s="1">
        <v>46018</v>
      </c>
      <c r="C4898" t="s">
        <v>4007</v>
      </c>
      <c r="D4898" t="s">
        <v>39</v>
      </c>
      <c r="E4898">
        <v>6000</v>
      </c>
      <c r="F4898">
        <v>8</v>
      </c>
      <c r="G4898">
        <f t="shared" si="228"/>
        <v>48000</v>
      </c>
      <c r="H4898" t="s">
        <v>17</v>
      </c>
      <c r="I4898">
        <f t="shared" si="229"/>
        <v>7200</v>
      </c>
      <c r="J4898">
        <f t="shared" si="230"/>
        <v>57600</v>
      </c>
    </row>
    <row r="4899" spans="1:10" x14ac:dyDescent="0.45">
      <c r="A4899" t="s">
        <v>3885</v>
      </c>
      <c r="B4899" s="1">
        <v>46018</v>
      </c>
      <c r="C4899" t="s">
        <v>4007</v>
      </c>
      <c r="D4899" t="s">
        <v>5015</v>
      </c>
      <c r="E4899">
        <v>48000</v>
      </c>
      <c r="F4899">
        <v>9</v>
      </c>
      <c r="G4899">
        <f t="shared" si="228"/>
        <v>432000</v>
      </c>
      <c r="H4899" t="s">
        <v>7</v>
      </c>
      <c r="I4899">
        <f t="shared" si="229"/>
        <v>57600</v>
      </c>
      <c r="J4899">
        <f t="shared" si="230"/>
        <v>518400</v>
      </c>
    </row>
    <row r="4900" spans="1:10" x14ac:dyDescent="0.45">
      <c r="A4900" t="s">
        <v>3919</v>
      </c>
      <c r="B4900" s="1">
        <v>46018</v>
      </c>
      <c r="C4900" t="s">
        <v>33</v>
      </c>
      <c r="D4900" t="s">
        <v>34</v>
      </c>
      <c r="E4900">
        <v>1700</v>
      </c>
      <c r="F4900">
        <v>3</v>
      </c>
      <c r="G4900">
        <f t="shared" si="228"/>
        <v>5100</v>
      </c>
      <c r="H4900" t="s">
        <v>17</v>
      </c>
      <c r="I4900">
        <f t="shared" si="229"/>
        <v>2040</v>
      </c>
      <c r="J4900">
        <f t="shared" si="230"/>
        <v>6120</v>
      </c>
    </row>
    <row r="4901" spans="1:10" x14ac:dyDescent="0.45">
      <c r="A4901" t="s">
        <v>2735</v>
      </c>
      <c r="B4901" s="1">
        <v>46019</v>
      </c>
      <c r="C4901" t="s">
        <v>4007</v>
      </c>
      <c r="D4901" t="s">
        <v>28</v>
      </c>
      <c r="E4901">
        <v>500</v>
      </c>
      <c r="F4901">
        <v>7</v>
      </c>
      <c r="G4901">
        <f t="shared" si="228"/>
        <v>3500</v>
      </c>
      <c r="H4901" t="s">
        <v>7</v>
      </c>
      <c r="I4901">
        <f t="shared" si="229"/>
        <v>600</v>
      </c>
      <c r="J4901">
        <f t="shared" si="230"/>
        <v>4200</v>
      </c>
    </row>
    <row r="4902" spans="1:10" x14ac:dyDescent="0.45">
      <c r="A4902" t="s">
        <v>2736</v>
      </c>
      <c r="B4902" s="1">
        <v>46019</v>
      </c>
      <c r="C4902" t="s">
        <v>4007</v>
      </c>
      <c r="D4902" t="s">
        <v>39</v>
      </c>
      <c r="E4902">
        <v>6000</v>
      </c>
      <c r="F4902">
        <v>4</v>
      </c>
      <c r="G4902">
        <f t="shared" si="228"/>
        <v>24000</v>
      </c>
      <c r="H4902" t="s">
        <v>17</v>
      </c>
      <c r="I4902">
        <f t="shared" si="229"/>
        <v>7200</v>
      </c>
      <c r="J4902">
        <f t="shared" si="230"/>
        <v>28800</v>
      </c>
    </row>
    <row r="4903" spans="1:10" x14ac:dyDescent="0.45">
      <c r="A4903" t="s">
        <v>2737</v>
      </c>
      <c r="B4903" s="1">
        <v>46019</v>
      </c>
      <c r="C4903" t="s">
        <v>33</v>
      </c>
      <c r="D4903" t="s">
        <v>34</v>
      </c>
      <c r="E4903">
        <v>1700</v>
      </c>
      <c r="F4903">
        <v>5</v>
      </c>
      <c r="G4903">
        <f t="shared" si="228"/>
        <v>8500</v>
      </c>
      <c r="H4903" t="s">
        <v>7</v>
      </c>
      <c r="I4903">
        <f t="shared" si="229"/>
        <v>2040</v>
      </c>
      <c r="J4903">
        <f t="shared" si="230"/>
        <v>10200</v>
      </c>
    </row>
    <row r="4904" spans="1:10" x14ac:dyDescent="0.45">
      <c r="A4904" t="s">
        <v>2738</v>
      </c>
      <c r="B4904" s="1">
        <v>46019</v>
      </c>
      <c r="C4904" t="s">
        <v>4007</v>
      </c>
      <c r="D4904" t="s">
        <v>5015</v>
      </c>
      <c r="E4904">
        <v>48000</v>
      </c>
      <c r="F4904">
        <v>3</v>
      </c>
      <c r="G4904">
        <f t="shared" si="228"/>
        <v>144000</v>
      </c>
      <c r="H4904" t="s">
        <v>7</v>
      </c>
      <c r="I4904">
        <f t="shared" si="229"/>
        <v>57600</v>
      </c>
      <c r="J4904">
        <f t="shared" si="230"/>
        <v>172800</v>
      </c>
    </row>
    <row r="4905" spans="1:10" x14ac:dyDescent="0.45">
      <c r="A4905" t="s">
        <v>2739</v>
      </c>
      <c r="B4905" s="1">
        <v>46019</v>
      </c>
      <c r="C4905" t="s">
        <v>12</v>
      </c>
      <c r="D4905" t="s">
        <v>5023</v>
      </c>
      <c r="E4905">
        <v>1750</v>
      </c>
      <c r="F4905">
        <v>3</v>
      </c>
      <c r="G4905">
        <f t="shared" si="228"/>
        <v>5250</v>
      </c>
      <c r="H4905" t="s">
        <v>17</v>
      </c>
      <c r="I4905">
        <f t="shared" si="229"/>
        <v>2100</v>
      </c>
      <c r="J4905">
        <f t="shared" si="230"/>
        <v>6300</v>
      </c>
    </row>
    <row r="4906" spans="1:10" x14ac:dyDescent="0.45">
      <c r="A4906" t="s">
        <v>2740</v>
      </c>
      <c r="B4906" s="1">
        <v>46019</v>
      </c>
      <c r="C4906" t="s">
        <v>9</v>
      </c>
      <c r="D4906" t="s">
        <v>10</v>
      </c>
      <c r="E4906">
        <v>400</v>
      </c>
      <c r="F4906">
        <v>8</v>
      </c>
      <c r="G4906">
        <f t="shared" si="228"/>
        <v>3200</v>
      </c>
      <c r="H4906" t="s">
        <v>21</v>
      </c>
      <c r="I4906">
        <f t="shared" si="229"/>
        <v>480</v>
      </c>
      <c r="J4906">
        <f t="shared" si="230"/>
        <v>3840</v>
      </c>
    </row>
    <row r="4907" spans="1:10" x14ac:dyDescent="0.45">
      <c r="A4907" t="s">
        <v>2741</v>
      </c>
      <c r="B4907" s="1">
        <v>46019</v>
      </c>
      <c r="C4907" t="s">
        <v>9</v>
      </c>
      <c r="D4907" t="s">
        <v>25</v>
      </c>
      <c r="E4907">
        <v>5200</v>
      </c>
      <c r="F4907">
        <v>8</v>
      </c>
      <c r="G4907">
        <f t="shared" si="228"/>
        <v>41600</v>
      </c>
      <c r="H4907" t="s">
        <v>21</v>
      </c>
      <c r="I4907">
        <f t="shared" si="229"/>
        <v>6240</v>
      </c>
      <c r="J4907">
        <f t="shared" si="230"/>
        <v>49920</v>
      </c>
    </row>
    <row r="4908" spans="1:10" x14ac:dyDescent="0.45">
      <c r="A4908" t="s">
        <v>2742</v>
      </c>
      <c r="B4908" s="1">
        <v>46019</v>
      </c>
      <c r="C4908" t="s">
        <v>33</v>
      </c>
      <c r="D4908" t="s">
        <v>16</v>
      </c>
      <c r="E4908">
        <v>1200</v>
      </c>
      <c r="F4908">
        <v>9</v>
      </c>
      <c r="G4908">
        <f t="shared" si="228"/>
        <v>10800</v>
      </c>
      <c r="H4908" t="s">
        <v>17</v>
      </c>
      <c r="I4908">
        <f t="shared" si="229"/>
        <v>1440</v>
      </c>
      <c r="J4908">
        <f t="shared" si="230"/>
        <v>12960</v>
      </c>
    </row>
    <row r="4909" spans="1:10" x14ac:dyDescent="0.45">
      <c r="A4909" t="s">
        <v>2743</v>
      </c>
      <c r="B4909" s="1">
        <v>46019</v>
      </c>
      <c r="C4909" t="s">
        <v>12</v>
      </c>
      <c r="D4909" t="s">
        <v>5022</v>
      </c>
      <c r="E4909">
        <v>2880</v>
      </c>
      <c r="F4909">
        <v>1</v>
      </c>
      <c r="G4909">
        <f t="shared" si="228"/>
        <v>2880</v>
      </c>
      <c r="H4909" t="s">
        <v>7</v>
      </c>
      <c r="I4909">
        <f t="shared" si="229"/>
        <v>3456</v>
      </c>
      <c r="J4909">
        <f t="shared" si="230"/>
        <v>3456</v>
      </c>
    </row>
    <row r="4910" spans="1:10" x14ac:dyDescent="0.45">
      <c r="A4910" t="s">
        <v>2744</v>
      </c>
      <c r="B4910" s="1">
        <v>46019</v>
      </c>
      <c r="C4910" t="s">
        <v>12</v>
      </c>
      <c r="D4910" t="s">
        <v>5021</v>
      </c>
      <c r="E4910">
        <v>2880</v>
      </c>
      <c r="F4910">
        <v>4</v>
      </c>
      <c r="G4910">
        <f t="shared" si="228"/>
        <v>11520</v>
      </c>
      <c r="H4910" t="s">
        <v>7</v>
      </c>
      <c r="I4910">
        <f t="shared" si="229"/>
        <v>3456</v>
      </c>
      <c r="J4910">
        <f t="shared" si="230"/>
        <v>13824</v>
      </c>
    </row>
    <row r="4911" spans="1:10" x14ac:dyDescent="0.45">
      <c r="A4911" t="s">
        <v>2745</v>
      </c>
      <c r="B4911" s="1">
        <v>46019</v>
      </c>
      <c r="C4911" t="s">
        <v>4007</v>
      </c>
      <c r="D4911" t="s">
        <v>4005</v>
      </c>
      <c r="E4911">
        <v>60000</v>
      </c>
      <c r="F4911">
        <v>10</v>
      </c>
      <c r="G4911">
        <f t="shared" si="228"/>
        <v>600000</v>
      </c>
      <c r="H4911" t="s">
        <v>7</v>
      </c>
      <c r="I4911">
        <f t="shared" si="229"/>
        <v>72000</v>
      </c>
      <c r="J4911">
        <f t="shared" si="230"/>
        <v>720000</v>
      </c>
    </row>
    <row r="4912" spans="1:10" x14ac:dyDescent="0.45">
      <c r="A4912" t="s">
        <v>2746</v>
      </c>
      <c r="B4912" s="1">
        <v>46019</v>
      </c>
      <c r="C4912" t="s">
        <v>9</v>
      </c>
      <c r="D4912" t="s">
        <v>10</v>
      </c>
      <c r="E4912">
        <v>400</v>
      </c>
      <c r="F4912">
        <v>9</v>
      </c>
      <c r="G4912">
        <f t="shared" si="228"/>
        <v>3600</v>
      </c>
      <c r="H4912" t="s">
        <v>7</v>
      </c>
      <c r="I4912">
        <f t="shared" si="229"/>
        <v>480</v>
      </c>
      <c r="J4912">
        <f t="shared" si="230"/>
        <v>4320</v>
      </c>
    </row>
    <row r="4913" spans="1:10" x14ac:dyDescent="0.45">
      <c r="A4913" t="s">
        <v>2747</v>
      </c>
      <c r="B4913" s="1">
        <v>46019</v>
      </c>
      <c r="C4913" t="s">
        <v>12</v>
      </c>
      <c r="D4913" t="s">
        <v>5022</v>
      </c>
      <c r="E4913">
        <v>2880</v>
      </c>
      <c r="F4913">
        <v>9</v>
      </c>
      <c r="G4913">
        <f t="shared" si="228"/>
        <v>25920</v>
      </c>
      <c r="H4913" t="s">
        <v>17</v>
      </c>
      <c r="I4913">
        <f t="shared" si="229"/>
        <v>3456</v>
      </c>
      <c r="J4913">
        <f t="shared" si="230"/>
        <v>31104</v>
      </c>
    </row>
    <row r="4914" spans="1:10" x14ac:dyDescent="0.45">
      <c r="A4914" t="s">
        <v>2748</v>
      </c>
      <c r="B4914" s="1">
        <v>46019</v>
      </c>
      <c r="C4914" t="s">
        <v>12</v>
      </c>
      <c r="D4914" t="s">
        <v>5022</v>
      </c>
      <c r="E4914">
        <v>2880</v>
      </c>
      <c r="F4914">
        <v>7</v>
      </c>
      <c r="G4914">
        <f t="shared" si="228"/>
        <v>20160</v>
      </c>
      <c r="H4914" t="s">
        <v>21</v>
      </c>
      <c r="I4914">
        <f t="shared" si="229"/>
        <v>3456</v>
      </c>
      <c r="J4914">
        <f t="shared" si="230"/>
        <v>24192</v>
      </c>
    </row>
    <row r="4915" spans="1:10" x14ac:dyDescent="0.45">
      <c r="A4915" t="s">
        <v>2749</v>
      </c>
      <c r="B4915" s="1">
        <v>46019</v>
      </c>
      <c r="C4915" t="s">
        <v>4007</v>
      </c>
      <c r="D4915" t="s">
        <v>5015</v>
      </c>
      <c r="E4915">
        <v>48000</v>
      </c>
      <c r="F4915">
        <v>9</v>
      </c>
      <c r="G4915">
        <f t="shared" si="228"/>
        <v>432000</v>
      </c>
      <c r="H4915" t="s">
        <v>17</v>
      </c>
      <c r="I4915">
        <f t="shared" si="229"/>
        <v>57600</v>
      </c>
      <c r="J4915">
        <f t="shared" si="230"/>
        <v>518400</v>
      </c>
    </row>
    <row r="4916" spans="1:10" x14ac:dyDescent="0.45">
      <c r="A4916" t="s">
        <v>2750</v>
      </c>
      <c r="B4916" s="1">
        <v>46019</v>
      </c>
      <c r="C4916" t="s">
        <v>12</v>
      </c>
      <c r="D4916" t="s">
        <v>5022</v>
      </c>
      <c r="E4916">
        <v>2880</v>
      </c>
      <c r="F4916">
        <v>5</v>
      </c>
      <c r="G4916">
        <f t="shared" si="228"/>
        <v>14400</v>
      </c>
      <c r="H4916" t="s">
        <v>21</v>
      </c>
      <c r="I4916">
        <f t="shared" si="229"/>
        <v>3456</v>
      </c>
      <c r="J4916">
        <f t="shared" si="230"/>
        <v>17280</v>
      </c>
    </row>
    <row r="4917" spans="1:10" x14ac:dyDescent="0.45">
      <c r="A4917" t="s">
        <v>2838</v>
      </c>
      <c r="B4917" s="1">
        <v>46019</v>
      </c>
      <c r="C4917" t="s">
        <v>4007</v>
      </c>
      <c r="D4917" t="s">
        <v>2773</v>
      </c>
      <c r="E4917">
        <v>3300</v>
      </c>
      <c r="F4917">
        <v>10</v>
      </c>
      <c r="G4917">
        <f t="shared" si="228"/>
        <v>33000</v>
      </c>
      <c r="H4917" t="s">
        <v>7</v>
      </c>
      <c r="I4917">
        <f t="shared" si="229"/>
        <v>3960</v>
      </c>
      <c r="J4917">
        <f t="shared" si="230"/>
        <v>39600</v>
      </c>
    </row>
    <row r="4918" spans="1:10" x14ac:dyDescent="0.45">
      <c r="A4918" t="s">
        <v>2995</v>
      </c>
      <c r="B4918" s="1">
        <v>46019</v>
      </c>
      <c r="C4918" t="s">
        <v>4007</v>
      </c>
      <c r="D4918" t="s">
        <v>2774</v>
      </c>
      <c r="E4918">
        <v>1900</v>
      </c>
      <c r="F4918">
        <v>5</v>
      </c>
      <c r="G4918">
        <f t="shared" si="228"/>
        <v>9500</v>
      </c>
      <c r="H4918" t="s">
        <v>21</v>
      </c>
      <c r="I4918">
        <f t="shared" si="229"/>
        <v>2280</v>
      </c>
      <c r="J4918">
        <f t="shared" si="230"/>
        <v>11400</v>
      </c>
    </row>
    <row r="4919" spans="1:10" x14ac:dyDescent="0.45">
      <c r="A4919" t="s">
        <v>3191</v>
      </c>
      <c r="B4919" s="1">
        <v>46019</v>
      </c>
      <c r="C4919" t="s">
        <v>4007</v>
      </c>
      <c r="D4919" t="s">
        <v>28</v>
      </c>
      <c r="E4919">
        <v>500</v>
      </c>
      <c r="F4919">
        <v>5</v>
      </c>
      <c r="G4919">
        <f t="shared" si="228"/>
        <v>2500</v>
      </c>
      <c r="H4919" t="s">
        <v>7</v>
      </c>
      <c r="I4919">
        <f t="shared" si="229"/>
        <v>600</v>
      </c>
      <c r="J4919">
        <f t="shared" si="230"/>
        <v>3000</v>
      </c>
    </row>
    <row r="4920" spans="1:10" x14ac:dyDescent="0.45">
      <c r="A4920" t="s">
        <v>3407</v>
      </c>
      <c r="B4920" s="1">
        <v>46019</v>
      </c>
      <c r="C4920" t="s">
        <v>2772</v>
      </c>
      <c r="D4920" t="s">
        <v>2775</v>
      </c>
      <c r="E4920">
        <v>9100</v>
      </c>
      <c r="F4920">
        <v>2</v>
      </c>
      <c r="G4920">
        <f t="shared" si="228"/>
        <v>18200</v>
      </c>
      <c r="H4920" t="s">
        <v>17</v>
      </c>
      <c r="I4920">
        <f t="shared" si="229"/>
        <v>10920</v>
      </c>
      <c r="J4920">
        <f t="shared" si="230"/>
        <v>21840</v>
      </c>
    </row>
    <row r="4921" spans="1:10" x14ac:dyDescent="0.45">
      <c r="A4921" t="s">
        <v>3479</v>
      </c>
      <c r="B4921" s="1">
        <v>46019</v>
      </c>
      <c r="C4921" t="s">
        <v>4007</v>
      </c>
      <c r="D4921" t="s">
        <v>28</v>
      </c>
      <c r="E4921">
        <v>500</v>
      </c>
      <c r="F4921">
        <v>6</v>
      </c>
      <c r="G4921">
        <f t="shared" si="228"/>
        <v>3000</v>
      </c>
      <c r="H4921" t="s">
        <v>17</v>
      </c>
      <c r="I4921">
        <f t="shared" si="229"/>
        <v>600</v>
      </c>
      <c r="J4921">
        <f t="shared" si="230"/>
        <v>3600</v>
      </c>
    </row>
    <row r="4922" spans="1:10" x14ac:dyDescent="0.45">
      <c r="A4922" t="s">
        <v>3873</v>
      </c>
      <c r="B4922" s="1">
        <v>46019</v>
      </c>
      <c r="C4922" t="s">
        <v>33</v>
      </c>
      <c r="D4922" t="s">
        <v>14</v>
      </c>
      <c r="E4922">
        <v>800</v>
      </c>
      <c r="F4922">
        <v>5</v>
      </c>
      <c r="G4922">
        <f t="shared" si="228"/>
        <v>4000</v>
      </c>
      <c r="H4922" t="s">
        <v>7</v>
      </c>
      <c r="I4922">
        <f t="shared" si="229"/>
        <v>960</v>
      </c>
      <c r="J4922">
        <f t="shared" si="230"/>
        <v>4800</v>
      </c>
    </row>
    <row r="4923" spans="1:10" x14ac:dyDescent="0.45">
      <c r="A4923" t="s">
        <v>2751</v>
      </c>
      <c r="B4923" s="1">
        <v>46021</v>
      </c>
      <c r="C4923" t="s">
        <v>33</v>
      </c>
      <c r="D4923" t="s">
        <v>14</v>
      </c>
      <c r="E4923">
        <v>800</v>
      </c>
      <c r="F4923">
        <v>10</v>
      </c>
      <c r="G4923">
        <f t="shared" si="228"/>
        <v>8000</v>
      </c>
      <c r="H4923" t="s">
        <v>21</v>
      </c>
      <c r="I4923">
        <f t="shared" si="229"/>
        <v>960</v>
      </c>
      <c r="J4923">
        <f t="shared" si="230"/>
        <v>9600</v>
      </c>
    </row>
    <row r="4924" spans="1:10" x14ac:dyDescent="0.45">
      <c r="A4924" t="s">
        <v>2752</v>
      </c>
      <c r="B4924" s="1">
        <v>46021</v>
      </c>
      <c r="C4924" t="s">
        <v>4007</v>
      </c>
      <c r="D4924" t="s">
        <v>5015</v>
      </c>
      <c r="E4924">
        <v>48000</v>
      </c>
      <c r="F4924">
        <v>5</v>
      </c>
      <c r="G4924">
        <f t="shared" si="228"/>
        <v>240000</v>
      </c>
      <c r="H4924" t="s">
        <v>7</v>
      </c>
      <c r="I4924">
        <f t="shared" si="229"/>
        <v>57600</v>
      </c>
      <c r="J4924">
        <f t="shared" si="230"/>
        <v>288000</v>
      </c>
    </row>
    <row r="4925" spans="1:10" x14ac:dyDescent="0.45">
      <c r="A4925" t="s">
        <v>2753</v>
      </c>
      <c r="B4925" s="1">
        <v>46021</v>
      </c>
      <c r="C4925" t="s">
        <v>4007</v>
      </c>
      <c r="D4925" t="s">
        <v>4005</v>
      </c>
      <c r="E4925">
        <v>60000</v>
      </c>
      <c r="F4925">
        <v>6</v>
      </c>
      <c r="G4925">
        <f t="shared" si="228"/>
        <v>360000</v>
      </c>
      <c r="H4925" t="s">
        <v>7</v>
      </c>
      <c r="I4925">
        <f t="shared" si="229"/>
        <v>72000</v>
      </c>
      <c r="J4925">
        <f t="shared" si="230"/>
        <v>432000</v>
      </c>
    </row>
    <row r="4926" spans="1:10" x14ac:dyDescent="0.45">
      <c r="A4926" t="s">
        <v>2754</v>
      </c>
      <c r="B4926" s="1">
        <v>46021</v>
      </c>
      <c r="C4926" t="s">
        <v>33</v>
      </c>
      <c r="D4926" t="s">
        <v>16</v>
      </c>
      <c r="E4926">
        <v>1200</v>
      </c>
      <c r="F4926">
        <v>7</v>
      </c>
      <c r="G4926">
        <f t="shared" si="228"/>
        <v>8400</v>
      </c>
      <c r="H4926" t="s">
        <v>7</v>
      </c>
      <c r="I4926">
        <f t="shared" si="229"/>
        <v>1440</v>
      </c>
      <c r="J4926">
        <f t="shared" si="230"/>
        <v>10080</v>
      </c>
    </row>
    <row r="4927" spans="1:10" x14ac:dyDescent="0.45">
      <c r="A4927" t="s">
        <v>2755</v>
      </c>
      <c r="B4927" s="1">
        <v>46021</v>
      </c>
      <c r="C4927" t="s">
        <v>33</v>
      </c>
      <c r="D4927" t="s">
        <v>34</v>
      </c>
      <c r="E4927">
        <v>1700</v>
      </c>
      <c r="F4927">
        <v>9</v>
      </c>
      <c r="G4927">
        <f t="shared" si="228"/>
        <v>15300</v>
      </c>
      <c r="H4927" t="s">
        <v>7</v>
      </c>
      <c r="I4927">
        <f t="shared" si="229"/>
        <v>2040</v>
      </c>
      <c r="J4927">
        <f t="shared" si="230"/>
        <v>18360</v>
      </c>
    </row>
    <row r="4928" spans="1:10" x14ac:dyDescent="0.45">
      <c r="A4928" t="s">
        <v>2756</v>
      </c>
      <c r="B4928" s="1">
        <v>46021</v>
      </c>
      <c r="C4928" t="s">
        <v>33</v>
      </c>
      <c r="D4928" t="s">
        <v>16</v>
      </c>
      <c r="E4928">
        <v>1200</v>
      </c>
      <c r="F4928">
        <v>10</v>
      </c>
      <c r="G4928">
        <f t="shared" si="228"/>
        <v>12000</v>
      </c>
      <c r="H4928" t="s">
        <v>21</v>
      </c>
      <c r="I4928">
        <f t="shared" si="229"/>
        <v>1440</v>
      </c>
      <c r="J4928">
        <f t="shared" si="230"/>
        <v>14400</v>
      </c>
    </row>
    <row r="4929" spans="1:10" x14ac:dyDescent="0.45">
      <c r="A4929" t="s">
        <v>2757</v>
      </c>
      <c r="B4929" s="1">
        <v>46021</v>
      </c>
      <c r="C4929" t="s">
        <v>4007</v>
      </c>
      <c r="D4929" t="s">
        <v>5015</v>
      </c>
      <c r="E4929">
        <v>48000</v>
      </c>
      <c r="F4929">
        <v>3</v>
      </c>
      <c r="G4929">
        <f t="shared" si="228"/>
        <v>144000</v>
      </c>
      <c r="H4929" t="s">
        <v>7</v>
      </c>
      <c r="I4929">
        <f t="shared" si="229"/>
        <v>57600</v>
      </c>
      <c r="J4929">
        <f t="shared" si="230"/>
        <v>172800</v>
      </c>
    </row>
    <row r="4930" spans="1:10" x14ac:dyDescent="0.45">
      <c r="A4930" t="s">
        <v>2758</v>
      </c>
      <c r="B4930" s="1">
        <v>46021</v>
      </c>
      <c r="C4930" t="s">
        <v>33</v>
      </c>
      <c r="D4930" t="s">
        <v>14</v>
      </c>
      <c r="E4930">
        <v>800</v>
      </c>
      <c r="F4930">
        <v>3</v>
      </c>
      <c r="G4930">
        <f t="shared" ref="G4930:G4948" si="231">E4930*F4930</f>
        <v>2400</v>
      </c>
      <c r="H4930" t="s">
        <v>7</v>
      </c>
      <c r="I4930">
        <f t="shared" ref="I4930:I4948" si="232">E4930*1.2</f>
        <v>960</v>
      </c>
      <c r="J4930">
        <f t="shared" ref="J4930:J4948" si="233">I4930*F4930</f>
        <v>2880</v>
      </c>
    </row>
    <row r="4931" spans="1:10" x14ac:dyDescent="0.45">
      <c r="A4931" t="s">
        <v>2759</v>
      </c>
      <c r="B4931" s="1">
        <v>46021</v>
      </c>
      <c r="C4931" t="s">
        <v>4007</v>
      </c>
      <c r="D4931" t="s">
        <v>28</v>
      </c>
      <c r="E4931">
        <v>500</v>
      </c>
      <c r="F4931">
        <v>8</v>
      </c>
      <c r="G4931">
        <f t="shared" si="231"/>
        <v>4000</v>
      </c>
      <c r="H4931" t="s">
        <v>21</v>
      </c>
      <c r="I4931">
        <f t="shared" si="232"/>
        <v>600</v>
      </c>
      <c r="J4931">
        <f t="shared" si="233"/>
        <v>4800</v>
      </c>
    </row>
    <row r="4932" spans="1:10" x14ac:dyDescent="0.45">
      <c r="A4932" t="s">
        <v>2760</v>
      </c>
      <c r="B4932" s="1">
        <v>46021</v>
      </c>
      <c r="C4932" t="s">
        <v>4007</v>
      </c>
      <c r="D4932" t="s">
        <v>5015</v>
      </c>
      <c r="E4932">
        <v>48000</v>
      </c>
      <c r="F4932">
        <v>8</v>
      </c>
      <c r="G4932">
        <f t="shared" si="231"/>
        <v>384000</v>
      </c>
      <c r="H4932" t="s">
        <v>17</v>
      </c>
      <c r="I4932">
        <f t="shared" si="232"/>
        <v>57600</v>
      </c>
      <c r="J4932">
        <f t="shared" si="233"/>
        <v>460800</v>
      </c>
    </row>
    <row r="4933" spans="1:10" x14ac:dyDescent="0.45">
      <c r="A4933" t="s">
        <v>2828</v>
      </c>
      <c r="B4933" s="1">
        <v>46021</v>
      </c>
      <c r="C4933" t="s">
        <v>4007</v>
      </c>
      <c r="D4933" t="s">
        <v>2774</v>
      </c>
      <c r="E4933">
        <v>1900</v>
      </c>
      <c r="F4933">
        <v>7</v>
      </c>
      <c r="G4933">
        <f t="shared" si="231"/>
        <v>13300</v>
      </c>
      <c r="H4933" t="s">
        <v>17</v>
      </c>
      <c r="I4933">
        <f t="shared" si="232"/>
        <v>2280</v>
      </c>
      <c r="J4933">
        <f t="shared" si="233"/>
        <v>15960</v>
      </c>
    </row>
    <row r="4934" spans="1:10" x14ac:dyDescent="0.45">
      <c r="A4934" t="s">
        <v>2916</v>
      </c>
      <c r="B4934" s="1">
        <v>46021</v>
      </c>
      <c r="C4934" t="s">
        <v>4007</v>
      </c>
      <c r="D4934" t="s">
        <v>2770</v>
      </c>
      <c r="E4934">
        <v>600</v>
      </c>
      <c r="F4934">
        <v>1</v>
      </c>
      <c r="G4934">
        <f t="shared" si="231"/>
        <v>600</v>
      </c>
      <c r="H4934" t="s">
        <v>7</v>
      </c>
      <c r="I4934">
        <f t="shared" si="232"/>
        <v>720</v>
      </c>
      <c r="J4934">
        <f t="shared" si="233"/>
        <v>720</v>
      </c>
    </row>
    <row r="4935" spans="1:10" x14ac:dyDescent="0.45">
      <c r="A4935" t="s">
        <v>2992</v>
      </c>
      <c r="B4935" s="1">
        <v>46021</v>
      </c>
      <c r="C4935" t="s">
        <v>33</v>
      </c>
      <c r="D4935" t="s">
        <v>34</v>
      </c>
      <c r="E4935">
        <v>1700</v>
      </c>
      <c r="F4935">
        <v>5</v>
      </c>
      <c r="G4935">
        <f t="shared" si="231"/>
        <v>8500</v>
      </c>
      <c r="H4935" t="s">
        <v>17</v>
      </c>
      <c r="I4935">
        <f t="shared" si="232"/>
        <v>2040</v>
      </c>
      <c r="J4935">
        <f t="shared" si="233"/>
        <v>10200</v>
      </c>
    </row>
    <row r="4936" spans="1:10" x14ac:dyDescent="0.45">
      <c r="A4936" t="s">
        <v>3118</v>
      </c>
      <c r="B4936" s="1">
        <v>46021</v>
      </c>
      <c r="C4936" t="s">
        <v>4007</v>
      </c>
      <c r="D4936" t="s">
        <v>2770</v>
      </c>
      <c r="E4936">
        <v>600</v>
      </c>
      <c r="F4936">
        <v>1</v>
      </c>
      <c r="G4936">
        <f t="shared" si="231"/>
        <v>600</v>
      </c>
      <c r="H4936" t="s">
        <v>17</v>
      </c>
      <c r="I4936">
        <f t="shared" si="232"/>
        <v>720</v>
      </c>
      <c r="J4936">
        <f t="shared" si="233"/>
        <v>720</v>
      </c>
    </row>
    <row r="4937" spans="1:10" x14ac:dyDescent="0.45">
      <c r="A4937" t="s">
        <v>3362</v>
      </c>
      <c r="B4937" s="1">
        <v>46021</v>
      </c>
      <c r="C4937" t="s">
        <v>4007</v>
      </c>
      <c r="D4937" t="s">
        <v>2773</v>
      </c>
      <c r="E4937">
        <v>3300</v>
      </c>
      <c r="F4937">
        <v>10</v>
      </c>
      <c r="G4937">
        <f t="shared" si="231"/>
        <v>33000</v>
      </c>
      <c r="H4937" t="s">
        <v>17</v>
      </c>
      <c r="I4937">
        <f t="shared" si="232"/>
        <v>3960</v>
      </c>
      <c r="J4937">
        <f t="shared" si="233"/>
        <v>39600</v>
      </c>
    </row>
    <row r="4938" spans="1:10" x14ac:dyDescent="0.45">
      <c r="A4938" t="s">
        <v>3756</v>
      </c>
      <c r="B4938" s="1">
        <v>46021</v>
      </c>
      <c r="C4938" t="s">
        <v>2772</v>
      </c>
      <c r="D4938" t="s">
        <v>2775</v>
      </c>
      <c r="E4938">
        <v>9100</v>
      </c>
      <c r="F4938">
        <v>2</v>
      </c>
      <c r="G4938">
        <f t="shared" si="231"/>
        <v>18200</v>
      </c>
      <c r="H4938" t="s">
        <v>7</v>
      </c>
      <c r="I4938">
        <f t="shared" si="232"/>
        <v>10920</v>
      </c>
      <c r="J4938">
        <f t="shared" si="233"/>
        <v>21840</v>
      </c>
    </row>
    <row r="4939" spans="1:10" x14ac:dyDescent="0.45">
      <c r="A4939" t="s">
        <v>3904</v>
      </c>
      <c r="B4939" s="1">
        <v>46021</v>
      </c>
      <c r="C4939" t="s">
        <v>4007</v>
      </c>
      <c r="D4939" t="s">
        <v>2776</v>
      </c>
      <c r="E4939">
        <v>3600</v>
      </c>
      <c r="F4939">
        <v>2</v>
      </c>
      <c r="G4939">
        <f t="shared" si="231"/>
        <v>7200</v>
      </c>
      <c r="H4939" t="s">
        <v>17</v>
      </c>
      <c r="I4939">
        <f t="shared" si="232"/>
        <v>4320</v>
      </c>
      <c r="J4939">
        <f t="shared" si="233"/>
        <v>8640</v>
      </c>
    </row>
    <row r="4940" spans="1:10" x14ac:dyDescent="0.45">
      <c r="A4940" t="s">
        <v>2761</v>
      </c>
      <c r="B4940" s="1">
        <v>46022</v>
      </c>
      <c r="C4940" t="s">
        <v>9</v>
      </c>
      <c r="D4940" t="s">
        <v>19</v>
      </c>
      <c r="E4940">
        <v>3000</v>
      </c>
      <c r="F4940">
        <v>7</v>
      </c>
      <c r="G4940">
        <f t="shared" si="231"/>
        <v>21000</v>
      </c>
      <c r="H4940" t="s">
        <v>7</v>
      </c>
      <c r="I4940">
        <f t="shared" si="232"/>
        <v>3600</v>
      </c>
      <c r="J4940">
        <f t="shared" si="233"/>
        <v>25200</v>
      </c>
    </row>
    <row r="4941" spans="1:10" x14ac:dyDescent="0.45">
      <c r="A4941" t="s">
        <v>2762</v>
      </c>
      <c r="B4941" s="1">
        <v>46022</v>
      </c>
      <c r="C4941" t="s">
        <v>33</v>
      </c>
      <c r="D4941" t="s">
        <v>16</v>
      </c>
      <c r="E4941">
        <v>1200</v>
      </c>
      <c r="F4941">
        <v>9</v>
      </c>
      <c r="G4941">
        <f t="shared" si="231"/>
        <v>10800</v>
      </c>
      <c r="H4941" t="s">
        <v>7</v>
      </c>
      <c r="I4941">
        <f t="shared" si="232"/>
        <v>1440</v>
      </c>
      <c r="J4941">
        <f t="shared" si="233"/>
        <v>12960</v>
      </c>
    </row>
    <row r="4942" spans="1:10" x14ac:dyDescent="0.45">
      <c r="A4942" t="s">
        <v>2763</v>
      </c>
      <c r="B4942" s="1">
        <v>46022</v>
      </c>
      <c r="C4942" t="s">
        <v>4007</v>
      </c>
      <c r="D4942" t="s">
        <v>39</v>
      </c>
      <c r="E4942">
        <v>6000</v>
      </c>
      <c r="F4942">
        <v>7</v>
      </c>
      <c r="G4942">
        <f t="shared" si="231"/>
        <v>42000</v>
      </c>
      <c r="H4942" t="s">
        <v>21</v>
      </c>
      <c r="I4942">
        <f t="shared" si="232"/>
        <v>7200</v>
      </c>
      <c r="J4942">
        <f t="shared" si="233"/>
        <v>50400</v>
      </c>
    </row>
    <row r="4943" spans="1:10" x14ac:dyDescent="0.45">
      <c r="A4943" t="s">
        <v>2764</v>
      </c>
      <c r="B4943" s="1">
        <v>46022</v>
      </c>
      <c r="C4943" t="s">
        <v>12</v>
      </c>
      <c r="D4943" t="s">
        <v>5022</v>
      </c>
      <c r="E4943">
        <v>2880</v>
      </c>
      <c r="F4943">
        <v>4</v>
      </c>
      <c r="G4943">
        <f t="shared" si="231"/>
        <v>11520</v>
      </c>
      <c r="H4943" t="s">
        <v>17</v>
      </c>
      <c r="I4943">
        <f t="shared" si="232"/>
        <v>3456</v>
      </c>
      <c r="J4943">
        <f t="shared" si="233"/>
        <v>13824</v>
      </c>
    </row>
    <row r="4944" spans="1:10" x14ac:dyDescent="0.45">
      <c r="A4944" t="s">
        <v>2765</v>
      </c>
      <c r="B4944" s="1">
        <v>46022</v>
      </c>
      <c r="C4944" t="s">
        <v>4007</v>
      </c>
      <c r="D4944" t="s">
        <v>39</v>
      </c>
      <c r="E4944">
        <v>6000</v>
      </c>
      <c r="F4944">
        <v>5</v>
      </c>
      <c r="G4944">
        <f t="shared" si="231"/>
        <v>30000</v>
      </c>
      <c r="H4944" t="s">
        <v>7</v>
      </c>
      <c r="I4944">
        <f t="shared" si="232"/>
        <v>7200</v>
      </c>
      <c r="J4944">
        <f t="shared" si="233"/>
        <v>36000</v>
      </c>
    </row>
    <row r="4945" spans="1:10" x14ac:dyDescent="0.45">
      <c r="A4945" t="s">
        <v>2766</v>
      </c>
      <c r="B4945" s="1">
        <v>46022</v>
      </c>
      <c r="C4945" t="s">
        <v>33</v>
      </c>
      <c r="D4945" t="s">
        <v>14</v>
      </c>
      <c r="E4945">
        <v>800</v>
      </c>
      <c r="F4945">
        <v>10</v>
      </c>
      <c r="G4945">
        <f t="shared" si="231"/>
        <v>8000</v>
      </c>
      <c r="H4945" t="s">
        <v>7</v>
      </c>
      <c r="I4945">
        <f t="shared" si="232"/>
        <v>960</v>
      </c>
      <c r="J4945">
        <f t="shared" si="233"/>
        <v>9600</v>
      </c>
    </row>
    <row r="4946" spans="1:10" x14ac:dyDescent="0.45">
      <c r="A4946" t="s">
        <v>2767</v>
      </c>
      <c r="B4946" s="1">
        <v>46022</v>
      </c>
      <c r="C4946" t="s">
        <v>9</v>
      </c>
      <c r="D4946" t="s">
        <v>19</v>
      </c>
      <c r="E4946">
        <v>3000</v>
      </c>
      <c r="F4946">
        <v>3</v>
      </c>
      <c r="G4946">
        <f t="shared" si="231"/>
        <v>9000</v>
      </c>
      <c r="H4946" t="s">
        <v>21</v>
      </c>
      <c r="I4946">
        <f t="shared" si="232"/>
        <v>3600</v>
      </c>
      <c r="J4946">
        <f t="shared" si="233"/>
        <v>10800</v>
      </c>
    </row>
    <row r="4947" spans="1:10" x14ac:dyDescent="0.45">
      <c r="A4947" t="s">
        <v>3564</v>
      </c>
      <c r="B4947" s="1">
        <v>46022</v>
      </c>
      <c r="C4947" t="s">
        <v>4007</v>
      </c>
      <c r="D4947" t="s">
        <v>2773</v>
      </c>
      <c r="E4947">
        <v>3300</v>
      </c>
      <c r="F4947">
        <v>8</v>
      </c>
      <c r="G4947">
        <f t="shared" si="231"/>
        <v>26400</v>
      </c>
      <c r="H4947" t="s">
        <v>17</v>
      </c>
      <c r="I4947">
        <f t="shared" si="232"/>
        <v>3960</v>
      </c>
      <c r="J4947">
        <f t="shared" si="233"/>
        <v>31680</v>
      </c>
    </row>
    <row r="4948" spans="1:10" x14ac:dyDescent="0.45">
      <c r="A4948" t="s">
        <v>3587</v>
      </c>
      <c r="B4948" s="1">
        <v>46022</v>
      </c>
      <c r="C4948" t="s">
        <v>4007</v>
      </c>
      <c r="D4948" t="s">
        <v>2776</v>
      </c>
      <c r="E4948">
        <v>3600</v>
      </c>
      <c r="F4948">
        <v>5</v>
      </c>
      <c r="G4948">
        <f t="shared" si="231"/>
        <v>18000</v>
      </c>
      <c r="H4948" t="s">
        <v>7</v>
      </c>
      <c r="I4948">
        <f t="shared" si="232"/>
        <v>4320</v>
      </c>
      <c r="J4948">
        <f t="shared" si="233"/>
        <v>21600</v>
      </c>
    </row>
  </sheetData>
  <autoFilter ref="A1:J4948" xr:uid="{00000000-0001-0000-0000-000000000000}">
    <sortState xmlns:xlrd2="http://schemas.microsoft.com/office/spreadsheetml/2017/richdata2" ref="A2:J4948">
      <sortCondition ref="B1:B4948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Inventory</vt:lpstr>
      <vt:lpstr>Sale by Month</vt:lpstr>
      <vt:lpstr>Sales by Product</vt:lpstr>
      <vt:lpstr>Sales by Payment</vt:lpstr>
      <vt:lpstr>Sales by day</vt:lpstr>
      <vt:lpstr>Sales by category</vt:lpstr>
      <vt:lpstr>Sheet9</vt:lpstr>
      <vt:lpstr>ETS Forecast</vt:lpstr>
      <vt:lpstr>Sales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Abdulmumin Salis</cp:lastModifiedBy>
  <dcterms:created xsi:type="dcterms:W3CDTF">2026-04-07T13:04:32Z</dcterms:created>
  <dcterms:modified xsi:type="dcterms:W3CDTF">2026-04-28T12:52:50Z</dcterms:modified>
</cp:coreProperties>
</file>